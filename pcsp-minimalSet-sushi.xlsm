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pcsp/"/>
    </mc:Choice>
  </mc:AlternateContent>
  <xr:revisionPtr revIDLastSave="12" documentId="14_{B3A49CC2-CDC0-4494-A256-83599AE102DF}" xr6:coauthVersionLast="47" xr6:coauthVersionMax="47" xr10:uidLastSave="{2487F0A2-EA4D-4712-9819-A66EE83BC746}"/>
  <bookViews>
    <workbookView xWindow="8112" yWindow="-17388" windowWidth="30936" windowHeight="16896" tabRatio="819" activeTab="2"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Rad-1" sheetId="74" r:id="rId8"/>
    <sheet name="Rad-2" sheetId="75" r:id="rId9"/>
    <sheet name="Rad-3" sheetId="76" r:id="rId10"/>
    <sheet name="RadMap-1" sheetId="77" r:id="rId11"/>
    <sheet name="RadMap-2" sheetId="78" r:id="rId12"/>
    <sheet name="Chemio-1" sheetId="79" r:id="rId13"/>
    <sheet name="Chemio-2" sheetId="80" r:id="rId14"/>
    <sheet name="Chemio-3" sheetId="81" r:id="rId15"/>
    <sheet name="ChemioMap-1" sheetId="82" r:id="rId16"/>
    <sheet name="ChemioMap-2" sheetId="83" r:id="rId17"/>
    <sheet name="Subj-Map-1" sheetId="33" r:id="rId18"/>
    <sheet name="Subj-Map-2" sheetId="34" r:id="rId19"/>
    <sheet name="Subj-Map2-1" sheetId="71" r:id="rId20"/>
    <sheet name="Subj-Map2-2" sheetId="72" r:id="rId21"/>
    <sheet name="Subj-Map-all" sheetId="73" r:id="rId22"/>
    <sheet name="Subj-uc1-1" sheetId="43" r:id="rId23"/>
    <sheet name="Subj-uc1-2" sheetId="44" r:id="rId24"/>
    <sheet name="Radio-1" sheetId="15" r:id="rId25"/>
    <sheet name="Radio-2" sheetId="16" r:id="rId26"/>
    <sheet name="Radio-3" sheetId="17" r:id="rId27"/>
    <sheet name="SimpleOrg-1" sheetId="25" r:id="rId28"/>
    <sheet name="SimpleOrg-2" sheetId="26" r:id="rId29"/>
    <sheet name="SimpleOrg-3" sheetId="27" r:id="rId30"/>
    <sheet name="Prod-1" sheetId="28" r:id="rId31"/>
    <sheet name="Prod-2" sheetId="29" r:id="rId32"/>
    <sheet name="Prod-3" sheetId="30" r:id="rId33"/>
    <sheet name="Prod-uc1-1" sheetId="66" r:id="rId34"/>
    <sheet name="Prod-uc1-2" sheetId="67" r:id="rId35"/>
    <sheet name="Prod-uc2-1" sheetId="68" r:id="rId36"/>
    <sheet name="Prod-uc2-2" sheetId="69" r:id="rId37"/>
  </sheets>
  <definedNames>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15">'ChemioMap-1'!#REF!</definedName>
    <definedName name="ImmunizationRecommendation.recommendation.supportingPatientInformation" localSheetId="33">'Prod-uc1-1'!#REF!</definedName>
    <definedName name="ImmunizationRecommendation.recommendation.supportingPatientInformation" localSheetId="35">'Prod-uc2-1'!#REF!</definedName>
    <definedName name="ImmunizationRecommendation.recommendation.supportingPatientInformation" localSheetId="10">'RadMap-1'!#REF!</definedName>
    <definedName name="ImmunizationRecommendation.recommendation.supportingPatientInformation" localSheetId="22">'Subj-uc1-1'!#REF!</definedName>
    <definedName name="PatientRole" localSheetId="19">'Subj-Map2-1'!$D$8</definedName>
    <definedName name="PatientRole.addr" localSheetId="19">'Subj-Map2-1'!$D$13</definedName>
    <definedName name="PatientRole.classCode" localSheetId="19">'Subj-Map2-1'!$D$9</definedName>
    <definedName name="PatientRole.identifiedBy" localSheetId="19">'Subj-Map2-1'!$D$12</definedName>
    <definedName name="PatientRole.patient" localSheetId="19">'Subj-Map2-1'!$D$15</definedName>
    <definedName name="PatientRole.providerOrganization" localSheetId="19">'Subj-Map2-1'!$D$16</definedName>
    <definedName name="PatientRole.telecom" localSheetId="19">'Subj-Map2-1'!$D$14</definedName>
    <definedName name="PatientRole.templateId" localSheetId="19">'Subj-Map2-1'!$D$11</definedName>
    <definedName name="Product.code.medicinalProductCode" localSheetId="2">'Base-1'!#REF!</definedName>
    <definedName name="Product.code.medicinalProductCode" localSheetId="12">'Chemio-1'!#REF!</definedName>
    <definedName name="Product.code.medicinalProductCode" localSheetId="7">'Rad-1'!#REF!</definedName>
    <definedName name="Product.code.MPID" localSheetId="2">'Base-1'!#REF!</definedName>
    <definedName name="Product.code.MPID" localSheetId="12">'Chemio-1'!#REF!</definedName>
    <definedName name="Product.code.MPID" localSheetId="7">'Rad-1'!#REF!</definedName>
    <definedName name="Product.code.packagedProductCode" localSheetId="2">'Base-1'!#REF!</definedName>
    <definedName name="Product.code.packagedProductCode" localSheetId="12">'Chemio-1'!#REF!</definedName>
    <definedName name="Product.code.packagedProductCode" localSheetId="7">'Rad-1'!#REF!</definedName>
    <definedName name="Product.code.PCID" localSheetId="2">'Base-1'!#REF!</definedName>
    <definedName name="Product.code.PCID" localSheetId="12">'Chemio-1'!#REF!</definedName>
    <definedName name="Product.code.PCID" localSheetId="7">'Rad-1'!#REF!</definedName>
    <definedName name="Product.code.pharmaceuticalProductCode" localSheetId="2">'Base-1'!#REF!</definedName>
    <definedName name="Product.code.pharmaceuticalProductCode" localSheetId="12">'Chemio-1'!#REF!</definedName>
    <definedName name="Product.code.pharmaceuticalProductCode" localSheetId="7">'Rad-1'!#REF!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 i="59"/>
  <c r="B9" i="82"/>
  <c r="B10" i="82"/>
  <c r="B11" i="82"/>
  <c r="B12" i="82"/>
  <c r="B13" i="82"/>
  <c r="B14" i="82"/>
  <c r="B15" i="82"/>
  <c r="B16" i="82"/>
  <c r="B17" i="82"/>
  <c r="B18" i="82"/>
  <c r="B19" i="82"/>
  <c r="B20" i="82"/>
  <c r="B21" i="82"/>
  <c r="B22" i="82"/>
  <c r="B23" i="82"/>
  <c r="B24" i="82"/>
  <c r="B25" i="82"/>
  <c r="B26" i="82"/>
  <c r="B27" i="82"/>
  <c r="B28" i="82"/>
  <c r="B29" i="82"/>
  <c r="B30" i="82"/>
  <c r="B31" i="82"/>
  <c r="B32" i="82"/>
  <c r="B33" i="82"/>
  <c r="B34" i="82"/>
  <c r="B35" i="82"/>
  <c r="B36" i="82"/>
  <c r="B37" i="82"/>
  <c r="C9" i="82"/>
  <c r="C10" i="82"/>
  <c r="C11" i="82"/>
  <c r="C12" i="82"/>
  <c r="C13" i="82"/>
  <c r="C14" i="82"/>
  <c r="C15" i="82"/>
  <c r="M15" i="82" s="1"/>
  <c r="C16" i="82"/>
  <c r="C17" i="82"/>
  <c r="C18" i="82"/>
  <c r="C19" i="82"/>
  <c r="C20" i="82"/>
  <c r="C21" i="82"/>
  <c r="C22" i="82"/>
  <c r="C23" i="82"/>
  <c r="M23" i="82" s="1"/>
  <c r="C24" i="82"/>
  <c r="C25" i="82"/>
  <c r="C26" i="82"/>
  <c r="C27" i="82"/>
  <c r="C28" i="82"/>
  <c r="C29" i="82"/>
  <c r="C30" i="82"/>
  <c r="C31" i="82"/>
  <c r="M31" i="82" s="1"/>
  <c r="C32" i="82"/>
  <c r="M32" i="82" s="1"/>
  <c r="C33" i="82"/>
  <c r="C34" i="82"/>
  <c r="C35" i="82"/>
  <c r="C36" i="82"/>
  <c r="C37" i="82"/>
  <c r="D36" i="10" a="1"/>
  <c r="D36" i="10" s="1"/>
  <c r="D37" i="10" a="1"/>
  <c r="D37" i="10" s="1"/>
  <c r="D38" i="10" a="1"/>
  <c r="D38" i="10" s="1"/>
  <c r="D39" i="10" a="1"/>
  <c r="D39" i="10" s="1"/>
  <c r="D40" i="10" a="1"/>
  <c r="D40" i="10" s="1"/>
  <c r="D41" i="10" a="1"/>
  <c r="D41" i="10" s="1"/>
  <c r="D42" i="10" a="1"/>
  <c r="D42" i="10" s="1"/>
  <c r="D43" i="10" a="1"/>
  <c r="D43" i="10" s="1"/>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c r="D112" i="10" a="1"/>
  <c r="D112" i="10" s="1"/>
  <c r="D113" i="10" a="1"/>
  <c r="D113" i="10" s="1"/>
  <c r="D114" i="10" a="1"/>
  <c r="D114" i="10" s="1"/>
  <c r="D115" i="10" a="1"/>
  <c r="D115" i="10"/>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c r="D132" i="10" a="1"/>
  <c r="D132" i="10" s="1"/>
  <c r="D133" i="10" a="1"/>
  <c r="D133" i="10" s="1"/>
  <c r="D134" i="10" a="1"/>
  <c r="D134" i="10" s="1"/>
  <c r="D135" i="10" a="1"/>
  <c r="D135" i="10" s="1"/>
  <c r="D136" i="10" a="1"/>
  <c r="D136" i="10" s="1"/>
  <c r="D137" i="10" a="1"/>
  <c r="D137" i="10"/>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c r="D238" i="10" a="1"/>
  <c r="D238" i="10" s="1"/>
  <c r="D239" i="10" a="1"/>
  <c r="D239" i="10" s="1"/>
  <c r="D240" i="10" a="1"/>
  <c r="D240" i="10" s="1"/>
  <c r="D241" i="10" a="1"/>
  <c r="D241" i="10"/>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c r="D270" i="10" a="1"/>
  <c r="D270" i="10" s="1"/>
  <c r="D271" i="10" a="1"/>
  <c r="D271" i="10" s="1"/>
  <c r="D272" i="10" a="1"/>
  <c r="D272" i="10" s="1"/>
  <c r="D273" i="10" a="1"/>
  <c r="D273" i="10"/>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c r="D302" i="10" a="1"/>
  <c r="D302" i="10" s="1"/>
  <c r="D303" i="10" a="1"/>
  <c r="D303" i="10" s="1"/>
  <c r="D304" i="10" a="1"/>
  <c r="D304" i="10" s="1"/>
  <c r="D305" i="10" a="1"/>
  <c r="D305" i="10"/>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c r="D334" i="10" a="1"/>
  <c r="D334" i="10" s="1"/>
  <c r="D335" i="10" a="1"/>
  <c r="D335" i="10" s="1"/>
  <c r="D336" i="10" a="1"/>
  <c r="D336" i="10" s="1"/>
  <c r="D337" i="10" a="1"/>
  <c r="D337" i="10"/>
  <c r="D338" i="10" a="1"/>
  <c r="D338" i="10" s="1"/>
  <c r="D339" i="10" a="1"/>
  <c r="D339" i="10" s="1"/>
  <c r="D340" i="10" a="1"/>
  <c r="D340" i="10" s="1"/>
  <c r="D343" i="10" a="1"/>
  <c r="D343" i="10" s="1"/>
  <c r="D344" i="10" a="1"/>
  <c r="D344" i="10" s="1"/>
  <c r="D345" i="10" a="1"/>
  <c r="D345" i="10" s="1"/>
  <c r="D346" i="10" a="1"/>
  <c r="D346" i="10" s="1"/>
  <c r="D347" i="10" a="1"/>
  <c r="D347" i="10" s="1"/>
  <c r="D348" i="10" a="1"/>
  <c r="D348" i="10" s="1"/>
  <c r="D349" i="10" a="1"/>
  <c r="D349" i="10"/>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c r="D366" i="10" a="1"/>
  <c r="D366" i="10" s="1"/>
  <c r="D367" i="10" a="1"/>
  <c r="D367" i="10" s="1"/>
  <c r="D368" i="10" a="1"/>
  <c r="D368" i="10" s="1"/>
  <c r="D369" i="10" a="1"/>
  <c r="D369" i="10"/>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c r="D382" i="10" a="1"/>
  <c r="D382" i="10" s="1"/>
  <c r="D383" i="10" a="1"/>
  <c r="D383" i="10" s="1"/>
  <c r="D384" i="10" a="1"/>
  <c r="D384" i="10" s="1"/>
  <c r="D385" i="10" a="1"/>
  <c r="D385" i="10"/>
  <c r="D386" i="10" a="1"/>
  <c r="D386" i="10" s="1"/>
  <c r="D387" i="10" a="1"/>
  <c r="D387" i="10" s="1"/>
  <c r="D388" i="10" a="1"/>
  <c r="D388" i="10" s="1"/>
  <c r="D389" i="10" a="1"/>
  <c r="D389" i="10"/>
  <c r="D390" i="10" a="1"/>
  <c r="D390" i="10" s="1"/>
  <c r="D391" i="10" a="1"/>
  <c r="D391" i="10" s="1"/>
  <c r="D392" i="10" a="1"/>
  <c r="D392" i="10" s="1"/>
  <c r="D393" i="10" a="1"/>
  <c r="D393" i="10" s="1"/>
  <c r="D394" i="10" a="1"/>
  <c r="D394" i="10" s="1"/>
  <c r="D395" i="10" a="1"/>
  <c r="D395" i="10" s="1"/>
  <c r="D396" i="10" a="1"/>
  <c r="D396" i="10" s="1"/>
  <c r="D397" i="10" a="1"/>
  <c r="D397" i="10"/>
  <c r="D398" i="10" a="1"/>
  <c r="D398" i="10" s="1"/>
  <c r="D399" i="10" a="1"/>
  <c r="D399" i="10" s="1"/>
  <c r="D400" i="10" a="1"/>
  <c r="D400" i="10" s="1"/>
  <c r="D401" i="10" a="1"/>
  <c r="D401" i="10" s="1"/>
  <c r="D402" i="10" a="1"/>
  <c r="D402" i="10" s="1"/>
  <c r="D403" i="10" a="1"/>
  <c r="D403" i="10" s="1"/>
  <c r="D404" i="10" a="1"/>
  <c r="D404" i="10" s="1"/>
  <c r="D405" i="10" a="1"/>
  <c r="D405" i="10"/>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423" i="10" a="1"/>
  <c r="D423" i="10" s="1"/>
  <c r="D424" i="10" a="1"/>
  <c r="D424" i="10" s="1"/>
  <c r="D425" i="10" a="1"/>
  <c r="D425" i="10" s="1"/>
  <c r="D426" i="10" a="1"/>
  <c r="D426" i="10" s="1"/>
  <c r="D427" i="10" a="1"/>
  <c r="D427" i="10" s="1"/>
  <c r="D428" i="10" a="1"/>
  <c r="D428" i="10" s="1"/>
  <c r="D429" i="10" a="1"/>
  <c r="D429" i="10"/>
  <c r="D430" i="10" a="1"/>
  <c r="D430" i="10" s="1"/>
  <c r="D431" i="10" a="1"/>
  <c r="D431" i="10" s="1"/>
  <c r="D432" i="10" a="1"/>
  <c r="D432" i="10" s="1"/>
  <c r="D433" i="10" a="1"/>
  <c r="D433" i="10" s="1"/>
  <c r="D434" i="10" a="1"/>
  <c r="D434" i="10" s="1"/>
  <c r="D435" i="10" a="1"/>
  <c r="D435" i="10" s="1"/>
  <c r="D436" i="10" a="1"/>
  <c r="D436" i="10" s="1"/>
  <c r="D437" i="10" a="1"/>
  <c r="D437" i="10"/>
  <c r="D438" i="10" a="1"/>
  <c r="D438" i="10" s="1"/>
  <c r="D439" i="10" a="1"/>
  <c r="D439" i="10" s="1"/>
  <c r="D440" i="10" a="1"/>
  <c r="D440" i="10" s="1"/>
  <c r="D441" i="10" a="1"/>
  <c r="D441" i="10" s="1"/>
  <c r="D442" i="10" a="1"/>
  <c r="D442" i="10" s="1"/>
  <c r="D443" i="10" a="1"/>
  <c r="D443" i="10" s="1"/>
  <c r="D444" i="10" a="1"/>
  <c r="D444" i="10" s="1"/>
  <c r="D445" i="10" a="1"/>
  <c r="D445" i="10" s="1"/>
  <c r="D446" i="10" a="1"/>
  <c r="D446" i="10" s="1"/>
  <c r="D447" i="10" a="1"/>
  <c r="D447" i="10" s="1"/>
  <c r="D448" i="10" a="1"/>
  <c r="D448" i="10" s="1"/>
  <c r="D449" i="10" a="1"/>
  <c r="D449" i="10" s="1"/>
  <c r="D450" i="10" a="1"/>
  <c r="D450" i="10" s="1"/>
  <c r="D451" i="10" a="1"/>
  <c r="D451" i="10" s="1"/>
  <c r="D452" i="10" a="1"/>
  <c r="D452" i="10" s="1"/>
  <c r="D453" i="10" a="1"/>
  <c r="D453" i="10"/>
  <c r="D454" i="10" a="1"/>
  <c r="D454" i="10" s="1"/>
  <c r="D455" i="10" a="1"/>
  <c r="D455" i="10" s="1"/>
  <c r="D456" i="10" a="1"/>
  <c r="D456" i="10" s="1"/>
  <c r="D457" i="10" a="1"/>
  <c r="D457" i="10" s="1"/>
  <c r="D458" i="10" a="1"/>
  <c r="D458" i="10" s="1"/>
  <c r="D459" i="10" a="1"/>
  <c r="D459" i="10" s="1"/>
  <c r="D460" i="10" a="1"/>
  <c r="D460" i="10" s="1"/>
  <c r="D461" i="10" a="1"/>
  <c r="D461" i="10"/>
  <c r="D462" i="10" a="1"/>
  <c r="D462" i="10" s="1"/>
  <c r="D463" i="10" a="1"/>
  <c r="D463" i="10" s="1"/>
  <c r="D464" i="10" a="1"/>
  <c r="D464" i="10" s="1"/>
  <c r="D465" i="10" a="1"/>
  <c r="D465" i="10" s="1"/>
  <c r="D466" i="10" a="1"/>
  <c r="D466" i="10" s="1"/>
  <c r="D467" i="10" a="1"/>
  <c r="D467" i="10" s="1"/>
  <c r="D468" i="10" a="1"/>
  <c r="D468" i="10" s="1"/>
  <c r="D469" i="10" a="1"/>
  <c r="D469" i="10"/>
  <c r="D470" i="10" a="1"/>
  <c r="D470" i="10" s="1"/>
  <c r="D471" i="10" a="1"/>
  <c r="D471" i="10" s="1"/>
  <c r="D472" i="10" a="1"/>
  <c r="D472" i="10" s="1"/>
  <c r="D473" i="10" a="1"/>
  <c r="D473" i="10" s="1"/>
  <c r="D474" i="10" a="1"/>
  <c r="D474" i="10" s="1"/>
  <c r="D475" i="10" a="1"/>
  <c r="D475" i="10" s="1"/>
  <c r="D476" i="10" a="1"/>
  <c r="D476" i="10" s="1"/>
  <c r="D477" i="10" a="1"/>
  <c r="D477" i="10" s="1"/>
  <c r="D478" i="10" a="1"/>
  <c r="D478" i="10" s="1"/>
  <c r="D479" i="10" a="1"/>
  <c r="D479" i="10" s="1"/>
  <c r="D480" i="10" a="1"/>
  <c r="D480" i="10" s="1"/>
  <c r="D481" i="10" a="1"/>
  <c r="D481" i="10" s="1"/>
  <c r="D482" i="10" a="1"/>
  <c r="D482" i="10" s="1"/>
  <c r="D483" i="10" a="1"/>
  <c r="D483" i="10" s="1"/>
  <c r="D484" i="10" a="1"/>
  <c r="D484" i="10" s="1"/>
  <c r="D485" i="10" a="1"/>
  <c r="D485" i="10" s="1"/>
  <c r="D486" i="10" a="1"/>
  <c r="D486" i="10" s="1"/>
  <c r="D487" i="10" a="1"/>
  <c r="D487" i="10" s="1"/>
  <c r="D488" i="10" a="1"/>
  <c r="D488" i="10" s="1"/>
  <c r="D489" i="10" a="1"/>
  <c r="D489" i="10" s="1"/>
  <c r="D490" i="10" a="1"/>
  <c r="D490" i="10" s="1"/>
  <c r="D491" i="10" a="1"/>
  <c r="D491" i="10" s="1"/>
  <c r="D492" i="10" a="1"/>
  <c r="D492" i="10" s="1"/>
  <c r="D493" i="10" a="1"/>
  <c r="D493" i="10"/>
  <c r="D494" i="10" a="1"/>
  <c r="D494" i="10" s="1"/>
  <c r="D495" i="10" a="1"/>
  <c r="D495" i="10" s="1"/>
  <c r="D496" i="10" a="1"/>
  <c r="D496" i="10" s="1"/>
  <c r="D497" i="10" a="1"/>
  <c r="D497" i="10" s="1"/>
  <c r="D498" i="10" a="1"/>
  <c r="D498" i="10" s="1"/>
  <c r="D499" i="10" a="1"/>
  <c r="D499" i="10" s="1"/>
  <c r="D500" i="10" a="1"/>
  <c r="D500" i="10" s="1"/>
  <c r="D501" i="10" a="1"/>
  <c r="D501" i="10"/>
  <c r="D502" i="10" a="1"/>
  <c r="D502" i="10" s="1"/>
  <c r="D503" i="10" a="1"/>
  <c r="D503" i="10" s="1"/>
  <c r="D504" i="10" a="1"/>
  <c r="D504" i="10" s="1"/>
  <c r="D505" i="10" a="1"/>
  <c r="D505" i="10" s="1"/>
  <c r="D506" i="10" a="1"/>
  <c r="D506" i="10" s="1"/>
  <c r="D507" i="10" a="1"/>
  <c r="D507" i="10" s="1"/>
  <c r="D508" i="10" a="1"/>
  <c r="D508" i="10" s="1"/>
  <c r="D509" i="10" a="1"/>
  <c r="D509" i="10" s="1"/>
  <c r="D510" i="10" a="1"/>
  <c r="D510" i="10" s="1"/>
  <c r="D511" i="10" a="1"/>
  <c r="D511" i="10" s="1"/>
  <c r="D512" i="10" a="1"/>
  <c r="D512" i="10" s="1"/>
  <c r="D513" i="10" a="1"/>
  <c r="D513" i="10" s="1"/>
  <c r="D514" i="10" a="1"/>
  <c r="D514" i="10" s="1"/>
  <c r="D515" i="10" a="1"/>
  <c r="D515" i="10" s="1"/>
  <c r="D516" i="10" a="1"/>
  <c r="D516" i="10" s="1"/>
  <c r="D517" i="10" a="1"/>
  <c r="D517" i="10"/>
  <c r="D518" i="10" a="1"/>
  <c r="D518" i="10" s="1"/>
  <c r="D519" i="10" a="1"/>
  <c r="D519" i="10" s="1"/>
  <c r="D520" i="10" a="1"/>
  <c r="D520" i="10" s="1"/>
  <c r="D521" i="10" a="1"/>
  <c r="D521" i="10" s="1"/>
  <c r="D522" i="10" a="1"/>
  <c r="D522" i="10" s="1"/>
  <c r="D523" i="10" a="1"/>
  <c r="D523" i="10" s="1"/>
  <c r="D524" i="10" a="1"/>
  <c r="D524" i="10" s="1"/>
  <c r="D525" i="10" a="1"/>
  <c r="D525" i="10"/>
  <c r="D526" i="10" a="1"/>
  <c r="D526" i="10" s="1"/>
  <c r="D527" i="10" a="1"/>
  <c r="D527" i="10" s="1"/>
  <c r="D528" i="10" a="1"/>
  <c r="D528" i="10" s="1"/>
  <c r="D529" i="10" a="1"/>
  <c r="D529" i="10" s="1"/>
  <c r="D530" i="10" a="1"/>
  <c r="D530" i="10" s="1"/>
  <c r="D531" i="10" a="1"/>
  <c r="D531" i="10" s="1"/>
  <c r="D532" i="10" a="1"/>
  <c r="D532" i="10" s="1"/>
  <c r="D533" i="10" a="1"/>
  <c r="D533" i="10"/>
  <c r="D534" i="10" a="1"/>
  <c r="D534" i="10" s="1"/>
  <c r="D535" i="10" a="1"/>
  <c r="D535" i="10" s="1"/>
  <c r="D536" i="10" a="1"/>
  <c r="D536" i="10" s="1"/>
  <c r="D537" i="10" a="1"/>
  <c r="D537" i="10" s="1"/>
  <c r="D538" i="10" a="1"/>
  <c r="D538" i="10" s="1"/>
  <c r="D539" i="10" a="1"/>
  <c r="D539" i="10" s="1"/>
  <c r="D540" i="10" a="1"/>
  <c r="D540" i="10" s="1"/>
  <c r="D541" i="10" a="1"/>
  <c r="D541" i="10" s="1"/>
  <c r="D542" i="10" a="1"/>
  <c r="D542" i="10" s="1"/>
  <c r="D543" i="10" a="1"/>
  <c r="D543" i="10" s="1"/>
  <c r="D544" i="10" a="1"/>
  <c r="D544" i="10" s="1"/>
  <c r="D545" i="10" a="1"/>
  <c r="D545" i="10" s="1"/>
  <c r="D546" i="10" a="1"/>
  <c r="D546" i="10" s="1"/>
  <c r="D547" i="10" a="1"/>
  <c r="D547" i="10" s="1"/>
  <c r="D548" i="10" a="1"/>
  <c r="D548" i="10" s="1"/>
  <c r="D549" i="10" a="1"/>
  <c r="D549" i="10" s="1"/>
  <c r="D550" i="10" a="1"/>
  <c r="D550" i="10" s="1"/>
  <c r="D551" i="10" a="1"/>
  <c r="D551" i="10" s="1"/>
  <c r="D552" i="10" a="1"/>
  <c r="D552" i="10" s="1"/>
  <c r="D553" i="10" a="1"/>
  <c r="D553" i="10" s="1"/>
  <c r="D554" i="10" a="1"/>
  <c r="D554" i="10" s="1"/>
  <c r="D555" i="10" a="1"/>
  <c r="D555" i="10" s="1"/>
  <c r="D556" i="10" a="1"/>
  <c r="D556" i="10" s="1"/>
  <c r="D557" i="10" a="1"/>
  <c r="D557" i="10"/>
  <c r="D558" i="10" a="1"/>
  <c r="D558" i="10" s="1"/>
  <c r="D559" i="10" a="1"/>
  <c r="D559" i="10" s="1"/>
  <c r="D560" i="10" a="1"/>
  <c r="D560" i="10" s="1"/>
  <c r="D561" i="10" a="1"/>
  <c r="D561" i="10" s="1"/>
  <c r="D562" i="10" a="1"/>
  <c r="D562" i="10" s="1"/>
  <c r="D563" i="10" a="1"/>
  <c r="D563" i="10" s="1"/>
  <c r="D564" i="10" a="1"/>
  <c r="D564" i="10" s="1"/>
  <c r="D565" i="10" a="1"/>
  <c r="D565" i="10"/>
  <c r="D566" i="10" a="1"/>
  <c r="D566" i="10" s="1"/>
  <c r="D567" i="10" a="1"/>
  <c r="D567" i="10" s="1"/>
  <c r="D568" i="10" a="1"/>
  <c r="D568" i="10" s="1"/>
  <c r="D569" i="10" a="1"/>
  <c r="D569" i="10" s="1"/>
  <c r="D570" i="10" a="1"/>
  <c r="D570" i="10" s="1"/>
  <c r="D571" i="10" a="1"/>
  <c r="D571" i="10" s="1"/>
  <c r="D572" i="10" a="1"/>
  <c r="D572" i="10" s="1"/>
  <c r="D573" i="10" a="1"/>
  <c r="D573" i="10" s="1"/>
  <c r="D574" i="10" a="1"/>
  <c r="D574" i="10" s="1"/>
  <c r="D575" i="10" a="1"/>
  <c r="D575" i="10" s="1"/>
  <c r="D576" i="10" a="1"/>
  <c r="D576" i="10" s="1"/>
  <c r="D577" i="10" a="1"/>
  <c r="D577" i="10" s="1"/>
  <c r="D578" i="10" a="1"/>
  <c r="D578" i="10" s="1"/>
  <c r="D579" i="10" a="1"/>
  <c r="D579" i="10" s="1"/>
  <c r="D580" i="10" a="1"/>
  <c r="D580" i="10" s="1"/>
  <c r="D581" i="10" a="1"/>
  <c r="D581" i="10"/>
  <c r="D582" i="10" a="1"/>
  <c r="D582" i="10" s="1"/>
  <c r="D583" i="10" a="1"/>
  <c r="D583" i="10" s="1"/>
  <c r="D584" i="10" a="1"/>
  <c r="D584" i="10" s="1"/>
  <c r="D585" i="10" a="1"/>
  <c r="D585" i="10" s="1"/>
  <c r="D586" i="10" a="1"/>
  <c r="D586" i="10" s="1"/>
  <c r="D587" i="10" a="1"/>
  <c r="D587" i="10" s="1"/>
  <c r="D588" i="10" a="1"/>
  <c r="D588" i="10" s="1"/>
  <c r="D589" i="10" a="1"/>
  <c r="D589" i="10"/>
  <c r="D590" i="10" a="1"/>
  <c r="D590" i="10" s="1"/>
  <c r="D591" i="10" a="1"/>
  <c r="D591" i="10" s="1"/>
  <c r="D592" i="10" a="1"/>
  <c r="D592" i="10" s="1"/>
  <c r="D593" i="10" a="1"/>
  <c r="D593" i="10" s="1"/>
  <c r="D594" i="10" a="1"/>
  <c r="D594" i="10" s="1"/>
  <c r="D595" i="10" a="1"/>
  <c r="D595" i="10" s="1"/>
  <c r="D596" i="10" a="1"/>
  <c r="D596" i="10" s="1"/>
  <c r="D597" i="10" a="1"/>
  <c r="D597" i="10" s="1"/>
  <c r="D598" i="10" a="1"/>
  <c r="D598" i="10" s="1"/>
  <c r="D599" i="10" a="1"/>
  <c r="D599" i="10" s="1"/>
  <c r="D600" i="10" a="1"/>
  <c r="D600" i="10" s="1"/>
  <c r="D601" i="10" a="1"/>
  <c r="D601" i="10" s="1"/>
  <c r="D602" i="10" a="1"/>
  <c r="D602" i="10" s="1"/>
  <c r="D603" i="10" a="1"/>
  <c r="D603" i="10" s="1"/>
  <c r="D604" i="10" a="1"/>
  <c r="D604" i="10" s="1"/>
  <c r="D605" i="10" a="1"/>
  <c r="D605" i="10" s="1"/>
  <c r="D606" i="10" a="1"/>
  <c r="D606" i="10" s="1"/>
  <c r="D607" i="10" a="1"/>
  <c r="D607" i="10" s="1"/>
  <c r="D608" i="10" a="1"/>
  <c r="D608" i="10" s="1"/>
  <c r="D609" i="10" a="1"/>
  <c r="D609" i="10" s="1"/>
  <c r="D610" i="10" a="1"/>
  <c r="D610" i="10" s="1"/>
  <c r="D611" i="10" a="1"/>
  <c r="D611" i="10" s="1"/>
  <c r="D612" i="10" a="1"/>
  <c r="D612" i="10" s="1"/>
  <c r="D613" i="10" a="1"/>
  <c r="D613" i="10" s="1"/>
  <c r="D614" i="10" a="1"/>
  <c r="D614" i="10" s="1"/>
  <c r="D615" i="10" a="1"/>
  <c r="D615" i="10" s="1"/>
  <c r="D616" i="10" a="1"/>
  <c r="D616" i="10" s="1"/>
  <c r="D617" i="10" a="1"/>
  <c r="D617" i="10" s="1"/>
  <c r="D618" i="10" a="1"/>
  <c r="D618" i="10" s="1"/>
  <c r="D619" i="10" a="1"/>
  <c r="D619" i="10" s="1"/>
  <c r="D620" i="10" a="1"/>
  <c r="D620" i="10" s="1"/>
  <c r="D621" i="10" a="1"/>
  <c r="D621" i="10"/>
  <c r="D622" i="10" a="1"/>
  <c r="D622" i="10" s="1"/>
  <c r="D623" i="10" a="1"/>
  <c r="D623" i="10" s="1"/>
  <c r="D624" i="10" a="1"/>
  <c r="D624" i="10" s="1"/>
  <c r="D625" i="10" a="1"/>
  <c r="D625" i="10" s="1"/>
  <c r="D626" i="10" a="1"/>
  <c r="D626" i="10" s="1"/>
  <c r="D627" i="10" a="1"/>
  <c r="D627" i="10" s="1"/>
  <c r="D628" i="10" a="1"/>
  <c r="D628" i="10" s="1"/>
  <c r="D629" i="10" a="1"/>
  <c r="D629" i="10"/>
  <c r="D630" i="10" a="1"/>
  <c r="D630" i="10" s="1"/>
  <c r="D631" i="10" a="1"/>
  <c r="D631" i="10" s="1"/>
  <c r="D632" i="10" a="1"/>
  <c r="D632" i="10" s="1"/>
  <c r="D633" i="10" a="1"/>
  <c r="D633" i="10" s="1"/>
  <c r="D634" i="10" a="1"/>
  <c r="D634" i="10" s="1"/>
  <c r="D635" i="10" a="1"/>
  <c r="D635" i="10"/>
  <c r="D636" i="10" a="1"/>
  <c r="D636" i="10" s="1"/>
  <c r="D637" i="10" a="1"/>
  <c r="D637" i="10" s="1"/>
  <c r="D638" i="10" a="1"/>
  <c r="D638" i="10" s="1"/>
  <c r="D639" i="10" a="1"/>
  <c r="D639" i="10"/>
  <c r="D640" i="10" a="1"/>
  <c r="D640" i="10" s="1"/>
  <c r="D641" i="10" a="1"/>
  <c r="D641" i="10"/>
  <c r="D642" i="10" a="1"/>
  <c r="D642" i="10" s="1"/>
  <c r="D643" i="10" a="1"/>
  <c r="D643" i="10" s="1"/>
  <c r="D644" i="10" a="1"/>
  <c r="D644" i="10" s="1"/>
  <c r="D645" i="10" a="1"/>
  <c r="D645" i="10" s="1"/>
  <c r="D646" i="10" a="1"/>
  <c r="D646" i="10" s="1"/>
  <c r="D647" i="10" a="1"/>
  <c r="D647" i="10" s="1"/>
  <c r="D648" i="10" a="1"/>
  <c r="D648" i="10" s="1"/>
  <c r="D649" i="10" a="1"/>
  <c r="D649" i="10" s="1"/>
  <c r="D650" i="10" a="1"/>
  <c r="D650" i="10" s="1"/>
  <c r="D651" i="10" a="1"/>
  <c r="D651" i="10" s="1"/>
  <c r="D652" i="10" a="1"/>
  <c r="D652" i="10" s="1"/>
  <c r="D653" i="10" a="1"/>
  <c r="D653" i="10" s="1"/>
  <c r="D654" i="10" a="1"/>
  <c r="D654" i="10" s="1"/>
  <c r="D655" i="10" a="1"/>
  <c r="D655" i="10" s="1"/>
  <c r="D656" i="10" a="1"/>
  <c r="D656" i="10" s="1"/>
  <c r="D657" i="10" a="1"/>
  <c r="D657" i="10" s="1"/>
  <c r="D658" i="10" a="1"/>
  <c r="D658" i="10"/>
  <c r="D659" i="10" a="1"/>
  <c r="D659" i="10" s="1"/>
  <c r="D660" i="10" a="1"/>
  <c r="D660" i="10" s="1"/>
  <c r="D661" i="10" a="1"/>
  <c r="D661" i="10" s="1"/>
  <c r="D662" i="10" a="1"/>
  <c r="D662" i="10"/>
  <c r="D663" i="10" a="1"/>
  <c r="D663" i="10" s="1"/>
  <c r="D664" i="10" a="1"/>
  <c r="D664" i="10" s="1"/>
  <c r="D665" i="10" a="1"/>
  <c r="D665" i="10" s="1"/>
  <c r="D666" i="10" a="1"/>
  <c r="D666" i="10" s="1"/>
  <c r="D667" i="10" a="1"/>
  <c r="D667" i="10" s="1"/>
  <c r="D668" i="10" a="1"/>
  <c r="D668" i="10" s="1"/>
  <c r="D669" i="10" a="1"/>
  <c r="D669" i="10" s="1"/>
  <c r="D670" i="10" a="1"/>
  <c r="D670" i="10"/>
  <c r="D671" i="10" a="1"/>
  <c r="D671" i="10" s="1"/>
  <c r="D672" i="10" a="1"/>
  <c r="D672" i="10" s="1"/>
  <c r="D673" i="10" a="1"/>
  <c r="D673" i="10" s="1"/>
  <c r="D674" i="10" a="1"/>
  <c r="D674" i="10"/>
  <c r="D675" i="10" a="1"/>
  <c r="D675" i="10" s="1"/>
  <c r="D676" i="10" a="1"/>
  <c r="D676" i="10" s="1"/>
  <c r="D677" i="10" a="1"/>
  <c r="D677" i="10" s="1"/>
  <c r="D678" i="10" a="1"/>
  <c r="D678" i="10" s="1"/>
  <c r="D679" i="10" a="1"/>
  <c r="D679" i="10" s="1"/>
  <c r="D680" i="10" a="1"/>
  <c r="D680" i="10" s="1"/>
  <c r="D681" i="10" a="1"/>
  <c r="D681" i="10" s="1"/>
  <c r="D682" i="10" a="1"/>
  <c r="D682" i="10" s="1"/>
  <c r="D683" i="10" a="1"/>
  <c r="D683" i="10" s="1"/>
  <c r="D684" i="10" a="1"/>
  <c r="D684" i="10" s="1"/>
  <c r="D685" i="10" a="1"/>
  <c r="D685" i="10" s="1"/>
  <c r="D686" i="10" a="1"/>
  <c r="D686" i="10" s="1"/>
  <c r="D687" i="10" a="1"/>
  <c r="D687" i="10" s="1"/>
  <c r="D688" i="10" a="1"/>
  <c r="D688" i="10" s="1"/>
  <c r="D689" i="10" a="1"/>
  <c r="D689" i="10" s="1"/>
  <c r="D690" i="10" a="1"/>
  <c r="D690" i="10"/>
  <c r="D691" i="10" a="1"/>
  <c r="D691" i="10" s="1"/>
  <c r="D692" i="10" a="1"/>
  <c r="D692" i="10" s="1"/>
  <c r="D693" i="10" a="1"/>
  <c r="D693" i="10" s="1"/>
  <c r="D694" i="10" a="1"/>
  <c r="D694" i="10"/>
  <c r="D695" i="10" a="1"/>
  <c r="D695" i="10" s="1"/>
  <c r="D696" i="10" a="1"/>
  <c r="D696" i="10" s="1"/>
  <c r="D697" i="10" a="1"/>
  <c r="D697" i="10" s="1"/>
  <c r="D698" i="10" a="1"/>
  <c r="D698" i="10" s="1"/>
  <c r="D699" i="10" a="1"/>
  <c r="D699" i="10" s="1"/>
  <c r="D700" i="10" a="1"/>
  <c r="D700" i="10" s="1"/>
  <c r="D701" i="10" a="1"/>
  <c r="D701" i="10" s="1"/>
  <c r="D702" i="10" a="1"/>
  <c r="D702" i="10"/>
  <c r="D703" i="10" a="1"/>
  <c r="D703" i="10" s="1"/>
  <c r="D704" i="10" a="1"/>
  <c r="D704" i="10" s="1"/>
  <c r="D705" i="10" a="1"/>
  <c r="D705" i="10" s="1"/>
  <c r="D706" i="10" a="1"/>
  <c r="D706" i="10"/>
  <c r="D707" i="10" a="1"/>
  <c r="D707" i="10" s="1"/>
  <c r="D708" i="10" a="1"/>
  <c r="D708" i="10" s="1"/>
  <c r="D709" i="10" a="1"/>
  <c r="D709" i="10" s="1"/>
  <c r="D710" i="10" a="1"/>
  <c r="D710" i="10" s="1"/>
  <c r="D711" i="10" a="1"/>
  <c r="D711" i="10" s="1"/>
  <c r="D712" i="10" a="1"/>
  <c r="D712" i="10" s="1"/>
  <c r="D713" i="10" a="1"/>
  <c r="D713" i="10" s="1"/>
  <c r="D714" i="10" a="1"/>
  <c r="D714" i="10" s="1"/>
  <c r="D715" i="10" a="1"/>
  <c r="D715" i="10" s="1"/>
  <c r="D716" i="10" a="1"/>
  <c r="D716" i="10" s="1"/>
  <c r="D717" i="10" a="1"/>
  <c r="D717" i="10" s="1"/>
  <c r="D718" i="10" a="1"/>
  <c r="D718" i="10" s="1"/>
  <c r="D719" i="10" a="1"/>
  <c r="D719" i="10" s="1"/>
  <c r="D720" i="10" a="1"/>
  <c r="D720" i="10" s="1"/>
  <c r="D721" i="10" a="1"/>
  <c r="D721" i="10" s="1"/>
  <c r="D722" i="10" a="1"/>
  <c r="D722" i="10"/>
  <c r="D723" i="10" a="1"/>
  <c r="D723" i="10" s="1"/>
  <c r="D724" i="10" a="1"/>
  <c r="D724" i="10" s="1"/>
  <c r="D725" i="10" a="1"/>
  <c r="D725" i="10" s="1"/>
  <c r="D726" i="10" a="1"/>
  <c r="D726" i="10"/>
  <c r="D727" i="10" a="1"/>
  <c r="D727" i="10" s="1"/>
  <c r="D728" i="10" a="1"/>
  <c r="D728" i="10" s="1"/>
  <c r="D729" i="10" a="1"/>
  <c r="D729" i="10" s="1"/>
  <c r="D730" i="10" a="1"/>
  <c r="D730" i="10" s="1"/>
  <c r="D731" i="10" a="1"/>
  <c r="D731" i="10" s="1"/>
  <c r="D732" i="10" a="1"/>
  <c r="D732" i="10" s="1"/>
  <c r="D733" i="10" a="1"/>
  <c r="D733" i="10" s="1"/>
  <c r="D734" i="10" a="1"/>
  <c r="D734" i="10"/>
  <c r="D735" i="10" a="1"/>
  <c r="D735" i="10" s="1"/>
  <c r="D736" i="10" a="1"/>
  <c r="D736" i="10" s="1"/>
  <c r="D737" i="10" a="1"/>
  <c r="D737" i="10" s="1"/>
  <c r="D738" i="10" a="1"/>
  <c r="D738" i="10"/>
  <c r="D739" i="10" a="1"/>
  <c r="D739" i="10" s="1"/>
  <c r="D740" i="10" a="1"/>
  <c r="D740" i="10" s="1"/>
  <c r="D741" i="10" a="1"/>
  <c r="D741" i="10" s="1"/>
  <c r="D742" i="10" a="1"/>
  <c r="D742" i="10" s="1"/>
  <c r="D743" i="10" a="1"/>
  <c r="D743" i="10" s="1"/>
  <c r="D744" i="10" a="1"/>
  <c r="D744" i="10" s="1"/>
  <c r="D745" i="10" a="1"/>
  <c r="D745" i="10" s="1"/>
  <c r="D746" i="10" a="1"/>
  <c r="D746" i="10" s="1"/>
  <c r="D747" i="10" a="1"/>
  <c r="D747" i="10" s="1"/>
  <c r="D748" i="10" a="1"/>
  <c r="D748" i="10" s="1"/>
  <c r="D749" i="10" a="1"/>
  <c r="D749" i="10" s="1"/>
  <c r="D750" i="10" a="1"/>
  <c r="D750" i="10" s="1"/>
  <c r="D751" i="10" a="1"/>
  <c r="D751" i="10" s="1"/>
  <c r="D752" i="10" a="1"/>
  <c r="D752" i="10" s="1"/>
  <c r="D753" i="10" a="1"/>
  <c r="D753" i="10" s="1"/>
  <c r="D754" i="10" a="1"/>
  <c r="D754" i="10"/>
  <c r="D755" i="10" a="1"/>
  <c r="D755" i="10" s="1"/>
  <c r="D756" i="10" a="1"/>
  <c r="D756" i="10" s="1"/>
  <c r="D757" i="10" a="1"/>
  <c r="D757" i="10" s="1"/>
  <c r="D758" i="10" a="1"/>
  <c r="D758" i="10"/>
  <c r="D759" i="10" a="1"/>
  <c r="D759" i="10" s="1"/>
  <c r="D760" i="10" a="1"/>
  <c r="D760" i="10" s="1"/>
  <c r="D761" i="10" a="1"/>
  <c r="D761" i="10" s="1"/>
  <c r="D762" i="10" a="1"/>
  <c r="D762" i="10" s="1"/>
  <c r="D763" i="10" a="1"/>
  <c r="D763" i="10" s="1"/>
  <c r="D764" i="10" a="1"/>
  <c r="D764" i="10" s="1"/>
  <c r="D765" i="10" a="1"/>
  <c r="D765" i="10" s="1"/>
  <c r="D766" i="10" a="1"/>
  <c r="D766" i="10"/>
  <c r="D767" i="10" a="1"/>
  <c r="D767" i="10" s="1"/>
  <c r="D768" i="10" a="1"/>
  <c r="D768" i="10" s="1"/>
  <c r="D769" i="10" a="1"/>
  <c r="D769" i="10" s="1"/>
  <c r="D770" i="10" a="1"/>
  <c r="D770" i="10"/>
  <c r="D771" i="10" a="1"/>
  <c r="D771" i="10" s="1"/>
  <c r="D772" i="10" a="1"/>
  <c r="D772" i="10" s="1"/>
  <c r="D773" i="10" a="1"/>
  <c r="D773" i="10" s="1"/>
  <c r="D774" i="10" a="1"/>
  <c r="D774" i="10" s="1"/>
  <c r="D775" i="10" a="1"/>
  <c r="D775" i="10" s="1"/>
  <c r="D776" i="10" a="1"/>
  <c r="D776" i="10" s="1"/>
  <c r="D777" i="10" a="1"/>
  <c r="D777" i="10" s="1"/>
  <c r="D778" i="10" a="1"/>
  <c r="D778" i="10" s="1"/>
  <c r="D779" i="10" a="1"/>
  <c r="D779" i="10" s="1"/>
  <c r="D780" i="10" a="1"/>
  <c r="D780" i="10" s="1"/>
  <c r="D781" i="10" a="1"/>
  <c r="D781" i="10" s="1"/>
  <c r="D782" i="10" a="1"/>
  <c r="D782" i="10" s="1"/>
  <c r="D783" i="10" a="1"/>
  <c r="D783" i="10" s="1"/>
  <c r="D784" i="10" a="1"/>
  <c r="D784" i="10" s="1"/>
  <c r="D785" i="10" a="1"/>
  <c r="D785" i="10" s="1"/>
  <c r="D786" i="10" a="1"/>
  <c r="D786" i="10"/>
  <c r="D787" i="10" a="1"/>
  <c r="D787" i="10" s="1"/>
  <c r="D788" i="10" a="1"/>
  <c r="D788" i="10" s="1"/>
  <c r="D789" i="10" a="1"/>
  <c r="D789" i="10" s="1"/>
  <c r="D790" i="10" a="1"/>
  <c r="D790" i="10"/>
  <c r="D791" i="10" a="1"/>
  <c r="D791" i="10" s="1"/>
  <c r="D792" i="10" a="1"/>
  <c r="D792" i="10" s="1"/>
  <c r="D793" i="10" a="1"/>
  <c r="D793" i="10" s="1"/>
  <c r="D794" i="10" a="1"/>
  <c r="D794" i="10" s="1"/>
  <c r="D795" i="10" a="1"/>
  <c r="D795" i="10" s="1"/>
  <c r="D796" i="10" a="1"/>
  <c r="D796" i="10" s="1"/>
  <c r="D797" i="10" a="1"/>
  <c r="D797" i="10" s="1"/>
  <c r="D798" i="10" a="1"/>
  <c r="D798" i="10"/>
  <c r="D799" i="10" a="1"/>
  <c r="D799" i="10" s="1"/>
  <c r="D800" i="10" a="1"/>
  <c r="D800" i="10" s="1"/>
  <c r="D801" i="10" a="1"/>
  <c r="D801" i="10" s="1"/>
  <c r="D802" i="10" a="1"/>
  <c r="D802" i="10"/>
  <c r="D803" i="10" a="1"/>
  <c r="D803" i="10" s="1"/>
  <c r="D804" i="10" a="1"/>
  <c r="D804" i="10" s="1"/>
  <c r="D805" i="10" a="1"/>
  <c r="D805" i="10" s="1"/>
  <c r="D806" i="10" a="1"/>
  <c r="D806" i="10" s="1"/>
  <c r="D807" i="10" a="1"/>
  <c r="D807" i="10" s="1"/>
  <c r="D808" i="10" a="1"/>
  <c r="D808" i="10" s="1"/>
  <c r="D809" i="10" a="1"/>
  <c r="D809" i="10" s="1"/>
  <c r="D810" i="10" a="1"/>
  <c r="D810" i="10" s="1"/>
  <c r="D811" i="10" a="1"/>
  <c r="D811" i="10" s="1"/>
  <c r="D812" i="10" a="1"/>
  <c r="D812" i="10" s="1"/>
  <c r="D813" i="10" a="1"/>
  <c r="D813" i="10" s="1"/>
  <c r="D814" i="10" a="1"/>
  <c r="D814" i="10" s="1"/>
  <c r="D815" i="10" a="1"/>
  <c r="D815" i="10" s="1"/>
  <c r="D816" i="10" a="1"/>
  <c r="D816" i="10" s="1"/>
  <c r="D817" i="10" a="1"/>
  <c r="D817" i="10" s="1"/>
  <c r="D818" i="10" a="1"/>
  <c r="D818" i="10"/>
  <c r="D819" i="10" a="1"/>
  <c r="D819" i="10" s="1"/>
  <c r="D820" i="10" a="1"/>
  <c r="D820" i="10" s="1"/>
  <c r="D821" i="10" a="1"/>
  <c r="D821" i="10" s="1"/>
  <c r="D822" i="10" a="1"/>
  <c r="D822" i="10"/>
  <c r="D823" i="10" a="1"/>
  <c r="D823" i="10" s="1"/>
  <c r="D824" i="10" a="1"/>
  <c r="D824" i="10" s="1"/>
  <c r="D825" i="10" a="1"/>
  <c r="D825" i="10" s="1"/>
  <c r="D826" i="10" a="1"/>
  <c r="D826" i="10" s="1"/>
  <c r="D827" i="10" a="1"/>
  <c r="D827" i="10" s="1"/>
  <c r="D828" i="10" a="1"/>
  <c r="D828" i="10" s="1"/>
  <c r="D829" i="10" a="1"/>
  <c r="D829" i="10" s="1"/>
  <c r="D830" i="10" a="1"/>
  <c r="D830" i="10"/>
  <c r="D831" i="10" a="1"/>
  <c r="D831" i="10" s="1"/>
  <c r="D832" i="10" a="1"/>
  <c r="D832" i="10" s="1"/>
  <c r="D833" i="10" a="1"/>
  <c r="D833" i="10" s="1"/>
  <c r="D834" i="10" a="1"/>
  <c r="D834" i="10"/>
  <c r="D835" i="10" a="1"/>
  <c r="D835" i="10" s="1"/>
  <c r="D836" i="10" a="1"/>
  <c r="D836" i="10" s="1"/>
  <c r="D837" i="10" a="1"/>
  <c r="D837" i="10" s="1"/>
  <c r="D838" i="10" a="1"/>
  <c r="D838" i="10" s="1"/>
  <c r="D839" i="10" a="1"/>
  <c r="D839" i="10" s="1"/>
  <c r="D840" i="10" a="1"/>
  <c r="D840" i="10" s="1"/>
  <c r="D841" i="10" a="1"/>
  <c r="D841" i="10" s="1"/>
  <c r="D842" i="10" a="1"/>
  <c r="D842" i="10" s="1"/>
  <c r="D843" i="10" a="1"/>
  <c r="D843" i="10" s="1"/>
  <c r="B3" i="9"/>
  <c r="C3" i="9"/>
  <c r="D3" i="9"/>
  <c r="E3" i="9"/>
  <c r="F3" i="9"/>
  <c r="G3" i="9"/>
  <c r="H3" i="9"/>
  <c r="I3" i="9"/>
  <c r="B4" i="9"/>
  <c r="C4" i="9"/>
  <c r="D4" i="9"/>
  <c r="E4" i="9"/>
  <c r="F4" i="9"/>
  <c r="G4" i="9"/>
  <c r="H4" i="9"/>
  <c r="I4" i="9"/>
  <c r="B5" i="9"/>
  <c r="C5" i="9"/>
  <c r="D5" i="9"/>
  <c r="E5" i="9"/>
  <c r="F5" i="9"/>
  <c r="G5" i="9"/>
  <c r="H5" i="9"/>
  <c r="I5" i="9"/>
  <c r="B6" i="9"/>
  <c r="C6" i="9"/>
  <c r="D6" i="9"/>
  <c r="E6" i="9"/>
  <c r="F6" i="9"/>
  <c r="G6" i="9"/>
  <c r="H6" i="9"/>
  <c r="I6" i="9"/>
  <c r="B7" i="9"/>
  <c r="C7" i="9"/>
  <c r="D7" i="9"/>
  <c r="E7" i="9"/>
  <c r="F7" i="9"/>
  <c r="G7" i="9"/>
  <c r="H7" i="9"/>
  <c r="I7" i="9"/>
  <c r="B8" i="9"/>
  <c r="C8" i="9"/>
  <c r="D8" i="9"/>
  <c r="E8" i="9"/>
  <c r="F8" i="9"/>
  <c r="G8" i="9"/>
  <c r="H8" i="9"/>
  <c r="I8" i="9"/>
  <c r="B9" i="9"/>
  <c r="C9" i="9"/>
  <c r="D9" i="9"/>
  <c r="E9" i="9"/>
  <c r="F9" i="9"/>
  <c r="G9" i="9"/>
  <c r="H9" i="9"/>
  <c r="I9" i="9"/>
  <c r="B10" i="9"/>
  <c r="C10" i="9"/>
  <c r="D10" i="9"/>
  <c r="E10" i="9"/>
  <c r="F10" i="9"/>
  <c r="G10" i="9"/>
  <c r="H10" i="9"/>
  <c r="I10" i="9"/>
  <c r="B11" i="9"/>
  <c r="C11" i="9"/>
  <c r="D11" i="9"/>
  <c r="E11" i="9"/>
  <c r="F11" i="9"/>
  <c r="G11" i="9"/>
  <c r="H11" i="9"/>
  <c r="I11" i="9"/>
  <c r="B12" i="9"/>
  <c r="C12" i="9"/>
  <c r="D12" i="9"/>
  <c r="E12" i="9"/>
  <c r="F12" i="9"/>
  <c r="G12" i="9"/>
  <c r="H12" i="9"/>
  <c r="I12" i="9"/>
  <c r="B13" i="9"/>
  <c r="C13" i="9"/>
  <c r="D13" i="9"/>
  <c r="E13" i="9"/>
  <c r="F13" i="9"/>
  <c r="G13" i="9"/>
  <c r="H13" i="9"/>
  <c r="I13" i="9"/>
  <c r="B14" i="9"/>
  <c r="C14" i="9"/>
  <c r="D14" i="9"/>
  <c r="E14" i="9"/>
  <c r="F14" i="9"/>
  <c r="G14" i="9"/>
  <c r="H14" i="9"/>
  <c r="I14" i="9"/>
  <c r="B15" i="9"/>
  <c r="C15" i="9"/>
  <c r="D15" i="9"/>
  <c r="E15" i="9"/>
  <c r="F15" i="9"/>
  <c r="G15" i="9"/>
  <c r="H15" i="9"/>
  <c r="I15" i="9"/>
  <c r="B16" i="9"/>
  <c r="C16" i="9"/>
  <c r="D16" i="9"/>
  <c r="E16" i="9"/>
  <c r="F16" i="9"/>
  <c r="G16" i="9"/>
  <c r="H16" i="9"/>
  <c r="I16" i="9"/>
  <c r="B17" i="9"/>
  <c r="C17" i="9"/>
  <c r="D17" i="9"/>
  <c r="E17" i="9"/>
  <c r="F17" i="9"/>
  <c r="G17" i="9"/>
  <c r="H17" i="9"/>
  <c r="I17" i="9"/>
  <c r="B18" i="9"/>
  <c r="C18" i="9"/>
  <c r="D18" i="9"/>
  <c r="E18" i="9"/>
  <c r="F18" i="9"/>
  <c r="G18" i="9"/>
  <c r="H18" i="9"/>
  <c r="I18" i="9"/>
  <c r="B19" i="9"/>
  <c r="C19" i="9"/>
  <c r="D19" i="9"/>
  <c r="E19" i="9"/>
  <c r="F19" i="9"/>
  <c r="G19" i="9"/>
  <c r="H19" i="9"/>
  <c r="I19" i="9"/>
  <c r="B20" i="9"/>
  <c r="C20" i="9"/>
  <c r="D20" i="9"/>
  <c r="E20" i="9"/>
  <c r="F20" i="9"/>
  <c r="G20" i="9"/>
  <c r="H20" i="9"/>
  <c r="I20" i="9"/>
  <c r="B21" i="9"/>
  <c r="C21" i="9"/>
  <c r="D21" i="9"/>
  <c r="E21" i="9"/>
  <c r="F21" i="9"/>
  <c r="G21" i="9"/>
  <c r="H21" i="9"/>
  <c r="I21" i="9"/>
  <c r="B22" i="9"/>
  <c r="C22" i="9"/>
  <c r="D22" i="9"/>
  <c r="E22" i="9"/>
  <c r="F22" i="9"/>
  <c r="G22" i="9"/>
  <c r="H22" i="9"/>
  <c r="I22" i="9"/>
  <c r="B23" i="9"/>
  <c r="C23" i="9"/>
  <c r="D23" i="9"/>
  <c r="E23" i="9"/>
  <c r="F23" i="9"/>
  <c r="G23" i="9"/>
  <c r="H23" i="9"/>
  <c r="I23" i="9"/>
  <c r="B24" i="9"/>
  <c r="C24" i="9"/>
  <c r="D24" i="9"/>
  <c r="E24" i="9"/>
  <c r="F24" i="9"/>
  <c r="G24" i="9"/>
  <c r="H24" i="9"/>
  <c r="I24" i="9"/>
  <c r="B25" i="9"/>
  <c r="C25" i="9"/>
  <c r="D25" i="9"/>
  <c r="E25" i="9"/>
  <c r="F25" i="9"/>
  <c r="G25" i="9"/>
  <c r="H25" i="9"/>
  <c r="I25" i="9"/>
  <c r="B26" i="9"/>
  <c r="C26" i="9"/>
  <c r="D26" i="9"/>
  <c r="E26" i="9"/>
  <c r="F26" i="9"/>
  <c r="G26" i="9"/>
  <c r="H26" i="9"/>
  <c r="I26" i="9"/>
  <c r="B27" i="9"/>
  <c r="C27" i="9"/>
  <c r="D27" i="9"/>
  <c r="E27" i="9"/>
  <c r="F27" i="9"/>
  <c r="G27" i="9"/>
  <c r="H27" i="9"/>
  <c r="I27" i="9"/>
  <c r="B28" i="9"/>
  <c r="C28" i="9"/>
  <c r="D28" i="9"/>
  <c r="E28" i="9"/>
  <c r="F28" i="9"/>
  <c r="G28" i="9"/>
  <c r="H28" i="9"/>
  <c r="I28" i="9"/>
  <c r="B29" i="9"/>
  <c r="C29" i="9"/>
  <c r="D29" i="9"/>
  <c r="E29" i="9"/>
  <c r="F29" i="9"/>
  <c r="G29" i="9"/>
  <c r="H29" i="9"/>
  <c r="I29" i="9"/>
  <c r="B30" i="9"/>
  <c r="C30" i="9"/>
  <c r="D30" i="9"/>
  <c r="E30" i="9"/>
  <c r="F30" i="9"/>
  <c r="G30" i="9"/>
  <c r="H30" i="9"/>
  <c r="I30" i="9"/>
  <c r="B31" i="9"/>
  <c r="C31" i="9"/>
  <c r="D31" i="9"/>
  <c r="E31" i="9"/>
  <c r="F31" i="9"/>
  <c r="G31" i="9"/>
  <c r="H31" i="9"/>
  <c r="I31" i="9"/>
  <c r="B32" i="9"/>
  <c r="C32" i="9"/>
  <c r="D32" i="9"/>
  <c r="E32" i="9"/>
  <c r="F32" i="9"/>
  <c r="G32" i="9"/>
  <c r="H32" i="9"/>
  <c r="I32" i="9"/>
  <c r="B33" i="9"/>
  <c r="C33" i="9"/>
  <c r="D33" i="9"/>
  <c r="E33" i="9"/>
  <c r="F33" i="9"/>
  <c r="G33" i="9"/>
  <c r="H33" i="9"/>
  <c r="I33" i="9"/>
  <c r="B34" i="9"/>
  <c r="C34" i="9"/>
  <c r="D34" i="9"/>
  <c r="E34" i="9"/>
  <c r="F34" i="9"/>
  <c r="G34" i="9"/>
  <c r="H34" i="9"/>
  <c r="I34" i="9"/>
  <c r="B35" i="9"/>
  <c r="C35" i="9"/>
  <c r="D35" i="9"/>
  <c r="E35" i="9"/>
  <c r="F35" i="9"/>
  <c r="G35" i="9"/>
  <c r="H35" i="9"/>
  <c r="I35" i="9"/>
  <c r="B36" i="9"/>
  <c r="D341" i="10" s="1" a="1"/>
  <c r="D341" i="10" s="1"/>
  <c r="C36" i="9"/>
  <c r="D342" i="10" s="1" a="1"/>
  <c r="D342" i="10" s="1"/>
  <c r="D36" i="9"/>
  <c r="E36" i="9"/>
  <c r="F36" i="9"/>
  <c r="G36" i="9"/>
  <c r="H36" i="9"/>
  <c r="I36" i="9"/>
  <c r="B37" i="9"/>
  <c r="C37" i="9"/>
  <c r="D37" i="9"/>
  <c r="E37" i="9"/>
  <c r="F37" i="9"/>
  <c r="G37" i="9"/>
  <c r="H37" i="9"/>
  <c r="I37" i="9"/>
  <c r="B38" i="9"/>
  <c r="C38" i="9"/>
  <c r="D38" i="9"/>
  <c r="E38" i="9"/>
  <c r="F38" i="9"/>
  <c r="G38" i="9"/>
  <c r="H38" i="9"/>
  <c r="I38" i="9"/>
  <c r="B39" i="9"/>
  <c r="C39" i="9"/>
  <c r="D39" i="9"/>
  <c r="E39" i="9"/>
  <c r="F39" i="9"/>
  <c r="G39" i="9"/>
  <c r="H39" i="9"/>
  <c r="I39" i="9"/>
  <c r="B40" i="9"/>
  <c r="C40" i="9"/>
  <c r="D40" i="9"/>
  <c r="E40" i="9"/>
  <c r="F40" i="9"/>
  <c r="G40" i="9"/>
  <c r="H40" i="9"/>
  <c r="I40" i="9"/>
  <c r="B41" i="9"/>
  <c r="C41" i="9"/>
  <c r="D41" i="9"/>
  <c r="E41" i="9"/>
  <c r="F41" i="9"/>
  <c r="G41" i="9"/>
  <c r="H41" i="9"/>
  <c r="I41" i="9"/>
  <c r="B42" i="9"/>
  <c r="C42" i="9"/>
  <c r="D42" i="9"/>
  <c r="E42" i="9"/>
  <c r="F42" i="9"/>
  <c r="G42" i="9"/>
  <c r="H42" i="9"/>
  <c r="I42" i="9"/>
  <c r="B43" i="9"/>
  <c r="C43" i="9"/>
  <c r="D43" i="9"/>
  <c r="E43" i="9"/>
  <c r="F43" i="9"/>
  <c r="G43" i="9"/>
  <c r="H43" i="9"/>
  <c r="I43" i="9"/>
  <c r="B44" i="9"/>
  <c r="C44" i="9"/>
  <c r="D44" i="9"/>
  <c r="E44" i="9"/>
  <c r="F44" i="9"/>
  <c r="G44" i="9"/>
  <c r="H44" i="9"/>
  <c r="I44" i="9"/>
  <c r="B45" i="9"/>
  <c r="C45" i="9"/>
  <c r="D45" i="9"/>
  <c r="E45" i="9"/>
  <c r="F45" i="9"/>
  <c r="G45" i="9"/>
  <c r="H45" i="9"/>
  <c r="I45" i="9"/>
  <c r="B46" i="9"/>
  <c r="C46" i="9"/>
  <c r="D46" i="9"/>
  <c r="E46" i="9"/>
  <c r="F46" i="9"/>
  <c r="G46" i="9"/>
  <c r="H46" i="9"/>
  <c r="I46" i="9"/>
  <c r="B47" i="9"/>
  <c r="C47" i="9"/>
  <c r="D47" i="9"/>
  <c r="E47" i="9"/>
  <c r="F47" i="9"/>
  <c r="G47" i="9"/>
  <c r="H47" i="9"/>
  <c r="I47" i="9"/>
  <c r="B48" i="9"/>
  <c r="C48" i="9"/>
  <c r="D48" i="9"/>
  <c r="E48" i="9"/>
  <c r="F48" i="9"/>
  <c r="G48" i="9"/>
  <c r="H48" i="9"/>
  <c r="I48" i="9"/>
  <c r="B49" i="9"/>
  <c r="C49" i="9"/>
  <c r="D49" i="9"/>
  <c r="E49" i="9"/>
  <c r="F49" i="9"/>
  <c r="G49" i="9"/>
  <c r="H49" i="9"/>
  <c r="I49" i="9"/>
  <c r="B50" i="9"/>
  <c r="C50" i="9"/>
  <c r="D50" i="9"/>
  <c r="E50" i="9"/>
  <c r="F50" i="9"/>
  <c r="G50" i="9"/>
  <c r="H50" i="9"/>
  <c r="I50" i="9"/>
  <c r="B51" i="9"/>
  <c r="C51" i="9"/>
  <c r="D51" i="9"/>
  <c r="E51" i="9"/>
  <c r="F51" i="9"/>
  <c r="G51" i="9"/>
  <c r="H51" i="9"/>
  <c r="I51" i="9"/>
  <c r="B52" i="9"/>
  <c r="C52" i="9"/>
  <c r="D52" i="9"/>
  <c r="E52" i="9"/>
  <c r="F52" i="9"/>
  <c r="G52" i="9"/>
  <c r="H52" i="9"/>
  <c r="I52" i="9"/>
  <c r="B53" i="9"/>
  <c r="C53" i="9"/>
  <c r="D53" i="9"/>
  <c r="E53" i="9"/>
  <c r="F53" i="9"/>
  <c r="G53" i="9"/>
  <c r="H53" i="9"/>
  <c r="I53" i="9"/>
  <c r="B54" i="9"/>
  <c r="C54" i="9"/>
  <c r="D54" i="9"/>
  <c r="E54" i="9"/>
  <c r="F54" i="9"/>
  <c r="G54" i="9"/>
  <c r="H54" i="9"/>
  <c r="I54" i="9"/>
  <c r="B55" i="9"/>
  <c r="C55" i="9"/>
  <c r="D55" i="9"/>
  <c r="E55" i="9"/>
  <c r="F55" i="9"/>
  <c r="G55" i="9"/>
  <c r="H55" i="9"/>
  <c r="I55" i="9"/>
  <c r="B56" i="9"/>
  <c r="C56" i="9"/>
  <c r="D56" i="9"/>
  <c r="E56" i="9"/>
  <c r="F56" i="9"/>
  <c r="G56" i="9"/>
  <c r="H56" i="9"/>
  <c r="I56" i="9"/>
  <c r="B57" i="9"/>
  <c r="C57" i="9"/>
  <c r="D57" i="9"/>
  <c r="E57" i="9"/>
  <c r="F57" i="9"/>
  <c r="G57" i="9"/>
  <c r="H57" i="9"/>
  <c r="I57" i="9"/>
  <c r="B58" i="9"/>
  <c r="C58" i="9"/>
  <c r="D58" i="9"/>
  <c r="E58" i="9"/>
  <c r="F58" i="9"/>
  <c r="G58" i="9"/>
  <c r="H58" i="9"/>
  <c r="I58" i="9"/>
  <c r="J3" i="9"/>
  <c r="J4" i="9"/>
  <c r="J5" i="9"/>
  <c r="J6" i="9"/>
  <c r="J7" i="9"/>
  <c r="J8" i="9"/>
  <c r="J9" i="9"/>
  <c r="J10" i="9"/>
  <c r="J11" i="9"/>
  <c r="J12" i="9"/>
  <c r="J13" i="9"/>
  <c r="J14" i="9"/>
  <c r="J15" i="9"/>
  <c r="J16" i="9"/>
  <c r="J17" i="9"/>
  <c r="J18" i="9"/>
  <c r="J19" i="9"/>
  <c r="J20" i="9"/>
  <c r="J21" i="9"/>
  <c r="J22" i="9"/>
  <c r="J23" i="9"/>
  <c r="J24" i="9"/>
  <c r="J25" i="9"/>
  <c r="J26" i="9"/>
  <c r="J27" i="9"/>
  <c r="J28" i="9"/>
  <c r="J29" i="9"/>
  <c r="J30" i="9"/>
  <c r="J31" i="9"/>
  <c r="J32" i="9"/>
  <c r="J33" i="9"/>
  <c r="J34" i="9"/>
  <c r="J35" i="9"/>
  <c r="J36" i="9"/>
  <c r="J37" i="9"/>
  <c r="J38" i="9"/>
  <c r="J39" i="9"/>
  <c r="J40" i="9"/>
  <c r="J41" i="9"/>
  <c r="J42" i="9"/>
  <c r="J43" i="9"/>
  <c r="J44" i="9"/>
  <c r="J45" i="9"/>
  <c r="J46" i="9"/>
  <c r="J47" i="9"/>
  <c r="J48" i="9"/>
  <c r="J49" i="9"/>
  <c r="J50" i="9"/>
  <c r="J51" i="9"/>
  <c r="J52" i="9"/>
  <c r="J53" i="9"/>
  <c r="J54" i="9"/>
  <c r="J55" i="9"/>
  <c r="J56" i="9"/>
  <c r="J57" i="9"/>
  <c r="J58" i="9"/>
  <c r="D37" i="76" a="1"/>
  <c r="D37" i="76" s="1"/>
  <c r="D39" i="76" a="1"/>
  <c r="D39" i="76" s="1"/>
  <c r="D40" i="76" a="1"/>
  <c r="D40" i="76" s="1"/>
  <c r="D41" i="76" a="1"/>
  <c r="D41" i="76" s="1"/>
  <c r="D42" i="76" a="1"/>
  <c r="D42" i="76" s="1"/>
  <c r="D43" i="76" a="1"/>
  <c r="D43" i="76" s="1"/>
  <c r="D46" i="76" a="1"/>
  <c r="D46" i="76" s="1"/>
  <c r="D47" i="76" a="1"/>
  <c r="D47" i="76" s="1"/>
  <c r="D48" i="76" a="1"/>
  <c r="D48" i="76" s="1"/>
  <c r="D49" i="76" a="1"/>
  <c r="D49" i="76" s="1"/>
  <c r="D50" i="76" a="1"/>
  <c r="D50" i="76" s="1"/>
  <c r="D51" i="76" a="1"/>
  <c r="D51" i="76" s="1"/>
  <c r="D52" i="76" a="1"/>
  <c r="D52" i="76" s="1"/>
  <c r="D55" i="76" a="1"/>
  <c r="D55" i="76" s="1"/>
  <c r="D56" i="76" a="1"/>
  <c r="D56" i="76" s="1"/>
  <c r="D57" i="76" a="1"/>
  <c r="D57" i="76" s="1"/>
  <c r="D58" i="76" a="1"/>
  <c r="D58" i="76" s="1"/>
  <c r="D59" i="76" a="1"/>
  <c r="D59" i="76" s="1"/>
  <c r="D60" i="76" a="1"/>
  <c r="D60" i="76" s="1"/>
  <c r="D61" i="76" a="1"/>
  <c r="D61" i="76" s="1"/>
  <c r="D64" i="76" a="1"/>
  <c r="D64" i="76" s="1"/>
  <c r="D65" i="76" a="1"/>
  <c r="D65" i="76" s="1"/>
  <c r="D66" i="76" a="1"/>
  <c r="D66" i="76" s="1"/>
  <c r="D67" i="76" a="1"/>
  <c r="D67" i="76" s="1"/>
  <c r="D68" i="76" a="1"/>
  <c r="D68" i="76" s="1"/>
  <c r="D69" i="76" a="1"/>
  <c r="D69" i="76" s="1"/>
  <c r="D72" i="76" a="1"/>
  <c r="D72" i="76" s="1"/>
  <c r="D73" i="76" a="1"/>
  <c r="D73" i="76" s="1"/>
  <c r="D74" i="76" a="1"/>
  <c r="D74" i="76" s="1"/>
  <c r="D75" i="76" a="1"/>
  <c r="D75" i="76" s="1"/>
  <c r="D76" i="76" a="1"/>
  <c r="D76" i="76" s="1"/>
  <c r="D77" i="76" a="1"/>
  <c r="D77" i="76" s="1"/>
  <c r="D78" i="76" a="1"/>
  <c r="D78" i="76" s="1"/>
  <c r="D79" i="76" a="1"/>
  <c r="D79" i="76" s="1"/>
  <c r="D80" i="76" a="1"/>
  <c r="D80" i="76" s="1"/>
  <c r="D84" i="76" a="1"/>
  <c r="D84" i="76" s="1"/>
  <c r="D85" i="76" a="1"/>
  <c r="D85" i="76" s="1"/>
  <c r="D86" i="76" a="1"/>
  <c r="D86" i="76" s="1"/>
  <c r="D87" i="76" a="1"/>
  <c r="D87" i="76" s="1"/>
  <c r="D88" i="76" a="1"/>
  <c r="D88" i="76" s="1"/>
  <c r="D91" i="76" a="1"/>
  <c r="D91" i="76" s="1"/>
  <c r="D92" i="76" a="1"/>
  <c r="D92" i="76" s="1"/>
  <c r="D93" i="76" a="1"/>
  <c r="D93" i="76" s="1"/>
  <c r="D94" i="76" a="1"/>
  <c r="D94" i="76" s="1"/>
  <c r="D95" i="76" a="1"/>
  <c r="D95" i="76" s="1"/>
  <c r="D96" i="76" a="1"/>
  <c r="D96" i="76" s="1"/>
  <c r="D97" i="76" a="1"/>
  <c r="D97"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9" i="76" a="1"/>
  <c r="D109" i="76" s="1"/>
  <c r="D110" i="76" a="1"/>
  <c r="D110" i="76" s="1"/>
  <c r="D111" i="76" a="1"/>
  <c r="D111" i="76" s="1"/>
  <c r="D112" i="76" a="1"/>
  <c r="D112" i="76" s="1"/>
  <c r="D113" i="76" a="1"/>
  <c r="D113" i="76" s="1"/>
  <c r="D114" i="76" a="1"/>
  <c r="D114" i="76" s="1"/>
  <c r="D115" i="76" a="1"/>
  <c r="D115" i="76" s="1"/>
  <c r="D118" i="76" a="1"/>
  <c r="D118" i="76" s="1"/>
  <c r="D119" i="76" a="1"/>
  <c r="D119" i="76" s="1"/>
  <c r="D120" i="76" a="1"/>
  <c r="D120" i="76" s="1"/>
  <c r="D121" i="76" a="1"/>
  <c r="D121" i="76" s="1"/>
  <c r="D122" i="76" a="1"/>
  <c r="D122" i="76" s="1"/>
  <c r="D123" i="76" a="1"/>
  <c r="D123" i="76" s="1"/>
  <c r="D124" i="76" a="1"/>
  <c r="D124" i="76" s="1"/>
  <c r="D127" i="76" a="1"/>
  <c r="D127" i="76" s="1"/>
  <c r="D128" i="76" a="1"/>
  <c r="D128" i="76" s="1"/>
  <c r="D129" i="76" a="1"/>
  <c r="D129" i="76" s="1"/>
  <c r="D130" i="76" a="1"/>
  <c r="D130" i="76" s="1"/>
  <c r="D131" i="76" a="1"/>
  <c r="D131" i="76" s="1"/>
  <c r="D132" i="76" a="1"/>
  <c r="D132" i="76" s="1"/>
  <c r="D135" i="76" a="1"/>
  <c r="D135" i="76" s="1"/>
  <c r="D136" i="76" a="1"/>
  <c r="D136" i="76" s="1"/>
  <c r="D137" i="76" a="1"/>
  <c r="D137" i="76" s="1"/>
  <c r="D138" i="76" a="1"/>
  <c r="D138" i="76" s="1"/>
  <c r="D139" i="76" a="1"/>
  <c r="D139" i="76" s="1"/>
  <c r="D140" i="76" a="1"/>
  <c r="D140" i="76" s="1"/>
  <c r="D141" i="76" a="1"/>
  <c r="D141" i="76" s="1"/>
  <c r="D142" i="76" a="1"/>
  <c r="D142" i="76" s="1"/>
  <c r="D147" i="76" a="1"/>
  <c r="D147" i="76" s="1"/>
  <c r="D148" i="76" a="1"/>
  <c r="D148" i="76" s="1"/>
  <c r="D149" i="76" a="1"/>
  <c r="D149" i="76" s="1"/>
  <c r="D150" i="76" a="1"/>
  <c r="D150" i="76" s="1"/>
  <c r="D151" i="76" a="1"/>
  <c r="D151" i="76" s="1"/>
  <c r="D154" i="76" a="1"/>
  <c r="D154" i="76" s="1"/>
  <c r="D155" i="76" a="1"/>
  <c r="D155" i="76" s="1"/>
  <c r="D156" i="76" a="1"/>
  <c r="D156" i="76" s="1"/>
  <c r="D157" i="76" a="1"/>
  <c r="D157" i="76" s="1"/>
  <c r="D158" i="76" a="1"/>
  <c r="D158" i="76" s="1"/>
  <c r="D159" i="76" a="1"/>
  <c r="D159" i="76" s="1"/>
  <c r="D160" i="76" a="1"/>
  <c r="D160" i="76" s="1"/>
  <c r="D162" i="76" a="1"/>
  <c r="D162" i="76" s="1"/>
  <c r="D163" i="76" a="1"/>
  <c r="D163" i="76" s="1"/>
  <c r="D164" i="76" a="1"/>
  <c r="D164" i="76" s="1"/>
  <c r="D165" i="76" a="1"/>
  <c r="D165" i="76" s="1"/>
  <c r="D166" i="76" a="1"/>
  <c r="D166" i="76" s="1"/>
  <c r="D167" i="76" a="1"/>
  <c r="D167" i="76" s="1"/>
  <c r="D168" i="76" a="1"/>
  <c r="D168" i="76" s="1"/>
  <c r="D169" i="76" a="1"/>
  <c r="D169" i="76" s="1"/>
  <c r="D172" i="76" a="1"/>
  <c r="D172" i="76" s="1"/>
  <c r="D173" i="76" a="1"/>
  <c r="D173" i="76" s="1"/>
  <c r="D174" i="76" a="1"/>
  <c r="D174" i="76" s="1"/>
  <c r="D175" i="76" a="1"/>
  <c r="D175" i="76" s="1"/>
  <c r="D176" i="76" a="1"/>
  <c r="D176" i="76" s="1"/>
  <c r="D177" i="76" a="1"/>
  <c r="D177" i="76" s="1"/>
  <c r="D178" i="76" a="1"/>
  <c r="D178"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D203" i="76" a="1"/>
  <c r="D203" i="76" s="1"/>
  <c r="D204" i="76" a="1"/>
  <c r="D204" i="76" s="1"/>
  <c r="D205" i="76" a="1"/>
  <c r="D205" i="76" s="1"/>
  <c r="D206" i="76" a="1"/>
  <c r="D206" i="76" s="1"/>
  <c r="D207" i="76" a="1"/>
  <c r="D207" i="76" s="1"/>
  <c r="D208" i="76" a="1"/>
  <c r="D208" i="76" s="1"/>
  <c r="D209" i="76" a="1"/>
  <c r="D209" i="76" s="1"/>
  <c r="D210" i="76" a="1"/>
  <c r="D210" i="76" s="1"/>
  <c r="D211" i="76" a="1"/>
  <c r="D211" i="76" s="1"/>
  <c r="D212" i="76" a="1"/>
  <c r="D212" i="76" s="1"/>
  <c r="D213" i="76" a="1"/>
  <c r="D213" i="76" s="1"/>
  <c r="D214" i="76" a="1"/>
  <c r="D214" i="76" s="1"/>
  <c r="D215" i="76" a="1"/>
  <c r="D215" i="76" s="1"/>
  <c r="D216" i="76" a="1"/>
  <c r="D216" i="76" s="1"/>
  <c r="D217" i="76" a="1"/>
  <c r="D217" i="76" s="1"/>
  <c r="D218" i="76" a="1"/>
  <c r="D218" i="76" s="1"/>
  <c r="D219" i="76" a="1"/>
  <c r="D219" i="76" s="1"/>
  <c r="D220" i="76" a="1"/>
  <c r="D220" i="76" s="1"/>
  <c r="D221" i="76" a="1"/>
  <c r="D221" i="76" s="1"/>
  <c r="D222" i="76" a="1"/>
  <c r="D222" i="76" s="1"/>
  <c r="D223" i="76" a="1"/>
  <c r="D223" i="76" s="1"/>
  <c r="D224" i="76" a="1"/>
  <c r="D224" i="76" s="1"/>
  <c r="D225" i="76" a="1"/>
  <c r="D225" i="76" s="1"/>
  <c r="D226" i="76" a="1"/>
  <c r="D226" i="76" s="1"/>
  <c r="D227" i="76" a="1"/>
  <c r="D227" i="76" s="1"/>
  <c r="D228" i="76" a="1"/>
  <c r="D228" i="76" s="1"/>
  <c r="D229" i="76" a="1"/>
  <c r="D229" i="76" s="1"/>
  <c r="D230" i="76" a="1"/>
  <c r="D230" i="76" s="1"/>
  <c r="D231" i="76" a="1"/>
  <c r="D231" i="76" s="1"/>
  <c r="D232" i="76" a="1"/>
  <c r="D232" i="76" s="1"/>
  <c r="D233" i="76" a="1"/>
  <c r="D233" i="76" s="1"/>
  <c r="D234" i="76" a="1"/>
  <c r="D234" i="76" s="1"/>
  <c r="D235" i="76" a="1"/>
  <c r="D235" i="76" s="1"/>
  <c r="D236" i="76" a="1"/>
  <c r="D236" i="76" s="1"/>
  <c r="D237" i="76" a="1"/>
  <c r="D237" i="76" s="1"/>
  <c r="D238" i="76" a="1"/>
  <c r="D238" i="76" s="1"/>
  <c r="D239" i="76" a="1"/>
  <c r="D239" i="76" s="1"/>
  <c r="D240" i="76" a="1"/>
  <c r="D240" i="76" s="1"/>
  <c r="D241" i="76" a="1"/>
  <c r="D241" i="76" s="1"/>
  <c r="D242" i="76" a="1"/>
  <c r="D242" i="76" s="1"/>
  <c r="D243" i="76" a="1"/>
  <c r="D243" i="76" s="1"/>
  <c r="D244" i="76" a="1"/>
  <c r="D244" i="76" s="1"/>
  <c r="D245" i="76" a="1"/>
  <c r="D245" i="76" s="1"/>
  <c r="D246" i="76" a="1"/>
  <c r="D246" i="76" s="1"/>
  <c r="D247" i="76" a="1"/>
  <c r="D247" i="76" s="1"/>
  <c r="D248" i="76" a="1"/>
  <c r="D248" i="76" s="1"/>
  <c r="D249" i="76" a="1"/>
  <c r="D249" i="76" s="1"/>
  <c r="D250" i="76" a="1"/>
  <c r="D250" i="76" s="1"/>
  <c r="D251" i="76" a="1"/>
  <c r="D251" i="76" s="1"/>
  <c r="D252" i="76" a="1"/>
  <c r="D252" i="76" s="1"/>
  <c r="D253" i="76" a="1"/>
  <c r="D253" i="76" s="1"/>
  <c r="D254" i="76" a="1"/>
  <c r="D254" i="76" s="1"/>
  <c r="D255" i="76" a="1"/>
  <c r="D255" i="76" s="1"/>
  <c r="D256" i="76" a="1"/>
  <c r="D256" i="76" s="1"/>
  <c r="D257" i="76" a="1"/>
  <c r="D257" i="76" s="1"/>
  <c r="D258" i="76" a="1"/>
  <c r="D258" i="76" s="1"/>
  <c r="D259" i="76" a="1"/>
  <c r="D259" i="76" s="1"/>
  <c r="D260" i="76" a="1"/>
  <c r="D260" i="76" s="1"/>
  <c r="D261" i="76" a="1"/>
  <c r="D261" i="76" s="1"/>
  <c r="D262" i="76" a="1"/>
  <c r="D262" i="76" s="1"/>
  <c r="D263" i="76" a="1"/>
  <c r="D263" i="76" s="1"/>
  <c r="D264" i="76" a="1"/>
  <c r="D264" i="76" s="1"/>
  <c r="D265" i="76" a="1"/>
  <c r="D265" i="76" s="1"/>
  <c r="D266" i="76" a="1"/>
  <c r="D266" i="76" s="1"/>
  <c r="D267" i="76" a="1"/>
  <c r="D267" i="76" s="1"/>
  <c r="D268" i="76" a="1"/>
  <c r="D268" i="76" s="1"/>
  <c r="D269" i="76" a="1"/>
  <c r="D269" i="76" s="1"/>
  <c r="D270" i="76" a="1"/>
  <c r="D270" i="76" s="1"/>
  <c r="D271" i="76" a="1"/>
  <c r="D271" i="76" s="1"/>
  <c r="D272" i="76" a="1"/>
  <c r="D272" i="76" s="1"/>
  <c r="D273" i="76" a="1"/>
  <c r="D273" i="76" s="1"/>
  <c r="D274" i="76" a="1"/>
  <c r="D274" i="76" s="1"/>
  <c r="D275" i="76" a="1"/>
  <c r="D275" i="76" s="1"/>
  <c r="D276" i="76" a="1"/>
  <c r="D276" i="76" s="1"/>
  <c r="D277" i="76" a="1"/>
  <c r="D277" i="76" s="1"/>
  <c r="D278" i="76" a="1"/>
  <c r="D278" i="76" s="1"/>
  <c r="D279" i="76" a="1"/>
  <c r="D279" i="76" s="1"/>
  <c r="D280" i="76" a="1"/>
  <c r="D280" i="76" s="1"/>
  <c r="D281" i="76" a="1"/>
  <c r="D281" i="76" s="1"/>
  <c r="D282" i="76" a="1"/>
  <c r="D282" i="76" s="1"/>
  <c r="D283" i="76" a="1"/>
  <c r="D283" i="76" s="1"/>
  <c r="D284" i="76" a="1"/>
  <c r="D284" i="76" s="1"/>
  <c r="D285" i="76" a="1"/>
  <c r="D285" i="76" s="1"/>
  <c r="D286" i="76" a="1"/>
  <c r="D286" i="76" s="1"/>
  <c r="D287" i="76" a="1"/>
  <c r="D287" i="76" s="1"/>
  <c r="D288" i="76" a="1"/>
  <c r="D288" i="76" s="1"/>
  <c r="D289" i="76" a="1"/>
  <c r="D289" i="76" s="1"/>
  <c r="D290" i="76" a="1"/>
  <c r="D290" i="76" s="1"/>
  <c r="D291" i="76" a="1"/>
  <c r="D291" i="76" s="1"/>
  <c r="D292" i="76" a="1"/>
  <c r="D292" i="76" s="1"/>
  <c r="D293" i="76" a="1"/>
  <c r="D293" i="76" s="1"/>
  <c r="D294" i="76" a="1"/>
  <c r="D294" i="76" s="1"/>
  <c r="D295" i="76" a="1"/>
  <c r="D295" i="76" s="1"/>
  <c r="D296" i="76" a="1"/>
  <c r="D296" i="76" s="1"/>
  <c r="D297" i="76" a="1"/>
  <c r="D297" i="76" s="1"/>
  <c r="D298" i="76" a="1"/>
  <c r="D298" i="76" s="1"/>
  <c r="D299" i="76" a="1"/>
  <c r="D299" i="76" s="1"/>
  <c r="D300" i="76" a="1"/>
  <c r="D300" i="76" s="1"/>
  <c r="D301" i="76" a="1"/>
  <c r="D301" i="76" s="1"/>
  <c r="D302" i="76" a="1"/>
  <c r="D302" i="76" s="1"/>
  <c r="D303" i="76" a="1"/>
  <c r="D303" i="76" s="1"/>
  <c r="D304" i="76" a="1"/>
  <c r="D304" i="76" s="1"/>
  <c r="D305" i="76" a="1"/>
  <c r="D305" i="76" s="1"/>
  <c r="D306" i="76" a="1"/>
  <c r="D306" i="76" s="1"/>
  <c r="D307" i="76" a="1"/>
  <c r="D307" i="76" s="1"/>
  <c r="D308" i="76" a="1"/>
  <c r="D308" i="76" s="1"/>
  <c r="D309" i="76" a="1"/>
  <c r="D309" i="76" s="1"/>
  <c r="D310" i="76" a="1"/>
  <c r="D310" i="76" s="1"/>
  <c r="D311" i="76" a="1"/>
  <c r="D311" i="76" s="1"/>
  <c r="D312" i="76" a="1"/>
  <c r="D312" i="76" s="1"/>
  <c r="D313" i="76" a="1"/>
  <c r="D313" i="76" s="1"/>
  <c r="D314" i="76" a="1"/>
  <c r="D314" i="76" s="1"/>
  <c r="D315" i="76" a="1"/>
  <c r="D315" i="76" s="1"/>
  <c r="D316" i="76" a="1"/>
  <c r="D316" i="76" s="1"/>
  <c r="D317" i="76" a="1"/>
  <c r="D317" i="76" s="1"/>
  <c r="D318" i="76" a="1"/>
  <c r="D318" i="76" s="1"/>
  <c r="D319" i="76" a="1"/>
  <c r="D319" i="76" s="1"/>
  <c r="D320" i="76" a="1"/>
  <c r="D320" i="76" s="1"/>
  <c r="D321" i="76" a="1"/>
  <c r="D321" i="76" s="1"/>
  <c r="D322" i="76" a="1"/>
  <c r="D322" i="76" s="1"/>
  <c r="D323" i="76" a="1"/>
  <c r="D323" i="76" s="1"/>
  <c r="D324" i="76" a="1"/>
  <c r="D324" i="76" s="1"/>
  <c r="D325" i="76" a="1"/>
  <c r="D325" i="76" s="1"/>
  <c r="D326" i="76" a="1"/>
  <c r="D326" i="76" s="1"/>
  <c r="D327" i="76" a="1"/>
  <c r="D327" i="76" s="1"/>
  <c r="D328" i="76" a="1"/>
  <c r="D328" i="76" s="1"/>
  <c r="D329" i="76" a="1"/>
  <c r="D329" i="76" s="1"/>
  <c r="D330" i="76" a="1"/>
  <c r="D330" i="76" s="1"/>
  <c r="D331" i="76" a="1"/>
  <c r="D331" i="76" s="1"/>
  <c r="D332" i="76" a="1"/>
  <c r="D332" i="76" s="1"/>
  <c r="D333" i="76" a="1"/>
  <c r="D333" i="76" s="1"/>
  <c r="D334" i="76" a="1"/>
  <c r="D334" i="76" s="1"/>
  <c r="D335" i="76" a="1"/>
  <c r="D335" i="76" s="1"/>
  <c r="D336" i="76" a="1"/>
  <c r="D336" i="76" s="1"/>
  <c r="D337" i="76" a="1"/>
  <c r="D337" i="76" s="1"/>
  <c r="D338" i="76" a="1"/>
  <c r="D338" i="76" s="1"/>
  <c r="D339" i="76" a="1"/>
  <c r="D339" i="76" s="1"/>
  <c r="D340" i="76" a="1"/>
  <c r="D340" i="76" s="1"/>
  <c r="D341" i="76" a="1"/>
  <c r="D341" i="76" s="1"/>
  <c r="D342" i="76" a="1"/>
  <c r="D342" i="76" s="1"/>
  <c r="D343" i="76" a="1"/>
  <c r="D343" i="76" s="1"/>
  <c r="D344" i="76" a="1"/>
  <c r="D344" i="76" s="1"/>
  <c r="D345" i="76" a="1"/>
  <c r="D345" i="76" s="1"/>
  <c r="D346" i="76" a="1"/>
  <c r="D346" i="76" s="1"/>
  <c r="D347" i="76" a="1"/>
  <c r="D347" i="76" s="1"/>
  <c r="D348" i="76" a="1"/>
  <c r="D348" i="76" s="1"/>
  <c r="D349" i="76" a="1"/>
  <c r="D349" i="76" s="1"/>
  <c r="D350" i="76" a="1"/>
  <c r="D350" i="76" s="1"/>
  <c r="D351" i="76" a="1"/>
  <c r="D351" i="76" s="1"/>
  <c r="D352" i="76" a="1"/>
  <c r="D352" i="76" s="1"/>
  <c r="D353" i="76" a="1"/>
  <c r="D353" i="76" s="1"/>
  <c r="D354" i="76" a="1"/>
  <c r="D354" i="76" s="1"/>
  <c r="D355" i="76" a="1"/>
  <c r="D355" i="76" s="1"/>
  <c r="D356" i="76" a="1"/>
  <c r="D356" i="76" s="1"/>
  <c r="D357" i="76" a="1"/>
  <c r="D357" i="76" s="1"/>
  <c r="D358" i="76" a="1"/>
  <c r="D358" i="76" s="1"/>
  <c r="D359" i="76" a="1"/>
  <c r="D359" i="76" s="1"/>
  <c r="D360" i="76" a="1"/>
  <c r="D360" i="76" s="1"/>
  <c r="D361" i="76" a="1"/>
  <c r="D361" i="76" s="1"/>
  <c r="D362" i="76" a="1"/>
  <c r="D362" i="76" s="1"/>
  <c r="D363" i="76" a="1"/>
  <c r="D363" i="76" s="1"/>
  <c r="D364" i="76" a="1"/>
  <c r="D364" i="76" s="1"/>
  <c r="D365" i="76" a="1"/>
  <c r="D365" i="76" s="1"/>
  <c r="D366" i="76" a="1"/>
  <c r="D366" i="76" s="1"/>
  <c r="D367" i="76" a="1"/>
  <c r="D367" i="76" s="1"/>
  <c r="D368" i="76" a="1"/>
  <c r="D368" i="76" s="1"/>
  <c r="D369" i="76" a="1"/>
  <c r="D369" i="76" s="1"/>
  <c r="D370" i="76" a="1"/>
  <c r="D370" i="76" s="1"/>
  <c r="D371" i="76" a="1"/>
  <c r="D371" i="76" s="1"/>
  <c r="D372" i="76" a="1"/>
  <c r="D372" i="76" s="1"/>
  <c r="D373" i="76" a="1"/>
  <c r="D373" i="76" s="1"/>
  <c r="D374" i="76" a="1"/>
  <c r="D374" i="76" s="1"/>
  <c r="D375" i="76" a="1"/>
  <c r="D375" i="76" s="1"/>
  <c r="D376" i="76" a="1"/>
  <c r="D376" i="76" s="1"/>
  <c r="D377" i="76" a="1"/>
  <c r="D377" i="76" s="1"/>
  <c r="D378" i="76" a="1"/>
  <c r="D378" i="76" s="1"/>
  <c r="D379" i="76" a="1"/>
  <c r="D379" i="76" s="1"/>
  <c r="D380" i="76" a="1"/>
  <c r="D380" i="76" s="1"/>
  <c r="D381" i="76" a="1"/>
  <c r="D381" i="76" s="1"/>
  <c r="D382" i="76" a="1"/>
  <c r="D382" i="76" s="1"/>
  <c r="D383" i="76" a="1"/>
  <c r="D383" i="76" s="1"/>
  <c r="D384" i="76" a="1"/>
  <c r="D384" i="76" s="1"/>
  <c r="D385" i="76" a="1"/>
  <c r="D385" i="76" s="1"/>
  <c r="D386" i="76" a="1"/>
  <c r="D386" i="76" s="1"/>
  <c r="D387" i="76" a="1"/>
  <c r="D387" i="76" s="1"/>
  <c r="D388" i="76" a="1"/>
  <c r="D388" i="76" s="1"/>
  <c r="D389" i="76" a="1"/>
  <c r="D389" i="76" s="1"/>
  <c r="D390" i="76" a="1"/>
  <c r="D390" i="76" s="1"/>
  <c r="D391" i="76" a="1"/>
  <c r="D391" i="76" s="1"/>
  <c r="D392" i="76" a="1"/>
  <c r="D392" i="76" s="1"/>
  <c r="D393" i="76" a="1"/>
  <c r="D393" i="76" s="1"/>
  <c r="D394" i="76" a="1"/>
  <c r="D394" i="76" s="1"/>
  <c r="D395" i="76" a="1"/>
  <c r="D395" i="76" s="1"/>
  <c r="D396" i="76" a="1"/>
  <c r="D396" i="76" s="1"/>
  <c r="D397" i="76" a="1"/>
  <c r="D397" i="76" s="1"/>
  <c r="D398" i="76" a="1"/>
  <c r="D398" i="76" s="1"/>
  <c r="D399" i="76" a="1"/>
  <c r="D399" i="76" s="1"/>
  <c r="D400" i="76" a="1"/>
  <c r="D400" i="76" s="1"/>
  <c r="D401" i="76" a="1"/>
  <c r="D401" i="76" s="1"/>
  <c r="D402" i="76" a="1"/>
  <c r="D402" i="76" s="1"/>
  <c r="D403" i="76" a="1"/>
  <c r="D403" i="76" s="1"/>
  <c r="D404" i="76" a="1"/>
  <c r="D404" i="76" s="1"/>
  <c r="D405" i="76" a="1"/>
  <c r="D405" i="76" s="1"/>
  <c r="D406" i="76" a="1"/>
  <c r="D406" i="76" s="1"/>
  <c r="D407" i="76" a="1"/>
  <c r="D407" i="76" s="1"/>
  <c r="D408" i="76" a="1"/>
  <c r="D408" i="76" s="1"/>
  <c r="D409" i="76" a="1"/>
  <c r="D409" i="76" s="1"/>
  <c r="D410" i="76" a="1"/>
  <c r="D410" i="76" s="1"/>
  <c r="D411" i="76" a="1"/>
  <c r="D411" i="76" s="1"/>
  <c r="D412" i="76" a="1"/>
  <c r="D412" i="76" s="1"/>
  <c r="D413" i="76" a="1"/>
  <c r="D413" i="76" s="1"/>
  <c r="D414" i="76" a="1"/>
  <c r="D414" i="76" s="1"/>
  <c r="D415" i="76" a="1"/>
  <c r="D415" i="76" s="1"/>
  <c r="D416" i="76" a="1"/>
  <c r="D416" i="76" s="1"/>
  <c r="D417" i="76" a="1"/>
  <c r="D417" i="76" s="1"/>
  <c r="D418" i="76" a="1"/>
  <c r="D418" i="76" s="1"/>
  <c r="D419" i="76" a="1"/>
  <c r="D419" i="76" s="1"/>
  <c r="D420" i="76" a="1"/>
  <c r="D420" i="76" s="1"/>
  <c r="D421" i="76" a="1"/>
  <c r="D421" i="76" s="1"/>
  <c r="D422" i="76" a="1"/>
  <c r="D422" i="76" s="1"/>
  <c r="D423" i="76" a="1"/>
  <c r="D423" i="76" s="1"/>
  <c r="D424" i="76" a="1"/>
  <c r="D424" i="76" s="1"/>
  <c r="D425" i="76" a="1"/>
  <c r="D425" i="76" s="1"/>
  <c r="D426" i="76" a="1"/>
  <c r="D426" i="76" s="1"/>
  <c r="D427" i="76" a="1"/>
  <c r="D427" i="76" s="1"/>
  <c r="D428" i="76" a="1"/>
  <c r="D428" i="76" s="1"/>
  <c r="D429" i="76" a="1"/>
  <c r="D429" i="76" s="1"/>
  <c r="D430" i="76" a="1"/>
  <c r="D430" i="76" s="1"/>
  <c r="D431" i="76" a="1"/>
  <c r="D431" i="76" s="1"/>
  <c r="D432" i="76" a="1"/>
  <c r="D432" i="76" s="1"/>
  <c r="D433" i="76" a="1"/>
  <c r="D433" i="76" s="1"/>
  <c r="D434" i="76" a="1"/>
  <c r="D434" i="76" s="1"/>
  <c r="D435" i="76" a="1"/>
  <c r="D435" i="76" s="1"/>
  <c r="D436" i="76" a="1"/>
  <c r="D436" i="76" s="1"/>
  <c r="D437" i="76" a="1"/>
  <c r="D437" i="76" s="1"/>
  <c r="D438" i="76" a="1"/>
  <c r="D438" i="76" s="1"/>
  <c r="D439" i="76" a="1"/>
  <c r="D439" i="76" s="1"/>
  <c r="D440" i="76" a="1"/>
  <c r="D440" i="76" s="1"/>
  <c r="D441" i="76" a="1"/>
  <c r="D441" i="76" s="1"/>
  <c r="D442" i="76" a="1"/>
  <c r="D442" i="76" s="1"/>
  <c r="D443" i="76" a="1"/>
  <c r="D443" i="76" s="1"/>
  <c r="D444" i="76" a="1"/>
  <c r="D444" i="76" s="1"/>
  <c r="D445" i="76" a="1"/>
  <c r="D445" i="76" s="1"/>
  <c r="D446" i="76" a="1"/>
  <c r="D446" i="76" s="1"/>
  <c r="D447" i="76" a="1"/>
  <c r="D447" i="76" s="1"/>
  <c r="D448" i="76" a="1"/>
  <c r="D448" i="76" s="1"/>
  <c r="D449" i="76" a="1"/>
  <c r="D449" i="76" s="1"/>
  <c r="D450" i="76" a="1"/>
  <c r="D450" i="76" s="1"/>
  <c r="D451" i="76" a="1"/>
  <c r="D451" i="76" s="1"/>
  <c r="D452" i="76" a="1"/>
  <c r="D452" i="76" s="1"/>
  <c r="D453" i="76" a="1"/>
  <c r="D453" i="76" s="1"/>
  <c r="D454" i="76" a="1"/>
  <c r="D454" i="76" s="1"/>
  <c r="D455" i="76" a="1"/>
  <c r="D455" i="76" s="1"/>
  <c r="D456" i="76" a="1"/>
  <c r="D456" i="76" s="1"/>
  <c r="D457" i="76" a="1"/>
  <c r="D457" i="76" s="1"/>
  <c r="D458" i="76" a="1"/>
  <c r="D458" i="76" s="1"/>
  <c r="D459" i="76" a="1"/>
  <c r="D459" i="76" s="1"/>
  <c r="D460" i="76" a="1"/>
  <c r="D460" i="76" s="1"/>
  <c r="D461" i="76" a="1"/>
  <c r="D461" i="76" s="1"/>
  <c r="D462" i="76" a="1"/>
  <c r="D462" i="76" s="1"/>
  <c r="D463" i="76" a="1"/>
  <c r="D463" i="76" s="1"/>
  <c r="D464" i="76" a="1"/>
  <c r="D464" i="76" s="1"/>
  <c r="D465" i="76" a="1"/>
  <c r="D465" i="76" s="1"/>
  <c r="D466" i="76" a="1"/>
  <c r="D466" i="76" s="1"/>
  <c r="D467" i="76" a="1"/>
  <c r="D467" i="76" s="1"/>
  <c r="D468" i="76" a="1"/>
  <c r="D468" i="76" s="1"/>
  <c r="D469" i="76" a="1"/>
  <c r="D469" i="76" s="1"/>
  <c r="D470" i="76" a="1"/>
  <c r="D470" i="76" s="1"/>
  <c r="D471" i="76" a="1"/>
  <c r="D471" i="76" s="1"/>
  <c r="D472" i="76" a="1"/>
  <c r="D472" i="76" s="1"/>
  <c r="D473" i="76" a="1"/>
  <c r="D473" i="76" s="1"/>
  <c r="D474" i="76" a="1"/>
  <c r="D474" i="76" s="1"/>
  <c r="D475" i="76" a="1"/>
  <c r="D475" i="76" s="1"/>
  <c r="D476" i="76" a="1"/>
  <c r="D476" i="76" s="1"/>
  <c r="D477" i="76" a="1"/>
  <c r="D477" i="76" s="1"/>
  <c r="D478" i="76" a="1"/>
  <c r="D478" i="76" s="1"/>
  <c r="D479" i="76" a="1"/>
  <c r="D479" i="76" s="1"/>
  <c r="D480" i="76" a="1"/>
  <c r="D480" i="76" s="1"/>
  <c r="D481" i="76" a="1"/>
  <c r="D481" i="76" s="1"/>
  <c r="D482" i="76" a="1"/>
  <c r="D482" i="76" s="1"/>
  <c r="D483" i="76" a="1"/>
  <c r="D483" i="76" s="1"/>
  <c r="D484" i="76" a="1"/>
  <c r="D484" i="76" s="1"/>
  <c r="D485" i="76" a="1"/>
  <c r="D485" i="76" s="1"/>
  <c r="D486" i="76" a="1"/>
  <c r="D486" i="76" s="1"/>
  <c r="D487" i="76" a="1"/>
  <c r="D487" i="76" s="1"/>
  <c r="D488" i="76" a="1"/>
  <c r="D488" i="76" s="1"/>
  <c r="D489" i="76" a="1"/>
  <c r="D489" i="76" s="1"/>
  <c r="D490" i="76" a="1"/>
  <c r="D490" i="76" s="1"/>
  <c r="D491" i="76" a="1"/>
  <c r="D491" i="76" s="1"/>
  <c r="D492" i="76" a="1"/>
  <c r="D492" i="76" s="1"/>
  <c r="D493" i="76" a="1"/>
  <c r="D493" i="76" s="1"/>
  <c r="D494" i="76" a="1"/>
  <c r="D494" i="76" s="1"/>
  <c r="D495" i="76" a="1"/>
  <c r="D495" i="76" s="1"/>
  <c r="D496" i="76" a="1"/>
  <c r="D496" i="76" s="1"/>
  <c r="D497" i="76" a="1"/>
  <c r="D497" i="76" s="1"/>
  <c r="D498" i="76" a="1"/>
  <c r="D498" i="76" s="1"/>
  <c r="D499" i="76" a="1"/>
  <c r="D499" i="76" s="1"/>
  <c r="D500" i="76" a="1"/>
  <c r="D500" i="76" s="1"/>
  <c r="D501" i="76" a="1"/>
  <c r="D501" i="76" s="1"/>
  <c r="D502" i="76" a="1"/>
  <c r="D502" i="76" s="1"/>
  <c r="D503" i="76" a="1"/>
  <c r="D503" i="76" s="1"/>
  <c r="D504" i="76" a="1"/>
  <c r="D504" i="76" s="1"/>
  <c r="D505" i="76" a="1"/>
  <c r="D505" i="76" s="1"/>
  <c r="D506" i="76" a="1"/>
  <c r="D506" i="76" s="1"/>
  <c r="D507" i="76" a="1"/>
  <c r="D507" i="76" s="1"/>
  <c r="D508" i="76" a="1"/>
  <c r="D508" i="76" s="1"/>
  <c r="D509" i="76" a="1"/>
  <c r="D509" i="76" s="1"/>
  <c r="D510" i="76" a="1"/>
  <c r="D510" i="76" s="1"/>
  <c r="D511" i="76" a="1"/>
  <c r="D511" i="76" s="1"/>
  <c r="D512" i="76" a="1"/>
  <c r="D512" i="76" s="1"/>
  <c r="D513" i="76" a="1"/>
  <c r="D513" i="76" s="1"/>
  <c r="D514" i="76" a="1"/>
  <c r="D514" i="76" s="1"/>
  <c r="D515" i="76" a="1"/>
  <c r="D515" i="76" s="1"/>
  <c r="D516" i="76" a="1"/>
  <c r="D516" i="76" s="1"/>
  <c r="D517" i="76" a="1"/>
  <c r="D517" i="76" s="1"/>
  <c r="D518" i="76" a="1"/>
  <c r="D518" i="76" s="1"/>
  <c r="D519" i="76" a="1"/>
  <c r="D519" i="76" s="1"/>
  <c r="D520" i="76" a="1"/>
  <c r="D520" i="76" s="1"/>
  <c r="D521" i="76" a="1"/>
  <c r="D521" i="76" s="1"/>
  <c r="D522" i="76" a="1"/>
  <c r="D522" i="76" s="1"/>
  <c r="D523" i="76" a="1"/>
  <c r="D523" i="76" s="1"/>
  <c r="D524" i="76" a="1"/>
  <c r="D524" i="76" s="1"/>
  <c r="D525" i="76" a="1"/>
  <c r="D525" i="76" s="1"/>
  <c r="D526" i="76" a="1"/>
  <c r="D526" i="76" s="1"/>
  <c r="D527" i="76" a="1"/>
  <c r="D527" i="76" s="1"/>
  <c r="D528" i="76" a="1"/>
  <c r="D528" i="76" s="1"/>
  <c r="D529" i="76" a="1"/>
  <c r="D529" i="76" s="1"/>
  <c r="D530" i="76" a="1"/>
  <c r="D530" i="76" s="1"/>
  <c r="D531" i="76" a="1"/>
  <c r="D531" i="76" s="1"/>
  <c r="D532" i="76" a="1"/>
  <c r="D532" i="76" s="1"/>
  <c r="D533" i="76" a="1"/>
  <c r="D533" i="76" s="1"/>
  <c r="D534" i="76" a="1"/>
  <c r="D534" i="76" s="1"/>
  <c r="D535" i="76" a="1"/>
  <c r="D535" i="76" s="1"/>
  <c r="D536" i="76" a="1"/>
  <c r="D536" i="76" s="1"/>
  <c r="D537" i="76" a="1"/>
  <c r="D537" i="76" s="1"/>
  <c r="D538" i="76" a="1"/>
  <c r="D538" i="76" s="1"/>
  <c r="D539" i="76" a="1"/>
  <c r="D539" i="76" s="1"/>
  <c r="D540" i="76" a="1"/>
  <c r="D540" i="76" s="1"/>
  <c r="D541" i="76" a="1"/>
  <c r="D541" i="76" s="1"/>
  <c r="D542" i="76" a="1"/>
  <c r="D542" i="76" s="1"/>
  <c r="D543" i="76" a="1"/>
  <c r="D543" i="76" s="1"/>
  <c r="D544" i="76" a="1"/>
  <c r="D544" i="76" s="1"/>
  <c r="D545" i="76" a="1"/>
  <c r="D545" i="76" s="1"/>
  <c r="D546" i="76" a="1"/>
  <c r="D546" i="76" s="1"/>
  <c r="D547" i="76" a="1"/>
  <c r="D547" i="76" s="1"/>
  <c r="D548" i="76" a="1"/>
  <c r="D548" i="76" s="1"/>
  <c r="D549" i="76" a="1"/>
  <c r="D549" i="76" s="1"/>
  <c r="D550" i="76" a="1"/>
  <c r="D550" i="76" s="1"/>
  <c r="D551" i="76" a="1"/>
  <c r="D551" i="76" s="1"/>
  <c r="D552" i="76" a="1"/>
  <c r="D552" i="76" s="1"/>
  <c r="D553" i="76" a="1"/>
  <c r="D553" i="76" s="1"/>
  <c r="D554" i="76" a="1"/>
  <c r="D554" i="76" s="1"/>
  <c r="D555" i="76" a="1"/>
  <c r="D555" i="76" s="1"/>
  <c r="D556" i="76" a="1"/>
  <c r="D556" i="76" s="1"/>
  <c r="D557" i="76" a="1"/>
  <c r="D557" i="76" s="1"/>
  <c r="D558" i="76" a="1"/>
  <c r="D558" i="76" s="1"/>
  <c r="D559" i="76" a="1"/>
  <c r="D559" i="76" s="1"/>
  <c r="D560" i="76" a="1"/>
  <c r="D560" i="76" s="1"/>
  <c r="D561" i="76" a="1"/>
  <c r="D561" i="76" s="1"/>
  <c r="D562" i="76" a="1"/>
  <c r="D562" i="76" s="1"/>
  <c r="D563" i="76" a="1"/>
  <c r="D563" i="76" s="1"/>
  <c r="D564" i="76" a="1"/>
  <c r="D564" i="76" s="1"/>
  <c r="D565" i="76" a="1"/>
  <c r="D565" i="76" s="1"/>
  <c r="D566" i="76" a="1"/>
  <c r="D566" i="76" s="1"/>
  <c r="D567" i="76" a="1"/>
  <c r="D567" i="76" s="1"/>
  <c r="D568" i="76" a="1"/>
  <c r="D568" i="76" s="1"/>
  <c r="D569" i="76" a="1"/>
  <c r="D569" i="76" s="1"/>
  <c r="D570" i="76" a="1"/>
  <c r="D570" i="76" s="1"/>
  <c r="D571" i="76" a="1"/>
  <c r="D571" i="76" s="1"/>
  <c r="D572" i="76" a="1"/>
  <c r="D572" i="76" s="1"/>
  <c r="D573" i="76" a="1"/>
  <c r="D573" i="76" s="1"/>
  <c r="D574" i="76" a="1"/>
  <c r="D574" i="76" s="1"/>
  <c r="D575" i="76" a="1"/>
  <c r="D575" i="76" s="1"/>
  <c r="D576" i="76" a="1"/>
  <c r="D576" i="76" s="1"/>
  <c r="D577" i="76" a="1"/>
  <c r="D577" i="76" s="1"/>
  <c r="D578" i="76" a="1"/>
  <c r="D578" i="76" s="1"/>
  <c r="D579" i="76" a="1"/>
  <c r="D579" i="76" s="1"/>
  <c r="D580" i="76" a="1"/>
  <c r="D580" i="76" s="1"/>
  <c r="D581" i="76" a="1"/>
  <c r="D581" i="76" s="1"/>
  <c r="D582" i="76" a="1"/>
  <c r="D582" i="76" s="1"/>
  <c r="D583" i="76" a="1"/>
  <c r="D583" i="76" s="1"/>
  <c r="B819" i="10"/>
  <c r="C819" i="10"/>
  <c r="B820" i="10"/>
  <c r="C820" i="10"/>
  <c r="B821" i="10"/>
  <c r="C821" i="10"/>
  <c r="B822" i="10"/>
  <c r="C822" i="10"/>
  <c r="B823" i="10"/>
  <c r="C823" i="10"/>
  <c r="B824" i="10"/>
  <c r="C824" i="10"/>
  <c r="B825" i="10"/>
  <c r="C825" i="10"/>
  <c r="B826" i="10"/>
  <c r="C826" i="10"/>
  <c r="B827" i="10"/>
  <c r="C827" i="10"/>
  <c r="B828" i="10"/>
  <c r="C828" i="10"/>
  <c r="B829" i="10"/>
  <c r="C829" i="10"/>
  <c r="B830" i="10"/>
  <c r="C830" i="10"/>
  <c r="B831" i="10"/>
  <c r="C831" i="10"/>
  <c r="B832" i="10"/>
  <c r="C832" i="10"/>
  <c r="B833" i="10"/>
  <c r="C833" i="10"/>
  <c r="B834" i="10"/>
  <c r="C834" i="10"/>
  <c r="B835" i="10"/>
  <c r="C835" i="10"/>
  <c r="B836" i="10"/>
  <c r="C836" i="10"/>
  <c r="B837" i="10"/>
  <c r="C837" i="10"/>
  <c r="B838" i="10"/>
  <c r="C838" i="10"/>
  <c r="B839" i="10"/>
  <c r="C839" i="10"/>
  <c r="B840" i="10"/>
  <c r="C840" i="10"/>
  <c r="B841" i="10"/>
  <c r="C841" i="10"/>
  <c r="B842" i="10"/>
  <c r="C842" i="10"/>
  <c r="B843" i="10"/>
  <c r="C843" i="10"/>
  <c r="B584" i="10"/>
  <c r="C584" i="10"/>
  <c r="B585" i="10"/>
  <c r="C585" i="10"/>
  <c r="B586" i="10"/>
  <c r="C586" i="10"/>
  <c r="B587" i="10"/>
  <c r="C587" i="10"/>
  <c r="B588" i="10"/>
  <c r="C588" i="10"/>
  <c r="B589" i="10"/>
  <c r="C589" i="10"/>
  <c r="B590" i="10"/>
  <c r="C590" i="10"/>
  <c r="B591" i="10"/>
  <c r="C591" i="10"/>
  <c r="B592" i="10"/>
  <c r="C592" i="10"/>
  <c r="B593" i="10"/>
  <c r="C593" i="10"/>
  <c r="B594" i="10"/>
  <c r="C594" i="10"/>
  <c r="B595" i="10"/>
  <c r="C595" i="10"/>
  <c r="B596" i="10"/>
  <c r="C596" i="10"/>
  <c r="B597" i="10"/>
  <c r="C597" i="10"/>
  <c r="B598" i="10"/>
  <c r="C598" i="10"/>
  <c r="B599" i="10"/>
  <c r="C599" i="10"/>
  <c r="B600" i="10"/>
  <c r="C600" i="10"/>
  <c r="B601" i="10"/>
  <c r="C601" i="10"/>
  <c r="B602" i="10"/>
  <c r="C602" i="10"/>
  <c r="B603" i="10"/>
  <c r="C603" i="10"/>
  <c r="B604" i="10"/>
  <c r="C604" i="10"/>
  <c r="B605" i="10"/>
  <c r="C605" i="10"/>
  <c r="B606" i="10"/>
  <c r="C606" i="10"/>
  <c r="B607" i="10"/>
  <c r="C607" i="10"/>
  <c r="B608" i="10"/>
  <c r="C608" i="10"/>
  <c r="B609" i="10"/>
  <c r="C609" i="10"/>
  <c r="B610" i="10"/>
  <c r="C610" i="10"/>
  <c r="B611" i="10"/>
  <c r="C611" i="10"/>
  <c r="B612" i="10"/>
  <c r="C612" i="10"/>
  <c r="B613" i="10"/>
  <c r="C613" i="10"/>
  <c r="B614" i="10"/>
  <c r="C614" i="10"/>
  <c r="B615" i="10"/>
  <c r="C615" i="10"/>
  <c r="B616" i="10"/>
  <c r="C616" i="10"/>
  <c r="B617" i="10"/>
  <c r="C617" i="10"/>
  <c r="B618" i="10"/>
  <c r="C618" i="10"/>
  <c r="B619" i="10"/>
  <c r="C619" i="10"/>
  <c r="B620" i="10"/>
  <c r="C620" i="10"/>
  <c r="B621" i="10"/>
  <c r="C621" i="10"/>
  <c r="B622" i="10"/>
  <c r="C622" i="10"/>
  <c r="B623" i="10"/>
  <c r="C623" i="10"/>
  <c r="B624" i="10"/>
  <c r="C624" i="10"/>
  <c r="B625" i="10"/>
  <c r="C625" i="10"/>
  <c r="B626" i="10"/>
  <c r="C626" i="10"/>
  <c r="B627" i="10"/>
  <c r="C627" i="10"/>
  <c r="B628" i="10"/>
  <c r="C628" i="10"/>
  <c r="B629" i="10"/>
  <c r="C629" i="10"/>
  <c r="B630" i="10"/>
  <c r="C630" i="10"/>
  <c r="B631" i="10"/>
  <c r="C631" i="10"/>
  <c r="B632" i="10"/>
  <c r="C632" i="10"/>
  <c r="B633" i="10"/>
  <c r="C633" i="10"/>
  <c r="B634" i="10"/>
  <c r="C634" i="10"/>
  <c r="B635" i="10"/>
  <c r="C635" i="10"/>
  <c r="B636" i="10"/>
  <c r="C636" i="10"/>
  <c r="B637" i="10"/>
  <c r="C637" i="10"/>
  <c r="B638" i="10"/>
  <c r="C638" i="10"/>
  <c r="B639" i="10"/>
  <c r="C639" i="10"/>
  <c r="B640" i="10"/>
  <c r="C640" i="10"/>
  <c r="B641" i="10"/>
  <c r="C641" i="10"/>
  <c r="B642" i="10"/>
  <c r="C642" i="10"/>
  <c r="B643" i="10"/>
  <c r="C643" i="10"/>
  <c r="B644" i="10"/>
  <c r="C644" i="10"/>
  <c r="B645" i="10"/>
  <c r="C645" i="10"/>
  <c r="B646" i="10"/>
  <c r="C646" i="10"/>
  <c r="B647" i="10"/>
  <c r="C647" i="10"/>
  <c r="B648" i="10"/>
  <c r="C648" i="10"/>
  <c r="B649" i="10"/>
  <c r="C649" i="10"/>
  <c r="B650" i="10"/>
  <c r="C650" i="10"/>
  <c r="B651" i="10"/>
  <c r="C651" i="10"/>
  <c r="B652" i="10"/>
  <c r="C652" i="10"/>
  <c r="B653" i="10"/>
  <c r="C653" i="10"/>
  <c r="B654" i="10"/>
  <c r="C654" i="10"/>
  <c r="B655" i="10"/>
  <c r="C655" i="10"/>
  <c r="B656" i="10"/>
  <c r="C656" i="10"/>
  <c r="B657" i="10"/>
  <c r="C657" i="10"/>
  <c r="B658" i="10"/>
  <c r="C658" i="10"/>
  <c r="B659" i="10"/>
  <c r="C659" i="10"/>
  <c r="B660" i="10"/>
  <c r="C660" i="10"/>
  <c r="B661" i="10"/>
  <c r="C661" i="10"/>
  <c r="B662" i="10"/>
  <c r="C662" i="10"/>
  <c r="B663" i="10"/>
  <c r="C663" i="10"/>
  <c r="B664" i="10"/>
  <c r="C664" i="10"/>
  <c r="B665" i="10"/>
  <c r="C665" i="10"/>
  <c r="B666" i="10"/>
  <c r="C666" i="10"/>
  <c r="B667" i="10"/>
  <c r="C667" i="10"/>
  <c r="B668" i="10"/>
  <c r="C668" i="10"/>
  <c r="B669" i="10"/>
  <c r="C669" i="10"/>
  <c r="B670" i="10"/>
  <c r="C670" i="10"/>
  <c r="B671" i="10"/>
  <c r="C671" i="10"/>
  <c r="B672" i="10"/>
  <c r="C672" i="10"/>
  <c r="B673" i="10"/>
  <c r="C673" i="10"/>
  <c r="B674" i="10"/>
  <c r="C674" i="10"/>
  <c r="B675" i="10"/>
  <c r="C675" i="10"/>
  <c r="B676" i="10"/>
  <c r="C676" i="10"/>
  <c r="B677" i="10"/>
  <c r="C677" i="10"/>
  <c r="B678" i="10"/>
  <c r="C678" i="10"/>
  <c r="B679" i="10"/>
  <c r="C679" i="10"/>
  <c r="B680" i="10"/>
  <c r="C680" i="10"/>
  <c r="B681" i="10"/>
  <c r="C681" i="10"/>
  <c r="B682" i="10"/>
  <c r="C682" i="10"/>
  <c r="B683" i="10"/>
  <c r="C683" i="10"/>
  <c r="B684" i="10"/>
  <c r="C684" i="10"/>
  <c r="B685" i="10"/>
  <c r="C685" i="10"/>
  <c r="B686" i="10"/>
  <c r="C686" i="10"/>
  <c r="B687" i="10"/>
  <c r="C687" i="10"/>
  <c r="B688" i="10"/>
  <c r="C688" i="10"/>
  <c r="B689" i="10"/>
  <c r="C689" i="10"/>
  <c r="B690" i="10"/>
  <c r="C690" i="10"/>
  <c r="B691" i="10"/>
  <c r="C691" i="10"/>
  <c r="B692" i="10"/>
  <c r="C692" i="10"/>
  <c r="B693" i="10"/>
  <c r="C693" i="10"/>
  <c r="B694" i="10"/>
  <c r="C694" i="10"/>
  <c r="B695" i="10"/>
  <c r="C695" i="10"/>
  <c r="B696" i="10"/>
  <c r="C696" i="10"/>
  <c r="B697" i="10"/>
  <c r="C697" i="10"/>
  <c r="B698" i="10"/>
  <c r="C698" i="10"/>
  <c r="B699" i="10"/>
  <c r="C699" i="10"/>
  <c r="B700" i="10"/>
  <c r="C700" i="10"/>
  <c r="B701" i="10"/>
  <c r="C701" i="10"/>
  <c r="B702" i="10"/>
  <c r="C702" i="10"/>
  <c r="B703" i="10"/>
  <c r="C703" i="10"/>
  <c r="B704" i="10"/>
  <c r="C704" i="10"/>
  <c r="B705" i="10"/>
  <c r="C705" i="10"/>
  <c r="B706" i="10"/>
  <c r="C706" i="10"/>
  <c r="B707" i="10"/>
  <c r="C707" i="10"/>
  <c r="B708" i="10"/>
  <c r="C708" i="10"/>
  <c r="B709" i="10"/>
  <c r="C709" i="10"/>
  <c r="B710" i="10"/>
  <c r="C710" i="10"/>
  <c r="B711" i="10"/>
  <c r="C711" i="10"/>
  <c r="B712" i="10"/>
  <c r="C712" i="10"/>
  <c r="B713" i="10"/>
  <c r="C713" i="10"/>
  <c r="B714" i="10"/>
  <c r="C714" i="10"/>
  <c r="B715" i="10"/>
  <c r="C715" i="10"/>
  <c r="B716" i="10"/>
  <c r="C716" i="10"/>
  <c r="B717" i="10"/>
  <c r="C717" i="10"/>
  <c r="B718" i="10"/>
  <c r="C718" i="10"/>
  <c r="B719" i="10"/>
  <c r="C719" i="10"/>
  <c r="B720" i="10"/>
  <c r="C720" i="10"/>
  <c r="B721" i="10"/>
  <c r="C721" i="10"/>
  <c r="B722" i="10"/>
  <c r="C722" i="10"/>
  <c r="B723" i="10"/>
  <c r="C723" i="10"/>
  <c r="B724" i="10"/>
  <c r="C724" i="10"/>
  <c r="B725" i="10"/>
  <c r="C725" i="10"/>
  <c r="B726" i="10"/>
  <c r="C726" i="10"/>
  <c r="B727" i="10"/>
  <c r="C727" i="10"/>
  <c r="B728" i="10"/>
  <c r="C728" i="10"/>
  <c r="B729" i="10"/>
  <c r="C729" i="10"/>
  <c r="B730" i="10"/>
  <c r="C730" i="10"/>
  <c r="B731" i="10"/>
  <c r="C731" i="10"/>
  <c r="B732" i="10"/>
  <c r="C732" i="10"/>
  <c r="B733" i="10"/>
  <c r="C733" i="10"/>
  <c r="B734" i="10"/>
  <c r="C734" i="10"/>
  <c r="B735" i="10"/>
  <c r="C735" i="10"/>
  <c r="B736" i="10"/>
  <c r="C736" i="10"/>
  <c r="B737" i="10"/>
  <c r="C737" i="10"/>
  <c r="B738" i="10"/>
  <c r="C738" i="10"/>
  <c r="B739" i="10"/>
  <c r="C739" i="10"/>
  <c r="B740" i="10"/>
  <c r="C740" i="10"/>
  <c r="B741" i="10"/>
  <c r="C741" i="10"/>
  <c r="B742" i="10"/>
  <c r="C742" i="10"/>
  <c r="B743" i="10"/>
  <c r="C743" i="10"/>
  <c r="B744" i="10"/>
  <c r="C744" i="10"/>
  <c r="B745" i="10"/>
  <c r="C745" i="10"/>
  <c r="B746" i="10"/>
  <c r="C746" i="10"/>
  <c r="B747" i="10"/>
  <c r="C747" i="10"/>
  <c r="B748" i="10"/>
  <c r="C748" i="10"/>
  <c r="B749" i="10"/>
  <c r="C749" i="10"/>
  <c r="B750" i="10"/>
  <c r="C750" i="10"/>
  <c r="B751" i="10"/>
  <c r="C751" i="10"/>
  <c r="B752" i="10"/>
  <c r="C752" i="10"/>
  <c r="B753" i="10"/>
  <c r="C753" i="10"/>
  <c r="B754" i="10"/>
  <c r="C754" i="10"/>
  <c r="B755" i="10"/>
  <c r="C755" i="10"/>
  <c r="B756" i="10"/>
  <c r="C756" i="10"/>
  <c r="B757" i="10"/>
  <c r="C757" i="10"/>
  <c r="B758" i="10"/>
  <c r="C758" i="10"/>
  <c r="B759" i="10"/>
  <c r="C759" i="10"/>
  <c r="B760" i="10"/>
  <c r="C760" i="10"/>
  <c r="B761" i="10"/>
  <c r="C761" i="10"/>
  <c r="B762" i="10"/>
  <c r="C762" i="10"/>
  <c r="B763" i="10"/>
  <c r="C763" i="10"/>
  <c r="B764" i="10"/>
  <c r="C764" i="10"/>
  <c r="B765" i="10"/>
  <c r="C765" i="10"/>
  <c r="B766" i="10"/>
  <c r="C766" i="10"/>
  <c r="B767" i="10"/>
  <c r="C767" i="10"/>
  <c r="B768" i="10"/>
  <c r="C768" i="10"/>
  <c r="B769" i="10"/>
  <c r="C769" i="10"/>
  <c r="B770" i="10"/>
  <c r="C770" i="10"/>
  <c r="B771" i="10"/>
  <c r="C771" i="10"/>
  <c r="B772" i="10"/>
  <c r="C772" i="10"/>
  <c r="B773" i="10"/>
  <c r="C773" i="10"/>
  <c r="B774" i="10"/>
  <c r="C774" i="10"/>
  <c r="B775" i="10"/>
  <c r="C775" i="10"/>
  <c r="B776" i="10"/>
  <c r="C776" i="10"/>
  <c r="B777" i="10"/>
  <c r="C777" i="10"/>
  <c r="B778" i="10"/>
  <c r="C778" i="10"/>
  <c r="B779" i="10"/>
  <c r="C779" i="10"/>
  <c r="B780" i="10"/>
  <c r="C780" i="10"/>
  <c r="B781" i="10"/>
  <c r="C781" i="10"/>
  <c r="B782" i="10"/>
  <c r="C782" i="10"/>
  <c r="B783" i="10"/>
  <c r="C783" i="10"/>
  <c r="B784" i="10"/>
  <c r="C784" i="10"/>
  <c r="B785" i="10"/>
  <c r="C785" i="10"/>
  <c r="B786" i="10"/>
  <c r="C786" i="10"/>
  <c r="B787" i="10"/>
  <c r="C787" i="10"/>
  <c r="B788" i="10"/>
  <c r="C788" i="10"/>
  <c r="B789" i="10"/>
  <c r="C789" i="10"/>
  <c r="B790" i="10"/>
  <c r="C790" i="10"/>
  <c r="B791" i="10"/>
  <c r="C791" i="10"/>
  <c r="B792" i="10"/>
  <c r="C792" i="10"/>
  <c r="B793" i="10"/>
  <c r="C793" i="10"/>
  <c r="B794" i="10"/>
  <c r="C794" i="10"/>
  <c r="B795" i="10"/>
  <c r="C795" i="10"/>
  <c r="B796" i="10"/>
  <c r="C796" i="10"/>
  <c r="B797" i="10"/>
  <c r="C797" i="10"/>
  <c r="B798" i="10"/>
  <c r="C798" i="10"/>
  <c r="B799" i="10"/>
  <c r="C799" i="10"/>
  <c r="B800" i="10"/>
  <c r="C800" i="10"/>
  <c r="B801" i="10"/>
  <c r="C801" i="10"/>
  <c r="B802" i="10"/>
  <c r="C802" i="10"/>
  <c r="B803" i="10"/>
  <c r="C803" i="10"/>
  <c r="B804" i="10"/>
  <c r="C804" i="10"/>
  <c r="B805" i="10"/>
  <c r="C805" i="10"/>
  <c r="B806" i="10"/>
  <c r="C806" i="10"/>
  <c r="B807" i="10"/>
  <c r="C807" i="10"/>
  <c r="B808" i="10"/>
  <c r="C808" i="10"/>
  <c r="B809" i="10"/>
  <c r="C809" i="10"/>
  <c r="B810" i="10"/>
  <c r="C810" i="10"/>
  <c r="B811" i="10"/>
  <c r="C811" i="10"/>
  <c r="B812" i="10"/>
  <c r="C812" i="10"/>
  <c r="B813" i="10"/>
  <c r="C813" i="10"/>
  <c r="B814" i="10"/>
  <c r="C814" i="10"/>
  <c r="B815" i="10"/>
  <c r="C815" i="10"/>
  <c r="B816" i="10"/>
  <c r="C816" i="10"/>
  <c r="B817" i="10"/>
  <c r="C817" i="10"/>
  <c r="B818" i="10"/>
  <c r="C818" i="10"/>
  <c r="C393" i="83"/>
  <c r="B393" i="83"/>
  <c r="C392" i="83"/>
  <c r="B392" i="83"/>
  <c r="C391" i="83"/>
  <c r="B391" i="83"/>
  <c r="C390" i="83"/>
  <c r="B390" i="83"/>
  <c r="C389" i="83"/>
  <c r="B389" i="83"/>
  <c r="C388" i="83"/>
  <c r="B388" i="83"/>
  <c r="C387" i="83"/>
  <c r="B387" i="83"/>
  <c r="C386" i="83"/>
  <c r="B386" i="83"/>
  <c r="C385" i="83"/>
  <c r="B385" i="83"/>
  <c r="C384" i="83"/>
  <c r="B384" i="83"/>
  <c r="C383" i="83"/>
  <c r="B383" i="83"/>
  <c r="C382" i="83"/>
  <c r="B382" i="83"/>
  <c r="C381" i="83"/>
  <c r="B381" i="83"/>
  <c r="C380" i="83"/>
  <c r="B380" i="83"/>
  <c r="C379" i="83"/>
  <c r="B379" i="83"/>
  <c r="C378" i="83"/>
  <c r="B378" i="83"/>
  <c r="C377" i="83"/>
  <c r="B377" i="83"/>
  <c r="C376" i="83"/>
  <c r="B376" i="83"/>
  <c r="C375" i="83"/>
  <c r="B375" i="83"/>
  <c r="C374" i="83"/>
  <c r="B374" i="83"/>
  <c r="C373" i="83"/>
  <c r="B373" i="83"/>
  <c r="C372" i="83"/>
  <c r="B372" i="83"/>
  <c r="C371" i="83"/>
  <c r="B371" i="83"/>
  <c r="C370" i="83"/>
  <c r="B370" i="83"/>
  <c r="C369" i="83"/>
  <c r="B369" i="83"/>
  <c r="C368" i="83"/>
  <c r="B368" i="83"/>
  <c r="C367" i="83"/>
  <c r="B367" i="83"/>
  <c r="C366" i="83"/>
  <c r="B366" i="83"/>
  <c r="C365" i="83"/>
  <c r="B365" i="83"/>
  <c r="C364" i="83"/>
  <c r="B364" i="83"/>
  <c r="C363" i="83"/>
  <c r="B363" i="83"/>
  <c r="C362" i="83"/>
  <c r="B362" i="83"/>
  <c r="C361" i="83"/>
  <c r="B361" i="83"/>
  <c r="C360" i="83"/>
  <c r="B360" i="83"/>
  <c r="C359" i="83"/>
  <c r="B359" i="83"/>
  <c r="C358" i="83"/>
  <c r="B358" i="83"/>
  <c r="C357" i="83"/>
  <c r="B357" i="83"/>
  <c r="C356" i="83"/>
  <c r="B356" i="83"/>
  <c r="C355" i="83"/>
  <c r="B355" i="83"/>
  <c r="C354" i="83"/>
  <c r="B354" i="83"/>
  <c r="C353" i="83"/>
  <c r="B353" i="83"/>
  <c r="C352" i="83"/>
  <c r="B352" i="83"/>
  <c r="C351" i="83"/>
  <c r="B351" i="83"/>
  <c r="C350" i="83"/>
  <c r="B350" i="83"/>
  <c r="C349" i="83"/>
  <c r="B349" i="83"/>
  <c r="C348" i="83"/>
  <c r="B348" i="83"/>
  <c r="C347" i="83"/>
  <c r="B347" i="83"/>
  <c r="C346" i="83"/>
  <c r="B346" i="83"/>
  <c r="C345" i="83"/>
  <c r="B345" i="83"/>
  <c r="D345" i="83" s="1" a="1"/>
  <c r="D345" i="83" s="1"/>
  <c r="C344" i="83"/>
  <c r="B344" i="83"/>
  <c r="D344" i="83" s="1" a="1"/>
  <c r="D344" i="83" s="1"/>
  <c r="C343" i="83"/>
  <c r="B343" i="83"/>
  <c r="D343" i="83" s="1" a="1"/>
  <c r="D343" i="83" s="1"/>
  <c r="C342" i="83"/>
  <c r="B342" i="83"/>
  <c r="D342" i="83" s="1" a="1"/>
  <c r="D342" i="83" s="1"/>
  <c r="C341" i="83"/>
  <c r="B341" i="83"/>
  <c r="D341" i="83" s="1" a="1"/>
  <c r="D341" i="83" s="1"/>
  <c r="D340" i="83" a="1"/>
  <c r="D340" i="83" s="1"/>
  <c r="C340" i="83"/>
  <c r="B340" i="83"/>
  <c r="C339" i="83"/>
  <c r="B339" i="83"/>
  <c r="D339" i="83" s="1" a="1"/>
  <c r="D339" i="83" s="1"/>
  <c r="C338" i="83"/>
  <c r="B338" i="83"/>
  <c r="D338" i="83" s="1" a="1"/>
  <c r="D338" i="83" s="1"/>
  <c r="C337" i="83"/>
  <c r="B337" i="83"/>
  <c r="D337" i="83" s="1" a="1"/>
  <c r="D337" i="83" s="1"/>
  <c r="C336" i="83"/>
  <c r="B336" i="83"/>
  <c r="D336" i="83" s="1" a="1"/>
  <c r="D336" i="83" s="1"/>
  <c r="C335" i="83"/>
  <c r="B335" i="83"/>
  <c r="D335" i="83" s="1" a="1"/>
  <c r="D335" i="83" s="1"/>
  <c r="C334" i="83"/>
  <c r="B334" i="83"/>
  <c r="D334" i="83" s="1" a="1"/>
  <c r="D334" i="83" s="1"/>
  <c r="C333" i="83"/>
  <c r="B333" i="83"/>
  <c r="D333" i="83" s="1" a="1"/>
  <c r="D333" i="83" s="1"/>
  <c r="D332" i="83" a="1"/>
  <c r="D332" i="83" s="1"/>
  <c r="C332" i="83"/>
  <c r="B332" i="83"/>
  <c r="C331" i="83"/>
  <c r="B331" i="83"/>
  <c r="D331" i="83" s="1" a="1"/>
  <c r="D331" i="83" s="1"/>
  <c r="C330" i="83"/>
  <c r="B330" i="83"/>
  <c r="D330" i="83" s="1" a="1"/>
  <c r="D330" i="83" s="1"/>
  <c r="C329" i="83"/>
  <c r="B329" i="83"/>
  <c r="D329" i="83" s="1" a="1"/>
  <c r="D329" i="83" s="1"/>
  <c r="C328" i="83"/>
  <c r="B328" i="83"/>
  <c r="D328" i="83" s="1" a="1"/>
  <c r="D328" i="83" s="1"/>
  <c r="C327" i="83"/>
  <c r="B327" i="83"/>
  <c r="D327" i="83" s="1" a="1"/>
  <c r="D327" i="83" s="1"/>
  <c r="C326" i="83"/>
  <c r="B326" i="83"/>
  <c r="D326" i="83" s="1" a="1"/>
  <c r="D326" i="83" s="1"/>
  <c r="C325" i="83"/>
  <c r="B325" i="83"/>
  <c r="D325" i="83" s="1" a="1"/>
  <c r="D325" i="83" s="1"/>
  <c r="D324" i="83" a="1"/>
  <c r="D324" i="83" s="1"/>
  <c r="C324" i="83"/>
  <c r="B324" i="83"/>
  <c r="C323" i="83"/>
  <c r="B323" i="83"/>
  <c r="D323" i="83" s="1" a="1"/>
  <c r="D323" i="83" s="1"/>
  <c r="C322" i="83"/>
  <c r="B322" i="83"/>
  <c r="D322" i="83" s="1" a="1"/>
  <c r="D322" i="83" s="1"/>
  <c r="C321" i="83"/>
  <c r="B321" i="83"/>
  <c r="D321" i="83" s="1" a="1"/>
  <c r="D321" i="83" s="1"/>
  <c r="C320" i="83"/>
  <c r="B320" i="83"/>
  <c r="C319" i="83"/>
  <c r="B319" i="83"/>
  <c r="D319" i="83" s="1" a="1"/>
  <c r="D319" i="83" s="1"/>
  <c r="C318" i="83"/>
  <c r="B318" i="83"/>
  <c r="D318" i="83" s="1" a="1"/>
  <c r="D318" i="83" s="1"/>
  <c r="C317" i="83"/>
  <c r="B317" i="83"/>
  <c r="D317" i="83" s="1" a="1"/>
  <c r="D317" i="83" s="1"/>
  <c r="D316" i="83" a="1"/>
  <c r="D316" i="83" s="1"/>
  <c r="C316" i="83"/>
  <c r="B316" i="83"/>
  <c r="C315" i="83"/>
  <c r="B315" i="83"/>
  <c r="D315" i="83" s="1" a="1"/>
  <c r="D315" i="83" s="1"/>
  <c r="D314" i="83" a="1"/>
  <c r="D314" i="83" s="1"/>
  <c r="C314" i="83"/>
  <c r="B314" i="83"/>
  <c r="C313" i="83"/>
  <c r="B313" i="83"/>
  <c r="D313" i="83" s="1" a="1"/>
  <c r="D313" i="83" s="1"/>
  <c r="C312" i="83"/>
  <c r="B312" i="83"/>
  <c r="D312" i="83" s="1" a="1"/>
  <c r="D312" i="83" s="1"/>
  <c r="C311" i="83"/>
  <c r="B311" i="83"/>
  <c r="D311" i="83" s="1" a="1"/>
  <c r="D311" i="83" s="1"/>
  <c r="C310" i="83"/>
  <c r="B310" i="83"/>
  <c r="D310" i="83" s="1" a="1"/>
  <c r="D310" i="83" s="1"/>
  <c r="C309" i="83"/>
  <c r="B309" i="83"/>
  <c r="D309" i="83" s="1" a="1"/>
  <c r="D309" i="83" s="1"/>
  <c r="D308" i="83" a="1"/>
  <c r="D308" i="83" s="1"/>
  <c r="C308" i="83"/>
  <c r="B308" i="83"/>
  <c r="C307" i="83"/>
  <c r="B307" i="83"/>
  <c r="D307" i="83" s="1" a="1"/>
  <c r="D307" i="83" s="1"/>
  <c r="C306" i="83"/>
  <c r="B306" i="83"/>
  <c r="D306" i="83" s="1" a="1"/>
  <c r="D306" i="83" s="1"/>
  <c r="C305" i="83"/>
  <c r="B305" i="83"/>
  <c r="D305" i="83" s="1" a="1"/>
  <c r="D305" i="83" s="1"/>
  <c r="C304" i="83"/>
  <c r="B304" i="83"/>
  <c r="D304" i="83" s="1" a="1"/>
  <c r="D304" i="83" s="1"/>
  <c r="C303" i="83"/>
  <c r="B303" i="83"/>
  <c r="D303" i="83" s="1" a="1"/>
  <c r="D303" i="83" s="1"/>
  <c r="C302" i="83"/>
  <c r="B302" i="83"/>
  <c r="D302" i="83" s="1" a="1"/>
  <c r="D302" i="83" s="1"/>
  <c r="C301" i="83"/>
  <c r="B301" i="83"/>
  <c r="D301" i="83" s="1" a="1"/>
  <c r="D301" i="83" s="1"/>
  <c r="D300" i="83" a="1"/>
  <c r="D300" i="83" s="1"/>
  <c r="C300" i="83"/>
  <c r="B300" i="83"/>
  <c r="C299" i="83"/>
  <c r="B299" i="83"/>
  <c r="D299" i="83" s="1" a="1"/>
  <c r="D299" i="83" s="1"/>
  <c r="D298" i="83" a="1"/>
  <c r="D298" i="83" s="1"/>
  <c r="C298" i="83"/>
  <c r="B298" i="83"/>
  <c r="C297" i="83"/>
  <c r="B297" i="83"/>
  <c r="D297" i="83" s="1" a="1"/>
  <c r="D297" i="83" s="1"/>
  <c r="C296" i="83"/>
  <c r="B296" i="83"/>
  <c r="D296" i="83" s="1" a="1"/>
  <c r="D296" i="83" s="1"/>
  <c r="C295" i="83"/>
  <c r="B295" i="83"/>
  <c r="D295" i="83" s="1" a="1"/>
  <c r="D295" i="83" s="1"/>
  <c r="C294" i="83"/>
  <c r="B294" i="83"/>
  <c r="D294" i="83" s="1" a="1"/>
  <c r="D294" i="83" s="1"/>
  <c r="C293" i="83"/>
  <c r="B293" i="83"/>
  <c r="D293" i="83" s="1" a="1"/>
  <c r="D293" i="83" s="1"/>
  <c r="D292" i="83" a="1"/>
  <c r="D292" i="83" s="1"/>
  <c r="C292" i="83"/>
  <c r="B292" i="83"/>
  <c r="C291" i="83"/>
  <c r="B291" i="83"/>
  <c r="D291" i="83" s="1" a="1"/>
  <c r="D291" i="83" s="1"/>
  <c r="C290" i="83"/>
  <c r="B290" i="83"/>
  <c r="D290" i="83" s="1" a="1"/>
  <c r="D290" i="83" s="1"/>
  <c r="C289" i="83"/>
  <c r="B289" i="83"/>
  <c r="D289" i="83" s="1" a="1"/>
  <c r="D289" i="83" s="1"/>
  <c r="C288" i="83"/>
  <c r="B288" i="83"/>
  <c r="C287" i="83"/>
  <c r="B287" i="83"/>
  <c r="D287" i="83" s="1" a="1"/>
  <c r="D287" i="83" s="1"/>
  <c r="C286" i="83"/>
  <c r="B286" i="83"/>
  <c r="D286" i="83" s="1" a="1"/>
  <c r="D286" i="83" s="1"/>
  <c r="C285" i="83"/>
  <c r="B285" i="83"/>
  <c r="D285" i="83" s="1" a="1"/>
  <c r="D285" i="83" s="1"/>
  <c r="D284" i="83" a="1"/>
  <c r="D284" i="83" s="1"/>
  <c r="C284" i="83"/>
  <c r="B284" i="83"/>
  <c r="C283" i="83"/>
  <c r="B283" i="83"/>
  <c r="D283" i="83" s="1" a="1"/>
  <c r="D283" i="83" s="1"/>
  <c r="C282" i="83"/>
  <c r="B282" i="83"/>
  <c r="D282" i="83" s="1" a="1"/>
  <c r="D282" i="83" s="1"/>
  <c r="C281" i="83"/>
  <c r="B281" i="83"/>
  <c r="D281" i="83" s="1" a="1"/>
  <c r="D281" i="83" s="1"/>
  <c r="C280" i="83"/>
  <c r="B280" i="83"/>
  <c r="D280" i="83" s="1" a="1"/>
  <c r="D280" i="83" s="1"/>
  <c r="D279" i="83" a="1"/>
  <c r="D279" i="83" s="1"/>
  <c r="C279" i="83"/>
  <c r="B279" i="83"/>
  <c r="C278" i="83"/>
  <c r="B278" i="83"/>
  <c r="D278" i="83" s="1" a="1"/>
  <c r="D278" i="83" s="1"/>
  <c r="C277" i="83"/>
  <c r="D277" i="83" s="1" a="1"/>
  <c r="D277" i="83" s="1"/>
  <c r="B277" i="83"/>
  <c r="C276" i="83"/>
  <c r="B276" i="83"/>
  <c r="D276" i="83" s="1" a="1"/>
  <c r="D276" i="83" s="1"/>
  <c r="D275" i="83" a="1"/>
  <c r="D275" i="83" s="1"/>
  <c r="C275" i="83"/>
  <c r="B275" i="83"/>
  <c r="C274" i="83"/>
  <c r="B274" i="83"/>
  <c r="D274" i="83" s="1" a="1"/>
  <c r="D274" i="83" s="1"/>
  <c r="C273" i="83"/>
  <c r="D273" i="83" s="1" a="1"/>
  <c r="D273" i="83" s="1"/>
  <c r="B273" i="83"/>
  <c r="D272" i="83"/>
  <c r="C272" i="83"/>
  <c r="B272" i="83"/>
  <c r="D272" i="83" s="1" a="1"/>
  <c r="C271" i="83"/>
  <c r="B271" i="83"/>
  <c r="D271" i="83" s="1" a="1"/>
  <c r="D271" i="83" s="1"/>
  <c r="D270" i="83" a="1"/>
  <c r="D270" i="83" s="1"/>
  <c r="C270" i="83"/>
  <c r="B270" i="83"/>
  <c r="C269" i="83"/>
  <c r="B269" i="83"/>
  <c r="D269" i="83" s="1" a="1"/>
  <c r="D269" i="83" s="1"/>
  <c r="C268" i="83"/>
  <c r="D268" i="83" s="1" a="1"/>
  <c r="D268" i="83" s="1"/>
  <c r="B268" i="83"/>
  <c r="C267" i="83"/>
  <c r="B267" i="83"/>
  <c r="D267" i="83" s="1" a="1"/>
  <c r="D267" i="83" s="1"/>
  <c r="C266" i="83"/>
  <c r="B266" i="83"/>
  <c r="D266" i="83" s="1" a="1"/>
  <c r="D266" i="83" s="1"/>
  <c r="C265" i="83"/>
  <c r="B265" i="83"/>
  <c r="D265" i="83" s="1" a="1"/>
  <c r="D265" i="83" s="1"/>
  <c r="D264" i="83" a="1"/>
  <c r="D264" i="83" s="1"/>
  <c r="C264" i="83"/>
  <c r="B264" i="83"/>
  <c r="D263" i="83" a="1"/>
  <c r="D263" i="83" s="1"/>
  <c r="C263" i="83"/>
  <c r="B263" i="83"/>
  <c r="C262" i="83"/>
  <c r="B262" i="83"/>
  <c r="D262" i="83" s="1" a="1"/>
  <c r="D262" i="83" s="1"/>
  <c r="D261" i="83" a="1"/>
  <c r="D261" i="83" s="1"/>
  <c r="C261" i="83"/>
  <c r="B261" i="83"/>
  <c r="C260" i="83"/>
  <c r="B260" i="83"/>
  <c r="D260" i="83" s="1" a="1"/>
  <c r="D260" i="83" s="1"/>
  <c r="C259" i="83"/>
  <c r="B259" i="83"/>
  <c r="D259" i="83" s="1" a="1"/>
  <c r="D259" i="83" s="1"/>
  <c r="C258" i="83"/>
  <c r="B258" i="83"/>
  <c r="D258" i="83" s="1" a="1"/>
  <c r="D258" i="83" s="1"/>
  <c r="C257" i="83"/>
  <c r="B257" i="83"/>
  <c r="D257" i="83" s="1" a="1"/>
  <c r="D257" i="83" s="1"/>
  <c r="C256" i="83"/>
  <c r="B256" i="83"/>
  <c r="D256" i="83" s="1" a="1"/>
  <c r="D256" i="83" s="1"/>
  <c r="C255" i="83"/>
  <c r="B255" i="83"/>
  <c r="D255" i="83" s="1" a="1"/>
  <c r="D255" i="83" s="1"/>
  <c r="D254" i="83" a="1"/>
  <c r="D254" i="83" s="1"/>
  <c r="C254" i="83"/>
  <c r="B254" i="83"/>
  <c r="C253" i="83"/>
  <c r="B253" i="83"/>
  <c r="D253" i="83" s="1" a="1"/>
  <c r="D253" i="83" s="1"/>
  <c r="D252" i="83" a="1"/>
  <c r="D252" i="83" s="1"/>
  <c r="C252" i="83"/>
  <c r="B252" i="83"/>
  <c r="C251" i="83"/>
  <c r="B251" i="83"/>
  <c r="D251" i="83" s="1" a="1"/>
  <c r="D251" i="83" s="1"/>
  <c r="D250" i="83" a="1"/>
  <c r="D250" i="83" s="1"/>
  <c r="C250" i="83"/>
  <c r="B250" i="83"/>
  <c r="C249" i="83"/>
  <c r="B249" i="83"/>
  <c r="D249" i="83" s="1" a="1"/>
  <c r="D249" i="83" s="1"/>
  <c r="C248" i="83"/>
  <c r="B248" i="83"/>
  <c r="D248" i="83" s="1" a="1"/>
  <c r="D248" i="83" s="1"/>
  <c r="D247" i="83" a="1"/>
  <c r="D247" i="83" s="1"/>
  <c r="C247" i="83"/>
  <c r="B247" i="83"/>
  <c r="C246" i="83"/>
  <c r="B246" i="83"/>
  <c r="D246" i="83" s="1" a="1"/>
  <c r="D246" i="83" s="1"/>
  <c r="C245" i="83"/>
  <c r="D245" i="83" s="1" a="1"/>
  <c r="D245" i="83" s="1"/>
  <c r="B245" i="83"/>
  <c r="C244" i="83"/>
  <c r="B244" i="83"/>
  <c r="D244" i="83" s="1" a="1"/>
  <c r="D244" i="83" s="1"/>
  <c r="D243" i="83" a="1"/>
  <c r="D243" i="83" s="1"/>
  <c r="C243" i="83"/>
  <c r="B243" i="83"/>
  <c r="C242" i="83"/>
  <c r="B242" i="83"/>
  <c r="D242" i="83" s="1" a="1"/>
  <c r="D242" i="83" s="1"/>
  <c r="C241" i="83"/>
  <c r="B241" i="83"/>
  <c r="D241" i="83" s="1" a="1"/>
  <c r="D241" i="83" s="1"/>
  <c r="C240" i="83"/>
  <c r="B240" i="83"/>
  <c r="D240" i="83" s="1" a="1"/>
  <c r="D240" i="83" s="1"/>
  <c r="C239" i="83"/>
  <c r="B239" i="83"/>
  <c r="D239" i="83" s="1" a="1"/>
  <c r="D239" i="83" s="1"/>
  <c r="D238" i="83" a="1"/>
  <c r="D238" i="83" s="1"/>
  <c r="C238" i="83"/>
  <c r="B238" i="83"/>
  <c r="C237" i="83"/>
  <c r="B237" i="83"/>
  <c r="D237" i="83" s="1" a="1"/>
  <c r="D237" i="83" s="1"/>
  <c r="C236" i="83"/>
  <c r="D236" i="83" s="1" a="1"/>
  <c r="D236" i="83" s="1"/>
  <c r="B236" i="83"/>
  <c r="C235" i="83"/>
  <c r="B235" i="83"/>
  <c r="D235" i="83" s="1" a="1"/>
  <c r="D235" i="83" s="1"/>
  <c r="C234" i="83"/>
  <c r="B234" i="83"/>
  <c r="D234" i="83" s="1" a="1"/>
  <c r="D234" i="83" s="1"/>
  <c r="C233" i="83"/>
  <c r="B233" i="83"/>
  <c r="D233" i="83" s="1" a="1"/>
  <c r="D233" i="83" s="1"/>
  <c r="C232" i="83"/>
  <c r="D232" i="83" s="1" a="1"/>
  <c r="D232" i="83" s="1"/>
  <c r="B232" i="83"/>
  <c r="D231" i="83" a="1"/>
  <c r="D231" i="83" s="1"/>
  <c r="C231" i="83"/>
  <c r="B231" i="83"/>
  <c r="C230" i="83"/>
  <c r="B230" i="83"/>
  <c r="D230" i="83" s="1" a="1"/>
  <c r="D230" i="83" s="1"/>
  <c r="C229" i="83"/>
  <c r="D229" i="83" s="1" a="1"/>
  <c r="D229" i="83" s="1"/>
  <c r="B229" i="83"/>
  <c r="C228" i="83"/>
  <c r="B228" i="83"/>
  <c r="D228" i="83" s="1" a="1"/>
  <c r="D228" i="83" s="1"/>
  <c r="C227" i="83"/>
  <c r="B227" i="83"/>
  <c r="C226" i="83"/>
  <c r="B226" i="83"/>
  <c r="D226" i="83" s="1" a="1"/>
  <c r="D226" i="83" s="1"/>
  <c r="D225" i="83" a="1"/>
  <c r="D225" i="83" s="1"/>
  <c r="C225" i="83"/>
  <c r="B225" i="83"/>
  <c r="C224" i="83"/>
  <c r="B224" i="83"/>
  <c r="D224" i="83" s="1" a="1"/>
  <c r="D224" i="83" s="1"/>
  <c r="C223" i="83"/>
  <c r="B223" i="83"/>
  <c r="D223" i="83" s="1" a="1"/>
  <c r="D223" i="83" s="1"/>
  <c r="D222" i="83" a="1"/>
  <c r="D222" i="83" s="1"/>
  <c r="C222" i="83"/>
  <c r="B222" i="83"/>
  <c r="C221" i="83"/>
  <c r="B221" i="83"/>
  <c r="D221" i="83" s="1" a="1"/>
  <c r="D221" i="83" s="1"/>
  <c r="D220" i="83" a="1"/>
  <c r="D220" i="83" s="1"/>
  <c r="C220" i="83"/>
  <c r="B220" i="83"/>
  <c r="C219" i="83"/>
  <c r="B219" i="83"/>
  <c r="D219" i="83" s="1" a="1"/>
  <c r="D219" i="83" s="1"/>
  <c r="D218" i="83" a="1"/>
  <c r="D218" i="83" s="1"/>
  <c r="C218" i="83"/>
  <c r="B218" i="83"/>
  <c r="C217" i="83"/>
  <c r="B217" i="83"/>
  <c r="D217" i="83" s="1" a="1"/>
  <c r="D217" i="83" s="1"/>
  <c r="C216" i="83"/>
  <c r="B216" i="83"/>
  <c r="D216" i="83" s="1" a="1"/>
  <c r="D216" i="83" s="1"/>
  <c r="D215" i="83" a="1"/>
  <c r="D215" i="83" s="1"/>
  <c r="C215" i="83"/>
  <c r="B215" i="83"/>
  <c r="C214" i="83"/>
  <c r="B214" i="83"/>
  <c r="C213" i="83"/>
  <c r="D213" i="83" s="1" a="1"/>
  <c r="D213" i="83" s="1"/>
  <c r="B213" i="83"/>
  <c r="C212" i="83"/>
  <c r="B212" i="83"/>
  <c r="D212" i="83" s="1" a="1"/>
  <c r="D212" i="83" s="1"/>
  <c r="D211" i="83" a="1"/>
  <c r="D211" i="83" s="1"/>
  <c r="C211" i="83"/>
  <c r="B211" i="83"/>
  <c r="C210" i="83"/>
  <c r="B210" i="83"/>
  <c r="D210" i="83" s="1" a="1"/>
  <c r="D210" i="83" s="1"/>
  <c r="D209" i="83" a="1"/>
  <c r="D209" i="83" s="1"/>
  <c r="C209" i="83"/>
  <c r="B209" i="83"/>
  <c r="C208" i="83"/>
  <c r="B208" i="83"/>
  <c r="D208" i="83" s="1" a="1"/>
  <c r="D208" i="83" s="1"/>
  <c r="C207" i="83"/>
  <c r="B207" i="83"/>
  <c r="D207" i="83" s="1" a="1"/>
  <c r="D207" i="83" s="1"/>
  <c r="D206" i="83" a="1"/>
  <c r="D206" i="83" s="1"/>
  <c r="C206" i="83"/>
  <c r="B206" i="83"/>
  <c r="C205" i="83"/>
  <c r="B205" i="83"/>
  <c r="D205" i="83" s="1" a="1"/>
  <c r="D205" i="83" s="1"/>
  <c r="C204" i="83"/>
  <c r="D204" i="83" s="1" a="1"/>
  <c r="D204" i="83" s="1"/>
  <c r="B204" i="83"/>
  <c r="C203" i="83"/>
  <c r="B203" i="83"/>
  <c r="D203" i="83" s="1" a="1"/>
  <c r="D203" i="83" s="1"/>
  <c r="C202" i="83"/>
  <c r="B202" i="83"/>
  <c r="D202" i="83" s="1" a="1"/>
  <c r="D202" i="83" s="1"/>
  <c r="C201" i="83"/>
  <c r="B201" i="83"/>
  <c r="D201" i="83" s="1" a="1"/>
  <c r="D201" i="83" s="1"/>
  <c r="C200" i="83"/>
  <c r="D200" i="83" s="1" a="1"/>
  <c r="D200" i="83" s="1"/>
  <c r="B200" i="83"/>
  <c r="D199" i="83" a="1"/>
  <c r="D199" i="83" s="1"/>
  <c r="C199" i="83"/>
  <c r="B199" i="83"/>
  <c r="C198" i="83"/>
  <c r="B198" i="83"/>
  <c r="D198" i="83" s="1" a="1"/>
  <c r="D198" i="83" s="1"/>
  <c r="C197" i="83"/>
  <c r="D197" i="83" s="1" a="1"/>
  <c r="D197" i="83" s="1"/>
  <c r="B197" i="83"/>
  <c r="C196" i="83"/>
  <c r="B196" i="83"/>
  <c r="D196" i="83" s="1" a="1"/>
  <c r="D196" i="83" s="1"/>
  <c r="C195" i="83"/>
  <c r="B195" i="83"/>
  <c r="C194" i="83"/>
  <c r="B194" i="83"/>
  <c r="D194" i="83" s="1" a="1"/>
  <c r="D194" i="83" s="1"/>
  <c r="D193" i="83" a="1"/>
  <c r="D193" i="83" s="1"/>
  <c r="C193" i="83"/>
  <c r="B193" i="83"/>
  <c r="C192" i="83"/>
  <c r="B192" i="83"/>
  <c r="D192" i="83" s="1" a="1"/>
  <c r="D192" i="83" s="1"/>
  <c r="C191" i="83"/>
  <c r="B191" i="83"/>
  <c r="D191" i="83" s="1" a="1"/>
  <c r="D191" i="83" s="1"/>
  <c r="D190" i="83" a="1"/>
  <c r="D190" i="83" s="1"/>
  <c r="C190" i="83"/>
  <c r="B190" i="83"/>
  <c r="C189" i="83"/>
  <c r="B189" i="83"/>
  <c r="D189" i="83" s="1" a="1"/>
  <c r="D189" i="83" s="1"/>
  <c r="D188" i="83" a="1"/>
  <c r="D188" i="83" s="1"/>
  <c r="C188" i="83"/>
  <c r="B188" i="83"/>
  <c r="C187" i="83"/>
  <c r="B187" i="83"/>
  <c r="D187" i="83" s="1" a="1"/>
  <c r="D187" i="83" s="1"/>
  <c r="D186" i="83" a="1"/>
  <c r="D186" i="83" s="1"/>
  <c r="C186" i="83"/>
  <c r="B186" i="83"/>
  <c r="C185" i="83"/>
  <c r="B185" i="83"/>
  <c r="D185" i="83" s="1" a="1"/>
  <c r="D185" i="83" s="1"/>
  <c r="C184" i="83"/>
  <c r="B184" i="83"/>
  <c r="D184" i="83" s="1" a="1"/>
  <c r="D184" i="83" s="1"/>
  <c r="D183" i="83" a="1"/>
  <c r="D183" i="83" s="1"/>
  <c r="C183" i="83"/>
  <c r="B183" i="83"/>
  <c r="C182" i="83"/>
  <c r="B182" i="83"/>
  <c r="C181" i="83"/>
  <c r="D181" i="83" s="1" a="1"/>
  <c r="D181" i="83" s="1"/>
  <c r="B181" i="83"/>
  <c r="C180" i="83"/>
  <c r="B180" i="83"/>
  <c r="D180" i="83" s="1" a="1"/>
  <c r="D180" i="83" s="1"/>
  <c r="D179" i="83" a="1"/>
  <c r="D179" i="83" s="1"/>
  <c r="C179" i="83"/>
  <c r="B179" i="83"/>
  <c r="C178" i="83"/>
  <c r="B178" i="83"/>
  <c r="D178" i="83" s="1" a="1"/>
  <c r="D178" i="83" s="1"/>
  <c r="D177" i="83" a="1"/>
  <c r="D177" i="83" s="1"/>
  <c r="C177" i="83"/>
  <c r="B177" i="83"/>
  <c r="C176" i="83"/>
  <c r="B176" i="83"/>
  <c r="D176" i="83" s="1" a="1"/>
  <c r="D176" i="83" s="1"/>
  <c r="C175" i="83"/>
  <c r="B175" i="83"/>
  <c r="D175" i="83" s="1" a="1"/>
  <c r="D175" i="83" s="1"/>
  <c r="C174" i="83"/>
  <c r="B174" i="83"/>
  <c r="D174" i="83" s="1" a="1"/>
  <c r="D174" i="83" s="1"/>
  <c r="D173" i="83" a="1"/>
  <c r="D173" i="83" s="1"/>
  <c r="C173" i="83"/>
  <c r="B173" i="83"/>
  <c r="C172" i="83"/>
  <c r="B172" i="83"/>
  <c r="D172" i="83" s="1" a="1"/>
  <c r="D172" i="83" s="1"/>
  <c r="D171" i="83" a="1"/>
  <c r="D171" i="83" s="1"/>
  <c r="C171" i="83"/>
  <c r="B171" i="83"/>
  <c r="C170" i="83"/>
  <c r="B170" i="83"/>
  <c r="D170" i="83" s="1" a="1"/>
  <c r="D170" i="83" s="1"/>
  <c r="C169" i="83"/>
  <c r="B169" i="83"/>
  <c r="D169" i="83" s="1" a="1"/>
  <c r="D169" i="83" s="1"/>
  <c r="C168" i="83"/>
  <c r="B168" i="83"/>
  <c r="D168" i="83" s="1" a="1"/>
  <c r="D168" i="83" s="1"/>
  <c r="C167" i="83"/>
  <c r="B167" i="83"/>
  <c r="D167" i="83" s="1" a="1"/>
  <c r="D167" i="83" s="1"/>
  <c r="C166" i="83"/>
  <c r="B166" i="83"/>
  <c r="D166" i="83" s="1" a="1"/>
  <c r="D166" i="83" s="1"/>
  <c r="D165" i="83" a="1"/>
  <c r="D165" i="83" s="1"/>
  <c r="C165" i="83"/>
  <c r="B165" i="83"/>
  <c r="C164" i="83"/>
  <c r="B164" i="83"/>
  <c r="D164" i="83" s="1" a="1"/>
  <c r="D164" i="83" s="1"/>
  <c r="C163" i="83"/>
  <c r="D163" i="83" s="1" a="1"/>
  <c r="D163" i="83" s="1"/>
  <c r="B163" i="83"/>
  <c r="C162" i="83"/>
  <c r="B162" i="83"/>
  <c r="D162" i="83" s="1" a="1"/>
  <c r="D162" i="83" s="1"/>
  <c r="C161" i="83"/>
  <c r="D161" i="83" s="1" a="1"/>
  <c r="D161" i="83" s="1"/>
  <c r="B161" i="83"/>
  <c r="C160" i="83"/>
  <c r="B160" i="83"/>
  <c r="D160" i="83" s="1" a="1"/>
  <c r="D160" i="83" s="1"/>
  <c r="C159" i="83"/>
  <c r="B159" i="83"/>
  <c r="D159" i="83" s="1" a="1"/>
  <c r="D159" i="83" s="1"/>
  <c r="C158" i="83"/>
  <c r="B158" i="83"/>
  <c r="D158" i="83" s="1" a="1"/>
  <c r="D158" i="83" s="1"/>
  <c r="C157" i="83"/>
  <c r="B157" i="83"/>
  <c r="C156" i="83"/>
  <c r="B156" i="83"/>
  <c r="C155" i="83"/>
  <c r="B155" i="83"/>
  <c r="C154" i="83"/>
  <c r="B154" i="83"/>
  <c r="C153" i="83"/>
  <c r="B153" i="83"/>
  <c r="D153" i="83" s="1" a="1"/>
  <c r="D153" i="83" s="1"/>
  <c r="C152" i="83"/>
  <c r="B152" i="83"/>
  <c r="C151" i="83"/>
  <c r="B151" i="83"/>
  <c r="C150" i="83"/>
  <c r="B150" i="83"/>
  <c r="C149" i="83"/>
  <c r="B149" i="83"/>
  <c r="C148" i="83"/>
  <c r="B148" i="83"/>
  <c r="C147" i="83"/>
  <c r="B147" i="83"/>
  <c r="C146" i="83"/>
  <c r="B146" i="83"/>
  <c r="D146" i="83" s="1" a="1"/>
  <c r="D146" i="83" s="1"/>
  <c r="C145" i="83"/>
  <c r="B145" i="83"/>
  <c r="C144" i="83"/>
  <c r="B144" i="83"/>
  <c r="C143" i="83"/>
  <c r="B143" i="83"/>
  <c r="C142" i="83"/>
  <c r="B142" i="83"/>
  <c r="D142" i="83" s="1" a="1"/>
  <c r="D142" i="83" s="1"/>
  <c r="D141" i="83" a="1"/>
  <c r="D141" i="83" s="1"/>
  <c r="C141" i="83"/>
  <c r="B141" i="83"/>
  <c r="C140" i="83"/>
  <c r="B140" i="83"/>
  <c r="C139" i="83"/>
  <c r="D139" i="83" s="1" a="1"/>
  <c r="D139" i="83" s="1"/>
  <c r="B139" i="83"/>
  <c r="C138" i="83"/>
  <c r="B138" i="83"/>
  <c r="C137" i="83"/>
  <c r="D137" i="83" s="1" a="1"/>
  <c r="D137" i="83" s="1"/>
  <c r="B137" i="83"/>
  <c r="C136" i="83"/>
  <c r="B136" i="83"/>
  <c r="C135" i="83"/>
  <c r="B135" i="83"/>
  <c r="C134" i="83"/>
  <c r="B134" i="83"/>
  <c r="D134" i="83" s="1" a="1"/>
  <c r="D134" i="83" s="1"/>
  <c r="C133" i="83"/>
  <c r="B133" i="83"/>
  <c r="C132" i="83"/>
  <c r="B132" i="83"/>
  <c r="C131" i="83"/>
  <c r="B131" i="83"/>
  <c r="C130" i="83"/>
  <c r="B130" i="83"/>
  <c r="D129" i="83" a="1"/>
  <c r="D129" i="83" s="1"/>
  <c r="C129" i="83"/>
  <c r="B129" i="83"/>
  <c r="C128" i="83"/>
  <c r="B128" i="83"/>
  <c r="C127" i="83"/>
  <c r="B127" i="83"/>
  <c r="D127" i="83" s="1" a="1"/>
  <c r="D127" i="83" s="1"/>
  <c r="C126" i="83"/>
  <c r="B126" i="83"/>
  <c r="C125" i="83"/>
  <c r="B125" i="83"/>
  <c r="C124" i="83"/>
  <c r="B124" i="83"/>
  <c r="C123" i="83"/>
  <c r="B123" i="83"/>
  <c r="C122" i="83"/>
  <c r="B122" i="83"/>
  <c r="D122" i="83" s="1" a="1"/>
  <c r="D122" i="83" s="1"/>
  <c r="C121" i="83"/>
  <c r="B121" i="83"/>
  <c r="C120" i="83"/>
  <c r="B120" i="83"/>
  <c r="C119" i="83"/>
  <c r="B119" i="83"/>
  <c r="C118" i="83"/>
  <c r="B118" i="83"/>
  <c r="D117" i="83" a="1"/>
  <c r="D117" i="83" s="1"/>
  <c r="C117" i="83"/>
  <c r="B117" i="83"/>
  <c r="C116" i="83"/>
  <c r="B116" i="83"/>
  <c r="C115" i="83"/>
  <c r="B115" i="83"/>
  <c r="C114" i="83"/>
  <c r="B114" i="83"/>
  <c r="C113" i="83"/>
  <c r="B113" i="83"/>
  <c r="D113" i="83" s="1" a="1"/>
  <c r="D113" i="83" s="1"/>
  <c r="C112" i="83"/>
  <c r="B112" i="83"/>
  <c r="C111" i="83"/>
  <c r="B111" i="83"/>
  <c r="D111" i="83" s="1" a="1"/>
  <c r="D111" i="83" s="1"/>
  <c r="C110" i="83"/>
  <c r="B110" i="83"/>
  <c r="D110" i="83" s="1" a="1"/>
  <c r="D110" i="83" s="1"/>
  <c r="C109" i="83"/>
  <c r="B109" i="83"/>
  <c r="C108" i="83"/>
  <c r="B108" i="83"/>
  <c r="C107" i="83"/>
  <c r="B107" i="83"/>
  <c r="C106" i="83"/>
  <c r="B106" i="83"/>
  <c r="D105" i="83" a="1"/>
  <c r="D105" i="83" s="1"/>
  <c r="C105" i="83"/>
  <c r="B105" i="83"/>
  <c r="C104" i="83"/>
  <c r="B104" i="83"/>
  <c r="C103" i="83"/>
  <c r="B103" i="83"/>
  <c r="C102" i="83"/>
  <c r="B102" i="83"/>
  <c r="C101" i="83"/>
  <c r="B101" i="83"/>
  <c r="C100" i="83"/>
  <c r="B100" i="83"/>
  <c r="C99" i="83"/>
  <c r="B99" i="83"/>
  <c r="C98" i="83"/>
  <c r="B98" i="83"/>
  <c r="C97" i="83"/>
  <c r="B97" i="83"/>
  <c r="D97" i="83" s="1" a="1"/>
  <c r="D97" i="83" s="1"/>
  <c r="C96" i="83"/>
  <c r="B96" i="83"/>
  <c r="C95" i="83"/>
  <c r="B95" i="83"/>
  <c r="D95" i="83" s="1" a="1"/>
  <c r="D95" i="83" s="1"/>
  <c r="C94" i="83"/>
  <c r="B94" i="83"/>
  <c r="C93" i="83"/>
  <c r="B93" i="83"/>
  <c r="C92" i="83"/>
  <c r="B92" i="83"/>
  <c r="C91" i="83"/>
  <c r="B91" i="83"/>
  <c r="C90" i="83"/>
  <c r="B90" i="83"/>
  <c r="C89" i="83"/>
  <c r="B89" i="83"/>
  <c r="C88" i="83"/>
  <c r="B88" i="83"/>
  <c r="C87" i="83"/>
  <c r="B87" i="83"/>
  <c r="C86" i="83"/>
  <c r="B86" i="83"/>
  <c r="C85" i="83"/>
  <c r="B85" i="83"/>
  <c r="C84" i="83"/>
  <c r="B84" i="83"/>
  <c r="C83" i="83"/>
  <c r="B83" i="83"/>
  <c r="C82" i="83"/>
  <c r="B82" i="83"/>
  <c r="C81" i="83"/>
  <c r="B81" i="83"/>
  <c r="C80" i="83"/>
  <c r="B80" i="83"/>
  <c r="C79" i="83"/>
  <c r="B79" i="83"/>
  <c r="C78" i="83"/>
  <c r="B78" i="83"/>
  <c r="C77" i="83"/>
  <c r="B77" i="83"/>
  <c r="C76" i="83"/>
  <c r="B76" i="83"/>
  <c r="C75" i="83"/>
  <c r="B75" i="83"/>
  <c r="C74" i="83"/>
  <c r="B74" i="83"/>
  <c r="C73" i="83"/>
  <c r="B73" i="83"/>
  <c r="C72" i="83"/>
  <c r="B72" i="83"/>
  <c r="C71" i="83"/>
  <c r="B71" i="83"/>
  <c r="C70" i="83"/>
  <c r="B70" i="83"/>
  <c r="C69" i="83"/>
  <c r="B69" i="83"/>
  <c r="C68" i="83"/>
  <c r="B68" i="83"/>
  <c r="C67" i="83"/>
  <c r="B67" i="83"/>
  <c r="C66" i="83"/>
  <c r="B66" i="83"/>
  <c r="C65" i="83"/>
  <c r="B65" i="83"/>
  <c r="C64" i="83"/>
  <c r="B64" i="83"/>
  <c r="C63" i="83"/>
  <c r="B63" i="83"/>
  <c r="C62" i="83"/>
  <c r="B62" i="83"/>
  <c r="C61" i="83"/>
  <c r="B61" i="83"/>
  <c r="C60" i="83"/>
  <c r="B60" i="83"/>
  <c r="C59" i="83"/>
  <c r="B59" i="83"/>
  <c r="C58" i="83"/>
  <c r="B58" i="83"/>
  <c r="C57" i="83"/>
  <c r="B57" i="83"/>
  <c r="C56" i="83"/>
  <c r="B56" i="83"/>
  <c r="C55" i="83"/>
  <c r="B55" i="83"/>
  <c r="C54" i="83"/>
  <c r="B54" i="83"/>
  <c r="C53" i="83"/>
  <c r="B53" i="83"/>
  <c r="C52" i="83"/>
  <c r="B52" i="83"/>
  <c r="C51" i="83"/>
  <c r="B51" i="83"/>
  <c r="C50" i="83"/>
  <c r="B50" i="83"/>
  <c r="C49" i="83"/>
  <c r="B49" i="83"/>
  <c r="C48" i="83"/>
  <c r="B48" i="83"/>
  <c r="C47" i="83"/>
  <c r="B47" i="83"/>
  <c r="C46" i="83"/>
  <c r="B46" i="83"/>
  <c r="C45" i="83"/>
  <c r="B45" i="83"/>
  <c r="C44" i="83"/>
  <c r="B44" i="83"/>
  <c r="D44" i="83" s="1" a="1"/>
  <c r="D44" i="83" s="1"/>
  <c r="C43" i="83"/>
  <c r="B43" i="83"/>
  <c r="C42" i="83"/>
  <c r="B42" i="83"/>
  <c r="C41" i="83"/>
  <c r="B41" i="83"/>
  <c r="C40" i="83"/>
  <c r="B40" i="83"/>
  <c r="C39" i="83"/>
  <c r="B39" i="83"/>
  <c r="C38" i="83"/>
  <c r="B38" i="83"/>
  <c r="C37" i="83"/>
  <c r="B37" i="83"/>
  <c r="C36" i="83"/>
  <c r="B36" i="83"/>
  <c r="C35" i="83"/>
  <c r="B35" i="83"/>
  <c r="C34" i="83"/>
  <c r="B34" i="83"/>
  <c r="C33" i="83"/>
  <c r="B33" i="83"/>
  <c r="C32" i="83"/>
  <c r="B32" i="83"/>
  <c r="C31" i="83"/>
  <c r="B31" i="83"/>
  <c r="C30" i="83"/>
  <c r="B30" i="83"/>
  <c r="C29" i="83"/>
  <c r="B29" i="83"/>
  <c r="C28" i="83"/>
  <c r="B28" i="83"/>
  <c r="C27" i="83"/>
  <c r="B27" i="83"/>
  <c r="C26" i="83"/>
  <c r="B26" i="83"/>
  <c r="C25" i="83"/>
  <c r="B25" i="83"/>
  <c r="C24" i="83"/>
  <c r="B24" i="83"/>
  <c r="C23" i="83"/>
  <c r="B23" i="83"/>
  <c r="C22" i="83"/>
  <c r="B22" i="83"/>
  <c r="C21" i="83"/>
  <c r="B21" i="83"/>
  <c r="C20" i="83"/>
  <c r="B20" i="83"/>
  <c r="C19" i="83"/>
  <c r="B19" i="83"/>
  <c r="C18" i="83"/>
  <c r="B18" i="83"/>
  <c r="C17" i="83"/>
  <c r="B17" i="83"/>
  <c r="C16" i="83"/>
  <c r="B16" i="83"/>
  <c r="C15" i="83"/>
  <c r="B15" i="83"/>
  <c r="C14" i="83"/>
  <c r="B14" i="83"/>
  <c r="C13" i="83"/>
  <c r="B13" i="83"/>
  <c r="C12" i="83"/>
  <c r="B12" i="83"/>
  <c r="C11" i="83"/>
  <c r="B11" i="83"/>
  <c r="C10" i="83"/>
  <c r="B10" i="83"/>
  <c r="C9" i="83"/>
  <c r="B9" i="83"/>
  <c r="C8" i="83"/>
  <c r="B8" i="83"/>
  <c r="C7" i="83"/>
  <c r="B7" i="83"/>
  <c r="C6" i="83"/>
  <c r="B6" i="83"/>
  <c r="C5" i="83"/>
  <c r="D5" i="83" s="1" a="1"/>
  <c r="D5" i="83" s="1"/>
  <c r="B5" i="83"/>
  <c r="C4" i="83"/>
  <c r="B4" i="83"/>
  <c r="D4" i="83" s="1" a="1"/>
  <c r="D4" i="83" s="1"/>
  <c r="C3" i="83"/>
  <c r="B3" i="83"/>
  <c r="C99" i="82"/>
  <c r="B99" i="82"/>
  <c r="C98" i="82"/>
  <c r="B98" i="82"/>
  <c r="C97" i="82"/>
  <c r="B97" i="82"/>
  <c r="C96" i="82"/>
  <c r="B96" i="82"/>
  <c r="C95" i="82"/>
  <c r="B95" i="82"/>
  <c r="C94" i="82"/>
  <c r="B94" i="82"/>
  <c r="C93" i="82"/>
  <c r="B93" i="82"/>
  <c r="C92" i="82"/>
  <c r="B92" i="82"/>
  <c r="C91" i="82"/>
  <c r="B91" i="82"/>
  <c r="C90" i="82"/>
  <c r="B90" i="82"/>
  <c r="C89" i="82"/>
  <c r="B89" i="82"/>
  <c r="C88" i="82"/>
  <c r="B88" i="82"/>
  <c r="C87" i="82"/>
  <c r="B87" i="82"/>
  <c r="C86" i="82"/>
  <c r="B86" i="82"/>
  <c r="C85" i="82"/>
  <c r="B85" i="82"/>
  <c r="C84" i="82"/>
  <c r="B84" i="82"/>
  <c r="C83" i="82"/>
  <c r="B83" i="82"/>
  <c r="C82" i="82"/>
  <c r="B82" i="82"/>
  <c r="C81" i="82"/>
  <c r="B81" i="82"/>
  <c r="C80" i="82"/>
  <c r="B80" i="82"/>
  <c r="C79" i="82"/>
  <c r="B79" i="82"/>
  <c r="C78" i="82"/>
  <c r="B78" i="82"/>
  <c r="C77" i="82"/>
  <c r="B77" i="82"/>
  <c r="C76" i="82"/>
  <c r="B76" i="82"/>
  <c r="C75" i="82"/>
  <c r="B75" i="82"/>
  <c r="C74" i="82"/>
  <c r="B74" i="82"/>
  <c r="C73" i="82"/>
  <c r="B73" i="82"/>
  <c r="C72" i="82"/>
  <c r="B72" i="82"/>
  <c r="C71" i="82"/>
  <c r="B71" i="82"/>
  <c r="C70" i="82"/>
  <c r="B70" i="82"/>
  <c r="C69" i="82"/>
  <c r="B69" i="82"/>
  <c r="C68" i="82"/>
  <c r="B68" i="82"/>
  <c r="C67" i="82"/>
  <c r="B67" i="82"/>
  <c r="C66" i="82"/>
  <c r="B66" i="82"/>
  <c r="C65" i="82"/>
  <c r="B65" i="82"/>
  <c r="C64" i="82"/>
  <c r="B64" i="82"/>
  <c r="C63" i="82"/>
  <c r="B63" i="82"/>
  <c r="C62" i="82"/>
  <c r="B62" i="82"/>
  <c r="C61" i="82"/>
  <c r="B61" i="82"/>
  <c r="C60" i="82"/>
  <c r="B60" i="82"/>
  <c r="J59" i="82"/>
  <c r="G59" i="82"/>
  <c r="C59" i="82"/>
  <c r="B59" i="82"/>
  <c r="J58" i="82"/>
  <c r="I58" i="82"/>
  <c r="H58" i="82"/>
  <c r="G58" i="82"/>
  <c r="C58" i="82"/>
  <c r="B58" i="82"/>
  <c r="J57" i="82"/>
  <c r="I57" i="82"/>
  <c r="H57" i="82"/>
  <c r="G57" i="82"/>
  <c r="C57" i="82"/>
  <c r="B57" i="82"/>
  <c r="J56" i="82"/>
  <c r="D149" i="83" s="1" a="1"/>
  <c r="D149" i="83" s="1"/>
  <c r="G56" i="82"/>
  <c r="C56" i="82"/>
  <c r="B56" i="82"/>
  <c r="J55" i="82"/>
  <c r="G55" i="82"/>
  <c r="C55" i="82"/>
  <c r="B55" i="82"/>
  <c r="J54" i="82"/>
  <c r="I54" i="82"/>
  <c r="H54" i="82"/>
  <c r="G54" i="82"/>
  <c r="C54" i="82"/>
  <c r="B54" i="82"/>
  <c r="J53" i="82"/>
  <c r="I53" i="82"/>
  <c r="H53" i="82"/>
  <c r="G53" i="82"/>
  <c r="C53" i="82"/>
  <c r="B53" i="82"/>
  <c r="J52" i="82"/>
  <c r="H52" i="82"/>
  <c r="G52" i="82"/>
  <c r="I52" i="82" s="1"/>
  <c r="C52" i="82"/>
  <c r="B52" i="82"/>
  <c r="J51" i="82"/>
  <c r="G51" i="82"/>
  <c r="C51" i="82"/>
  <c r="B51" i="82"/>
  <c r="J50" i="82"/>
  <c r="I50" i="82"/>
  <c r="H50" i="82"/>
  <c r="G50" i="82"/>
  <c r="C50" i="82"/>
  <c r="B50" i="82"/>
  <c r="J49" i="82"/>
  <c r="I49" i="82"/>
  <c r="H49" i="82"/>
  <c r="G49" i="82"/>
  <c r="C49" i="82"/>
  <c r="B49" i="82"/>
  <c r="J48" i="82"/>
  <c r="D125" i="83" s="1" a="1"/>
  <c r="D125" i="83" s="1"/>
  <c r="G48" i="82"/>
  <c r="I48" i="82" s="1"/>
  <c r="C48" i="82"/>
  <c r="B48" i="82"/>
  <c r="J47" i="82"/>
  <c r="G47" i="82"/>
  <c r="C47" i="82"/>
  <c r="B47" i="82"/>
  <c r="J46" i="82"/>
  <c r="I46" i="82"/>
  <c r="H46" i="82"/>
  <c r="G46" i="82"/>
  <c r="C46" i="82"/>
  <c r="B46" i="82"/>
  <c r="J45" i="82"/>
  <c r="G45" i="82"/>
  <c r="I45" i="82" s="1"/>
  <c r="D115" i="83" s="1" a="1"/>
  <c r="D115" i="83" s="1"/>
  <c r="C45" i="82"/>
  <c r="B45" i="82"/>
  <c r="J44" i="82"/>
  <c r="I44" i="82"/>
  <c r="H44" i="82"/>
  <c r="G44" i="82"/>
  <c r="C44" i="82"/>
  <c r="B44" i="82"/>
  <c r="J43" i="82"/>
  <c r="G43" i="82"/>
  <c r="C43" i="82"/>
  <c r="B43" i="82"/>
  <c r="J42" i="82"/>
  <c r="D107" i="83" s="1" a="1"/>
  <c r="D107" i="83" s="1"/>
  <c r="I42" i="82"/>
  <c r="H42" i="82"/>
  <c r="G42" i="82"/>
  <c r="C42" i="82"/>
  <c r="B42" i="82"/>
  <c r="J41" i="82"/>
  <c r="I41" i="82"/>
  <c r="H41" i="82"/>
  <c r="G41" i="82"/>
  <c r="C41" i="82"/>
  <c r="B41" i="82"/>
  <c r="J40" i="82"/>
  <c r="D101" i="83" s="1" a="1"/>
  <c r="D101" i="83" s="1"/>
  <c r="G40" i="82"/>
  <c r="B40" i="82"/>
  <c r="J39" i="82"/>
  <c r="G39" i="82"/>
  <c r="I39" i="82" s="1"/>
  <c r="J38" i="82"/>
  <c r="I38" i="82"/>
  <c r="H38" i="82"/>
  <c r="D93" i="83" s="1" a="1"/>
  <c r="D93" i="83" s="1"/>
  <c r="G38" i="82"/>
  <c r="J37" i="82"/>
  <c r="G37" i="82"/>
  <c r="I37" i="82" s="1"/>
  <c r="D91" i="83" s="1" a="1"/>
  <c r="D91" i="83" s="1"/>
  <c r="J36" i="82"/>
  <c r="I36" i="82"/>
  <c r="H36" i="82"/>
  <c r="G36" i="82"/>
  <c r="M36" i="82"/>
  <c r="M35" i="82"/>
  <c r="J35" i="82"/>
  <c r="I35" i="82"/>
  <c r="D85" i="83" s="1" a="1"/>
  <c r="D85" i="83" s="1"/>
  <c r="H35" i="82"/>
  <c r="G35" i="82"/>
  <c r="M34" i="82"/>
  <c r="J34" i="82"/>
  <c r="D83" i="83" s="1" a="1"/>
  <c r="D83" i="83" s="1"/>
  <c r="G34" i="82"/>
  <c r="J33" i="82"/>
  <c r="G33" i="82"/>
  <c r="I33" i="82" s="1"/>
  <c r="M33" i="82"/>
  <c r="J32" i="82"/>
  <c r="D77" i="83" s="1" a="1"/>
  <c r="D77" i="83" s="1"/>
  <c r="H32" i="82"/>
  <c r="D75" i="83" s="1" a="1"/>
  <c r="D75" i="83" s="1"/>
  <c r="G32" i="82"/>
  <c r="I32" i="82" s="1"/>
  <c r="J31" i="82"/>
  <c r="G31" i="82"/>
  <c r="I31" i="82" s="1"/>
  <c r="D73" i="83" s="1" a="1"/>
  <c r="D73" i="83" s="1"/>
  <c r="J30" i="82"/>
  <c r="G30" i="82"/>
  <c r="M30" i="82"/>
  <c r="M29" i="82"/>
  <c r="J29" i="82"/>
  <c r="G29" i="82"/>
  <c r="I29" i="82" s="1"/>
  <c r="M28" i="82"/>
  <c r="J28" i="82"/>
  <c r="I28" i="82"/>
  <c r="G28" i="82"/>
  <c r="H28" i="82" s="1"/>
  <c r="J27" i="82"/>
  <c r="G27" i="82"/>
  <c r="I27" i="82" s="1"/>
  <c r="J26" i="82"/>
  <c r="D59" i="83" s="1" a="1"/>
  <c r="D59" i="83" s="1"/>
  <c r="I26" i="82"/>
  <c r="H26" i="82"/>
  <c r="D57" i="83" s="1" a="1"/>
  <c r="D57" i="83" s="1"/>
  <c r="G26" i="82"/>
  <c r="M26" i="82"/>
  <c r="J25" i="82"/>
  <c r="G25" i="82"/>
  <c r="H25" i="82" s="1"/>
  <c r="M25" i="82"/>
  <c r="J24" i="82"/>
  <c r="G24" i="82"/>
  <c r="M24" i="82"/>
  <c r="J23" i="82"/>
  <c r="G23" i="82"/>
  <c r="J22" i="82"/>
  <c r="D47" i="83" s="1" a="1"/>
  <c r="D47" i="83" s="1"/>
  <c r="G22" i="82"/>
  <c r="I22" i="82" s="1"/>
  <c r="M22" i="82"/>
  <c r="M21" i="82"/>
  <c r="J21" i="82"/>
  <c r="G21" i="82"/>
  <c r="H21" i="82" s="1"/>
  <c r="J20" i="82"/>
  <c r="D41" i="83" s="1" a="1"/>
  <c r="D41" i="83" s="1"/>
  <c r="H20" i="82"/>
  <c r="D39" i="83" s="1" a="1"/>
  <c r="D39" i="83" s="1"/>
  <c r="G20" i="82"/>
  <c r="I20" i="82" s="1"/>
  <c r="M20" i="82"/>
  <c r="J19" i="82"/>
  <c r="G19" i="82"/>
  <c r="I19" i="82" s="1"/>
  <c r="M19" i="82"/>
  <c r="J18" i="82"/>
  <c r="I18" i="82"/>
  <c r="H18" i="82"/>
  <c r="D33" i="83" s="1" a="1"/>
  <c r="D33" i="83" s="1"/>
  <c r="G18" i="82"/>
  <c r="M18" i="82"/>
  <c r="J17" i="82"/>
  <c r="G17" i="82"/>
  <c r="M17" i="82"/>
  <c r="J16" i="82"/>
  <c r="G16" i="82"/>
  <c r="M16" i="82"/>
  <c r="J15" i="82"/>
  <c r="G15" i="82"/>
  <c r="J14" i="82"/>
  <c r="D23" i="83" s="1" a="1"/>
  <c r="D23" i="83" s="1"/>
  <c r="G14" i="82"/>
  <c r="I14" i="82" s="1"/>
  <c r="M14" i="82"/>
  <c r="J13" i="82"/>
  <c r="H13" i="82"/>
  <c r="G13" i="82"/>
  <c r="I13" i="82" s="1"/>
  <c r="M13" i="82"/>
  <c r="M12" i="82"/>
  <c r="J12" i="82"/>
  <c r="D17" i="83" s="1" a="1"/>
  <c r="D17" i="83" s="1"/>
  <c r="G12" i="82"/>
  <c r="H12" i="82" s="1"/>
  <c r="D15" i="83" s="1" a="1"/>
  <c r="D15" i="83" s="1"/>
  <c r="M11" i="82"/>
  <c r="J11" i="82"/>
  <c r="G11" i="82"/>
  <c r="I11" i="82" s="1"/>
  <c r="J10" i="82"/>
  <c r="I10" i="82"/>
  <c r="H10" i="82"/>
  <c r="D9" i="83" s="1" a="1"/>
  <c r="D9" i="83" s="1"/>
  <c r="G10" i="82"/>
  <c r="M10" i="82"/>
  <c r="J9" i="82"/>
  <c r="G9" i="82"/>
  <c r="H9" i="82" s="1"/>
  <c r="M9" i="82"/>
  <c r="G8" i="82"/>
  <c r="I8" i="82" s="1"/>
  <c r="C8" i="82"/>
  <c r="M8" i="82" s="1"/>
  <c r="B8" i="82"/>
  <c r="J8" i="82" s="1"/>
  <c r="C7" i="82"/>
  <c r="M5" i="82" s="1"/>
  <c r="B7" i="82"/>
  <c r="M6" i="82"/>
  <c r="M4" i="82"/>
  <c r="C4" i="82"/>
  <c r="M3" i="82"/>
  <c r="C3" i="82"/>
  <c r="M2" i="82"/>
  <c r="C2" i="82"/>
  <c r="C1" i="82"/>
  <c r="D583" i="81" a="1"/>
  <c r="D583" i="81" s="1"/>
  <c r="C583" i="81"/>
  <c r="B583" i="81"/>
  <c r="D582" i="81" a="1"/>
  <c r="D582" i="81" s="1"/>
  <c r="C582" i="81"/>
  <c r="B582" i="81"/>
  <c r="C581" i="81"/>
  <c r="D581" i="81" s="1" a="1"/>
  <c r="D581" i="81" s="1"/>
  <c r="B581" i="81"/>
  <c r="D580" i="81" a="1"/>
  <c r="D580" i="81" s="1"/>
  <c r="C580" i="81"/>
  <c r="B580" i="81"/>
  <c r="C579" i="81"/>
  <c r="B579" i="81"/>
  <c r="D578" i="81" a="1"/>
  <c r="D578" i="81" s="1"/>
  <c r="C578" i="81"/>
  <c r="B578" i="81"/>
  <c r="C577" i="81"/>
  <c r="B577" i="81"/>
  <c r="D577" i="81" s="1" a="1"/>
  <c r="D577" i="81" s="1"/>
  <c r="D576" i="81" a="1"/>
  <c r="D576" i="81" s="1"/>
  <c r="C576" i="81"/>
  <c r="B576" i="81"/>
  <c r="D575" i="81" a="1"/>
  <c r="D575" i="81" s="1"/>
  <c r="C575" i="81"/>
  <c r="B575" i="81"/>
  <c r="D574" i="81" a="1"/>
  <c r="D574" i="81" s="1"/>
  <c r="C574" i="81"/>
  <c r="B574" i="81"/>
  <c r="C573" i="81"/>
  <c r="B573" i="81"/>
  <c r="D573" i="81" s="1" a="1"/>
  <c r="D573" i="81" s="1"/>
  <c r="D572" i="81" a="1"/>
  <c r="D572" i="81" s="1"/>
  <c r="C572" i="81"/>
  <c r="B572" i="81"/>
  <c r="C571" i="81"/>
  <c r="B571" i="81"/>
  <c r="D571" i="81" s="1" a="1"/>
  <c r="D571" i="81" s="1"/>
  <c r="D570" i="81" a="1"/>
  <c r="D570" i="81" s="1"/>
  <c r="C570" i="81"/>
  <c r="B570" i="81"/>
  <c r="C569" i="81"/>
  <c r="B569" i="81"/>
  <c r="D569" i="81" s="1" a="1"/>
  <c r="D569" i="81" s="1"/>
  <c r="D568" i="81" a="1"/>
  <c r="D568" i="81" s="1"/>
  <c r="C568" i="81"/>
  <c r="B568" i="81"/>
  <c r="D567" i="81" a="1"/>
  <c r="D567" i="81" s="1"/>
  <c r="C567" i="81"/>
  <c r="B567" i="81"/>
  <c r="D566" i="81" a="1"/>
  <c r="D566" i="81" s="1"/>
  <c r="C566" i="81"/>
  <c r="B566" i="81"/>
  <c r="C565" i="81"/>
  <c r="B565" i="81"/>
  <c r="C564" i="81"/>
  <c r="B564" i="81"/>
  <c r="C563" i="81"/>
  <c r="B563" i="81"/>
  <c r="C562" i="81"/>
  <c r="B562" i="81"/>
  <c r="C561" i="81"/>
  <c r="B561" i="81"/>
  <c r="C560" i="81"/>
  <c r="B560" i="81"/>
  <c r="C559" i="81"/>
  <c r="B559" i="81"/>
  <c r="C558" i="81"/>
  <c r="B558" i="81"/>
  <c r="C557" i="81"/>
  <c r="B557" i="81"/>
  <c r="C556" i="81"/>
  <c r="B556" i="81"/>
  <c r="C555" i="81"/>
  <c r="B555" i="81"/>
  <c r="C554" i="81"/>
  <c r="B554" i="81"/>
  <c r="C553" i="81"/>
  <c r="B553" i="81"/>
  <c r="C552" i="81"/>
  <c r="B552" i="81"/>
  <c r="C551" i="81"/>
  <c r="B551" i="81"/>
  <c r="C550" i="81"/>
  <c r="B550" i="81"/>
  <c r="C549" i="81"/>
  <c r="B549" i="81"/>
  <c r="C548" i="81"/>
  <c r="B548" i="81"/>
  <c r="C547" i="81"/>
  <c r="B547" i="81"/>
  <c r="C546" i="81"/>
  <c r="B546" i="81"/>
  <c r="C545" i="81"/>
  <c r="B545" i="81"/>
  <c r="C544" i="81"/>
  <c r="B544" i="81"/>
  <c r="C543" i="81"/>
  <c r="B543" i="81"/>
  <c r="C542" i="81"/>
  <c r="B542" i="81"/>
  <c r="C541" i="81"/>
  <c r="B541" i="81"/>
  <c r="C540" i="81"/>
  <c r="B540" i="81"/>
  <c r="C539" i="81"/>
  <c r="B539" i="81"/>
  <c r="C538" i="81"/>
  <c r="B538" i="81"/>
  <c r="C537" i="81"/>
  <c r="B537" i="81"/>
  <c r="C536" i="81"/>
  <c r="B536" i="81"/>
  <c r="C535" i="81"/>
  <c r="B535" i="81"/>
  <c r="C534" i="81"/>
  <c r="B534" i="81"/>
  <c r="C533" i="81"/>
  <c r="B533" i="81"/>
  <c r="C532" i="81"/>
  <c r="B532" i="81"/>
  <c r="C531" i="81"/>
  <c r="B531" i="81"/>
  <c r="C530" i="81"/>
  <c r="B530" i="81"/>
  <c r="C529" i="81"/>
  <c r="B529" i="81"/>
  <c r="C528" i="81"/>
  <c r="B528" i="81"/>
  <c r="C527" i="81"/>
  <c r="B527" i="81"/>
  <c r="C526" i="81"/>
  <c r="B526" i="81"/>
  <c r="C525" i="81"/>
  <c r="B525" i="81"/>
  <c r="C524" i="81"/>
  <c r="B524" i="81"/>
  <c r="C523" i="81"/>
  <c r="B523" i="81"/>
  <c r="C522" i="81"/>
  <c r="B522" i="81"/>
  <c r="C521" i="81"/>
  <c r="B521" i="81"/>
  <c r="C520" i="81"/>
  <c r="B520" i="81"/>
  <c r="C519" i="81"/>
  <c r="B519" i="81"/>
  <c r="C518" i="81"/>
  <c r="B518" i="81"/>
  <c r="C517" i="81"/>
  <c r="B517" i="81"/>
  <c r="C516" i="81"/>
  <c r="B516" i="81"/>
  <c r="C515" i="81"/>
  <c r="B515" i="81"/>
  <c r="C514" i="81"/>
  <c r="B514" i="81"/>
  <c r="C513" i="81"/>
  <c r="B513" i="81"/>
  <c r="C512" i="81"/>
  <c r="B512" i="81"/>
  <c r="C511" i="81"/>
  <c r="B511" i="81"/>
  <c r="C510" i="81"/>
  <c r="B510" i="81"/>
  <c r="C509" i="81"/>
  <c r="B509" i="81"/>
  <c r="C508" i="81"/>
  <c r="B508" i="81"/>
  <c r="C507" i="81"/>
  <c r="B507" i="81"/>
  <c r="C506" i="81"/>
  <c r="B506" i="81"/>
  <c r="C505" i="81"/>
  <c r="B505" i="81"/>
  <c r="C504" i="81"/>
  <c r="B504" i="81"/>
  <c r="C503" i="81"/>
  <c r="B503" i="81"/>
  <c r="C502" i="81"/>
  <c r="B502" i="81"/>
  <c r="C501" i="81"/>
  <c r="B501" i="81"/>
  <c r="C500" i="81"/>
  <c r="B500" i="81"/>
  <c r="C499" i="81"/>
  <c r="B499" i="81"/>
  <c r="C498" i="81"/>
  <c r="B498" i="81"/>
  <c r="C497" i="81"/>
  <c r="B497" i="81"/>
  <c r="C496" i="81"/>
  <c r="B496" i="81"/>
  <c r="C495" i="81"/>
  <c r="B495" i="81"/>
  <c r="C494" i="81"/>
  <c r="B494" i="81"/>
  <c r="C493" i="81"/>
  <c r="B493" i="81"/>
  <c r="C492" i="81"/>
  <c r="B492" i="81"/>
  <c r="C491" i="81"/>
  <c r="B491" i="81"/>
  <c r="C490" i="81"/>
  <c r="B490" i="81"/>
  <c r="C489" i="81"/>
  <c r="B489" i="81"/>
  <c r="C488" i="81"/>
  <c r="B488" i="81"/>
  <c r="C487" i="81"/>
  <c r="B487" i="81"/>
  <c r="C486" i="81"/>
  <c r="B486" i="81"/>
  <c r="C485" i="81"/>
  <c r="B485" i="81"/>
  <c r="C484" i="81"/>
  <c r="B484" i="81"/>
  <c r="C483" i="81"/>
  <c r="B483" i="81"/>
  <c r="C482" i="81"/>
  <c r="B482" i="81"/>
  <c r="C481" i="81"/>
  <c r="B481" i="81"/>
  <c r="C480" i="81"/>
  <c r="B480" i="81"/>
  <c r="C479" i="81"/>
  <c r="B479" i="81"/>
  <c r="C478" i="81"/>
  <c r="B478" i="81"/>
  <c r="C477" i="81"/>
  <c r="B477" i="81"/>
  <c r="C476" i="81"/>
  <c r="B476" i="81"/>
  <c r="C475" i="81"/>
  <c r="B475" i="81"/>
  <c r="C474" i="81"/>
  <c r="B474" i="81"/>
  <c r="C473" i="81"/>
  <c r="B473" i="81"/>
  <c r="C472" i="81"/>
  <c r="B472" i="81"/>
  <c r="C471" i="81"/>
  <c r="B471" i="81"/>
  <c r="C470" i="81"/>
  <c r="B470" i="81"/>
  <c r="C469" i="81"/>
  <c r="B469" i="81"/>
  <c r="C468" i="81"/>
  <c r="B468" i="81"/>
  <c r="C467" i="81"/>
  <c r="B467" i="81"/>
  <c r="C466" i="81"/>
  <c r="B466" i="81"/>
  <c r="C465" i="81"/>
  <c r="B465" i="81"/>
  <c r="C464" i="81"/>
  <c r="B464" i="81"/>
  <c r="C463" i="81"/>
  <c r="B463" i="81"/>
  <c r="C462" i="81"/>
  <c r="B462" i="81"/>
  <c r="C461" i="81"/>
  <c r="B461" i="81"/>
  <c r="C460" i="81"/>
  <c r="B460" i="81"/>
  <c r="C459" i="81"/>
  <c r="B459" i="81"/>
  <c r="C458" i="81"/>
  <c r="B458" i="81"/>
  <c r="C457" i="81"/>
  <c r="B457" i="81"/>
  <c r="C456" i="81"/>
  <c r="B456" i="81"/>
  <c r="C455" i="81"/>
  <c r="B455" i="81"/>
  <c r="C454" i="81"/>
  <c r="B454" i="81"/>
  <c r="C453" i="81"/>
  <c r="B453" i="81"/>
  <c r="C452" i="81"/>
  <c r="B452" i="81"/>
  <c r="C451" i="81"/>
  <c r="B451" i="81"/>
  <c r="D451" i="81" s="1" a="1"/>
  <c r="D451" i="81" s="1"/>
  <c r="C450" i="81"/>
  <c r="B450" i="81"/>
  <c r="C449" i="81"/>
  <c r="B449" i="81"/>
  <c r="C448" i="81"/>
  <c r="B448" i="81"/>
  <c r="C447" i="81"/>
  <c r="B447" i="81"/>
  <c r="C446" i="81"/>
  <c r="B446" i="81"/>
  <c r="C445" i="81"/>
  <c r="B445" i="81"/>
  <c r="C444" i="81"/>
  <c r="B444" i="81"/>
  <c r="C443" i="81"/>
  <c r="B443" i="81"/>
  <c r="C442" i="81"/>
  <c r="B442" i="81"/>
  <c r="C441" i="81"/>
  <c r="B441" i="81"/>
  <c r="C440" i="81"/>
  <c r="B440" i="81"/>
  <c r="C439" i="81"/>
  <c r="B439" i="81"/>
  <c r="C438" i="81"/>
  <c r="B438" i="81"/>
  <c r="C437" i="81"/>
  <c r="B437" i="81"/>
  <c r="C436" i="81"/>
  <c r="B436" i="81"/>
  <c r="C435" i="81"/>
  <c r="B435" i="81"/>
  <c r="C434" i="81"/>
  <c r="B434" i="81"/>
  <c r="C433" i="81"/>
  <c r="B433" i="81"/>
  <c r="C432" i="81"/>
  <c r="B432" i="81"/>
  <c r="C431" i="81"/>
  <c r="B431" i="81"/>
  <c r="C430" i="81"/>
  <c r="B430" i="81"/>
  <c r="C429" i="81"/>
  <c r="B429" i="81"/>
  <c r="C428" i="81"/>
  <c r="B428" i="81"/>
  <c r="C427" i="81"/>
  <c r="B427" i="81"/>
  <c r="C426" i="81"/>
  <c r="B426" i="81"/>
  <c r="C425" i="81"/>
  <c r="B425" i="81"/>
  <c r="C424" i="81"/>
  <c r="B424" i="81"/>
  <c r="C423" i="81"/>
  <c r="B423" i="81"/>
  <c r="C422" i="81"/>
  <c r="B422" i="81"/>
  <c r="C421" i="81"/>
  <c r="B421" i="81"/>
  <c r="C420" i="81"/>
  <c r="B420" i="81"/>
  <c r="C419" i="81"/>
  <c r="B419" i="81"/>
  <c r="C418" i="81"/>
  <c r="B418" i="81"/>
  <c r="C417" i="81"/>
  <c r="B417" i="81"/>
  <c r="C416" i="81"/>
  <c r="B416" i="81"/>
  <c r="C415" i="81"/>
  <c r="B415" i="81"/>
  <c r="C414" i="81"/>
  <c r="B414" i="81"/>
  <c r="C413" i="81"/>
  <c r="B413" i="81"/>
  <c r="C412" i="81"/>
  <c r="B412" i="81"/>
  <c r="C411" i="81"/>
  <c r="B411" i="81"/>
  <c r="C410" i="81"/>
  <c r="B410" i="81"/>
  <c r="C409" i="81"/>
  <c r="B409" i="81"/>
  <c r="C408" i="81"/>
  <c r="B408" i="81"/>
  <c r="C407" i="81"/>
  <c r="B407" i="81"/>
  <c r="C406" i="81"/>
  <c r="B406" i="81"/>
  <c r="C405" i="81"/>
  <c r="B405" i="81"/>
  <c r="C404" i="81"/>
  <c r="B404" i="81"/>
  <c r="C403" i="81"/>
  <c r="B403" i="81"/>
  <c r="D403" i="81" s="1" a="1"/>
  <c r="D403" i="81" s="1"/>
  <c r="C402" i="81"/>
  <c r="B402" i="81"/>
  <c r="C401" i="81"/>
  <c r="B401" i="81"/>
  <c r="C400" i="81"/>
  <c r="B400" i="81"/>
  <c r="C399" i="81"/>
  <c r="B399" i="81"/>
  <c r="C398" i="81"/>
  <c r="B398" i="81"/>
  <c r="C397" i="81"/>
  <c r="B397" i="81"/>
  <c r="C396" i="81"/>
  <c r="B396" i="81"/>
  <c r="C395" i="81"/>
  <c r="B395" i="81"/>
  <c r="C394" i="81"/>
  <c r="B394" i="81"/>
  <c r="C393" i="81"/>
  <c r="B393" i="81"/>
  <c r="C392" i="81"/>
  <c r="B392" i="81"/>
  <c r="C391" i="81"/>
  <c r="B391" i="81"/>
  <c r="C390" i="81"/>
  <c r="B390" i="81"/>
  <c r="C389" i="81"/>
  <c r="B389" i="81"/>
  <c r="C388" i="81"/>
  <c r="B388" i="81"/>
  <c r="C387" i="81"/>
  <c r="B387" i="81"/>
  <c r="C386" i="81"/>
  <c r="B386" i="81"/>
  <c r="C385" i="81"/>
  <c r="B385" i="81"/>
  <c r="C384" i="81"/>
  <c r="B384" i="81"/>
  <c r="C383" i="81"/>
  <c r="B383" i="81"/>
  <c r="C382" i="81"/>
  <c r="B382" i="81"/>
  <c r="C381" i="81"/>
  <c r="B381" i="81"/>
  <c r="C380" i="81"/>
  <c r="B380" i="81"/>
  <c r="C379" i="81"/>
  <c r="B379" i="81"/>
  <c r="C378" i="81"/>
  <c r="B378" i="81"/>
  <c r="C377" i="81"/>
  <c r="B377" i="81"/>
  <c r="C376" i="81"/>
  <c r="B376" i="81"/>
  <c r="C375" i="81"/>
  <c r="B375" i="81"/>
  <c r="D374" i="81" a="1"/>
  <c r="D374" i="81" s="1"/>
  <c r="C374" i="81"/>
  <c r="B374" i="81"/>
  <c r="C373" i="81"/>
  <c r="B373" i="81"/>
  <c r="C372" i="81"/>
  <c r="B372" i="81"/>
  <c r="C371" i="81"/>
  <c r="B371" i="81"/>
  <c r="C370" i="81"/>
  <c r="B370" i="81"/>
  <c r="C369" i="81"/>
  <c r="B369" i="81"/>
  <c r="C368" i="81"/>
  <c r="B368" i="81"/>
  <c r="C367" i="81"/>
  <c r="B367" i="81"/>
  <c r="C366" i="81"/>
  <c r="B366" i="81"/>
  <c r="C365" i="81"/>
  <c r="B365" i="81"/>
  <c r="C364" i="81"/>
  <c r="B364" i="81"/>
  <c r="C363" i="81"/>
  <c r="B363" i="81"/>
  <c r="C362" i="81"/>
  <c r="B362" i="81"/>
  <c r="C361" i="81"/>
  <c r="B361" i="81"/>
  <c r="C360" i="81"/>
  <c r="B360" i="81"/>
  <c r="C359" i="81"/>
  <c r="B359" i="81"/>
  <c r="C358" i="81"/>
  <c r="B358" i="81"/>
  <c r="C357" i="81"/>
  <c r="B357" i="81"/>
  <c r="C356" i="81"/>
  <c r="B356" i="81"/>
  <c r="C355" i="81"/>
  <c r="B355" i="81"/>
  <c r="C354" i="81"/>
  <c r="B354" i="81"/>
  <c r="C353" i="81"/>
  <c r="B353" i="81"/>
  <c r="C352" i="81"/>
  <c r="B352" i="81"/>
  <c r="C351" i="81"/>
  <c r="B351" i="81"/>
  <c r="C350" i="81"/>
  <c r="B350" i="81"/>
  <c r="C349" i="81"/>
  <c r="B349" i="81"/>
  <c r="C348" i="81"/>
  <c r="B348" i="81"/>
  <c r="C347" i="81"/>
  <c r="B347" i="81"/>
  <c r="C346" i="81"/>
  <c r="B346" i="81"/>
  <c r="C345" i="81"/>
  <c r="B345" i="81"/>
  <c r="C344" i="81"/>
  <c r="B344" i="81"/>
  <c r="C343" i="81"/>
  <c r="B343" i="81"/>
  <c r="C342" i="81"/>
  <c r="B342" i="81"/>
  <c r="C341" i="81"/>
  <c r="B341" i="81"/>
  <c r="C340" i="81"/>
  <c r="B340" i="81"/>
  <c r="C339" i="81"/>
  <c r="B339" i="81"/>
  <c r="C338" i="81"/>
  <c r="B338" i="81"/>
  <c r="C337" i="81"/>
  <c r="B337" i="81"/>
  <c r="C336" i="81"/>
  <c r="B336" i="81"/>
  <c r="C335" i="81"/>
  <c r="B335" i="81"/>
  <c r="C334" i="81"/>
  <c r="B334" i="81"/>
  <c r="C333" i="81"/>
  <c r="B333" i="81"/>
  <c r="C332" i="81"/>
  <c r="B332" i="81"/>
  <c r="C331" i="81"/>
  <c r="B331" i="81"/>
  <c r="C330" i="81"/>
  <c r="B330" i="81"/>
  <c r="C329" i="81"/>
  <c r="B329" i="81"/>
  <c r="C328" i="81"/>
  <c r="B328" i="81"/>
  <c r="C327" i="81"/>
  <c r="B327" i="81"/>
  <c r="C326" i="81"/>
  <c r="B326" i="81"/>
  <c r="C325" i="81"/>
  <c r="B325" i="81"/>
  <c r="C324" i="81"/>
  <c r="B324" i="81"/>
  <c r="C323" i="81"/>
  <c r="B323" i="81"/>
  <c r="C322" i="81"/>
  <c r="B322" i="81"/>
  <c r="C321" i="81"/>
  <c r="B321" i="81"/>
  <c r="C320" i="81"/>
  <c r="B320" i="81"/>
  <c r="C319" i="81"/>
  <c r="B319" i="81"/>
  <c r="C318" i="81"/>
  <c r="B318" i="81"/>
  <c r="C317" i="81"/>
  <c r="B317" i="81"/>
  <c r="C316" i="81"/>
  <c r="B316" i="81"/>
  <c r="C315" i="81"/>
  <c r="B315" i="81"/>
  <c r="C314" i="81"/>
  <c r="B314" i="81"/>
  <c r="C313" i="81"/>
  <c r="B313" i="81"/>
  <c r="C312" i="81"/>
  <c r="B312" i="81"/>
  <c r="C311" i="81"/>
  <c r="B311" i="81"/>
  <c r="C310" i="81"/>
  <c r="B310" i="81"/>
  <c r="C309" i="81"/>
  <c r="B309" i="81"/>
  <c r="C308" i="81"/>
  <c r="B308" i="81"/>
  <c r="C307" i="81"/>
  <c r="B307" i="81"/>
  <c r="C306" i="81"/>
  <c r="B306" i="81"/>
  <c r="C305" i="81"/>
  <c r="B305" i="81"/>
  <c r="C304" i="81"/>
  <c r="B304" i="81"/>
  <c r="C303" i="81"/>
  <c r="B303" i="81"/>
  <c r="C302" i="81"/>
  <c r="B302" i="81"/>
  <c r="C301" i="81"/>
  <c r="B301" i="81"/>
  <c r="C300" i="81"/>
  <c r="B300" i="81"/>
  <c r="C299" i="81"/>
  <c r="B299" i="81"/>
  <c r="C298" i="81"/>
  <c r="B298" i="81"/>
  <c r="C297" i="81"/>
  <c r="B297" i="81"/>
  <c r="C296" i="81"/>
  <c r="B296" i="81"/>
  <c r="C295" i="81"/>
  <c r="B295" i="81"/>
  <c r="C294" i="81"/>
  <c r="B294" i="81"/>
  <c r="C293" i="81"/>
  <c r="B293" i="81"/>
  <c r="C292" i="81"/>
  <c r="B292" i="81"/>
  <c r="C291" i="81"/>
  <c r="B291" i="81"/>
  <c r="D291" i="81" s="1" a="1"/>
  <c r="D291" i="81" s="1"/>
  <c r="C290" i="81"/>
  <c r="B290" i="81"/>
  <c r="C289" i="81"/>
  <c r="B289" i="81"/>
  <c r="C288" i="81"/>
  <c r="B288" i="81"/>
  <c r="C287" i="81"/>
  <c r="B287" i="81"/>
  <c r="C286" i="81"/>
  <c r="B286" i="81"/>
  <c r="C285" i="81"/>
  <c r="B285" i="81"/>
  <c r="D284" i="81" a="1"/>
  <c r="D284" i="81" s="1"/>
  <c r="C284" i="81"/>
  <c r="B284" i="81"/>
  <c r="C283" i="81"/>
  <c r="B283" i="81"/>
  <c r="C282" i="81"/>
  <c r="B282" i="81"/>
  <c r="C281" i="81"/>
  <c r="B281" i="81"/>
  <c r="C280" i="81"/>
  <c r="B280" i="81"/>
  <c r="C279" i="81"/>
  <c r="B279" i="81"/>
  <c r="C278" i="81"/>
  <c r="B278" i="81"/>
  <c r="C277" i="81"/>
  <c r="B277" i="81"/>
  <c r="C276" i="81"/>
  <c r="B276" i="81"/>
  <c r="C275" i="81"/>
  <c r="B275" i="81"/>
  <c r="C274" i="81"/>
  <c r="B274" i="81"/>
  <c r="C273" i="81"/>
  <c r="B273" i="81"/>
  <c r="C272" i="81"/>
  <c r="B272" i="81"/>
  <c r="C271" i="81"/>
  <c r="B271" i="81"/>
  <c r="C270" i="81"/>
  <c r="B270" i="81"/>
  <c r="C269" i="81"/>
  <c r="B269" i="81"/>
  <c r="C268" i="81"/>
  <c r="B268" i="81"/>
  <c r="C267" i="81"/>
  <c r="B267" i="81"/>
  <c r="C266" i="81"/>
  <c r="B266" i="81"/>
  <c r="C265" i="81"/>
  <c r="B265" i="81"/>
  <c r="C264" i="81"/>
  <c r="B264" i="81"/>
  <c r="C263" i="81"/>
  <c r="B263" i="81"/>
  <c r="C262" i="81"/>
  <c r="B262" i="81"/>
  <c r="C261" i="81"/>
  <c r="B261" i="81"/>
  <c r="C260" i="81"/>
  <c r="B260" i="81"/>
  <c r="C259" i="81"/>
  <c r="B259" i="81"/>
  <c r="C258" i="81"/>
  <c r="B258" i="81"/>
  <c r="D258" i="81" s="1" a="1"/>
  <c r="D258" i="81" s="1"/>
  <c r="C257" i="81"/>
  <c r="B257" i="81"/>
  <c r="C256" i="81"/>
  <c r="B256" i="81"/>
  <c r="C255" i="81"/>
  <c r="B255" i="81"/>
  <c r="C254" i="81"/>
  <c r="B254" i="81"/>
  <c r="C253" i="81"/>
  <c r="B253" i="81"/>
  <c r="C252" i="81"/>
  <c r="B252" i="81"/>
  <c r="C251" i="81"/>
  <c r="B251" i="81"/>
  <c r="C250" i="81"/>
  <c r="B250" i="81"/>
  <c r="C249" i="81"/>
  <c r="B249" i="81"/>
  <c r="C248" i="81"/>
  <c r="B248" i="81"/>
  <c r="C247" i="81"/>
  <c r="B247" i="81"/>
  <c r="C246" i="81"/>
  <c r="B246" i="81"/>
  <c r="C245" i="81"/>
  <c r="B245" i="81"/>
  <c r="C244" i="81"/>
  <c r="B244" i="81"/>
  <c r="C243" i="81"/>
  <c r="B243" i="81"/>
  <c r="C242" i="81"/>
  <c r="B242" i="81"/>
  <c r="C241" i="81"/>
  <c r="B241" i="81"/>
  <c r="C240" i="81"/>
  <c r="B240" i="81"/>
  <c r="C239" i="81"/>
  <c r="B239" i="81"/>
  <c r="C238" i="81"/>
  <c r="B238" i="81"/>
  <c r="C237" i="81"/>
  <c r="B237" i="81"/>
  <c r="C236" i="81"/>
  <c r="B236" i="81"/>
  <c r="C235" i="81"/>
  <c r="B235" i="81"/>
  <c r="C234" i="81"/>
  <c r="B234" i="81"/>
  <c r="C233" i="81"/>
  <c r="B233" i="81"/>
  <c r="C232" i="81"/>
  <c r="B232" i="81"/>
  <c r="C231" i="81"/>
  <c r="B231" i="81"/>
  <c r="C230" i="81"/>
  <c r="B230" i="81"/>
  <c r="C229" i="81"/>
  <c r="B229" i="81"/>
  <c r="C228" i="81"/>
  <c r="B228" i="81"/>
  <c r="C227" i="81"/>
  <c r="B227" i="81"/>
  <c r="C226" i="81"/>
  <c r="B226" i="81"/>
  <c r="C225" i="81"/>
  <c r="B225" i="81"/>
  <c r="C224" i="81"/>
  <c r="B224" i="81"/>
  <c r="C223" i="81"/>
  <c r="B223" i="81"/>
  <c r="C222" i="81"/>
  <c r="B222" i="81"/>
  <c r="C221" i="81"/>
  <c r="B221" i="81"/>
  <c r="C220" i="81"/>
  <c r="B220" i="81"/>
  <c r="C219" i="81"/>
  <c r="B219" i="81"/>
  <c r="C218" i="81"/>
  <c r="B218" i="81"/>
  <c r="C217" i="81"/>
  <c r="B217" i="81"/>
  <c r="C216" i="81"/>
  <c r="B216" i="81"/>
  <c r="C215" i="81"/>
  <c r="B215" i="81"/>
  <c r="C214" i="81"/>
  <c r="B214" i="81"/>
  <c r="C213" i="81"/>
  <c r="B213" i="81"/>
  <c r="C212" i="81"/>
  <c r="B212" i="81"/>
  <c r="C211" i="81"/>
  <c r="B211" i="81"/>
  <c r="C210" i="81"/>
  <c r="B210" i="81"/>
  <c r="C209" i="81"/>
  <c r="B209" i="81"/>
  <c r="C208" i="81"/>
  <c r="B208" i="81"/>
  <c r="C207" i="81"/>
  <c r="B207" i="81"/>
  <c r="C206" i="81"/>
  <c r="B206" i="81"/>
  <c r="C205" i="81"/>
  <c r="B205" i="81"/>
  <c r="C204" i="81"/>
  <c r="B204" i="81"/>
  <c r="C203" i="81"/>
  <c r="B203" i="81"/>
  <c r="D203" i="81" s="1" a="1"/>
  <c r="D203" i="81" s="1"/>
  <c r="C202" i="81"/>
  <c r="B202" i="81"/>
  <c r="C201" i="81"/>
  <c r="B201" i="81"/>
  <c r="C200" i="81"/>
  <c r="B200" i="81"/>
  <c r="C199" i="81"/>
  <c r="B199" i="81"/>
  <c r="C198" i="81"/>
  <c r="B198" i="81"/>
  <c r="C197" i="81"/>
  <c r="B197" i="81"/>
  <c r="C196" i="81"/>
  <c r="B196" i="81"/>
  <c r="C195" i="81"/>
  <c r="B195" i="81"/>
  <c r="C194" i="81"/>
  <c r="B194" i="81"/>
  <c r="C193" i="81"/>
  <c r="B193" i="81"/>
  <c r="C192" i="81"/>
  <c r="B192" i="81"/>
  <c r="C191" i="81"/>
  <c r="B191" i="81"/>
  <c r="C190" i="81"/>
  <c r="B190" i="81"/>
  <c r="C189" i="81"/>
  <c r="B189" i="81"/>
  <c r="C188" i="81"/>
  <c r="B188" i="81"/>
  <c r="C187" i="81"/>
  <c r="B187" i="81"/>
  <c r="C186" i="81"/>
  <c r="B186" i="81"/>
  <c r="C185" i="81"/>
  <c r="B185" i="81"/>
  <c r="C184" i="81"/>
  <c r="B184" i="81"/>
  <c r="C183" i="81"/>
  <c r="B183" i="81"/>
  <c r="C182" i="81"/>
  <c r="B182" i="81"/>
  <c r="C181" i="81"/>
  <c r="B181" i="81"/>
  <c r="C180" i="81"/>
  <c r="B180" i="81"/>
  <c r="C179" i="81"/>
  <c r="B179" i="81"/>
  <c r="C178" i="81"/>
  <c r="B178" i="81"/>
  <c r="C177" i="81"/>
  <c r="B177" i="81"/>
  <c r="C176" i="81"/>
  <c r="B176" i="81"/>
  <c r="C175" i="81"/>
  <c r="B175" i="81"/>
  <c r="C174" i="81"/>
  <c r="B174" i="81"/>
  <c r="C173" i="81"/>
  <c r="B173" i="81"/>
  <c r="C172" i="81"/>
  <c r="B172" i="81"/>
  <c r="C171" i="81"/>
  <c r="B171" i="81"/>
  <c r="C170" i="81"/>
  <c r="B170" i="81"/>
  <c r="C169" i="81"/>
  <c r="B169" i="81"/>
  <c r="C168" i="81"/>
  <c r="B168" i="81"/>
  <c r="C167" i="81"/>
  <c r="B167" i="81"/>
  <c r="C166" i="81"/>
  <c r="B166" i="81"/>
  <c r="C165" i="81"/>
  <c r="B165" i="81"/>
  <c r="C164" i="81"/>
  <c r="B164" i="81"/>
  <c r="C163" i="81"/>
  <c r="B163" i="81"/>
  <c r="D163" i="81" s="1" a="1"/>
  <c r="D163" i="81" s="1"/>
  <c r="C162" i="81"/>
  <c r="B162" i="81"/>
  <c r="C161" i="81"/>
  <c r="B161" i="81"/>
  <c r="C160" i="81"/>
  <c r="B160" i="81"/>
  <c r="C159" i="81"/>
  <c r="B159" i="81"/>
  <c r="C158" i="81"/>
  <c r="B158" i="81"/>
  <c r="C157" i="81"/>
  <c r="B157" i="81"/>
  <c r="C156" i="81"/>
  <c r="B156" i="81"/>
  <c r="D156" i="81" s="1" a="1"/>
  <c r="D156" i="81" s="1"/>
  <c r="C155" i="81"/>
  <c r="B155" i="81"/>
  <c r="C154" i="81"/>
  <c r="B154" i="81"/>
  <c r="C153" i="81"/>
  <c r="B153" i="81"/>
  <c r="C152" i="81"/>
  <c r="B152" i="81"/>
  <c r="C151" i="81"/>
  <c r="B151" i="81"/>
  <c r="C150" i="81"/>
  <c r="B150" i="81"/>
  <c r="C149" i="81"/>
  <c r="B149" i="81"/>
  <c r="C148" i="81"/>
  <c r="B148" i="81"/>
  <c r="C147" i="81"/>
  <c r="B147" i="81"/>
  <c r="C146" i="81"/>
  <c r="B146" i="81"/>
  <c r="C145" i="81"/>
  <c r="B145" i="81"/>
  <c r="C144" i="81"/>
  <c r="B144" i="81"/>
  <c r="C143" i="81"/>
  <c r="B143" i="81"/>
  <c r="C142" i="81"/>
  <c r="B142" i="81"/>
  <c r="C141" i="81"/>
  <c r="B141" i="81"/>
  <c r="C140" i="81"/>
  <c r="B140" i="81"/>
  <c r="D140" i="81" s="1" a="1"/>
  <c r="D140" i="81" s="1"/>
  <c r="C139" i="81"/>
  <c r="B139" i="81"/>
  <c r="C138" i="81"/>
  <c r="B138" i="81"/>
  <c r="C137" i="81"/>
  <c r="B137" i="81"/>
  <c r="C136" i="81"/>
  <c r="B136" i="81"/>
  <c r="C135" i="81"/>
  <c r="B135" i="81"/>
  <c r="C134" i="81"/>
  <c r="B134" i="81"/>
  <c r="C133" i="81"/>
  <c r="B133" i="81"/>
  <c r="C132" i="81"/>
  <c r="D132" i="81" s="1" a="1"/>
  <c r="D132" i="81" s="1"/>
  <c r="B132" i="81"/>
  <c r="C131" i="81"/>
  <c r="B131" i="81"/>
  <c r="C130" i="81"/>
  <c r="B130" i="81"/>
  <c r="C129" i="81"/>
  <c r="B129" i="81"/>
  <c r="D128" i="81" a="1"/>
  <c r="D128" i="81" s="1"/>
  <c r="C128" i="81"/>
  <c r="B128" i="81"/>
  <c r="C127" i="81"/>
  <c r="B127" i="81"/>
  <c r="C126" i="81"/>
  <c r="B126" i="81"/>
  <c r="C125" i="81"/>
  <c r="B125" i="81"/>
  <c r="C124" i="81"/>
  <c r="B124" i="81"/>
  <c r="C123" i="81"/>
  <c r="B123" i="81"/>
  <c r="D123" i="81" s="1" a="1"/>
  <c r="D123" i="81" s="1"/>
  <c r="C122" i="81"/>
  <c r="B122" i="81"/>
  <c r="C121" i="81"/>
  <c r="B121" i="81"/>
  <c r="C120" i="81"/>
  <c r="B120" i="81"/>
  <c r="C119" i="81"/>
  <c r="B119" i="81"/>
  <c r="C118" i="81"/>
  <c r="B118" i="81"/>
  <c r="C117" i="81"/>
  <c r="B117" i="81"/>
  <c r="C116" i="81"/>
  <c r="B116" i="81"/>
  <c r="C115" i="81"/>
  <c r="B115" i="81"/>
  <c r="D114" i="81" a="1"/>
  <c r="D114" i="81" s="1"/>
  <c r="C114" i="81"/>
  <c r="B114" i="81"/>
  <c r="C113" i="81"/>
  <c r="B113" i="81"/>
  <c r="C112" i="81"/>
  <c r="B112" i="81"/>
  <c r="C111" i="81"/>
  <c r="B111" i="81"/>
  <c r="C110" i="81"/>
  <c r="B110" i="81"/>
  <c r="C109" i="81"/>
  <c r="B109" i="81"/>
  <c r="C108" i="81"/>
  <c r="B108" i="81"/>
  <c r="C107" i="81"/>
  <c r="B107" i="81"/>
  <c r="C106" i="81"/>
  <c r="B106" i="81"/>
  <c r="C105" i="81"/>
  <c r="B105" i="81"/>
  <c r="C104" i="81"/>
  <c r="B104" i="81"/>
  <c r="C103" i="81"/>
  <c r="B103" i="81"/>
  <c r="C102" i="81"/>
  <c r="B102" i="81"/>
  <c r="C101" i="81"/>
  <c r="B101" i="81"/>
  <c r="C100" i="81"/>
  <c r="B100" i="81"/>
  <c r="C99" i="81"/>
  <c r="B99" i="81"/>
  <c r="C98" i="81"/>
  <c r="B98" i="81"/>
  <c r="C97" i="81"/>
  <c r="B97" i="81"/>
  <c r="C96" i="81"/>
  <c r="B96" i="81"/>
  <c r="C95" i="81"/>
  <c r="B95" i="81"/>
  <c r="C94" i="81"/>
  <c r="B94" i="81"/>
  <c r="C93" i="81"/>
  <c r="B93" i="81"/>
  <c r="C92" i="81"/>
  <c r="B92" i="81"/>
  <c r="C91" i="81"/>
  <c r="B91" i="81"/>
  <c r="C90" i="81"/>
  <c r="B90" i="81"/>
  <c r="C89" i="81"/>
  <c r="B89" i="81"/>
  <c r="C88" i="81"/>
  <c r="B88" i="81"/>
  <c r="C87" i="81"/>
  <c r="B87" i="81"/>
  <c r="C86" i="81"/>
  <c r="B86" i="81"/>
  <c r="C85" i="81"/>
  <c r="B85" i="81"/>
  <c r="C84" i="81"/>
  <c r="B84" i="81"/>
  <c r="C83" i="81"/>
  <c r="D83" i="81" s="1" a="1"/>
  <c r="D83" i="81" s="1"/>
  <c r="B83" i="81"/>
  <c r="C82" i="81"/>
  <c r="B82" i="81"/>
  <c r="C81" i="81"/>
  <c r="B81" i="81"/>
  <c r="C80" i="81"/>
  <c r="B80" i="81"/>
  <c r="C79" i="81"/>
  <c r="B79" i="81"/>
  <c r="C78" i="81"/>
  <c r="B78" i="81"/>
  <c r="C77" i="81"/>
  <c r="B77" i="81"/>
  <c r="C76" i="81"/>
  <c r="B76" i="81"/>
  <c r="C75" i="81"/>
  <c r="D75" i="81" s="1" a="1"/>
  <c r="D75" i="81" s="1"/>
  <c r="B75" i="81"/>
  <c r="C74" i="81"/>
  <c r="B74" i="81"/>
  <c r="C73" i="81"/>
  <c r="B73" i="81"/>
  <c r="C72" i="81"/>
  <c r="B72" i="81"/>
  <c r="C71" i="81"/>
  <c r="B71" i="81"/>
  <c r="C70" i="81"/>
  <c r="B70" i="81"/>
  <c r="C69" i="81"/>
  <c r="B69" i="81"/>
  <c r="C68" i="81"/>
  <c r="B68" i="81"/>
  <c r="C67" i="81"/>
  <c r="B67" i="81"/>
  <c r="C66" i="81"/>
  <c r="B66" i="81"/>
  <c r="C65" i="81"/>
  <c r="B65" i="81"/>
  <c r="C64" i="81"/>
  <c r="B64" i="81"/>
  <c r="C63" i="81"/>
  <c r="B63" i="81"/>
  <c r="C62" i="81"/>
  <c r="B62" i="81"/>
  <c r="C61" i="81"/>
  <c r="B61" i="81"/>
  <c r="C60" i="81"/>
  <c r="B60" i="81"/>
  <c r="C59" i="81"/>
  <c r="B59" i="81"/>
  <c r="C58" i="81"/>
  <c r="B58" i="81"/>
  <c r="C57" i="81"/>
  <c r="B57" i="81"/>
  <c r="C56" i="81"/>
  <c r="B56" i="81"/>
  <c r="C55" i="81"/>
  <c r="B55" i="81"/>
  <c r="C54" i="81"/>
  <c r="B54" i="81"/>
  <c r="C53" i="81"/>
  <c r="B53" i="81"/>
  <c r="C52" i="81"/>
  <c r="B52" i="81"/>
  <c r="C51" i="81"/>
  <c r="B51" i="81"/>
  <c r="C50" i="81"/>
  <c r="B50" i="81"/>
  <c r="C49" i="81"/>
  <c r="B49" i="81"/>
  <c r="C48" i="81"/>
  <c r="B48" i="81"/>
  <c r="C47" i="81"/>
  <c r="B47" i="81"/>
  <c r="C46" i="81"/>
  <c r="B46" i="81"/>
  <c r="C45" i="81"/>
  <c r="B45" i="81"/>
  <c r="C44" i="81"/>
  <c r="B44" i="81"/>
  <c r="C43" i="81"/>
  <c r="B43" i="81"/>
  <c r="C42" i="81"/>
  <c r="B42" i="81"/>
  <c r="C41" i="81"/>
  <c r="B41" i="81"/>
  <c r="C40" i="81"/>
  <c r="B40" i="81"/>
  <c r="C39" i="81"/>
  <c r="B39" i="81"/>
  <c r="C38" i="81"/>
  <c r="B38" i="81"/>
  <c r="C37" i="81"/>
  <c r="B37" i="81"/>
  <c r="C36" i="81"/>
  <c r="B36" i="81"/>
  <c r="C35" i="81"/>
  <c r="B35" i="81"/>
  <c r="D24" i="81"/>
  <c r="D20" i="81"/>
  <c r="D19" i="81"/>
  <c r="D18" i="81"/>
  <c r="D15" i="81"/>
  <c r="D12" i="81"/>
  <c r="D11" i="81"/>
  <c r="D10" i="81"/>
  <c r="D8" i="81"/>
  <c r="D5" i="81"/>
  <c r="D4" i="81"/>
  <c r="D2" i="81"/>
  <c r="D564" i="81" a="1"/>
  <c r="D564" i="81" s="1"/>
  <c r="D562" i="81" a="1"/>
  <c r="D562" i="81" s="1"/>
  <c r="D561" i="81" a="1"/>
  <c r="D561" i="81" s="1"/>
  <c r="D560" i="81" a="1"/>
  <c r="D560" i="81" s="1"/>
  <c r="D558" i="81" a="1"/>
  <c r="D558" i="81" s="1"/>
  <c r="D556" i="81" a="1"/>
  <c r="D556" i="81" s="1"/>
  <c r="D554" i="81" a="1"/>
  <c r="D554" i="81" s="1"/>
  <c r="D552" i="81" a="1"/>
  <c r="D552" i="81" s="1"/>
  <c r="D551" i="81" a="1"/>
  <c r="D551" i="81" s="1"/>
  <c r="D550" i="81" a="1"/>
  <c r="D550" i="81" s="1"/>
  <c r="D548" i="81" a="1"/>
  <c r="D548" i="81" s="1"/>
  <c r="D546" i="81" a="1"/>
  <c r="D546" i="81" s="1"/>
  <c r="D545" i="81" a="1"/>
  <c r="D545" i="81" s="1"/>
  <c r="D544" i="81" a="1"/>
  <c r="D544" i="81" s="1"/>
  <c r="D543" i="81" a="1"/>
  <c r="D543" i="81" s="1"/>
  <c r="D542" i="81" a="1"/>
  <c r="D542" i="81" s="1"/>
  <c r="D540" i="81" a="1"/>
  <c r="D540" i="81" s="1"/>
  <c r="D538" i="81" a="1"/>
  <c r="D538" i="81" s="1"/>
  <c r="D536" i="81" a="1"/>
  <c r="D536" i="81" s="1"/>
  <c r="D535" i="81" a="1"/>
  <c r="D535" i="81" s="1"/>
  <c r="D534" i="81" a="1"/>
  <c r="D534" i="81" s="1"/>
  <c r="D533" i="81" a="1"/>
  <c r="D533" i="81" s="1"/>
  <c r="D532" i="81" a="1"/>
  <c r="D532" i="81" s="1"/>
  <c r="D530" i="81" a="1"/>
  <c r="D530" i="81" s="1"/>
  <c r="D529" i="81" a="1"/>
  <c r="D529" i="81" s="1"/>
  <c r="D528" i="81" a="1"/>
  <c r="D528" i="81" s="1"/>
  <c r="D526" i="81" a="1"/>
  <c r="D526" i="81" s="1"/>
  <c r="D524" i="81" a="1"/>
  <c r="D524" i="81" s="1"/>
  <c r="D522" i="81" a="1"/>
  <c r="D522" i="81" s="1"/>
  <c r="D520" i="81" a="1"/>
  <c r="D520" i="81" s="1"/>
  <c r="D519" i="81" a="1"/>
  <c r="D519" i="81" s="1"/>
  <c r="D518" i="81" a="1"/>
  <c r="D518" i="81" s="1"/>
  <c r="D516" i="81" a="1"/>
  <c r="D516" i="81" s="1"/>
  <c r="D514" i="81" a="1"/>
  <c r="D514" i="81" s="1"/>
  <c r="D513" i="81" a="1"/>
  <c r="D513" i="81" s="1"/>
  <c r="D512" i="81" a="1"/>
  <c r="D512" i="81" s="1"/>
  <c r="D511" i="81" a="1"/>
  <c r="D511" i="81" s="1"/>
  <c r="D510" i="81" a="1"/>
  <c r="D510" i="81" s="1"/>
  <c r="D508" i="81" a="1"/>
  <c r="D508" i="81" s="1"/>
  <c r="D506" i="81" a="1"/>
  <c r="D506" i="81" s="1"/>
  <c r="D504" i="81" a="1"/>
  <c r="D504" i="81" s="1"/>
  <c r="D503" i="81" a="1"/>
  <c r="D503" i="81" s="1"/>
  <c r="D502" i="81" a="1"/>
  <c r="D502" i="81" s="1"/>
  <c r="D500" i="81" a="1"/>
  <c r="D500" i="81" s="1"/>
  <c r="D498" i="81" a="1"/>
  <c r="D498" i="81" s="1"/>
  <c r="D497" i="81" a="1"/>
  <c r="D497" i="81" s="1"/>
  <c r="D496" i="81" a="1"/>
  <c r="D496" i="81" s="1"/>
  <c r="D494" i="81" a="1"/>
  <c r="D494" i="81" s="1"/>
  <c r="D492" i="81" a="1"/>
  <c r="D492" i="81" s="1"/>
  <c r="D490" i="81" a="1"/>
  <c r="D490" i="81" s="1"/>
  <c r="D488" i="81" a="1"/>
  <c r="D488" i="81" s="1"/>
  <c r="D487" i="81" a="1"/>
  <c r="D487" i="81" s="1"/>
  <c r="D486" i="81" a="1"/>
  <c r="D486" i="81" s="1"/>
  <c r="D484" i="81" a="1"/>
  <c r="D484" i="81" s="1"/>
  <c r="D482" i="81" a="1"/>
  <c r="D482" i="81" s="1"/>
  <c r="D481" i="81" a="1"/>
  <c r="D481" i="81" s="1"/>
  <c r="D480" i="81" a="1"/>
  <c r="D480" i="81" s="1"/>
  <c r="D479" i="81" a="1"/>
  <c r="D479" i="81" s="1"/>
  <c r="D478" i="81" a="1"/>
  <c r="D478" i="81" s="1"/>
  <c r="D476" i="81" a="1"/>
  <c r="D476" i="81" s="1"/>
  <c r="D474" i="81" a="1"/>
  <c r="D474" i="81" s="1"/>
  <c r="D472" i="81" a="1"/>
  <c r="D472" i="81" s="1"/>
  <c r="D471" i="81" a="1"/>
  <c r="D471" i="81" s="1"/>
  <c r="D470" i="81" a="1"/>
  <c r="D470" i="81" s="1"/>
  <c r="D468" i="81" a="1"/>
  <c r="D468" i="81" s="1"/>
  <c r="D466" i="81" a="1"/>
  <c r="D466" i="81" s="1"/>
  <c r="D465" i="81" a="1"/>
  <c r="D465" i="81" s="1"/>
  <c r="D464" i="81" a="1"/>
  <c r="D464" i="81" s="1"/>
  <c r="D462" i="81" a="1"/>
  <c r="D462" i="81" s="1"/>
  <c r="D460" i="81" a="1"/>
  <c r="D460" i="81" s="1"/>
  <c r="D458" i="81" a="1"/>
  <c r="D458" i="81" s="1"/>
  <c r="D456" i="81" a="1"/>
  <c r="D456" i="81" s="1"/>
  <c r="D455" i="81" a="1"/>
  <c r="D455" i="81" s="1"/>
  <c r="D454" i="81" a="1"/>
  <c r="D454" i="81" s="1"/>
  <c r="D452" i="81" a="1"/>
  <c r="D452" i="81" s="1"/>
  <c r="D450" i="81" a="1"/>
  <c r="D450" i="81" s="1"/>
  <c r="D449" i="81" a="1"/>
  <c r="D449" i="81" s="1"/>
  <c r="D448" i="81" a="1"/>
  <c r="D448" i="81" s="1"/>
  <c r="D447" i="81" a="1"/>
  <c r="D447" i="81" s="1"/>
  <c r="D446" i="81" a="1"/>
  <c r="D446" i="81" s="1"/>
  <c r="D444" i="81" a="1"/>
  <c r="D444" i="81" s="1"/>
  <c r="D442" i="81" a="1"/>
  <c r="D442" i="81" s="1"/>
  <c r="D440" i="81" a="1"/>
  <c r="D440" i="81" s="1"/>
  <c r="D439" i="81" a="1"/>
  <c r="D439" i="81" s="1"/>
  <c r="D438" i="81" a="1"/>
  <c r="D438" i="81" s="1"/>
  <c r="D436" i="81" a="1"/>
  <c r="D436" i="81" s="1"/>
  <c r="D434" i="81" a="1"/>
  <c r="D434" i="81" s="1"/>
  <c r="D433" i="81" a="1"/>
  <c r="D433" i="81" s="1"/>
  <c r="D432" i="81" a="1"/>
  <c r="D432" i="81" s="1"/>
  <c r="D430" i="81" a="1"/>
  <c r="D430" i="81" s="1"/>
  <c r="D428" i="81" a="1"/>
  <c r="D428" i="81" s="1"/>
  <c r="D426" i="81" a="1"/>
  <c r="D426" i="81" s="1"/>
  <c r="D424" i="81" a="1"/>
  <c r="D424" i="81" s="1"/>
  <c r="D423" i="81" a="1"/>
  <c r="D423" i="81" s="1"/>
  <c r="D422" i="81" a="1"/>
  <c r="D422" i="81" s="1"/>
  <c r="D420" i="81" a="1"/>
  <c r="D420" i="81" s="1"/>
  <c r="D418" i="81" a="1"/>
  <c r="D418" i="81" s="1"/>
  <c r="D417" i="81" a="1"/>
  <c r="D417" i="81" s="1"/>
  <c r="D416" i="81" a="1"/>
  <c r="D416" i="81" s="1"/>
  <c r="D415" i="81" a="1"/>
  <c r="D415" i="81" s="1"/>
  <c r="D414" i="81" a="1"/>
  <c r="D414" i="81" s="1"/>
  <c r="D412" i="81" a="1"/>
  <c r="D412" i="81" s="1"/>
  <c r="D410" i="81" a="1"/>
  <c r="D410" i="81" s="1"/>
  <c r="D408" i="81" a="1"/>
  <c r="D408" i="81" s="1"/>
  <c r="D407" i="81" a="1"/>
  <c r="D407" i="81" s="1"/>
  <c r="D406" i="81" a="1"/>
  <c r="D406" i="81" s="1"/>
  <c r="D405" i="81" a="1"/>
  <c r="D405" i="81" s="1"/>
  <c r="D404" i="81" a="1"/>
  <c r="D404" i="81" s="1"/>
  <c r="D402" i="81" a="1"/>
  <c r="D402" i="81" s="1"/>
  <c r="D401" i="81" a="1"/>
  <c r="D401" i="81" s="1"/>
  <c r="D400" i="81" a="1"/>
  <c r="D400" i="81" s="1"/>
  <c r="D398" i="81" a="1"/>
  <c r="D398" i="81" s="1"/>
  <c r="D396" i="81" a="1"/>
  <c r="D396" i="81" s="1"/>
  <c r="D394" i="81" a="1"/>
  <c r="D394" i="81" s="1"/>
  <c r="D392" i="81" a="1"/>
  <c r="D392" i="81" s="1"/>
  <c r="D391" i="81" a="1"/>
  <c r="D391" i="81" s="1"/>
  <c r="D390" i="81" a="1"/>
  <c r="D390" i="81" s="1"/>
  <c r="D388" i="81" a="1"/>
  <c r="D388" i="81" s="1"/>
  <c r="D386" i="81" a="1"/>
  <c r="D386" i="81" s="1"/>
  <c r="D385" i="81" a="1"/>
  <c r="D385" i="81" s="1"/>
  <c r="D384" i="81" a="1"/>
  <c r="D384" i="81" s="1"/>
  <c r="D383" i="81" a="1"/>
  <c r="D383" i="81" s="1"/>
  <c r="D382" i="81" a="1"/>
  <c r="D382" i="81" s="1"/>
  <c r="D380" i="81" a="1"/>
  <c r="D380" i="81" s="1"/>
  <c r="D378" i="81" a="1"/>
  <c r="D378" i="81" s="1"/>
  <c r="D376" i="81" a="1"/>
  <c r="D376" i="81" s="1"/>
  <c r="D375" i="81" a="1"/>
  <c r="D375" i="81" s="1"/>
  <c r="D373" i="81" a="1"/>
  <c r="D373" i="81" s="1"/>
  <c r="D372" i="81" a="1"/>
  <c r="D372" i="81" s="1"/>
  <c r="D370" i="81" a="1"/>
  <c r="D370" i="81" s="1"/>
  <c r="D369" i="81" a="1"/>
  <c r="D369" i="81" s="1"/>
  <c r="D368" i="81" a="1"/>
  <c r="D368" i="81" s="1"/>
  <c r="D366" i="81" a="1"/>
  <c r="D366" i="81" s="1"/>
  <c r="D364" i="81" a="1"/>
  <c r="D364" i="81" s="1"/>
  <c r="D362" i="81" a="1"/>
  <c r="D362" i="81" s="1"/>
  <c r="D360" i="81" a="1"/>
  <c r="D360" i="81" s="1"/>
  <c r="D359" i="81" a="1"/>
  <c r="D359" i="81" s="1"/>
  <c r="D358" i="81" a="1"/>
  <c r="D358" i="81" s="1"/>
  <c r="D356" i="81" a="1"/>
  <c r="D356" i="81" s="1"/>
  <c r="D354" i="81" a="1"/>
  <c r="D354" i="81" s="1"/>
  <c r="D353" i="81" a="1"/>
  <c r="D353" i="81" s="1"/>
  <c r="D352" i="81" a="1"/>
  <c r="D352" i="81" s="1"/>
  <c r="D351" i="81" a="1"/>
  <c r="D351" i="81" s="1"/>
  <c r="D350" i="81" a="1"/>
  <c r="D350" i="81" s="1"/>
  <c r="D348" i="81" a="1"/>
  <c r="D348" i="81" s="1"/>
  <c r="D346" i="81" a="1"/>
  <c r="D346" i="81" s="1"/>
  <c r="D344" i="81" a="1"/>
  <c r="D344" i="81" s="1"/>
  <c r="D342" i="81" a="1"/>
  <c r="D342" i="81" s="1"/>
  <c r="D340" i="81" a="1"/>
  <c r="D340" i="81" s="1"/>
  <c r="D338" i="81" a="1"/>
  <c r="D338" i="81" s="1"/>
  <c r="D336" i="81" a="1"/>
  <c r="D336" i="81" s="1"/>
  <c r="D334" i="81" a="1"/>
  <c r="D334" i="81" s="1"/>
  <c r="D332" i="81" a="1"/>
  <c r="D332" i="81" s="1"/>
  <c r="D330" i="81" a="1"/>
  <c r="D330" i="81" s="1"/>
  <c r="D326" i="81" a="1"/>
  <c r="D326" i="81" s="1"/>
  <c r="D324" i="81" a="1"/>
  <c r="D324" i="81" s="1"/>
  <c r="D318" i="81" a="1"/>
  <c r="D318" i="81" s="1"/>
  <c r="D316" i="81" a="1"/>
  <c r="D316" i="81" s="1"/>
  <c r="D314" i="81" a="1"/>
  <c r="D314" i="81" s="1"/>
  <c r="D308" i="81" a="1"/>
  <c r="D308" i="81" s="1"/>
  <c r="D302" i="81" a="1"/>
  <c r="D302" i="81" s="1"/>
  <c r="D300" i="81" a="1"/>
  <c r="D300" i="81" s="1"/>
  <c r="D292" i="81" a="1"/>
  <c r="D292" i="81" s="1"/>
  <c r="D286" i="81" a="1"/>
  <c r="D286" i="81" s="1"/>
  <c r="D282" i="81" a="1"/>
  <c r="D282" i="81" s="1"/>
  <c r="D278" i="81" a="1"/>
  <c r="D278" i="81" s="1"/>
  <c r="D270" i="81" a="1"/>
  <c r="D270" i="81" s="1"/>
  <c r="D262" i="81" a="1"/>
  <c r="D262" i="81" s="1"/>
  <c r="D254" i="81" a="1"/>
  <c r="D254" i="81" s="1"/>
  <c r="D250" i="81" a="1"/>
  <c r="D250" i="81" s="1"/>
  <c r="D244" i="81" a="1"/>
  <c r="D244" i="81" s="1"/>
  <c r="D238" i="81" a="1"/>
  <c r="D238" i="81" s="1"/>
  <c r="D236" i="81" a="1"/>
  <c r="D236" i="81" s="1"/>
  <c r="D232" i="81" a="1"/>
  <c r="D232" i="81" s="1"/>
  <c r="D222" i="81" a="1"/>
  <c r="D222" i="81" s="1"/>
  <c r="D218" i="81" a="1"/>
  <c r="D218" i="81" s="1"/>
  <c r="D206" i="81" a="1"/>
  <c r="D206" i="81" s="1"/>
  <c r="D204" i="81" a="1"/>
  <c r="D204" i="81" s="1"/>
  <c r="D200" i="81" a="1"/>
  <c r="D200" i="81" s="1"/>
  <c r="D190" i="81" a="1"/>
  <c r="D190" i="81" s="1"/>
  <c r="D186" i="81" a="1"/>
  <c r="D186" i="81" s="1"/>
  <c r="D184" i="81" a="1"/>
  <c r="D184" i="81" s="1"/>
  <c r="D170" i="81" a="1"/>
  <c r="D170" i="81" s="1"/>
  <c r="D168" i="81" a="1"/>
  <c r="D168" i="81" s="1"/>
  <c r="D166" i="81" a="1"/>
  <c r="D166" i="81" s="1"/>
  <c r="D161" i="81" a="1"/>
  <c r="D161" i="81" s="1"/>
  <c r="D160" i="81" a="1"/>
  <c r="D160" i="81" s="1"/>
  <c r="D159" i="81" a="1"/>
  <c r="D159" i="81" s="1"/>
  <c r="D153" i="81" a="1"/>
  <c r="D153" i="81" s="1"/>
  <c r="D152" i="81" a="1"/>
  <c r="D152" i="81" s="1"/>
  <c r="D150" i="81" a="1"/>
  <c r="D150" i="81" s="1"/>
  <c r="D145" i="81" a="1"/>
  <c r="D145" i="81" s="1"/>
  <c r="D144" i="81" a="1"/>
  <c r="D144" i="81" s="1"/>
  <c r="D143" i="81" a="1"/>
  <c r="D143" i="81" s="1"/>
  <c r="D137" i="81" a="1"/>
  <c r="D137" i="81" s="1"/>
  <c r="D136" i="81" a="1"/>
  <c r="D136" i="81" s="1"/>
  <c r="D134" i="81" a="1"/>
  <c r="D134" i="81" s="1"/>
  <c r="D129" i="81" a="1"/>
  <c r="D129" i="81" s="1"/>
  <c r="D127" i="81" a="1"/>
  <c r="D127" i="81" s="1"/>
  <c r="D121" i="81" a="1"/>
  <c r="D121" i="81" s="1"/>
  <c r="D120" i="81" a="1"/>
  <c r="D120" i="81" s="1"/>
  <c r="D118" i="81" a="1"/>
  <c r="D118" i="81" s="1"/>
  <c r="D116" i="81" a="1"/>
  <c r="D116" i="81" s="1"/>
  <c r="D112" i="81" a="1"/>
  <c r="D112" i="81" s="1"/>
  <c r="D110" i="81" a="1"/>
  <c r="D110" i="81" s="1"/>
  <c r="D108" i="81" a="1"/>
  <c r="D108" i="81" s="1"/>
  <c r="J9" i="80"/>
  <c r="D106" i="81" s="1" a="1"/>
  <c r="D106" i="81" s="1"/>
  <c r="I9" i="80"/>
  <c r="H9" i="80"/>
  <c r="D104" i="81" s="1" a="1"/>
  <c r="D104" i="81" s="1"/>
  <c r="G9" i="80"/>
  <c r="F9" i="80"/>
  <c r="D102" i="81" s="1" a="1"/>
  <c r="D102" i="81" s="1"/>
  <c r="E9" i="80"/>
  <c r="D9" i="80"/>
  <c r="D100" i="81" s="1" a="1"/>
  <c r="D100" i="81" s="1"/>
  <c r="C9" i="80"/>
  <c r="B9" i="80"/>
  <c r="D98" i="81" s="1" a="1"/>
  <c r="D98" i="81" s="1"/>
  <c r="J8" i="80"/>
  <c r="I8" i="80"/>
  <c r="D96" i="81" s="1" a="1"/>
  <c r="D96" i="81" s="1"/>
  <c r="H8" i="80"/>
  <c r="G8" i="80"/>
  <c r="D94" i="81" s="1" a="1"/>
  <c r="D94" i="81" s="1"/>
  <c r="F8" i="80"/>
  <c r="E8" i="80"/>
  <c r="D92" i="81" s="1" a="1"/>
  <c r="D92" i="81" s="1"/>
  <c r="D8" i="80"/>
  <c r="C8" i="80"/>
  <c r="D90" i="81" s="1" a="1"/>
  <c r="D90" i="81" s="1"/>
  <c r="B8" i="80"/>
  <c r="J7" i="80"/>
  <c r="D88" i="81" s="1" a="1"/>
  <c r="D88" i="81" s="1"/>
  <c r="I7" i="80"/>
  <c r="H7" i="80"/>
  <c r="D86" i="81" s="1" a="1"/>
  <c r="D86" i="81" s="1"/>
  <c r="G7" i="80"/>
  <c r="F7" i="80"/>
  <c r="D84" i="81" s="1" a="1"/>
  <c r="D84" i="81" s="1"/>
  <c r="E7" i="80"/>
  <c r="D7" i="80"/>
  <c r="D82" i="81" s="1" a="1"/>
  <c r="D82" i="81" s="1"/>
  <c r="C7" i="80"/>
  <c r="B7" i="80"/>
  <c r="D80" i="81" s="1" a="1"/>
  <c r="D80" i="81" s="1"/>
  <c r="J6" i="80"/>
  <c r="I6" i="80"/>
  <c r="D78" i="81" s="1" a="1"/>
  <c r="D78" i="81" s="1"/>
  <c r="H6" i="80"/>
  <c r="G6" i="80"/>
  <c r="D76" i="81" s="1" a="1"/>
  <c r="D76" i="81" s="1"/>
  <c r="F6" i="80"/>
  <c r="E6" i="80"/>
  <c r="D74" i="81" s="1" a="1"/>
  <c r="D74" i="81" s="1"/>
  <c r="D6" i="80"/>
  <c r="C6" i="80"/>
  <c r="D72" i="81" s="1" a="1"/>
  <c r="D72" i="81" s="1"/>
  <c r="B6" i="80"/>
  <c r="J5" i="80"/>
  <c r="D70" i="81" s="1" a="1"/>
  <c r="D70" i="81" s="1"/>
  <c r="I5" i="80"/>
  <c r="H5" i="80"/>
  <c r="D68" i="81" s="1" a="1"/>
  <c r="D68" i="81" s="1"/>
  <c r="G5" i="80"/>
  <c r="F5" i="80"/>
  <c r="D66" i="81" s="1" a="1"/>
  <c r="D66" i="81" s="1"/>
  <c r="E5" i="80"/>
  <c r="D5" i="80"/>
  <c r="D64" i="81" s="1" a="1"/>
  <c r="D64" i="81" s="1"/>
  <c r="C5" i="80"/>
  <c r="B5" i="80"/>
  <c r="D62" i="81" s="1" a="1"/>
  <c r="D62" i="81" s="1"/>
  <c r="J4" i="80"/>
  <c r="I4" i="80"/>
  <c r="D60" i="81" s="1" a="1"/>
  <c r="D60" i="81" s="1"/>
  <c r="H4" i="80"/>
  <c r="G4" i="80"/>
  <c r="D58" i="81" s="1" a="1"/>
  <c r="D58" i="81" s="1"/>
  <c r="F4" i="80"/>
  <c r="E4" i="80"/>
  <c r="D56" i="81" s="1" a="1"/>
  <c r="D56" i="81" s="1"/>
  <c r="D4" i="80"/>
  <c r="C4" i="80"/>
  <c r="D54" i="81" s="1" a="1"/>
  <c r="D54" i="81" s="1"/>
  <c r="B4" i="80"/>
  <c r="J3" i="80"/>
  <c r="D52" i="81" s="1" a="1"/>
  <c r="D52" i="81" s="1"/>
  <c r="I3" i="80"/>
  <c r="H3" i="80"/>
  <c r="D50" i="81" s="1" a="1"/>
  <c r="D50" i="81" s="1"/>
  <c r="G3" i="80"/>
  <c r="F3" i="80"/>
  <c r="D48" i="81" s="1" a="1"/>
  <c r="D48" i="81" s="1"/>
  <c r="E3" i="80"/>
  <c r="D3" i="80"/>
  <c r="D46" i="81" s="1" a="1"/>
  <c r="D46" i="81" s="1"/>
  <c r="C3" i="80"/>
  <c r="B3" i="80"/>
  <c r="D44" i="81" s="1" a="1"/>
  <c r="D44" i="81" s="1"/>
  <c r="J2" i="80"/>
  <c r="I2" i="80"/>
  <c r="D42" i="81" s="1" a="1"/>
  <c r="D42" i="81" s="1"/>
  <c r="H2" i="80"/>
  <c r="G2" i="80"/>
  <c r="D40" i="81" s="1" a="1"/>
  <c r="D40" i="81" s="1"/>
  <c r="F2" i="80"/>
  <c r="E2" i="80"/>
  <c r="D38" i="81" s="1" a="1"/>
  <c r="D38" i="81" s="1"/>
  <c r="D2" i="80"/>
  <c r="C2" i="80"/>
  <c r="D36" i="81" s="1" a="1"/>
  <c r="D36" i="81" s="1"/>
  <c r="B2" i="80"/>
  <c r="G1" i="80"/>
  <c r="D33" i="81" s="1"/>
  <c r="F1" i="80"/>
  <c r="D32" i="81" s="1"/>
  <c r="E1" i="80"/>
  <c r="D31" i="81" s="1"/>
  <c r="D1" i="80"/>
  <c r="D30" i="81" s="1"/>
  <c r="C1" i="80"/>
  <c r="D29" i="81" s="1"/>
  <c r="B1" i="80"/>
  <c r="D28" i="81" s="1"/>
  <c r="C393" i="78"/>
  <c r="B393" i="78"/>
  <c r="C392" i="78"/>
  <c r="B392" i="78"/>
  <c r="C391" i="78"/>
  <c r="B391" i="78"/>
  <c r="C390" i="78"/>
  <c r="B390" i="78"/>
  <c r="C389" i="78"/>
  <c r="B389" i="78"/>
  <c r="C388" i="78"/>
  <c r="B388" i="78"/>
  <c r="C387" i="78"/>
  <c r="B387" i="78"/>
  <c r="C386" i="78"/>
  <c r="B386" i="78"/>
  <c r="C385" i="78"/>
  <c r="B385" i="78"/>
  <c r="C384" i="78"/>
  <c r="B384" i="78"/>
  <c r="C383" i="78"/>
  <c r="B383" i="78"/>
  <c r="C382" i="78"/>
  <c r="B382" i="78"/>
  <c r="C381" i="78"/>
  <c r="B381" i="78"/>
  <c r="C380" i="78"/>
  <c r="B380" i="78"/>
  <c r="C379" i="78"/>
  <c r="B379" i="78"/>
  <c r="C378" i="78"/>
  <c r="B378" i="78"/>
  <c r="C377" i="78"/>
  <c r="B377" i="78"/>
  <c r="C376" i="78"/>
  <c r="B376" i="78"/>
  <c r="C375" i="78"/>
  <c r="B375" i="78"/>
  <c r="C374" i="78"/>
  <c r="B374" i="78"/>
  <c r="C373" i="78"/>
  <c r="B373" i="78"/>
  <c r="C372" i="78"/>
  <c r="B372" i="78"/>
  <c r="C371" i="78"/>
  <c r="B371" i="78"/>
  <c r="C370" i="78"/>
  <c r="B370" i="78"/>
  <c r="C369" i="78"/>
  <c r="B369" i="78"/>
  <c r="C368" i="78"/>
  <c r="B368" i="78"/>
  <c r="C367" i="78"/>
  <c r="B367" i="78"/>
  <c r="C366" i="78"/>
  <c r="B366" i="78"/>
  <c r="C365" i="78"/>
  <c r="B365" i="78"/>
  <c r="C364" i="78"/>
  <c r="B364" i="78"/>
  <c r="C363" i="78"/>
  <c r="B363" i="78"/>
  <c r="C362" i="78"/>
  <c r="B362" i="78"/>
  <c r="C361" i="78"/>
  <c r="B361" i="78"/>
  <c r="C360" i="78"/>
  <c r="B360" i="78"/>
  <c r="C359" i="78"/>
  <c r="B359" i="78"/>
  <c r="C358" i="78"/>
  <c r="B358" i="78"/>
  <c r="C357" i="78"/>
  <c r="B357" i="78"/>
  <c r="C356" i="78"/>
  <c r="B356" i="78"/>
  <c r="C355" i="78"/>
  <c r="B355" i="78"/>
  <c r="C354" i="78"/>
  <c r="B354" i="78"/>
  <c r="C353" i="78"/>
  <c r="B353" i="78"/>
  <c r="C352" i="78"/>
  <c r="B352" i="78"/>
  <c r="C351" i="78"/>
  <c r="B351" i="78"/>
  <c r="C350" i="78"/>
  <c r="B350" i="78"/>
  <c r="C349" i="78"/>
  <c r="B349" i="78"/>
  <c r="C348" i="78"/>
  <c r="B348" i="78"/>
  <c r="C347" i="78"/>
  <c r="B347" i="78"/>
  <c r="C346" i="78"/>
  <c r="B346" i="78"/>
  <c r="C345" i="78"/>
  <c r="B345" i="78"/>
  <c r="D345" i="78" s="1" a="1"/>
  <c r="D345" i="78" s="1"/>
  <c r="D344" i="78" a="1"/>
  <c r="D344" i="78" s="1"/>
  <c r="C344" i="78"/>
  <c r="B344" i="78"/>
  <c r="C343" i="78"/>
  <c r="B343" i="78"/>
  <c r="D343" i="78" s="1" a="1"/>
  <c r="D343" i="78" s="1"/>
  <c r="C342" i="78"/>
  <c r="B342" i="78"/>
  <c r="D342" i="78" s="1" a="1"/>
  <c r="D342" i="78" s="1"/>
  <c r="D341" i="78" a="1"/>
  <c r="D341" i="78" s="1"/>
  <c r="C341" i="78"/>
  <c r="B341" i="78"/>
  <c r="D340" i="78" a="1"/>
  <c r="D340" i="78" s="1"/>
  <c r="C340" i="78"/>
  <c r="B340" i="78"/>
  <c r="C339" i="78"/>
  <c r="B339" i="78"/>
  <c r="D339" i="78" s="1" a="1"/>
  <c r="D339" i="78" s="1"/>
  <c r="C338" i="78"/>
  <c r="B338" i="78"/>
  <c r="D338" i="78" s="1" a="1"/>
  <c r="D338" i="78" s="1"/>
  <c r="C337" i="78"/>
  <c r="B337" i="78"/>
  <c r="D337" i="78" s="1" a="1"/>
  <c r="D337" i="78" s="1"/>
  <c r="D336" i="78" a="1"/>
  <c r="D336" i="78" s="1"/>
  <c r="C336" i="78"/>
  <c r="B336" i="78"/>
  <c r="C335" i="78"/>
  <c r="B335" i="78"/>
  <c r="D335" i="78" s="1" a="1"/>
  <c r="D335" i="78" s="1"/>
  <c r="C334" i="78"/>
  <c r="B334" i="78"/>
  <c r="D334" i="78" s="1" a="1"/>
  <c r="D334" i="78" s="1"/>
  <c r="D333" i="78" a="1"/>
  <c r="D333" i="78" s="1"/>
  <c r="C333" i="78"/>
  <c r="B333" i="78"/>
  <c r="D332" i="78" a="1"/>
  <c r="D332" i="78" s="1"/>
  <c r="C332" i="78"/>
  <c r="B332" i="78"/>
  <c r="C331" i="78"/>
  <c r="B331" i="78"/>
  <c r="D331" i="78" s="1" a="1"/>
  <c r="D331" i="78" s="1"/>
  <c r="C330" i="78"/>
  <c r="B330" i="78"/>
  <c r="D330" i="78" s="1" a="1"/>
  <c r="D330" i="78" s="1"/>
  <c r="C329" i="78"/>
  <c r="B329" i="78"/>
  <c r="D329" i="78" s="1" a="1"/>
  <c r="D329" i="78" s="1"/>
  <c r="D328" i="78" a="1"/>
  <c r="D328" i="78" s="1"/>
  <c r="C328" i="78"/>
  <c r="B328" i="78"/>
  <c r="C327" i="78"/>
  <c r="B327" i="78"/>
  <c r="D327" i="78" s="1" a="1"/>
  <c r="D327" i="78" s="1"/>
  <c r="C326" i="78"/>
  <c r="B326" i="78"/>
  <c r="D326" i="78" s="1" a="1"/>
  <c r="D326" i="78" s="1"/>
  <c r="D325" i="78" a="1"/>
  <c r="D325" i="78" s="1"/>
  <c r="C325" i="78"/>
  <c r="B325" i="78"/>
  <c r="D324" i="78" a="1"/>
  <c r="D324" i="78" s="1"/>
  <c r="C324" i="78"/>
  <c r="B324" i="78"/>
  <c r="C323" i="78"/>
  <c r="B323" i="78"/>
  <c r="D323" i="78" s="1" a="1"/>
  <c r="D323" i="78" s="1"/>
  <c r="C322" i="78"/>
  <c r="B322" i="78"/>
  <c r="D322" i="78" s="1" a="1"/>
  <c r="D322" i="78" s="1"/>
  <c r="C321" i="78"/>
  <c r="B321" i="78"/>
  <c r="D321" i="78" s="1" a="1"/>
  <c r="D321" i="78" s="1"/>
  <c r="D320" i="78" a="1"/>
  <c r="D320" i="78" s="1"/>
  <c r="C320" i="78"/>
  <c r="B320" i="78"/>
  <c r="D319" i="78" a="1"/>
  <c r="D319" i="78" s="1"/>
  <c r="C319" i="78"/>
  <c r="B319" i="78"/>
  <c r="D318" i="78" a="1"/>
  <c r="D318" i="78" s="1"/>
  <c r="C318" i="78"/>
  <c r="B318" i="78"/>
  <c r="D317" i="78" a="1"/>
  <c r="D317" i="78" s="1"/>
  <c r="C317" i="78"/>
  <c r="B317" i="78"/>
  <c r="C316" i="78"/>
  <c r="B316" i="78"/>
  <c r="D316" i="78" s="1" a="1"/>
  <c r="D316" i="78" s="1"/>
  <c r="C315" i="78"/>
  <c r="B315" i="78"/>
  <c r="D315" i="78" s="1" a="1"/>
  <c r="D315" i="78" s="1"/>
  <c r="C314" i="78"/>
  <c r="B314" i="78"/>
  <c r="D314" i="78" s="1" a="1"/>
  <c r="D314" i="78" s="1"/>
  <c r="D313" i="78" a="1"/>
  <c r="D313" i="78" s="1"/>
  <c r="C313" i="78"/>
  <c r="B313" i="78"/>
  <c r="C312" i="78"/>
  <c r="B312" i="78"/>
  <c r="D312" i="78" s="1" a="1"/>
  <c r="D312" i="78" s="1"/>
  <c r="D311" i="78" a="1"/>
  <c r="D311" i="78" s="1"/>
  <c r="C311" i="78"/>
  <c r="B311" i="78"/>
  <c r="D310" i="78" a="1"/>
  <c r="D310" i="78" s="1"/>
  <c r="C310" i="78"/>
  <c r="B310" i="78"/>
  <c r="C309" i="78"/>
  <c r="B309" i="78"/>
  <c r="D309" i="78" s="1" a="1"/>
  <c r="D309" i="78" s="1"/>
  <c r="D308" i="78" a="1"/>
  <c r="D308" i="78" s="1"/>
  <c r="C308" i="78"/>
  <c r="B308" i="78"/>
  <c r="C307" i="78"/>
  <c r="B307" i="78"/>
  <c r="D307" i="78" s="1" a="1"/>
  <c r="D307" i="78" s="1"/>
  <c r="C306" i="78"/>
  <c r="B306" i="78"/>
  <c r="D306" i="78" s="1" a="1"/>
  <c r="D306" i="78" s="1"/>
  <c r="C305" i="78"/>
  <c r="B305" i="78"/>
  <c r="D305" i="78" s="1" a="1"/>
  <c r="D305" i="78" s="1"/>
  <c r="D304" i="78" a="1"/>
  <c r="D304" i="78" s="1"/>
  <c r="C304" i="78"/>
  <c r="B304" i="78"/>
  <c r="D303" i="78" a="1"/>
  <c r="D303" i="78" s="1"/>
  <c r="C303" i="78"/>
  <c r="B303" i="78"/>
  <c r="D302" i="78" a="1"/>
  <c r="D302" i="78" s="1"/>
  <c r="C302" i="78"/>
  <c r="B302" i="78"/>
  <c r="D301" i="78" a="1"/>
  <c r="D301" i="78" s="1"/>
  <c r="C301" i="78"/>
  <c r="B301" i="78"/>
  <c r="C300" i="78"/>
  <c r="B300" i="78"/>
  <c r="D300" i="78" s="1" a="1"/>
  <c r="D300" i="78" s="1"/>
  <c r="C299" i="78"/>
  <c r="B299" i="78"/>
  <c r="D299" i="78" s="1" a="1"/>
  <c r="D299" i="78" s="1"/>
  <c r="C298" i="78"/>
  <c r="B298" i="78"/>
  <c r="D298" i="78" s="1" a="1"/>
  <c r="D298" i="78" s="1"/>
  <c r="D297" i="78" a="1"/>
  <c r="D297" i="78" s="1"/>
  <c r="C297" i="78"/>
  <c r="B297" i="78"/>
  <c r="C296" i="78"/>
  <c r="B296" i="78"/>
  <c r="D296" i="78" s="1" a="1"/>
  <c r="D296" i="78" s="1"/>
  <c r="D295" i="78" a="1"/>
  <c r="D295" i="78" s="1"/>
  <c r="C295" i="78"/>
  <c r="B295" i="78"/>
  <c r="D294" i="78" a="1"/>
  <c r="D294" i="78" s="1"/>
  <c r="C294" i="78"/>
  <c r="B294" i="78"/>
  <c r="C293" i="78"/>
  <c r="B293" i="78"/>
  <c r="D293" i="78" s="1" a="1"/>
  <c r="D293" i="78" s="1"/>
  <c r="D292" i="78" a="1"/>
  <c r="D292" i="78" s="1"/>
  <c r="C292" i="78"/>
  <c r="B292" i="78"/>
  <c r="C291" i="78"/>
  <c r="B291" i="78"/>
  <c r="D291" i="78" s="1" a="1"/>
  <c r="D291" i="78" s="1"/>
  <c r="C290" i="78"/>
  <c r="B290" i="78"/>
  <c r="D290" i="78" s="1" a="1"/>
  <c r="D290" i="78" s="1"/>
  <c r="C289" i="78"/>
  <c r="B289" i="78"/>
  <c r="D289" i="78" s="1" a="1"/>
  <c r="D289" i="78" s="1"/>
  <c r="D288" i="78" a="1"/>
  <c r="D288" i="78" s="1"/>
  <c r="C288" i="78"/>
  <c r="B288" i="78"/>
  <c r="D287" i="78" a="1"/>
  <c r="D287" i="78" s="1"/>
  <c r="C287" i="78"/>
  <c r="B287" i="78"/>
  <c r="C286" i="78"/>
  <c r="D286" i="78" s="1" a="1"/>
  <c r="D286" i="78" s="1"/>
  <c r="B286" i="78"/>
  <c r="C285" i="78"/>
  <c r="D285" i="78" s="1" a="1"/>
  <c r="D285" i="78" s="1"/>
  <c r="B285" i="78"/>
  <c r="C284" i="78"/>
  <c r="B284" i="78"/>
  <c r="D284" i="78" s="1" a="1"/>
  <c r="D284" i="78" s="1"/>
  <c r="C283" i="78"/>
  <c r="B283" i="78"/>
  <c r="D283" i="78" s="1" a="1"/>
  <c r="D283" i="78" s="1"/>
  <c r="C282" i="78"/>
  <c r="B282" i="78"/>
  <c r="D282" i="78" s="1" a="1"/>
  <c r="D282" i="78" s="1"/>
  <c r="D281" i="78" a="1"/>
  <c r="D281" i="78" s="1"/>
  <c r="C281" i="78"/>
  <c r="B281" i="78"/>
  <c r="C280" i="78"/>
  <c r="B280" i="78"/>
  <c r="D280" i="78" s="1" a="1"/>
  <c r="D280" i="78" s="1"/>
  <c r="C279" i="78"/>
  <c r="D279" i="78" s="1" a="1"/>
  <c r="D279" i="78" s="1"/>
  <c r="B279" i="78"/>
  <c r="D278" i="78" a="1"/>
  <c r="D278" i="78" s="1"/>
  <c r="C278" i="78"/>
  <c r="B278" i="78"/>
  <c r="C277" i="78"/>
  <c r="B277" i="78"/>
  <c r="D277" i="78" s="1" a="1"/>
  <c r="D277" i="78" s="1"/>
  <c r="C276" i="78"/>
  <c r="D276" i="78" s="1" a="1"/>
  <c r="D276" i="78" s="1"/>
  <c r="B276" i="78"/>
  <c r="C275" i="78"/>
  <c r="B275" i="78"/>
  <c r="D275" i="78" s="1" a="1"/>
  <c r="D275" i="78" s="1"/>
  <c r="C274" i="78"/>
  <c r="B274" i="78"/>
  <c r="D274" i="78" s="1" a="1"/>
  <c r="D274" i="78" s="1"/>
  <c r="C273" i="78"/>
  <c r="D273" i="78" s="1" a="1"/>
  <c r="D273" i="78" s="1"/>
  <c r="B273" i="78"/>
  <c r="D272" i="78" a="1"/>
  <c r="D272" i="78" s="1"/>
  <c r="C272" i="78"/>
  <c r="B272" i="78"/>
  <c r="D271" i="78" a="1"/>
  <c r="D271" i="78" s="1"/>
  <c r="C271" i="78"/>
  <c r="B271" i="78"/>
  <c r="C270" i="78"/>
  <c r="D270" i="78" s="1" a="1"/>
  <c r="D270" i="78" s="1"/>
  <c r="B270" i="78"/>
  <c r="C269" i="78"/>
  <c r="D269" i="78" s="1" a="1"/>
  <c r="D269" i="78" s="1"/>
  <c r="B269" i="78"/>
  <c r="C268" i="78"/>
  <c r="B268" i="78"/>
  <c r="D268" i="78" s="1" a="1"/>
  <c r="D268" i="78" s="1"/>
  <c r="C267" i="78"/>
  <c r="B267" i="78"/>
  <c r="D267" i="78" s="1" a="1"/>
  <c r="D267" i="78" s="1"/>
  <c r="C266" i="78"/>
  <c r="B266" i="78"/>
  <c r="D266" i="78" s="1" a="1"/>
  <c r="D266" i="78" s="1"/>
  <c r="D265" i="78" a="1"/>
  <c r="D265" i="78" s="1"/>
  <c r="C265" i="78"/>
  <c r="B265" i="78"/>
  <c r="D264" i="78"/>
  <c r="C264" i="78"/>
  <c r="D264" i="78" s="1" a="1"/>
  <c r="B264" i="78"/>
  <c r="C263" i="78"/>
  <c r="D263" i="78" s="1" a="1"/>
  <c r="D263" i="78" s="1"/>
  <c r="B263" i="78"/>
  <c r="D262" i="78" a="1"/>
  <c r="D262" i="78" s="1"/>
  <c r="C262" i="78"/>
  <c r="B262" i="78"/>
  <c r="C261" i="78"/>
  <c r="B261" i="78"/>
  <c r="D261" i="78" s="1" a="1"/>
  <c r="D261" i="78" s="1"/>
  <c r="C260" i="78"/>
  <c r="B260" i="78"/>
  <c r="C259" i="78"/>
  <c r="B259" i="78"/>
  <c r="D259" i="78" s="1" a="1"/>
  <c r="D259" i="78" s="1"/>
  <c r="C258" i="78"/>
  <c r="B258" i="78"/>
  <c r="D258" i="78" s="1" a="1"/>
  <c r="D258" i="78" s="1"/>
  <c r="D257" i="78" a="1"/>
  <c r="D257" i="78" s="1"/>
  <c r="C257" i="78"/>
  <c r="B257" i="78"/>
  <c r="D256" i="78" a="1"/>
  <c r="D256" i="78" s="1"/>
  <c r="C256" i="78"/>
  <c r="B256" i="78"/>
  <c r="D255" i="78" a="1"/>
  <c r="D255" i="78" s="1"/>
  <c r="C255" i="78"/>
  <c r="B255" i="78"/>
  <c r="C254" i="78"/>
  <c r="D254" i="78" s="1" a="1"/>
  <c r="D254" i="78" s="1"/>
  <c r="B254" i="78"/>
  <c r="C253" i="78"/>
  <c r="B253" i="78"/>
  <c r="C252" i="78"/>
  <c r="B252" i="78"/>
  <c r="D252" i="78" s="1" a="1"/>
  <c r="D252" i="78" s="1"/>
  <c r="C251" i="78"/>
  <c r="B251" i="78"/>
  <c r="D251" i="78" s="1" a="1"/>
  <c r="D251" i="78" s="1"/>
  <c r="C250" i="78"/>
  <c r="B250" i="78"/>
  <c r="D250" i="78" s="1" a="1"/>
  <c r="D250" i="78" s="1"/>
  <c r="D249" i="78" a="1"/>
  <c r="D249" i="78" s="1"/>
  <c r="C249" i="78"/>
  <c r="B249" i="78"/>
  <c r="D248" i="78"/>
  <c r="D248" i="78" a="1"/>
  <c r="C248" i="78"/>
  <c r="B248" i="78"/>
  <c r="C247" i="78"/>
  <c r="D247" i="78" s="1" a="1"/>
  <c r="D247" i="78" s="1"/>
  <c r="B247" i="78"/>
  <c r="D246" i="78" a="1"/>
  <c r="D246" i="78" s="1"/>
  <c r="C246" i="78"/>
  <c r="B246" i="78"/>
  <c r="C245" i="78"/>
  <c r="B245" i="78"/>
  <c r="D245" i="78" s="1" a="1"/>
  <c r="D245" i="78" s="1"/>
  <c r="C244" i="78"/>
  <c r="B244" i="78"/>
  <c r="D244" i="78" s="1" a="1"/>
  <c r="D244" i="78" s="1"/>
  <c r="C243" i="78"/>
  <c r="B243" i="78"/>
  <c r="D243" i="78" s="1" a="1"/>
  <c r="D243" i="78" s="1"/>
  <c r="C242" i="78"/>
  <c r="B242" i="78"/>
  <c r="D242" i="78" s="1" a="1"/>
  <c r="D242" i="78" s="1"/>
  <c r="D241" i="78" a="1"/>
  <c r="D241" i="78" s="1"/>
  <c r="C241" i="78"/>
  <c r="B241" i="78"/>
  <c r="D240" i="78" a="1"/>
  <c r="D240" i="78" s="1"/>
  <c r="C240" i="78"/>
  <c r="B240" i="78"/>
  <c r="D239" i="78" a="1"/>
  <c r="D239" i="78" s="1"/>
  <c r="C239" i="78"/>
  <c r="B239" i="78"/>
  <c r="C238" i="78"/>
  <c r="D238" i="78" s="1" a="1"/>
  <c r="D238" i="78" s="1"/>
  <c r="B238" i="78"/>
  <c r="C237" i="78"/>
  <c r="B237" i="78"/>
  <c r="C236" i="78"/>
  <c r="B236" i="78"/>
  <c r="D236" i="78" s="1" a="1"/>
  <c r="D236" i="78" s="1"/>
  <c r="C235" i="78"/>
  <c r="B235" i="78"/>
  <c r="D235" i="78" s="1" a="1"/>
  <c r="D235" i="78" s="1"/>
  <c r="C234" i="78"/>
  <c r="B234" i="78"/>
  <c r="D234" i="78" s="1" a="1"/>
  <c r="D234" i="78" s="1"/>
  <c r="D233" i="78" a="1"/>
  <c r="D233" i="78" s="1"/>
  <c r="C233" i="78"/>
  <c r="B233" i="78"/>
  <c r="D232" i="78"/>
  <c r="D232" i="78" a="1"/>
  <c r="C232" i="78"/>
  <c r="B232" i="78"/>
  <c r="C231" i="78"/>
  <c r="D231" i="78" s="1" a="1"/>
  <c r="D231" i="78" s="1"/>
  <c r="B231" i="78"/>
  <c r="D230" i="78" a="1"/>
  <c r="D230" i="78" s="1"/>
  <c r="C230" i="78"/>
  <c r="B230" i="78"/>
  <c r="C229" i="78"/>
  <c r="B229" i="78"/>
  <c r="D229" i="78" s="1" a="1"/>
  <c r="D229" i="78" s="1"/>
  <c r="C228" i="78"/>
  <c r="B228" i="78"/>
  <c r="D228" i="78" s="1" a="1"/>
  <c r="D228" i="78" s="1"/>
  <c r="C227" i="78"/>
  <c r="B227" i="78"/>
  <c r="D227" i="78" s="1" a="1"/>
  <c r="D227" i="78" s="1"/>
  <c r="C226" i="78"/>
  <c r="B226" i="78"/>
  <c r="D226" i="78" s="1" a="1"/>
  <c r="D226" i="78" s="1"/>
  <c r="D225" i="78" a="1"/>
  <c r="D225" i="78" s="1"/>
  <c r="C225" i="78"/>
  <c r="B225" i="78"/>
  <c r="D224" i="78" a="1"/>
  <c r="D224" i="78" s="1"/>
  <c r="C224" i="78"/>
  <c r="B224" i="78"/>
  <c r="D223" i="78" a="1"/>
  <c r="D223" i="78" s="1"/>
  <c r="C223" i="78"/>
  <c r="B223" i="78"/>
  <c r="C222" i="78"/>
  <c r="D222" i="78" s="1" a="1"/>
  <c r="D222" i="78" s="1"/>
  <c r="B222" i="78"/>
  <c r="C221" i="78"/>
  <c r="B221" i="78"/>
  <c r="C220" i="78"/>
  <c r="B220" i="78"/>
  <c r="D220" i="78" s="1" a="1"/>
  <c r="D220" i="78" s="1"/>
  <c r="C219" i="78"/>
  <c r="B219" i="78"/>
  <c r="D219" i="78" s="1" a="1"/>
  <c r="D219" i="78" s="1"/>
  <c r="C218" i="78"/>
  <c r="B218" i="78"/>
  <c r="D218" i="78" s="1" a="1"/>
  <c r="D218" i="78" s="1"/>
  <c r="D217" i="78" a="1"/>
  <c r="D217" i="78" s="1"/>
  <c r="C217" i="78"/>
  <c r="B217" i="78"/>
  <c r="D216" i="78"/>
  <c r="D216" i="78" a="1"/>
  <c r="C216" i="78"/>
  <c r="B216" i="78"/>
  <c r="C215" i="78"/>
  <c r="D215" i="78" s="1" a="1"/>
  <c r="D215" i="78" s="1"/>
  <c r="B215" i="78"/>
  <c r="D214" i="78" a="1"/>
  <c r="D214" i="78" s="1"/>
  <c r="C214" i="78"/>
  <c r="B214" i="78"/>
  <c r="C213" i="78"/>
  <c r="B213" i="78"/>
  <c r="D213" i="78" s="1" a="1"/>
  <c r="D213" i="78" s="1"/>
  <c r="C212" i="78"/>
  <c r="B212" i="78"/>
  <c r="D212" i="78" s="1" a="1"/>
  <c r="D212" i="78" s="1"/>
  <c r="C211" i="78"/>
  <c r="B211" i="78"/>
  <c r="D211" i="78" s="1" a="1"/>
  <c r="D211" i="78" s="1"/>
  <c r="C210" i="78"/>
  <c r="B210" i="78"/>
  <c r="D210" i="78" s="1" a="1"/>
  <c r="D210" i="78" s="1"/>
  <c r="D209" i="78" a="1"/>
  <c r="D209" i="78" s="1"/>
  <c r="C209" i="78"/>
  <c r="B209" i="78"/>
  <c r="D208" i="78" a="1"/>
  <c r="D208" i="78" s="1"/>
  <c r="C208" i="78"/>
  <c r="B208" i="78"/>
  <c r="D207" i="78" a="1"/>
  <c r="D207" i="78" s="1"/>
  <c r="C207" i="78"/>
  <c r="B207" i="78"/>
  <c r="C206" i="78"/>
  <c r="D206" i="78" s="1" a="1"/>
  <c r="D206" i="78" s="1"/>
  <c r="B206" i="78"/>
  <c r="C205" i="78"/>
  <c r="B205" i="78"/>
  <c r="C204" i="78"/>
  <c r="B204" i="78"/>
  <c r="D204" i="78" s="1" a="1"/>
  <c r="D204" i="78" s="1"/>
  <c r="C203" i="78"/>
  <c r="B203" i="78"/>
  <c r="D203" i="78" s="1" a="1"/>
  <c r="D203" i="78" s="1"/>
  <c r="C202" i="78"/>
  <c r="B202" i="78"/>
  <c r="D202" i="78" s="1" a="1"/>
  <c r="D202" i="78" s="1"/>
  <c r="D201" i="78" a="1"/>
  <c r="D201" i="78" s="1"/>
  <c r="C201" i="78"/>
  <c r="B201" i="78"/>
  <c r="D200" i="78"/>
  <c r="D200" i="78" a="1"/>
  <c r="C200" i="78"/>
  <c r="B200" i="78"/>
  <c r="C199" i="78"/>
  <c r="D199" i="78" s="1" a="1"/>
  <c r="D199" i="78" s="1"/>
  <c r="B199" i="78"/>
  <c r="D198" i="78" a="1"/>
  <c r="D198" i="78" s="1"/>
  <c r="C198" i="78"/>
  <c r="B198" i="78"/>
  <c r="C197" i="78"/>
  <c r="B197" i="78"/>
  <c r="D197" i="78" s="1" a="1"/>
  <c r="D197" i="78" s="1"/>
  <c r="C196" i="78"/>
  <c r="B196" i="78"/>
  <c r="D196" i="78" s="1" a="1"/>
  <c r="D196" i="78" s="1"/>
  <c r="C195" i="78"/>
  <c r="B195" i="78"/>
  <c r="D195" i="78" s="1" a="1"/>
  <c r="D195" i="78" s="1"/>
  <c r="C194" i="78"/>
  <c r="B194" i="78"/>
  <c r="D194" i="78" s="1" a="1"/>
  <c r="D194" i="78" s="1"/>
  <c r="D193" i="78" a="1"/>
  <c r="D193" i="78" s="1"/>
  <c r="C193" i="78"/>
  <c r="B193" i="78"/>
  <c r="D192" i="78" a="1"/>
  <c r="D192" i="78" s="1"/>
  <c r="C192" i="78"/>
  <c r="B192" i="78"/>
  <c r="D191" i="78" a="1"/>
  <c r="D191" i="78" s="1"/>
  <c r="C191" i="78"/>
  <c r="B191" i="78"/>
  <c r="C190" i="78"/>
  <c r="D190" i="78" s="1" a="1"/>
  <c r="D190" i="78" s="1"/>
  <c r="B190" i="78"/>
  <c r="C189" i="78"/>
  <c r="B189" i="78"/>
  <c r="C188" i="78"/>
  <c r="B188" i="78"/>
  <c r="D188" i="78" s="1" a="1"/>
  <c r="D188" i="78" s="1"/>
  <c r="C187" i="78"/>
  <c r="B187" i="78"/>
  <c r="D187" i="78" s="1" a="1"/>
  <c r="D187" i="78" s="1"/>
  <c r="C186" i="78"/>
  <c r="B186" i="78"/>
  <c r="D186" i="78" s="1" a="1"/>
  <c r="D186" i="78" s="1"/>
  <c r="D185" i="78" a="1"/>
  <c r="D185" i="78" s="1"/>
  <c r="C185" i="78"/>
  <c r="B185" i="78"/>
  <c r="D184" i="78"/>
  <c r="D184" i="78" a="1"/>
  <c r="C184" i="78"/>
  <c r="B184" i="78"/>
  <c r="C183" i="78"/>
  <c r="D183" i="78" s="1" a="1"/>
  <c r="D183" i="78" s="1"/>
  <c r="B183" i="78"/>
  <c r="D182" i="78" a="1"/>
  <c r="D182" i="78" s="1"/>
  <c r="C182" i="78"/>
  <c r="B182" i="78"/>
  <c r="C181" i="78"/>
  <c r="B181" i="78"/>
  <c r="D181" i="78" s="1" a="1"/>
  <c r="D181" i="78" s="1"/>
  <c r="C180" i="78"/>
  <c r="B180" i="78"/>
  <c r="D180" i="78" s="1" a="1"/>
  <c r="D180" i="78" s="1"/>
  <c r="C179" i="78"/>
  <c r="B179" i="78"/>
  <c r="D179" i="78" s="1" a="1"/>
  <c r="D179" i="78" s="1"/>
  <c r="C178" i="78"/>
  <c r="B178" i="78"/>
  <c r="D178" i="78" s="1" a="1"/>
  <c r="D178" i="78" s="1"/>
  <c r="D177" i="78" a="1"/>
  <c r="D177" i="78" s="1"/>
  <c r="C177" i="78"/>
  <c r="B177" i="78"/>
  <c r="D176" i="78" a="1"/>
  <c r="D176" i="78" s="1"/>
  <c r="C176" i="78"/>
  <c r="B176" i="78"/>
  <c r="D175" i="78"/>
  <c r="D175" i="78" a="1"/>
  <c r="C175" i="78"/>
  <c r="B175" i="78"/>
  <c r="D174" i="78" a="1"/>
  <c r="D174" i="78" s="1"/>
  <c r="C174" i="78"/>
  <c r="B174" i="78"/>
  <c r="D173" i="78"/>
  <c r="D173" i="78" a="1"/>
  <c r="C173" i="78"/>
  <c r="B173" i="78"/>
  <c r="D172" i="78" a="1"/>
  <c r="D172" i="78" s="1"/>
  <c r="C172" i="78"/>
  <c r="B172" i="78"/>
  <c r="D171" i="78"/>
  <c r="D171" i="78" a="1"/>
  <c r="C171" i="78"/>
  <c r="B171" i="78"/>
  <c r="D170" i="78" a="1"/>
  <c r="D170" i="78" s="1"/>
  <c r="C170" i="78"/>
  <c r="B170" i="78"/>
  <c r="D169" i="78"/>
  <c r="D169" i="78" a="1"/>
  <c r="C169" i="78"/>
  <c r="B169" i="78"/>
  <c r="D168" i="78" a="1"/>
  <c r="D168" i="78" s="1"/>
  <c r="C168" i="78"/>
  <c r="B168" i="78"/>
  <c r="D167" i="78"/>
  <c r="D167" i="78" a="1"/>
  <c r="C167" i="78"/>
  <c r="B167" i="78"/>
  <c r="D166" i="78" a="1"/>
  <c r="D166" i="78" s="1"/>
  <c r="C166" i="78"/>
  <c r="B166" i="78"/>
  <c r="D165" i="78"/>
  <c r="D165" i="78" a="1"/>
  <c r="C165" i="78"/>
  <c r="B165" i="78"/>
  <c r="D164" i="78" a="1"/>
  <c r="D164" i="78" s="1"/>
  <c r="C164" i="78"/>
  <c r="B164" i="78"/>
  <c r="D163" i="78"/>
  <c r="D163" i="78" a="1"/>
  <c r="C163" i="78"/>
  <c r="B163" i="78"/>
  <c r="D162" i="78" a="1"/>
  <c r="D162" i="78" s="1"/>
  <c r="C162" i="78"/>
  <c r="B162" i="78"/>
  <c r="D161" i="78"/>
  <c r="D161" i="78" a="1"/>
  <c r="C161" i="78"/>
  <c r="B161" i="78"/>
  <c r="D160" i="78" a="1"/>
  <c r="D160" i="78" s="1"/>
  <c r="C160" i="78"/>
  <c r="B160" i="78"/>
  <c r="D159" i="78"/>
  <c r="D159" i="78" a="1"/>
  <c r="C159" i="78"/>
  <c r="B159" i="78"/>
  <c r="C158" i="78"/>
  <c r="B158" i="78"/>
  <c r="C157" i="78"/>
  <c r="B157" i="78"/>
  <c r="C156" i="78"/>
  <c r="B156" i="78"/>
  <c r="D155" i="78"/>
  <c r="C155" i="78"/>
  <c r="B155" i="78"/>
  <c r="C154" i="78"/>
  <c r="B154" i="78"/>
  <c r="C153" i="78"/>
  <c r="B153" i="78"/>
  <c r="C152" i="78"/>
  <c r="B152" i="78"/>
  <c r="C151" i="78"/>
  <c r="B151" i="78"/>
  <c r="C150" i="78"/>
  <c r="B150" i="78"/>
  <c r="C149" i="78"/>
  <c r="B149" i="78"/>
  <c r="C148" i="78"/>
  <c r="B148" i="78"/>
  <c r="D147" i="78"/>
  <c r="C147" i="78"/>
  <c r="B147" i="78"/>
  <c r="C146" i="78"/>
  <c r="B146" i="78"/>
  <c r="C145" i="78"/>
  <c r="B145" i="78"/>
  <c r="C144" i="78"/>
  <c r="B144" i="78"/>
  <c r="C143" i="78"/>
  <c r="B143" i="78"/>
  <c r="C142" i="78"/>
  <c r="B142" i="78"/>
  <c r="C141" i="78"/>
  <c r="B141" i="78"/>
  <c r="C140" i="78"/>
  <c r="B140" i="78"/>
  <c r="D139" i="78"/>
  <c r="C139" i="78"/>
  <c r="B139" i="78"/>
  <c r="C138" i="78"/>
  <c r="B138" i="78"/>
  <c r="C137" i="78"/>
  <c r="B137" i="78"/>
  <c r="C136" i="78"/>
  <c r="B136" i="78"/>
  <c r="C135" i="78"/>
  <c r="B135" i="78"/>
  <c r="C134" i="78"/>
  <c r="B134" i="78"/>
  <c r="C133" i="78"/>
  <c r="B133" i="78"/>
  <c r="C132" i="78"/>
  <c r="B132" i="78"/>
  <c r="D131"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D92" i="78" a="1"/>
  <c r="D92" i="78" s="1"/>
  <c r="C92" i="78"/>
  <c r="B92" i="78"/>
  <c r="C91" i="78"/>
  <c r="B91" i="78"/>
  <c r="C90" i="78"/>
  <c r="B90" i="78"/>
  <c r="C89" i="78"/>
  <c r="B89" i="78"/>
  <c r="C88" i="78"/>
  <c r="B88" i="78"/>
  <c r="C87" i="78"/>
  <c r="B87" i="78"/>
  <c r="C86" i="78"/>
  <c r="B86" i="78"/>
  <c r="D85" i="78"/>
  <c r="C85" i="78"/>
  <c r="B85" i="78"/>
  <c r="C84" i="78"/>
  <c r="B84" i="78"/>
  <c r="C83" i="78"/>
  <c r="B83" i="78"/>
  <c r="C82" i="78"/>
  <c r="B82" i="78"/>
  <c r="C81" i="78"/>
  <c r="B81" i="78"/>
  <c r="C80" i="78"/>
  <c r="B80" i="78"/>
  <c r="C79" i="78"/>
  <c r="B79" i="78"/>
  <c r="C78" i="78"/>
  <c r="B78" i="78"/>
  <c r="C77" i="78"/>
  <c r="B77" i="78"/>
  <c r="D76" i="78" a="1"/>
  <c r="D76" i="78" s="1"/>
  <c r="C76" i="78"/>
  <c r="B76" i="78"/>
  <c r="C75" i="78"/>
  <c r="B75" i="78"/>
  <c r="C74" i="78"/>
  <c r="B74" i="78"/>
  <c r="C73" i="78"/>
  <c r="B73" i="78"/>
  <c r="C72" i="78"/>
  <c r="B72" i="78"/>
  <c r="C71" i="78"/>
  <c r="B71" i="78"/>
  <c r="C70" i="78"/>
  <c r="B70" i="78"/>
  <c r="C69" i="78"/>
  <c r="B69" i="78"/>
  <c r="C68" i="78"/>
  <c r="B68" i="78"/>
  <c r="D67" i="78" a="1"/>
  <c r="D67" i="78" s="1"/>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D47" i="78" s="1" a="1"/>
  <c r="D47" i="78" s="1"/>
  <c r="C46" i="78"/>
  <c r="B46" i="78"/>
  <c r="C45" i="78"/>
  <c r="B45" i="78"/>
  <c r="D45" i="78" s="1" a="1"/>
  <c r="D45" i="78" s="1"/>
  <c r="C44" i="78"/>
  <c r="B44" i="78"/>
  <c r="C43" i="78"/>
  <c r="B43" i="78"/>
  <c r="C42" i="78"/>
  <c r="B42" i="78"/>
  <c r="D41" i="78"/>
  <c r="C41" i="78"/>
  <c r="B41" i="78"/>
  <c r="D41" i="78" s="1" a="1"/>
  <c r="C40" i="78"/>
  <c r="B40" i="78"/>
  <c r="C39" i="78"/>
  <c r="B39" i="78"/>
  <c r="D39" i="78" s="1" a="1"/>
  <c r="D39" i="78" s="1"/>
  <c r="C38" i="78"/>
  <c r="B38" i="78"/>
  <c r="C37" i="78"/>
  <c r="B37" i="78"/>
  <c r="C36" i="78"/>
  <c r="B36" i="78"/>
  <c r="D35" i="78"/>
  <c r="C35" i="78"/>
  <c r="B35" i="78"/>
  <c r="D35" i="78" s="1" a="1"/>
  <c r="C34" i="78"/>
  <c r="B34" i="78"/>
  <c r="C33" i="78"/>
  <c r="B33" i="78"/>
  <c r="D33" i="78" s="1" a="1"/>
  <c r="D33" i="78" s="1"/>
  <c r="C32" i="78"/>
  <c r="B32" i="78"/>
  <c r="C31" i="78"/>
  <c r="B31" i="78"/>
  <c r="D31" i="78" s="1" a="1"/>
  <c r="D31" i="78" s="1"/>
  <c r="C30" i="78"/>
  <c r="B30" i="78"/>
  <c r="C29" i="78"/>
  <c r="B29" i="78"/>
  <c r="D29" i="78" s="1" a="1"/>
  <c r="D29" i="78" s="1"/>
  <c r="C28" i="78"/>
  <c r="B28" i="78"/>
  <c r="C27" i="78"/>
  <c r="B27" i="78"/>
  <c r="C26" i="78"/>
  <c r="B26" i="78"/>
  <c r="C25" i="78"/>
  <c r="B25" i="78"/>
  <c r="C24" i="78"/>
  <c r="B24" i="78"/>
  <c r="D23" i="78"/>
  <c r="C23" i="78"/>
  <c r="B23" i="78"/>
  <c r="D23" i="78" s="1" a="1"/>
  <c r="C22" i="78"/>
  <c r="B22" i="78"/>
  <c r="C21" i="78"/>
  <c r="B21" i="78"/>
  <c r="C20" i="78"/>
  <c r="B20" i="78"/>
  <c r="C19" i="78"/>
  <c r="B19" i="78"/>
  <c r="C18" i="78"/>
  <c r="B18" i="78"/>
  <c r="C17" i="78"/>
  <c r="B17" i="78"/>
  <c r="D17" i="78" s="1" a="1"/>
  <c r="D17" i="78" s="1"/>
  <c r="C16" i="78"/>
  <c r="B16" i="78"/>
  <c r="C15" i="78"/>
  <c r="B15" i="78"/>
  <c r="D15" i="78" s="1" a="1"/>
  <c r="D15" i="78" s="1"/>
  <c r="C14" i="78"/>
  <c r="B14" i="78"/>
  <c r="C13" i="78"/>
  <c r="B13" i="78"/>
  <c r="C12" i="78"/>
  <c r="B12" i="78"/>
  <c r="C11" i="78"/>
  <c r="B11" i="78"/>
  <c r="D11" i="78" s="1" a="1"/>
  <c r="D11" i="78" s="1"/>
  <c r="C10" i="78"/>
  <c r="B10" i="78"/>
  <c r="C9" i="78"/>
  <c r="B9" i="78"/>
  <c r="C8" i="78"/>
  <c r="B8" i="78"/>
  <c r="C7" i="78"/>
  <c r="B7" i="78"/>
  <c r="D7" i="78" s="1" a="1"/>
  <c r="D7" i="78" s="1"/>
  <c r="C6" i="78"/>
  <c r="B6" i="78"/>
  <c r="C5" i="78"/>
  <c r="B5" i="78"/>
  <c r="C4" i="78"/>
  <c r="B4" i="78"/>
  <c r="C3" i="78"/>
  <c r="B3" i="78"/>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C80" i="77"/>
  <c r="B80" i="77"/>
  <c r="C79" i="77"/>
  <c r="B79" i="77"/>
  <c r="C78" i="77"/>
  <c r="B78" i="77"/>
  <c r="C77" i="77"/>
  <c r="B77" i="77"/>
  <c r="C76" i="77"/>
  <c r="B76" i="77"/>
  <c r="C75" i="77"/>
  <c r="B75" i="77"/>
  <c r="C74" i="77"/>
  <c r="B74" i="77"/>
  <c r="C73" i="77"/>
  <c r="B73" i="77"/>
  <c r="C72" i="77"/>
  <c r="B72" i="77"/>
  <c r="C71" i="77"/>
  <c r="B71" i="77"/>
  <c r="C70" i="77"/>
  <c r="B70" i="77"/>
  <c r="C69" i="77"/>
  <c r="B69" i="77"/>
  <c r="C68" i="77"/>
  <c r="B68" i="77"/>
  <c r="C67" i="77"/>
  <c r="B67" i="77"/>
  <c r="C66" i="77"/>
  <c r="B66" i="77"/>
  <c r="C65" i="77"/>
  <c r="B65" i="77"/>
  <c r="C64" i="77"/>
  <c r="B64" i="77"/>
  <c r="C63" i="77"/>
  <c r="B63" i="77"/>
  <c r="C62" i="77"/>
  <c r="B62" i="77"/>
  <c r="C61" i="77"/>
  <c r="B61" i="77"/>
  <c r="C60" i="77"/>
  <c r="B60" i="77"/>
  <c r="J59" i="77"/>
  <c r="D158" i="78" s="1" a="1"/>
  <c r="D158" i="78" s="1"/>
  <c r="I59" i="77"/>
  <c r="D157" i="78" s="1" a="1"/>
  <c r="D157" i="78" s="1"/>
  <c r="G59" i="77"/>
  <c r="H59" i="77" s="1"/>
  <c r="D156" i="78" s="1" a="1"/>
  <c r="D156" i="78" s="1"/>
  <c r="C59" i="77"/>
  <c r="B59" i="77"/>
  <c r="J58" i="77"/>
  <c r="D155" i="78" s="1" a="1"/>
  <c r="G58" i="77"/>
  <c r="I58" i="77" s="1"/>
  <c r="D154" i="78" s="1" a="1"/>
  <c r="D154" i="78" s="1"/>
  <c r="C58" i="77"/>
  <c r="B58" i="77"/>
  <c r="J57" i="77"/>
  <c r="D152" i="78" s="1" a="1"/>
  <c r="D152" i="78" s="1"/>
  <c r="G57" i="77"/>
  <c r="I57" i="77" s="1"/>
  <c r="D151" i="78" s="1" a="1"/>
  <c r="D151" i="78" s="1"/>
  <c r="C57" i="77"/>
  <c r="B57" i="77"/>
  <c r="J56" i="77"/>
  <c r="D149" i="78" s="1" a="1"/>
  <c r="D149" i="78" s="1"/>
  <c r="I56" i="77"/>
  <c r="D148" i="78" s="1" a="1"/>
  <c r="D148" i="78" s="1"/>
  <c r="H56" i="77"/>
  <c r="D147" i="78" s="1" a="1"/>
  <c r="G56" i="77"/>
  <c r="C56" i="77"/>
  <c r="B56" i="77"/>
  <c r="J55" i="77"/>
  <c r="D146" i="78" s="1" a="1"/>
  <c r="D146" i="78" s="1"/>
  <c r="I55" i="77"/>
  <c r="D145" i="78" s="1" a="1"/>
  <c r="D145" i="78" s="1"/>
  <c r="G55" i="77"/>
  <c r="H55" i="77" s="1"/>
  <c r="D144" i="78" s="1" a="1"/>
  <c r="D144" i="78" s="1"/>
  <c r="C55" i="77"/>
  <c r="B55" i="77"/>
  <c r="J54" i="77"/>
  <c r="D143" i="78" s="1" a="1"/>
  <c r="D143" i="78" s="1"/>
  <c r="G54" i="77"/>
  <c r="I54" i="77" s="1"/>
  <c r="D142" i="78" s="1" a="1"/>
  <c r="D142" i="78" s="1"/>
  <c r="C54" i="77"/>
  <c r="B54" i="77"/>
  <c r="J53" i="77"/>
  <c r="D140" i="78" s="1" a="1"/>
  <c r="D140" i="78" s="1"/>
  <c r="G53" i="77"/>
  <c r="I53" i="77" s="1"/>
  <c r="D139" i="78" s="1" a="1"/>
  <c r="C53" i="77"/>
  <c r="B53" i="77"/>
  <c r="J52" i="77"/>
  <c r="D137" i="78" s="1" a="1"/>
  <c r="D137" i="78" s="1"/>
  <c r="I52" i="77"/>
  <c r="D136" i="78" s="1" a="1"/>
  <c r="D136" i="78" s="1"/>
  <c r="H52" i="77"/>
  <c r="D135" i="78" s="1" a="1"/>
  <c r="D135" i="78" s="1"/>
  <c r="G52" i="77"/>
  <c r="C52" i="77"/>
  <c r="B52" i="77"/>
  <c r="J51" i="77"/>
  <c r="D134" i="78" s="1" a="1"/>
  <c r="D134" i="78" s="1"/>
  <c r="I51" i="77"/>
  <c r="D133" i="78" s="1" a="1"/>
  <c r="D133" i="78" s="1"/>
  <c r="G51" i="77"/>
  <c r="H51" i="77" s="1"/>
  <c r="D132" i="78" s="1" a="1"/>
  <c r="D132" i="78" s="1"/>
  <c r="C51" i="77"/>
  <c r="B51" i="77"/>
  <c r="J50" i="77"/>
  <c r="D131" i="78" s="1" a="1"/>
  <c r="G50" i="77"/>
  <c r="I50" i="77" s="1"/>
  <c r="D130" i="78" s="1" a="1"/>
  <c r="D130" i="78" s="1"/>
  <c r="C50" i="77"/>
  <c r="B50" i="77"/>
  <c r="J49" i="77"/>
  <c r="D128" i="78" s="1" a="1"/>
  <c r="D128" i="78" s="1"/>
  <c r="G49" i="77"/>
  <c r="I49" i="77" s="1"/>
  <c r="D127" i="78" s="1" a="1"/>
  <c r="D127" i="78" s="1"/>
  <c r="C49" i="77"/>
  <c r="B49" i="77"/>
  <c r="J48" i="77"/>
  <c r="D125" i="78" s="1" a="1"/>
  <c r="D125" i="78" s="1"/>
  <c r="I48" i="77"/>
  <c r="D124" i="78" s="1" a="1"/>
  <c r="D124" i="78" s="1"/>
  <c r="H48" i="77"/>
  <c r="D123" i="78" s="1" a="1"/>
  <c r="D123" i="78" s="1"/>
  <c r="G48" i="77"/>
  <c r="C48" i="77"/>
  <c r="B48" i="77"/>
  <c r="J47" i="77"/>
  <c r="D122" i="78" s="1" a="1"/>
  <c r="D122" i="78" s="1"/>
  <c r="I47" i="77"/>
  <c r="D121" i="78" s="1" a="1"/>
  <c r="D121" i="78" s="1"/>
  <c r="G47" i="77"/>
  <c r="H47" i="77" s="1"/>
  <c r="D120" i="78" s="1" a="1"/>
  <c r="D120" i="78" s="1"/>
  <c r="C47" i="77"/>
  <c r="B47" i="77"/>
  <c r="J46" i="77"/>
  <c r="D119" i="78" s="1" a="1"/>
  <c r="D119" i="78" s="1"/>
  <c r="G46" i="77"/>
  <c r="I46" i="77" s="1"/>
  <c r="D118" i="78" s="1" a="1"/>
  <c r="D118" i="78" s="1"/>
  <c r="C46" i="77"/>
  <c r="B46" i="77"/>
  <c r="J45" i="77"/>
  <c r="D116" i="78" s="1" a="1"/>
  <c r="D116" i="78" s="1"/>
  <c r="G45" i="77"/>
  <c r="I45" i="77" s="1"/>
  <c r="D115" i="78" s="1" a="1"/>
  <c r="D115" i="78" s="1"/>
  <c r="C45" i="77"/>
  <c r="B45" i="77"/>
  <c r="J44" i="77"/>
  <c r="D113" i="78" s="1" a="1"/>
  <c r="D113" i="78" s="1"/>
  <c r="I44" i="77"/>
  <c r="D112" i="78" s="1" a="1"/>
  <c r="D112" i="78" s="1"/>
  <c r="H44" i="77"/>
  <c r="D111" i="78" s="1" a="1"/>
  <c r="D111" i="78" s="1"/>
  <c r="G44" i="77"/>
  <c r="C44" i="77"/>
  <c r="B44" i="77"/>
  <c r="J43" i="77"/>
  <c r="D110" i="78" s="1" a="1"/>
  <c r="D110" i="78" s="1"/>
  <c r="I43" i="77"/>
  <c r="D109" i="78" s="1" a="1"/>
  <c r="D109" i="78" s="1"/>
  <c r="G43" i="77"/>
  <c r="H43" i="77" s="1"/>
  <c r="D108" i="78" s="1" a="1"/>
  <c r="D108" i="78" s="1"/>
  <c r="C43" i="77"/>
  <c r="B43" i="77"/>
  <c r="J42" i="77"/>
  <c r="D107" i="78" s="1" a="1"/>
  <c r="D107" i="78" s="1"/>
  <c r="G42" i="77"/>
  <c r="I42" i="77" s="1"/>
  <c r="D106" i="78" s="1" a="1"/>
  <c r="D106" i="78" s="1"/>
  <c r="C42" i="77"/>
  <c r="B42" i="77"/>
  <c r="J41" i="77"/>
  <c r="D104" i="78" s="1" a="1"/>
  <c r="D104" i="78" s="1"/>
  <c r="G41" i="77"/>
  <c r="I41" i="77" s="1"/>
  <c r="D103" i="78" s="1" a="1"/>
  <c r="D103" i="78" s="1"/>
  <c r="C41" i="77"/>
  <c r="B41" i="77"/>
  <c r="J40" i="77"/>
  <c r="D101" i="78" s="1" a="1"/>
  <c r="D101" i="78" s="1"/>
  <c r="I40" i="77"/>
  <c r="D100" i="78" s="1" a="1"/>
  <c r="D100" i="78" s="1"/>
  <c r="H40" i="77"/>
  <c r="D99" i="78" s="1" a="1"/>
  <c r="D99" i="78" s="1"/>
  <c r="G40" i="77"/>
  <c r="B40" i="77"/>
  <c r="J39" i="77"/>
  <c r="D98" i="78" s="1" a="1"/>
  <c r="D98" i="78" s="1"/>
  <c r="H39" i="77"/>
  <c r="D96" i="78" s="1" a="1"/>
  <c r="D96" i="78" s="1"/>
  <c r="G39" i="77"/>
  <c r="I39" i="77" s="1"/>
  <c r="D97" i="78" s="1" a="1"/>
  <c r="D97" i="78" s="1"/>
  <c r="J38" i="77"/>
  <c r="D95" i="78" s="1" a="1"/>
  <c r="D95" i="78" s="1"/>
  <c r="I38" i="77"/>
  <c r="D94" i="78" s="1" a="1"/>
  <c r="D94" i="78" s="1"/>
  <c r="G38" i="77"/>
  <c r="H38" i="77" s="1"/>
  <c r="D93" i="78" s="1" a="1"/>
  <c r="D93" i="78" s="1"/>
  <c r="J37" i="77"/>
  <c r="H37" i="77"/>
  <c r="D90" i="78" s="1" a="1"/>
  <c r="D90" i="78" s="1"/>
  <c r="G37" i="77"/>
  <c r="I37" i="77" s="1"/>
  <c r="D91" i="78" s="1" a="1"/>
  <c r="D91" i="78" s="1"/>
  <c r="C37" i="77"/>
  <c r="B37" i="77"/>
  <c r="J36" i="77"/>
  <c r="D89" i="78" s="1" a="1"/>
  <c r="D89" i="78" s="1"/>
  <c r="G36" i="77"/>
  <c r="I36" i="77" s="1"/>
  <c r="D88" i="78" s="1" a="1"/>
  <c r="D88" i="78" s="1"/>
  <c r="C36" i="77"/>
  <c r="M36" i="77" s="1"/>
  <c r="B36" i="77"/>
  <c r="J35" i="77"/>
  <c r="D86" i="78" s="1" a="1"/>
  <c r="D86" i="78" s="1"/>
  <c r="I35" i="77"/>
  <c r="D85" i="78" s="1" a="1"/>
  <c r="H35" i="77"/>
  <c r="D84" i="78" s="1" a="1"/>
  <c r="D84" i="78" s="1"/>
  <c r="G35" i="77"/>
  <c r="C35" i="77"/>
  <c r="M35" i="77" s="1"/>
  <c r="B35" i="77"/>
  <c r="J34" i="77"/>
  <c r="D83" i="78" s="1" a="1"/>
  <c r="D83" i="78" s="1"/>
  <c r="G34" i="77"/>
  <c r="I34" i="77" s="1"/>
  <c r="D82" i="78" s="1" a="1"/>
  <c r="D82" i="78" s="1"/>
  <c r="C34" i="77"/>
  <c r="M34" i="77" s="1"/>
  <c r="B34" i="77"/>
  <c r="J33" i="77"/>
  <c r="D80" i="78" s="1" a="1"/>
  <c r="D80" i="78" s="1"/>
  <c r="I33" i="77"/>
  <c r="D79" i="78" s="1" a="1"/>
  <c r="D79" i="78" s="1"/>
  <c r="G33" i="77"/>
  <c r="H33" i="77" s="1"/>
  <c r="D78" i="78" s="1" a="1"/>
  <c r="D78" i="78" s="1"/>
  <c r="C33" i="77"/>
  <c r="M33" i="77" s="1"/>
  <c r="B33" i="77"/>
  <c r="J32" i="77"/>
  <c r="D77" i="78" s="1" a="1"/>
  <c r="D77" i="78" s="1"/>
  <c r="I32" i="77"/>
  <c r="H32" i="77"/>
  <c r="D75" i="78" s="1" a="1"/>
  <c r="D75" i="78" s="1"/>
  <c r="G32" i="77"/>
  <c r="C32" i="77"/>
  <c r="M32" i="77" s="1"/>
  <c r="B32" i="77"/>
  <c r="J31" i="77"/>
  <c r="D74" i="78" s="1" a="1"/>
  <c r="D74" i="78" s="1"/>
  <c r="G31" i="77"/>
  <c r="C31" i="77"/>
  <c r="M31" i="77" s="1"/>
  <c r="B31" i="77"/>
  <c r="J30" i="77"/>
  <c r="D71" i="78" s="1" a="1"/>
  <c r="D71" i="78" s="1"/>
  <c r="I30" i="77"/>
  <c r="D70" i="78" s="1" a="1"/>
  <c r="D70" i="78" s="1"/>
  <c r="G30" i="77"/>
  <c r="H30" i="77" s="1"/>
  <c r="D69" i="78" s="1" a="1"/>
  <c r="D69" i="78" s="1"/>
  <c r="C30" i="77"/>
  <c r="M30" i="77" s="1"/>
  <c r="B30" i="77"/>
  <c r="J29" i="77"/>
  <c r="D68" i="78" s="1" a="1"/>
  <c r="D68" i="78" s="1"/>
  <c r="H29" i="77"/>
  <c r="D66" i="78" s="1" a="1"/>
  <c r="D66" i="78" s="1"/>
  <c r="G29" i="77"/>
  <c r="I29" i="77" s="1"/>
  <c r="C29" i="77"/>
  <c r="M29" i="77" s="1"/>
  <c r="B29" i="77"/>
  <c r="J28" i="77"/>
  <c r="D65" i="78" s="1" a="1"/>
  <c r="D65" i="78" s="1"/>
  <c r="G28" i="77"/>
  <c r="C28" i="77"/>
  <c r="M28" i="77" s="1"/>
  <c r="B28" i="77"/>
  <c r="J27" i="77"/>
  <c r="D62" i="78" s="1" a="1"/>
  <c r="D62" i="78" s="1"/>
  <c r="G27" i="77"/>
  <c r="I27" i="77" s="1"/>
  <c r="D61" i="78" s="1" a="1"/>
  <c r="D61" i="78" s="1"/>
  <c r="B27" i="77"/>
  <c r="J26" i="77"/>
  <c r="D59" i="78" s="1" a="1"/>
  <c r="D59" i="78" s="1"/>
  <c r="I26" i="77"/>
  <c r="D58" i="78" s="1" a="1"/>
  <c r="D58" i="78" s="1"/>
  <c r="G26" i="77"/>
  <c r="H26" i="77" s="1"/>
  <c r="D57" i="78" s="1" a="1"/>
  <c r="D57" i="78" s="1"/>
  <c r="C26" i="77"/>
  <c r="M26" i="77" s="1"/>
  <c r="B26" i="77"/>
  <c r="J25" i="77"/>
  <c r="D56" i="78" s="1" a="1"/>
  <c r="D56" i="78" s="1"/>
  <c r="I25" i="77"/>
  <c r="D55" i="78" s="1" a="1"/>
  <c r="D55" i="78" s="1"/>
  <c r="H25" i="77"/>
  <c r="D54" i="78" s="1" a="1"/>
  <c r="D54" i="78" s="1"/>
  <c r="G25" i="77"/>
  <c r="C25" i="77"/>
  <c r="M25" i="77" s="1"/>
  <c r="B25" i="77"/>
  <c r="J24" i="77"/>
  <c r="D53" i="78" s="1" a="1"/>
  <c r="D53" i="78" s="1"/>
  <c r="G24" i="77"/>
  <c r="C24" i="77"/>
  <c r="M24" i="77" s="1"/>
  <c r="B24" i="77"/>
  <c r="J23" i="77"/>
  <c r="D50" i="78" s="1" a="1"/>
  <c r="D50" i="78" s="1"/>
  <c r="I23" i="77"/>
  <c r="D49" i="78" s="1" a="1"/>
  <c r="D49" i="78" s="1"/>
  <c r="G23" i="77"/>
  <c r="H23" i="77" s="1"/>
  <c r="D48" i="78" s="1" a="1"/>
  <c r="D48" i="78" s="1"/>
  <c r="C23" i="77"/>
  <c r="M23" i="77" s="1"/>
  <c r="B23" i="77"/>
  <c r="J22" i="77"/>
  <c r="H22" i="77"/>
  <c r="G22" i="77"/>
  <c r="I22" i="77" s="1"/>
  <c r="D46" i="78" s="1" a="1"/>
  <c r="D46" i="78" s="1"/>
  <c r="C22" i="77"/>
  <c r="M22" i="77" s="1"/>
  <c r="B22" i="77"/>
  <c r="J21" i="77"/>
  <c r="D44" i="78" s="1" a="1"/>
  <c r="D44" i="78" s="1"/>
  <c r="G21" i="77"/>
  <c r="C21" i="77"/>
  <c r="M21" i="77" s="1"/>
  <c r="B21" i="77"/>
  <c r="J20" i="77"/>
  <c r="I20" i="77"/>
  <c r="D40" i="78" s="1" a="1"/>
  <c r="D40" i="78" s="1"/>
  <c r="H20" i="77"/>
  <c r="G20" i="77"/>
  <c r="C20" i="77"/>
  <c r="M20" i="77" s="1"/>
  <c r="B20" i="77"/>
  <c r="J19" i="77"/>
  <c r="D38" i="78" s="1" a="1"/>
  <c r="D38" i="78" s="1"/>
  <c r="G19" i="77"/>
  <c r="I19" i="77" s="1"/>
  <c r="C19" i="77"/>
  <c r="M19" i="77" s="1"/>
  <c r="B19" i="77"/>
  <c r="J18" i="77"/>
  <c r="I18" i="77"/>
  <c r="D34" i="78" s="1" a="1"/>
  <c r="D34" i="78" s="1"/>
  <c r="G18" i="77"/>
  <c r="H18" i="77" s="1"/>
  <c r="C18" i="77"/>
  <c r="M18" i="77" s="1"/>
  <c r="B18" i="77"/>
  <c r="M17" i="77"/>
  <c r="J17" i="77"/>
  <c r="D32" i="78" s="1" a="1"/>
  <c r="D32" i="78" s="1"/>
  <c r="I17" i="77"/>
  <c r="H17" i="77"/>
  <c r="D30" i="78" s="1" a="1"/>
  <c r="D30" i="78" s="1"/>
  <c r="G17" i="77"/>
  <c r="C17" i="77"/>
  <c r="B17" i="77"/>
  <c r="J16" i="77"/>
  <c r="G16" i="77"/>
  <c r="C16" i="77"/>
  <c r="M16" i="77" s="1"/>
  <c r="B16" i="77"/>
  <c r="J15" i="77"/>
  <c r="D26" i="78" s="1" a="1"/>
  <c r="D26" i="78" s="1"/>
  <c r="I15" i="77"/>
  <c r="G15" i="77"/>
  <c r="H15" i="77" s="1"/>
  <c r="D24" i="78" s="1" a="1"/>
  <c r="D24" i="78" s="1"/>
  <c r="C15" i="77"/>
  <c r="M15" i="77" s="1"/>
  <c r="B15" i="77"/>
  <c r="J14" i="77"/>
  <c r="H14" i="77"/>
  <c r="G14" i="77"/>
  <c r="I14" i="77" s="1"/>
  <c r="D22" i="78" s="1" a="1"/>
  <c r="D22" i="78" s="1"/>
  <c r="C14" i="77"/>
  <c r="M14" i="77" s="1"/>
  <c r="B14" i="77"/>
  <c r="J13" i="77"/>
  <c r="D20" i="78" s="1" a="1"/>
  <c r="D20" i="78" s="1"/>
  <c r="G13" i="77"/>
  <c r="C13" i="77"/>
  <c r="M13" i="77" s="1"/>
  <c r="B13" i="77"/>
  <c r="M12" i="77"/>
  <c r="J12" i="77"/>
  <c r="I12" i="77"/>
  <c r="D16" i="78" s="1" a="1"/>
  <c r="D16" i="78" s="1"/>
  <c r="H12" i="77"/>
  <c r="G12" i="77"/>
  <c r="C12" i="77"/>
  <c r="B12" i="77"/>
  <c r="J11" i="77"/>
  <c r="D14" i="78" s="1" a="1"/>
  <c r="D14" i="78" s="1"/>
  <c r="G11" i="77"/>
  <c r="I11" i="77" s="1"/>
  <c r="C11" i="77"/>
  <c r="M11" i="77" s="1"/>
  <c r="B11" i="77"/>
  <c r="J10" i="77"/>
  <c r="I10" i="77"/>
  <c r="D10" i="78" s="1" a="1"/>
  <c r="D10" i="78" s="1"/>
  <c r="G10" i="77"/>
  <c r="H10" i="77" s="1"/>
  <c r="C10" i="77"/>
  <c r="M10" i="77" s="1"/>
  <c r="B10" i="77"/>
  <c r="J9" i="77"/>
  <c r="D8" i="78" s="1" a="1"/>
  <c r="D8" i="78" s="1"/>
  <c r="I9" i="77"/>
  <c r="H9" i="77"/>
  <c r="D6" i="78" s="1" a="1"/>
  <c r="D6" i="78" s="1"/>
  <c r="G9" i="77"/>
  <c r="C9" i="77"/>
  <c r="M9" i="77" s="1"/>
  <c r="B9" i="77"/>
  <c r="J8" i="77"/>
  <c r="H8" i="77"/>
  <c r="G8" i="77"/>
  <c r="I8" i="77" s="1"/>
  <c r="D4" i="78" s="1" a="1"/>
  <c r="D4" i="78" s="1"/>
  <c r="C8" i="77"/>
  <c r="M8" i="77" s="1"/>
  <c r="B8" i="77"/>
  <c r="C7" i="77"/>
  <c r="M5" i="77" s="1"/>
  <c r="B7" i="77"/>
  <c r="M6" i="77"/>
  <c r="M4" i="77"/>
  <c r="C4" i="77"/>
  <c r="M3" i="77"/>
  <c r="C3" i="77"/>
  <c r="M2" i="77"/>
  <c r="C2" i="77"/>
  <c r="C1" i="77"/>
  <c r="C583" i="76"/>
  <c r="B583" i="76"/>
  <c r="C582" i="76"/>
  <c r="B582" i="76"/>
  <c r="C581" i="76"/>
  <c r="B581" i="76"/>
  <c r="C580" i="76"/>
  <c r="B580" i="76"/>
  <c r="C579" i="76"/>
  <c r="B579" i="76"/>
  <c r="C578" i="76"/>
  <c r="B578" i="76"/>
  <c r="C577" i="76"/>
  <c r="B577" i="76"/>
  <c r="C576" i="76"/>
  <c r="B576" i="76"/>
  <c r="C575" i="76"/>
  <c r="B575" i="76"/>
  <c r="C574" i="76"/>
  <c r="B574" i="76"/>
  <c r="C573" i="76"/>
  <c r="B573" i="76"/>
  <c r="C572" i="76"/>
  <c r="B572" i="76"/>
  <c r="C571" i="76"/>
  <c r="B571" i="76"/>
  <c r="C570" i="76"/>
  <c r="B570" i="76"/>
  <c r="C569" i="76"/>
  <c r="B569" i="76"/>
  <c r="C568" i="76"/>
  <c r="B568" i="76"/>
  <c r="C567" i="76"/>
  <c r="B567" i="76"/>
  <c r="C566" i="76"/>
  <c r="B566" i="76"/>
  <c r="C565" i="76"/>
  <c r="B565" i="76"/>
  <c r="C564" i="76"/>
  <c r="B564" i="76"/>
  <c r="C563" i="76"/>
  <c r="B563" i="76"/>
  <c r="C562" i="76"/>
  <c r="B562" i="76"/>
  <c r="C561" i="76"/>
  <c r="B561" i="76"/>
  <c r="C560" i="76"/>
  <c r="B560" i="76"/>
  <c r="C559" i="76"/>
  <c r="B559" i="76"/>
  <c r="C558" i="76"/>
  <c r="B558" i="76"/>
  <c r="C557" i="76"/>
  <c r="B557" i="76"/>
  <c r="C556" i="76"/>
  <c r="B556" i="76"/>
  <c r="C555" i="76"/>
  <c r="B555" i="76"/>
  <c r="C554" i="76"/>
  <c r="B554" i="76"/>
  <c r="C553" i="76"/>
  <c r="B553" i="76"/>
  <c r="C552" i="76"/>
  <c r="B552" i="76"/>
  <c r="C551" i="76"/>
  <c r="B551" i="76"/>
  <c r="C550" i="76"/>
  <c r="B550" i="76"/>
  <c r="C549" i="76"/>
  <c r="B549" i="76"/>
  <c r="C548" i="76"/>
  <c r="B548" i="76"/>
  <c r="C547" i="76"/>
  <c r="B547" i="76"/>
  <c r="C546" i="76"/>
  <c r="B546" i="76"/>
  <c r="C545" i="76"/>
  <c r="B545" i="76"/>
  <c r="C544" i="76"/>
  <c r="B544" i="76"/>
  <c r="C543" i="76"/>
  <c r="B543" i="76"/>
  <c r="C542" i="76"/>
  <c r="B542" i="76"/>
  <c r="C541" i="76"/>
  <c r="B541" i="76"/>
  <c r="C540" i="76"/>
  <c r="B540" i="76"/>
  <c r="C539" i="76"/>
  <c r="B539" i="76"/>
  <c r="C538" i="76"/>
  <c r="B538" i="76"/>
  <c r="C537" i="76"/>
  <c r="B537" i="76"/>
  <c r="C536" i="76"/>
  <c r="B536" i="76"/>
  <c r="C535" i="76"/>
  <c r="B535" i="76"/>
  <c r="C534" i="76"/>
  <c r="B534" i="76"/>
  <c r="C533" i="76"/>
  <c r="B533" i="76"/>
  <c r="C532" i="76"/>
  <c r="B532" i="76"/>
  <c r="C531" i="76"/>
  <c r="B531" i="76"/>
  <c r="C530" i="76"/>
  <c r="B530" i="76"/>
  <c r="C529" i="76"/>
  <c r="B529" i="76"/>
  <c r="C528" i="76"/>
  <c r="B528" i="76"/>
  <c r="C527" i="76"/>
  <c r="B527" i="76"/>
  <c r="C526" i="76"/>
  <c r="B526" i="76"/>
  <c r="C525" i="76"/>
  <c r="B525" i="76"/>
  <c r="C524" i="76"/>
  <c r="B524" i="76"/>
  <c r="C523" i="76"/>
  <c r="B523" i="76"/>
  <c r="C522" i="76"/>
  <c r="B522" i="76"/>
  <c r="C521" i="76"/>
  <c r="B521" i="76"/>
  <c r="C520" i="76"/>
  <c r="B520" i="76"/>
  <c r="C519" i="76"/>
  <c r="B519" i="76"/>
  <c r="C518" i="76"/>
  <c r="B518" i="76"/>
  <c r="C517" i="76"/>
  <c r="B517" i="76"/>
  <c r="C516" i="76"/>
  <c r="B516" i="76"/>
  <c r="C515" i="76"/>
  <c r="B515" i="76"/>
  <c r="C514" i="76"/>
  <c r="B514" i="76"/>
  <c r="C513" i="76"/>
  <c r="B513" i="76"/>
  <c r="C512" i="76"/>
  <c r="B512" i="76"/>
  <c r="C511" i="76"/>
  <c r="B511" i="76"/>
  <c r="C510" i="76"/>
  <c r="B510" i="76"/>
  <c r="C509" i="76"/>
  <c r="B509" i="76"/>
  <c r="C508" i="76"/>
  <c r="B508" i="76"/>
  <c r="C507" i="76"/>
  <c r="B507" i="76"/>
  <c r="C506" i="76"/>
  <c r="B506" i="76"/>
  <c r="C505" i="76"/>
  <c r="B505" i="76"/>
  <c r="C504" i="76"/>
  <c r="B504" i="76"/>
  <c r="C503" i="76"/>
  <c r="B503" i="76"/>
  <c r="C502" i="76"/>
  <c r="B502" i="76"/>
  <c r="C501" i="76"/>
  <c r="B501" i="76"/>
  <c r="C500" i="76"/>
  <c r="B500" i="76"/>
  <c r="C499" i="76"/>
  <c r="B499" i="76"/>
  <c r="C498" i="76"/>
  <c r="B498" i="76"/>
  <c r="C497" i="76"/>
  <c r="B497" i="76"/>
  <c r="C496" i="76"/>
  <c r="B496" i="76"/>
  <c r="C495" i="76"/>
  <c r="B495" i="76"/>
  <c r="C494" i="76"/>
  <c r="B494" i="76"/>
  <c r="C493" i="76"/>
  <c r="B493" i="76"/>
  <c r="C492" i="76"/>
  <c r="B492" i="76"/>
  <c r="C491" i="76"/>
  <c r="B491" i="76"/>
  <c r="C490" i="76"/>
  <c r="B490" i="76"/>
  <c r="C489" i="76"/>
  <c r="B489" i="76"/>
  <c r="C488" i="76"/>
  <c r="B488" i="76"/>
  <c r="C487" i="76"/>
  <c r="B487" i="76"/>
  <c r="C486" i="76"/>
  <c r="B486" i="76"/>
  <c r="C485" i="76"/>
  <c r="B485" i="76"/>
  <c r="C484" i="76"/>
  <c r="B484" i="76"/>
  <c r="C483" i="76"/>
  <c r="B483" i="76"/>
  <c r="C482" i="76"/>
  <c r="B482" i="76"/>
  <c r="C481" i="76"/>
  <c r="B481" i="76"/>
  <c r="C480" i="76"/>
  <c r="B480" i="76"/>
  <c r="C479" i="76"/>
  <c r="B479" i="76"/>
  <c r="C478" i="76"/>
  <c r="B478" i="76"/>
  <c r="C477" i="76"/>
  <c r="B477" i="76"/>
  <c r="C476" i="76"/>
  <c r="B476" i="76"/>
  <c r="C475" i="76"/>
  <c r="B475" i="76"/>
  <c r="C474" i="76"/>
  <c r="B474" i="76"/>
  <c r="C473" i="76"/>
  <c r="B473" i="76"/>
  <c r="C472" i="76"/>
  <c r="B472" i="76"/>
  <c r="C471" i="76"/>
  <c r="B471" i="76"/>
  <c r="C470" i="76"/>
  <c r="B470" i="76"/>
  <c r="C469" i="76"/>
  <c r="B469" i="76"/>
  <c r="C468" i="76"/>
  <c r="B468" i="76"/>
  <c r="C467" i="76"/>
  <c r="B467" i="76"/>
  <c r="C466" i="76"/>
  <c r="B466" i="76"/>
  <c r="C465" i="76"/>
  <c r="B465" i="76"/>
  <c r="C464" i="76"/>
  <c r="B464" i="76"/>
  <c r="C463" i="76"/>
  <c r="B463" i="76"/>
  <c r="C462" i="76"/>
  <c r="B462" i="76"/>
  <c r="C461" i="76"/>
  <c r="B461" i="76"/>
  <c r="C460" i="76"/>
  <c r="B460" i="76"/>
  <c r="C459" i="76"/>
  <c r="B459" i="76"/>
  <c r="C458" i="76"/>
  <c r="B458" i="76"/>
  <c r="C457" i="76"/>
  <c r="B457" i="76"/>
  <c r="C456" i="76"/>
  <c r="B456" i="76"/>
  <c r="C455" i="76"/>
  <c r="B455" i="76"/>
  <c r="C454" i="76"/>
  <c r="B454" i="76"/>
  <c r="C453" i="76"/>
  <c r="B453" i="76"/>
  <c r="C452" i="76"/>
  <c r="B452" i="76"/>
  <c r="C451" i="76"/>
  <c r="B451" i="76"/>
  <c r="C450" i="76"/>
  <c r="B450" i="76"/>
  <c r="C449" i="76"/>
  <c r="B449" i="76"/>
  <c r="C448" i="76"/>
  <c r="B448" i="76"/>
  <c r="C447" i="76"/>
  <c r="B447" i="76"/>
  <c r="C446" i="76"/>
  <c r="B446" i="76"/>
  <c r="C445" i="76"/>
  <c r="B445" i="76"/>
  <c r="C444" i="76"/>
  <c r="B444" i="76"/>
  <c r="C443" i="76"/>
  <c r="B443" i="76"/>
  <c r="C442" i="76"/>
  <c r="B442" i="76"/>
  <c r="C441" i="76"/>
  <c r="B441" i="76"/>
  <c r="C440" i="76"/>
  <c r="B440" i="76"/>
  <c r="C439" i="76"/>
  <c r="B439" i="76"/>
  <c r="C438" i="76"/>
  <c r="B438" i="76"/>
  <c r="C437" i="76"/>
  <c r="B437" i="76"/>
  <c r="C436" i="76"/>
  <c r="B436" i="76"/>
  <c r="C435" i="76"/>
  <c r="B435" i="76"/>
  <c r="C434" i="76"/>
  <c r="B434" i="76"/>
  <c r="C433" i="76"/>
  <c r="B433" i="76"/>
  <c r="C432" i="76"/>
  <c r="B432" i="76"/>
  <c r="C431" i="76"/>
  <c r="B431" i="76"/>
  <c r="C430" i="76"/>
  <c r="B430" i="76"/>
  <c r="C429" i="76"/>
  <c r="B429" i="76"/>
  <c r="C428" i="76"/>
  <c r="B428" i="76"/>
  <c r="C427" i="76"/>
  <c r="B427" i="76"/>
  <c r="C426" i="76"/>
  <c r="B426" i="76"/>
  <c r="C425" i="76"/>
  <c r="B425" i="76"/>
  <c r="C424" i="76"/>
  <c r="B424" i="76"/>
  <c r="C423" i="76"/>
  <c r="B423" i="76"/>
  <c r="C422" i="76"/>
  <c r="B422" i="76"/>
  <c r="C421" i="76"/>
  <c r="B421" i="76"/>
  <c r="C420" i="76"/>
  <c r="B420" i="76"/>
  <c r="C419" i="76"/>
  <c r="B419" i="76"/>
  <c r="C418" i="76"/>
  <c r="B418" i="76"/>
  <c r="C417" i="76"/>
  <c r="B417" i="76"/>
  <c r="C416" i="76"/>
  <c r="B416" i="76"/>
  <c r="C415" i="76"/>
  <c r="B415" i="76"/>
  <c r="C414" i="76"/>
  <c r="B414" i="76"/>
  <c r="C413" i="76"/>
  <c r="B413" i="76"/>
  <c r="C412" i="76"/>
  <c r="B412" i="76"/>
  <c r="C411" i="76"/>
  <c r="B411" i="76"/>
  <c r="C410" i="76"/>
  <c r="B410" i="76"/>
  <c r="C409" i="76"/>
  <c r="B409" i="76"/>
  <c r="C408" i="76"/>
  <c r="B408" i="76"/>
  <c r="C407" i="76"/>
  <c r="B407" i="76"/>
  <c r="C406" i="76"/>
  <c r="B406" i="76"/>
  <c r="C405" i="76"/>
  <c r="B405" i="76"/>
  <c r="C404" i="76"/>
  <c r="B404" i="76"/>
  <c r="C403" i="76"/>
  <c r="B403" i="76"/>
  <c r="C402" i="76"/>
  <c r="B402" i="76"/>
  <c r="C401" i="76"/>
  <c r="B401" i="76"/>
  <c r="C400" i="76"/>
  <c r="B400" i="76"/>
  <c r="C399" i="76"/>
  <c r="B399" i="76"/>
  <c r="C398" i="76"/>
  <c r="B398" i="76"/>
  <c r="C397" i="76"/>
  <c r="B397" i="76"/>
  <c r="C396" i="76"/>
  <c r="B396" i="76"/>
  <c r="C395" i="76"/>
  <c r="B395" i="76"/>
  <c r="C394" i="76"/>
  <c r="B394" i="76"/>
  <c r="C393" i="76"/>
  <c r="B393" i="76"/>
  <c r="C392" i="76"/>
  <c r="B392" i="76"/>
  <c r="C391" i="76"/>
  <c r="B391" i="76"/>
  <c r="C390" i="76"/>
  <c r="B390" i="76"/>
  <c r="C389" i="76"/>
  <c r="B389" i="76"/>
  <c r="C388" i="76"/>
  <c r="B388" i="76"/>
  <c r="C387" i="76"/>
  <c r="B387" i="76"/>
  <c r="C386" i="76"/>
  <c r="B386" i="76"/>
  <c r="C385" i="76"/>
  <c r="B385" i="76"/>
  <c r="C384" i="76"/>
  <c r="B384" i="76"/>
  <c r="C383" i="76"/>
  <c r="B383" i="76"/>
  <c r="C382" i="76"/>
  <c r="B382" i="76"/>
  <c r="C381" i="76"/>
  <c r="B381" i="76"/>
  <c r="C380" i="76"/>
  <c r="B380" i="76"/>
  <c r="C379" i="76"/>
  <c r="B379" i="76"/>
  <c r="C378" i="76"/>
  <c r="B378" i="76"/>
  <c r="C377" i="76"/>
  <c r="B377" i="76"/>
  <c r="C376" i="76"/>
  <c r="B376" i="76"/>
  <c r="C375" i="76"/>
  <c r="B375" i="76"/>
  <c r="C374" i="76"/>
  <c r="B374" i="76"/>
  <c r="C373" i="76"/>
  <c r="B373" i="76"/>
  <c r="C372" i="76"/>
  <c r="B372" i="76"/>
  <c r="C371" i="76"/>
  <c r="B371" i="76"/>
  <c r="C370" i="76"/>
  <c r="B370" i="76"/>
  <c r="C369" i="76"/>
  <c r="B369" i="76"/>
  <c r="C368" i="76"/>
  <c r="B368" i="76"/>
  <c r="C367" i="76"/>
  <c r="B367" i="76"/>
  <c r="C366" i="76"/>
  <c r="B366" i="76"/>
  <c r="C365" i="76"/>
  <c r="B365" i="76"/>
  <c r="C364" i="76"/>
  <c r="B364" i="76"/>
  <c r="C363" i="76"/>
  <c r="B363" i="76"/>
  <c r="C362" i="76"/>
  <c r="B362" i="76"/>
  <c r="C361" i="76"/>
  <c r="B361" i="76"/>
  <c r="C360" i="76"/>
  <c r="B360" i="76"/>
  <c r="C359" i="76"/>
  <c r="B359" i="76"/>
  <c r="C358" i="76"/>
  <c r="B358" i="76"/>
  <c r="C357" i="76"/>
  <c r="B357" i="76"/>
  <c r="C356" i="76"/>
  <c r="B356" i="76"/>
  <c r="C355" i="76"/>
  <c r="B355" i="76"/>
  <c r="C354" i="76"/>
  <c r="B354" i="76"/>
  <c r="C353" i="76"/>
  <c r="B353" i="76"/>
  <c r="C352" i="76"/>
  <c r="B352" i="76"/>
  <c r="C351" i="76"/>
  <c r="B351" i="76"/>
  <c r="C350" i="76"/>
  <c r="B350" i="76"/>
  <c r="C349" i="76"/>
  <c r="B349" i="76"/>
  <c r="C348" i="76"/>
  <c r="B348" i="76"/>
  <c r="C347" i="76"/>
  <c r="B347" i="76"/>
  <c r="C346" i="76"/>
  <c r="B346" i="76"/>
  <c r="C345" i="76"/>
  <c r="B345" i="76"/>
  <c r="C344" i="76"/>
  <c r="B344" i="76"/>
  <c r="C343" i="76"/>
  <c r="B343" i="76"/>
  <c r="C342" i="76"/>
  <c r="B342" i="76"/>
  <c r="C341" i="76"/>
  <c r="B341" i="76"/>
  <c r="C340" i="76"/>
  <c r="B340" i="76"/>
  <c r="C339" i="76"/>
  <c r="B339" i="76"/>
  <c r="C338" i="76"/>
  <c r="B338" i="76"/>
  <c r="C337" i="76"/>
  <c r="B337" i="76"/>
  <c r="C336" i="76"/>
  <c r="B336" i="76"/>
  <c r="C335" i="76"/>
  <c r="B335" i="76"/>
  <c r="C334" i="76"/>
  <c r="B334" i="76"/>
  <c r="C333" i="76"/>
  <c r="B333" i="76"/>
  <c r="C332" i="76"/>
  <c r="B332" i="76"/>
  <c r="C331" i="76"/>
  <c r="B331" i="76"/>
  <c r="C330" i="76"/>
  <c r="B330" i="76"/>
  <c r="C329" i="76"/>
  <c r="B329" i="76"/>
  <c r="C328" i="76"/>
  <c r="B328" i="76"/>
  <c r="C327" i="76"/>
  <c r="B327" i="76"/>
  <c r="C326" i="76"/>
  <c r="B326" i="76"/>
  <c r="C325" i="76"/>
  <c r="B325" i="76"/>
  <c r="C324" i="76"/>
  <c r="B324" i="76"/>
  <c r="C323" i="76"/>
  <c r="B323" i="76"/>
  <c r="C322" i="76"/>
  <c r="B322" i="76"/>
  <c r="C321" i="76"/>
  <c r="B321" i="76"/>
  <c r="C320" i="76"/>
  <c r="B320" i="76"/>
  <c r="C319" i="76"/>
  <c r="B319" i="76"/>
  <c r="C318" i="76"/>
  <c r="B318" i="76"/>
  <c r="C317" i="76"/>
  <c r="B317" i="76"/>
  <c r="C316" i="76"/>
  <c r="B316" i="76"/>
  <c r="C315" i="76"/>
  <c r="B315" i="76"/>
  <c r="C314" i="76"/>
  <c r="B314" i="76"/>
  <c r="C313" i="76"/>
  <c r="B313" i="76"/>
  <c r="C312" i="76"/>
  <c r="B312" i="76"/>
  <c r="C311" i="76"/>
  <c r="B311" i="76"/>
  <c r="C310" i="76"/>
  <c r="B310" i="76"/>
  <c r="C309" i="76"/>
  <c r="B309" i="76"/>
  <c r="C308" i="76"/>
  <c r="B308" i="76"/>
  <c r="C307" i="76"/>
  <c r="B307" i="76"/>
  <c r="C306" i="76"/>
  <c r="B306" i="76"/>
  <c r="C305" i="76"/>
  <c r="B305" i="76"/>
  <c r="C304" i="76"/>
  <c r="B304" i="76"/>
  <c r="C303" i="76"/>
  <c r="B303" i="76"/>
  <c r="C302" i="76"/>
  <c r="B302" i="76"/>
  <c r="C301" i="76"/>
  <c r="B301" i="76"/>
  <c r="C300" i="76"/>
  <c r="B300" i="76"/>
  <c r="C299" i="76"/>
  <c r="B299" i="76"/>
  <c r="C298" i="76"/>
  <c r="B298" i="76"/>
  <c r="C297" i="76"/>
  <c r="B297" i="76"/>
  <c r="C296" i="76"/>
  <c r="B296" i="76"/>
  <c r="C295" i="76"/>
  <c r="B295" i="76"/>
  <c r="C294" i="76"/>
  <c r="B294" i="76"/>
  <c r="C293" i="76"/>
  <c r="B293" i="76"/>
  <c r="C292" i="76"/>
  <c r="B292" i="76"/>
  <c r="C291" i="76"/>
  <c r="B291" i="76"/>
  <c r="C290" i="76"/>
  <c r="B290" i="76"/>
  <c r="C289" i="76"/>
  <c r="B289" i="76"/>
  <c r="C288" i="76"/>
  <c r="B288" i="76"/>
  <c r="C287" i="76"/>
  <c r="B287" i="76"/>
  <c r="C286" i="76"/>
  <c r="B286" i="76"/>
  <c r="C285" i="76"/>
  <c r="B285" i="76"/>
  <c r="C284" i="76"/>
  <c r="B284" i="76"/>
  <c r="C283" i="76"/>
  <c r="B283" i="76"/>
  <c r="C282" i="76"/>
  <c r="B282" i="76"/>
  <c r="C281" i="76"/>
  <c r="B281" i="76"/>
  <c r="C280" i="76"/>
  <c r="B280" i="76"/>
  <c r="C279" i="76"/>
  <c r="B279" i="76"/>
  <c r="C278" i="76"/>
  <c r="B278" i="76"/>
  <c r="C277" i="76"/>
  <c r="B277" i="76"/>
  <c r="C276" i="76"/>
  <c r="B276" i="76"/>
  <c r="C275" i="76"/>
  <c r="B275" i="76"/>
  <c r="C274" i="76"/>
  <c r="B274" i="76"/>
  <c r="C273" i="76"/>
  <c r="B273" i="76"/>
  <c r="C272" i="76"/>
  <c r="B272" i="76"/>
  <c r="C271" i="76"/>
  <c r="B271" i="76"/>
  <c r="C270" i="76"/>
  <c r="B270" i="76"/>
  <c r="C269" i="76"/>
  <c r="B269" i="76"/>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D187" i="76" a="1"/>
  <c r="D187" i="76" s="1"/>
  <c r="D186" i="76" a="1"/>
  <c r="D186" i="76" s="1"/>
  <c r="D185" i="76" a="1"/>
  <c r="D185" i="76" s="1"/>
  <c r="D184" i="76" a="1"/>
  <c r="D184" i="76" s="1"/>
  <c r="D183" i="76" a="1"/>
  <c r="D183" i="76" s="1"/>
  <c r="D182" i="76" a="1"/>
  <c r="D182" i="76" s="1"/>
  <c r="D181" i="76" a="1"/>
  <c r="D181" i="76" s="1"/>
  <c r="D180" i="76" a="1"/>
  <c r="D180" i="76" s="1"/>
  <c r="D179" i="76" a="1"/>
  <c r="D179" i="76" s="1"/>
  <c r="J17" i="75"/>
  <c r="I17" i="75"/>
  <c r="H17" i="75"/>
  <c r="G17" i="75"/>
  <c r="F17" i="75"/>
  <c r="E17" i="75"/>
  <c r="D17" i="75"/>
  <c r="C17" i="75"/>
  <c r="D171" i="76" s="1" a="1"/>
  <c r="D171" i="76" s="1"/>
  <c r="B17" i="75"/>
  <c r="D170" i="76" s="1" a="1"/>
  <c r="D170" i="76" s="1"/>
  <c r="J16" i="75"/>
  <c r="I16" i="75"/>
  <c r="H16" i="75"/>
  <c r="G16" i="75"/>
  <c r="F16" i="75"/>
  <c r="E16" i="75"/>
  <c r="D16" i="75"/>
  <c r="C16" i="75"/>
  <c r="B16" i="75"/>
  <c r="D161" i="76" s="1" a="1"/>
  <c r="D161" i="76" s="1"/>
  <c r="J15" i="75"/>
  <c r="I15" i="75"/>
  <c r="H15" i="75"/>
  <c r="G15" i="75"/>
  <c r="F15" i="75"/>
  <c r="E15" i="75"/>
  <c r="D15" i="75"/>
  <c r="C15" i="75"/>
  <c r="D153" i="76" s="1" a="1"/>
  <c r="D153" i="76" s="1"/>
  <c r="B15" i="75"/>
  <c r="D152" i="76" s="1" a="1"/>
  <c r="D152" i="76" s="1"/>
  <c r="J14" i="75"/>
  <c r="I14" i="75"/>
  <c r="H14" i="75"/>
  <c r="G14" i="75"/>
  <c r="F14" i="75"/>
  <c r="E14" i="75"/>
  <c r="D146" i="76" s="1" a="1"/>
  <c r="D146" i="76" s="1"/>
  <c r="D14" i="75"/>
  <c r="D145" i="76" s="1" a="1"/>
  <c r="D145" i="76" s="1"/>
  <c r="C14" i="75"/>
  <c r="D144" i="76" s="1" a="1"/>
  <c r="D144" i="76" s="1"/>
  <c r="B14" i="75"/>
  <c r="D143" i="76" s="1" a="1"/>
  <c r="D143" i="76" s="1"/>
  <c r="J13" i="75"/>
  <c r="I13" i="75"/>
  <c r="H13" i="75"/>
  <c r="G13" i="75"/>
  <c r="F13" i="75"/>
  <c r="E13" i="75"/>
  <c r="D13" i="75"/>
  <c r="C13" i="75"/>
  <c r="B13" i="75"/>
  <c r="D134" i="76" s="1" a="1"/>
  <c r="D134" i="76" s="1"/>
  <c r="J12" i="75"/>
  <c r="D133" i="76" s="1" a="1"/>
  <c r="D133" i="76" s="1"/>
  <c r="I12" i="75"/>
  <c r="H12" i="75"/>
  <c r="G12" i="75"/>
  <c r="F12" i="75"/>
  <c r="E12" i="75"/>
  <c r="D12" i="75"/>
  <c r="C12" i="75"/>
  <c r="D126" i="76" s="1" a="1"/>
  <c r="D126" i="76" s="1"/>
  <c r="B12" i="75"/>
  <c r="D125" i="76" s="1" a="1"/>
  <c r="D125" i="76" s="1"/>
  <c r="J11" i="75"/>
  <c r="I11" i="75"/>
  <c r="H11" i="75"/>
  <c r="G11" i="75"/>
  <c r="F11" i="75"/>
  <c r="E11" i="75"/>
  <c r="D11" i="75"/>
  <c r="C11" i="75"/>
  <c r="D117" i="76" s="1" a="1"/>
  <c r="D117" i="76" s="1"/>
  <c r="B11" i="75"/>
  <c r="D116" i="76" s="1" a="1"/>
  <c r="D116" i="76" s="1"/>
  <c r="J10" i="75"/>
  <c r="I10" i="75"/>
  <c r="H10" i="75"/>
  <c r="G10" i="75"/>
  <c r="F10" i="75"/>
  <c r="E10" i="75"/>
  <c r="D10" i="75"/>
  <c r="C10" i="75"/>
  <c r="D108" i="76" s="1" a="1"/>
  <c r="D108" i="76" s="1"/>
  <c r="B10" i="75"/>
  <c r="J9" i="75"/>
  <c r="I9" i="75"/>
  <c r="H9" i="75"/>
  <c r="G9" i="75"/>
  <c r="F9" i="75"/>
  <c r="E9" i="75"/>
  <c r="D9" i="75"/>
  <c r="C9" i="75"/>
  <c r="B9" i="75"/>
  <c r="D98" i="76" s="1" a="1"/>
  <c r="D98" i="76" s="1"/>
  <c r="J8" i="75"/>
  <c r="I8" i="75"/>
  <c r="H8" i="75"/>
  <c r="G8" i="75"/>
  <c r="F8" i="75"/>
  <c r="E8" i="75"/>
  <c r="D8" i="75"/>
  <c r="C8" i="75"/>
  <c r="D90" i="76" s="1" a="1"/>
  <c r="D90" i="76" s="1"/>
  <c r="B8" i="75"/>
  <c r="D89" i="76" s="1" a="1"/>
  <c r="D89" i="76" s="1"/>
  <c r="J7" i="75"/>
  <c r="I7" i="75"/>
  <c r="H7" i="75"/>
  <c r="G7" i="75"/>
  <c r="F7" i="75"/>
  <c r="E7" i="75"/>
  <c r="D83" i="76" s="1" a="1"/>
  <c r="D83" i="76" s="1"/>
  <c r="D7" i="75"/>
  <c r="D82" i="76" s="1" a="1"/>
  <c r="D82" i="76" s="1"/>
  <c r="C7" i="75"/>
  <c r="D81" i="76" s="1" a="1"/>
  <c r="D81" i="76" s="1"/>
  <c r="B7" i="75"/>
  <c r="J6" i="75"/>
  <c r="I6" i="75"/>
  <c r="H6" i="75"/>
  <c r="G6" i="75"/>
  <c r="F6" i="75"/>
  <c r="E6" i="75"/>
  <c r="D6" i="75"/>
  <c r="C6" i="75"/>
  <c r="B6" i="75"/>
  <c r="D71" i="76" s="1" a="1"/>
  <c r="D71" i="76" s="1"/>
  <c r="J5" i="75"/>
  <c r="D70" i="76" s="1" a="1"/>
  <c r="D70" i="76" s="1"/>
  <c r="I5" i="75"/>
  <c r="H5" i="75"/>
  <c r="G5" i="75"/>
  <c r="F5" i="75"/>
  <c r="E5" i="75"/>
  <c r="D5" i="75"/>
  <c r="C5" i="75"/>
  <c r="D63" i="76" s="1" a="1"/>
  <c r="D63" i="76" s="1"/>
  <c r="B5" i="75"/>
  <c r="D62" i="76" s="1" a="1"/>
  <c r="D62" i="76" s="1"/>
  <c r="J4" i="75"/>
  <c r="I4" i="75"/>
  <c r="H4" i="75"/>
  <c r="G4" i="75"/>
  <c r="F4" i="75"/>
  <c r="E4" i="75"/>
  <c r="D4" i="75"/>
  <c r="C4" i="75"/>
  <c r="D54" i="76" s="1" a="1"/>
  <c r="D54" i="76" s="1"/>
  <c r="B4" i="75"/>
  <c r="D53" i="76" s="1" a="1"/>
  <c r="D53" i="76" s="1"/>
  <c r="J3" i="75"/>
  <c r="I3" i="75"/>
  <c r="H3" i="75"/>
  <c r="G3" i="75"/>
  <c r="F3" i="75"/>
  <c r="E3" i="75"/>
  <c r="D3" i="75"/>
  <c r="C3" i="75"/>
  <c r="D45" i="76" s="1" a="1"/>
  <c r="D45" i="76" s="1"/>
  <c r="B3" i="75"/>
  <c r="D44" i="76" s="1" a="1"/>
  <c r="D44" i="76" s="1"/>
  <c r="J2" i="75"/>
  <c r="I2" i="75"/>
  <c r="H2" i="75"/>
  <c r="G2" i="75"/>
  <c r="F2" i="75"/>
  <c r="E2" i="75"/>
  <c r="D38" i="76" s="1" a="1"/>
  <c r="D38" i="76" s="1"/>
  <c r="D2" i="75"/>
  <c r="C2" i="75"/>
  <c r="D36" i="76" s="1" a="1"/>
  <c r="D36" i="76" s="1"/>
  <c r="B2" i="75"/>
  <c r="D35" i="76" s="1" a="1"/>
  <c r="D35" i="76" s="1"/>
  <c r="G1" i="75"/>
  <c r="D33" i="76" s="1"/>
  <c r="F1" i="75"/>
  <c r="D32" i="76" s="1"/>
  <c r="E1" i="75"/>
  <c r="D31" i="76" s="1"/>
  <c r="D1" i="75"/>
  <c r="D30" i="76" s="1"/>
  <c r="C1" i="75"/>
  <c r="D29" i="76" s="1"/>
  <c r="B1" i="75"/>
  <c r="D28" i="76" s="1"/>
  <c r="B4" i="15"/>
  <c r="B2" i="15"/>
  <c r="B563" i="10"/>
  <c r="C563" i="10"/>
  <c r="B564" i="10"/>
  <c r="C564" i="10"/>
  <c r="B565" i="10"/>
  <c r="C565" i="10"/>
  <c r="B566" i="10"/>
  <c r="C566" i="10"/>
  <c r="B567" i="10"/>
  <c r="C567" i="10"/>
  <c r="B568" i="10"/>
  <c r="C568" i="10"/>
  <c r="B569" i="10"/>
  <c r="C569" i="10"/>
  <c r="B570" i="10"/>
  <c r="C570" i="10"/>
  <c r="B571" i="10"/>
  <c r="C571" i="10"/>
  <c r="B572" i="10"/>
  <c r="C572" i="10"/>
  <c r="B573" i="10"/>
  <c r="C573" i="10"/>
  <c r="B574" i="10"/>
  <c r="C574" i="10"/>
  <c r="B575" i="10"/>
  <c r="C575" i="10"/>
  <c r="B576" i="10"/>
  <c r="C576" i="10"/>
  <c r="B577" i="10"/>
  <c r="C577" i="10"/>
  <c r="B578" i="10"/>
  <c r="C578" i="10"/>
  <c r="B579" i="10"/>
  <c r="C579" i="10"/>
  <c r="B580" i="10"/>
  <c r="C580" i="10"/>
  <c r="B581" i="10"/>
  <c r="C581" i="10"/>
  <c r="B582" i="10"/>
  <c r="C582" i="10"/>
  <c r="B583" i="10"/>
  <c r="C583" i="10"/>
  <c r="B549" i="10"/>
  <c r="C549" i="10"/>
  <c r="B550" i="10"/>
  <c r="C550" i="10"/>
  <c r="B551" i="10"/>
  <c r="C551" i="10"/>
  <c r="B552" i="10"/>
  <c r="C552" i="10"/>
  <c r="B553" i="10"/>
  <c r="C553" i="10"/>
  <c r="B554" i="10"/>
  <c r="C554" i="10"/>
  <c r="B555" i="10"/>
  <c r="C555" i="10"/>
  <c r="B556" i="10"/>
  <c r="C556" i="10"/>
  <c r="B557" i="10"/>
  <c r="C557" i="10"/>
  <c r="B558" i="10"/>
  <c r="C558" i="10"/>
  <c r="B559" i="10"/>
  <c r="C559" i="10"/>
  <c r="B560" i="10"/>
  <c r="C560" i="10"/>
  <c r="B561" i="10"/>
  <c r="C561" i="10"/>
  <c r="B562" i="10"/>
  <c r="C562" i="10"/>
  <c r="B531" i="10"/>
  <c r="C531" i="10"/>
  <c r="B532" i="10"/>
  <c r="C532" i="10"/>
  <c r="B533" i="10"/>
  <c r="C533" i="10"/>
  <c r="B534" i="10"/>
  <c r="C534" i="10"/>
  <c r="B535" i="10"/>
  <c r="C535" i="10"/>
  <c r="B536" i="10"/>
  <c r="C536" i="10"/>
  <c r="B537" i="10"/>
  <c r="C537" i="10"/>
  <c r="B538" i="10"/>
  <c r="C538" i="10"/>
  <c r="B539" i="10"/>
  <c r="C539" i="10"/>
  <c r="B540" i="10"/>
  <c r="C540" i="10"/>
  <c r="B541" i="10"/>
  <c r="C541" i="10"/>
  <c r="B542" i="10"/>
  <c r="C542" i="10"/>
  <c r="B543" i="10"/>
  <c r="C543" i="10"/>
  <c r="B544" i="10"/>
  <c r="C544" i="10"/>
  <c r="B545" i="10"/>
  <c r="C545" i="10"/>
  <c r="B546" i="10"/>
  <c r="C546" i="10"/>
  <c r="B547" i="10"/>
  <c r="C547" i="10"/>
  <c r="B548" i="10"/>
  <c r="C548" i="10"/>
  <c r="B519" i="10"/>
  <c r="C519" i="10"/>
  <c r="B520" i="10"/>
  <c r="C520" i="10"/>
  <c r="B521" i="10"/>
  <c r="C521" i="10"/>
  <c r="B522" i="10"/>
  <c r="C522" i="10"/>
  <c r="B523" i="10"/>
  <c r="C523" i="10"/>
  <c r="B524" i="10"/>
  <c r="C524" i="10"/>
  <c r="B525" i="10"/>
  <c r="C525" i="10"/>
  <c r="B526" i="10"/>
  <c r="C526" i="10"/>
  <c r="B527" i="10"/>
  <c r="C527" i="10"/>
  <c r="B528" i="10"/>
  <c r="C528" i="10"/>
  <c r="B529" i="10"/>
  <c r="C529" i="10"/>
  <c r="B530" i="10"/>
  <c r="C530" i="10"/>
  <c r="B462" i="10"/>
  <c r="C462" i="10"/>
  <c r="B463" i="10"/>
  <c r="C463" i="10"/>
  <c r="B464" i="10"/>
  <c r="C464" i="10"/>
  <c r="B465" i="10"/>
  <c r="C465" i="10"/>
  <c r="B466" i="10"/>
  <c r="C466" i="10"/>
  <c r="B467" i="10"/>
  <c r="C467" i="10"/>
  <c r="B468" i="10"/>
  <c r="C468" i="10"/>
  <c r="B469" i="10"/>
  <c r="C469" i="10"/>
  <c r="B470" i="10"/>
  <c r="C470" i="10"/>
  <c r="B471" i="10"/>
  <c r="C471" i="10"/>
  <c r="B472" i="10"/>
  <c r="C472" i="10"/>
  <c r="B473" i="10"/>
  <c r="C473" i="10"/>
  <c r="B474" i="10"/>
  <c r="C474" i="10"/>
  <c r="B475" i="10"/>
  <c r="C475" i="10"/>
  <c r="B476" i="10"/>
  <c r="C476" i="10"/>
  <c r="B477" i="10"/>
  <c r="C477" i="10"/>
  <c r="B478" i="10"/>
  <c r="C478" i="10"/>
  <c r="B479" i="10"/>
  <c r="C479" i="10"/>
  <c r="B480" i="10"/>
  <c r="C480" i="10"/>
  <c r="B481" i="10"/>
  <c r="C481" i="10"/>
  <c r="B482" i="10"/>
  <c r="C482" i="10"/>
  <c r="B483" i="10"/>
  <c r="C483" i="10"/>
  <c r="B484" i="10"/>
  <c r="C484" i="10"/>
  <c r="B485" i="10"/>
  <c r="C485" i="10"/>
  <c r="B486" i="10"/>
  <c r="C486" i="10"/>
  <c r="B487" i="10"/>
  <c r="C487" i="10"/>
  <c r="B488" i="10"/>
  <c r="C488" i="10"/>
  <c r="B489" i="10"/>
  <c r="C489" i="10"/>
  <c r="B490" i="10"/>
  <c r="C490" i="10"/>
  <c r="B491" i="10"/>
  <c r="C491" i="10"/>
  <c r="B492" i="10"/>
  <c r="C492" i="10"/>
  <c r="B493" i="10"/>
  <c r="C493" i="10"/>
  <c r="B494" i="10"/>
  <c r="C494" i="10"/>
  <c r="B495" i="10"/>
  <c r="C495" i="10"/>
  <c r="B496" i="10"/>
  <c r="C496" i="10"/>
  <c r="B497" i="10"/>
  <c r="C497" i="10"/>
  <c r="B498" i="10"/>
  <c r="C498" i="10"/>
  <c r="B499" i="10"/>
  <c r="C499" i="10"/>
  <c r="B500" i="10"/>
  <c r="C500" i="10"/>
  <c r="B501" i="10"/>
  <c r="C501" i="10"/>
  <c r="B502" i="10"/>
  <c r="C502" i="10"/>
  <c r="B503" i="10"/>
  <c r="C503" i="10"/>
  <c r="B504" i="10"/>
  <c r="C504" i="10"/>
  <c r="B505" i="10"/>
  <c r="C505" i="10"/>
  <c r="B506" i="10"/>
  <c r="C506" i="10"/>
  <c r="B507" i="10"/>
  <c r="C507" i="10"/>
  <c r="B508" i="10"/>
  <c r="C508" i="10"/>
  <c r="B509" i="10"/>
  <c r="C509" i="10"/>
  <c r="B510" i="10"/>
  <c r="C510" i="10"/>
  <c r="B511" i="10"/>
  <c r="C511" i="10"/>
  <c r="B512" i="10"/>
  <c r="C512" i="10"/>
  <c r="B513" i="10"/>
  <c r="C513" i="10"/>
  <c r="B514" i="10"/>
  <c r="C514" i="10"/>
  <c r="B515" i="10"/>
  <c r="C515" i="10"/>
  <c r="B516" i="10"/>
  <c r="C516" i="10"/>
  <c r="B517" i="10"/>
  <c r="C517" i="10"/>
  <c r="B518" i="10"/>
  <c r="C518" i="10"/>
  <c r="B451" i="10"/>
  <c r="C451" i="10"/>
  <c r="B452" i="10"/>
  <c r="C452" i="10"/>
  <c r="B453" i="10"/>
  <c r="C453" i="10"/>
  <c r="B454" i="10"/>
  <c r="C454" i="10"/>
  <c r="B455" i="10"/>
  <c r="C455" i="10"/>
  <c r="B456" i="10"/>
  <c r="C456" i="10"/>
  <c r="B457" i="10"/>
  <c r="C457" i="10"/>
  <c r="B458" i="10"/>
  <c r="C458" i="10"/>
  <c r="B459" i="10"/>
  <c r="C459" i="10"/>
  <c r="B460" i="10"/>
  <c r="C460" i="10"/>
  <c r="B461" i="10"/>
  <c r="C461" i="10"/>
  <c r="I2" i="9"/>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353" i="10"/>
  <c r="B354" i="10"/>
  <c r="B355" i="10"/>
  <c r="B356" i="10"/>
  <c r="B357" i="10"/>
  <c r="B358" i="10"/>
  <c r="B359" i="10"/>
  <c r="B360" i="10"/>
  <c r="B361" i="10"/>
  <c r="B362" i="10"/>
  <c r="B363" i="10"/>
  <c r="B364" i="10"/>
  <c r="B365" i="10"/>
  <c r="B366" i="10"/>
  <c r="B367" i="10"/>
  <c r="B368" i="10"/>
  <c r="B369" i="10"/>
  <c r="B370" i="10"/>
  <c r="B371" i="10"/>
  <c r="B372" i="10"/>
  <c r="B373" i="10"/>
  <c r="B374" i="10"/>
  <c r="B375" i="10"/>
  <c r="B376" i="10"/>
  <c r="B377" i="10"/>
  <c r="B378" i="10"/>
  <c r="B379" i="10"/>
  <c r="B380" i="10"/>
  <c r="B381" i="10"/>
  <c r="B382" i="10"/>
  <c r="B383" i="10"/>
  <c r="B384" i="10"/>
  <c r="B385" i="10"/>
  <c r="B386" i="10"/>
  <c r="B387" i="10"/>
  <c r="B388" i="10"/>
  <c r="B389" i="10"/>
  <c r="B390" i="10"/>
  <c r="B391" i="10"/>
  <c r="B392" i="10"/>
  <c r="B393" i="10"/>
  <c r="B394" i="10"/>
  <c r="B395" i="10"/>
  <c r="B396" i="10"/>
  <c r="B397" i="10"/>
  <c r="B398" i="10"/>
  <c r="B399" i="10"/>
  <c r="B400" i="10"/>
  <c r="B401" i="10"/>
  <c r="B402" i="10"/>
  <c r="B403" i="10"/>
  <c r="B404" i="10"/>
  <c r="B405" i="10"/>
  <c r="B406" i="10"/>
  <c r="B407" i="10"/>
  <c r="B408" i="10"/>
  <c r="B409" i="10"/>
  <c r="B410" i="10"/>
  <c r="B411" i="10"/>
  <c r="B412" i="10"/>
  <c r="B413" i="10"/>
  <c r="B414" i="10"/>
  <c r="B415" i="10"/>
  <c r="B416" i="10"/>
  <c r="B417" i="10"/>
  <c r="B418" i="10"/>
  <c r="B419" i="10"/>
  <c r="B420" i="10"/>
  <c r="B421" i="10"/>
  <c r="B422" i="10"/>
  <c r="B423" i="10"/>
  <c r="B424" i="10"/>
  <c r="B425" i="10"/>
  <c r="B426" i="10"/>
  <c r="B427" i="10"/>
  <c r="B428" i="10"/>
  <c r="B429" i="10"/>
  <c r="B430" i="10"/>
  <c r="B431" i="10"/>
  <c r="B432" i="10"/>
  <c r="B433" i="10"/>
  <c r="B434" i="10"/>
  <c r="B435" i="10"/>
  <c r="B436" i="10"/>
  <c r="B437" i="10"/>
  <c r="B438" i="10"/>
  <c r="B439" i="10"/>
  <c r="B440" i="10"/>
  <c r="B441" i="10"/>
  <c r="B442" i="10"/>
  <c r="B443" i="10"/>
  <c r="B444" i="10"/>
  <c r="B445" i="10"/>
  <c r="B446" i="10"/>
  <c r="B447" i="10"/>
  <c r="B448" i="10"/>
  <c r="B449" i="10"/>
  <c r="B450" i="10"/>
  <c r="B35" i="10"/>
  <c r="J2" i="9"/>
  <c r="I12" i="82" l="1"/>
  <c r="I21" i="82"/>
  <c r="I9" i="82"/>
  <c r="D7" i="83" s="1" a="1"/>
  <c r="D7" i="83" s="1"/>
  <c r="H31" i="82"/>
  <c r="D58" i="83" a="1"/>
  <c r="D58" i="83" s="1"/>
  <c r="I25" i="82"/>
  <c r="D55" i="83" s="1" a="1"/>
  <c r="D55" i="83" s="1"/>
  <c r="H27" i="82"/>
  <c r="D8" i="83" a="1"/>
  <c r="D8" i="83" s="1"/>
  <c r="D86" i="83" a="1"/>
  <c r="D86" i="83" s="1"/>
  <c r="D19" i="83" a="1"/>
  <c r="D19" i="83" s="1"/>
  <c r="D87" i="83" a="1"/>
  <c r="D87" i="83" s="1"/>
  <c r="D56" i="83" a="1"/>
  <c r="D56" i="83" s="1"/>
  <c r="D37" i="83" a="1"/>
  <c r="D37" i="83" s="1"/>
  <c r="D26" i="83" a="1"/>
  <c r="D26" i="83" s="1"/>
  <c r="D34" i="83" a="1"/>
  <c r="D34" i="83" s="1"/>
  <c r="D60" i="83" a="1"/>
  <c r="D60" i="83" s="1"/>
  <c r="D13" i="83" a="1"/>
  <c r="D13" i="83" s="1"/>
  <c r="D20" i="83" a="1"/>
  <c r="D20" i="83" s="1"/>
  <c r="D35" i="83" a="1"/>
  <c r="D35" i="83" s="1"/>
  <c r="D42" i="83" a="1"/>
  <c r="D42" i="83" s="1"/>
  <c r="D53" i="83" a="1"/>
  <c r="D53" i="83" s="1"/>
  <c r="D10" i="83" a="1"/>
  <c r="D10" i="83" s="1"/>
  <c r="D32" i="83" a="1"/>
  <c r="D32" i="83" s="1"/>
  <c r="D50" i="83" a="1"/>
  <c r="D50" i="83" s="1"/>
  <c r="D18" i="83" a="1"/>
  <c r="D18" i="83" s="1"/>
  <c r="D43" i="83" a="1"/>
  <c r="D43" i="83" s="1"/>
  <c r="D74" i="83" a="1"/>
  <c r="D74" i="83" s="1"/>
  <c r="D11" i="83" a="1"/>
  <c r="D11" i="83" s="1"/>
  <c r="D29" i="83" a="1"/>
  <c r="D29" i="83" s="1"/>
  <c r="D63" i="83" a="1"/>
  <c r="D63" i="83" s="1"/>
  <c r="D71" i="83" a="1"/>
  <c r="D71" i="83" s="1"/>
  <c r="D242" i="81" a="1"/>
  <c r="D242" i="81" s="1"/>
  <c r="D107" i="81" a="1"/>
  <c r="D107" i="81" s="1"/>
  <c r="D234" i="81" a="1"/>
  <c r="D234" i="81" s="1"/>
  <c r="D171" i="81" a="1"/>
  <c r="D171" i="81" s="1"/>
  <c r="D91" i="81" a="1"/>
  <c r="D91" i="81" s="1"/>
  <c r="D49" i="81" a="1"/>
  <c r="D49" i="81" s="1"/>
  <c r="D65" i="81" a="1"/>
  <c r="D65" i="81" s="1"/>
  <c r="D41" i="81" a="1"/>
  <c r="D41" i="81" s="1"/>
  <c r="D57" i="81" a="1"/>
  <c r="D57" i="81" s="1"/>
  <c r="D73" i="81" a="1"/>
  <c r="D73" i="81" s="1"/>
  <c r="D109" i="81" a="1"/>
  <c r="D109" i="81" s="1"/>
  <c r="D142" i="81" a="1"/>
  <c r="D142" i="81" s="1"/>
  <c r="D146" i="81" a="1"/>
  <c r="D146" i="81" s="1"/>
  <c r="D154" i="81" a="1"/>
  <c r="D154" i="81" s="1"/>
  <c r="D248" i="81" a="1"/>
  <c r="D248" i="81" s="1"/>
  <c r="D565" i="81" a="1"/>
  <c r="D565" i="81" s="1"/>
  <c r="D93" i="81" a="1"/>
  <c r="D93" i="81" s="1"/>
  <c r="D131" i="81" a="1"/>
  <c r="D131" i="81" s="1"/>
  <c r="D139" i="81" a="1"/>
  <c r="D139" i="81" s="1"/>
  <c r="D162" i="81" a="1"/>
  <c r="D162" i="81" s="1"/>
  <c r="D194" i="81" a="1"/>
  <c r="D194" i="81" s="1"/>
  <c r="D252" i="81" a="1"/>
  <c r="D252" i="81" s="1"/>
  <c r="D268" i="81" a="1"/>
  <c r="D268" i="81" s="1"/>
  <c r="D276" i="81" a="1"/>
  <c r="D276" i="81" s="1"/>
  <c r="D331" i="81" a="1"/>
  <c r="D331" i="81" s="1"/>
  <c r="D347" i="81" a="1"/>
  <c r="D347" i="81" s="1"/>
  <c r="D355" i="81" a="1"/>
  <c r="D355" i="81" s="1"/>
  <c r="D35" i="81" a="1"/>
  <c r="D35" i="81" s="1"/>
  <c r="D51" i="81" a="1"/>
  <c r="D51" i="81" s="1"/>
  <c r="D67" i="81" a="1"/>
  <c r="D67" i="81" s="1"/>
  <c r="D77" i="81" a="1"/>
  <c r="D77" i="81" s="1"/>
  <c r="D124" i="81" a="1"/>
  <c r="D124" i="81" s="1"/>
  <c r="D147" i="81" a="1"/>
  <c r="D147" i="81" s="1"/>
  <c r="D155" i="81" a="1"/>
  <c r="D155" i="81" s="1"/>
  <c r="D469" i="81" a="1"/>
  <c r="D469" i="81" s="1"/>
  <c r="D61" i="81" a="1"/>
  <c r="D61" i="81" s="1"/>
  <c r="D101" i="81" a="1"/>
  <c r="D101" i="81" s="1"/>
  <c r="D85" i="81" a="1"/>
  <c r="D85" i="81" s="1"/>
  <c r="D125" i="81" a="1"/>
  <c r="D125" i="81" s="1"/>
  <c r="D133" i="81" a="1"/>
  <c r="D133" i="81" s="1"/>
  <c r="D148" i="81" a="1"/>
  <c r="D148" i="81" s="1"/>
  <c r="D172" i="81" a="1"/>
  <c r="D172" i="81" s="1"/>
  <c r="D45" i="81" a="1"/>
  <c r="D45" i="81" s="1"/>
  <c r="D117" i="81" a="1"/>
  <c r="D117" i="81" s="1"/>
  <c r="D43" i="81" a="1"/>
  <c r="D43" i="81" s="1"/>
  <c r="D59" i="81" a="1"/>
  <c r="D59" i="81" s="1"/>
  <c r="D105" i="81" a="1"/>
  <c r="D105" i="81" s="1"/>
  <c r="D115" i="81" a="1"/>
  <c r="D115" i="81" s="1"/>
  <c r="D122" i="81" a="1"/>
  <c r="D122" i="81" s="1"/>
  <c r="D141" i="81" a="1"/>
  <c r="D141" i="81" s="1"/>
  <c r="D149" i="81" a="1"/>
  <c r="D149" i="81" s="1"/>
  <c r="D164" i="81" a="1"/>
  <c r="D164" i="81" s="1"/>
  <c r="D180" i="81" a="1"/>
  <c r="D180" i="81" s="1"/>
  <c r="D188" i="81" a="1"/>
  <c r="D188" i="81" s="1"/>
  <c r="D294" i="81" a="1"/>
  <c r="D294" i="81" s="1"/>
  <c r="D298" i="81" a="1"/>
  <c r="D298" i="81" s="1"/>
  <c r="D357" i="81" a="1"/>
  <c r="D357" i="81" s="1"/>
  <c r="D507" i="81" a="1"/>
  <c r="D507" i="81" s="1"/>
  <c r="D517" i="81" a="1"/>
  <c r="D517" i="81" s="1"/>
  <c r="D37" i="81" a="1"/>
  <c r="D37" i="81" s="1"/>
  <c r="D53" i="81" a="1"/>
  <c r="D53" i="81" s="1"/>
  <c r="D69" i="81" a="1"/>
  <c r="D69" i="81" s="1"/>
  <c r="D89" i="81" a="1"/>
  <c r="D89" i="81" s="1"/>
  <c r="D99" i="81" a="1"/>
  <c r="D99" i="81" s="1"/>
  <c r="D130" i="81" a="1"/>
  <c r="D130" i="81" s="1"/>
  <c r="D138" i="81" a="1"/>
  <c r="D138" i="81" s="1"/>
  <c r="D157" i="81" a="1"/>
  <c r="D157" i="81" s="1"/>
  <c r="D165" i="81" a="1"/>
  <c r="D165" i="81" s="1"/>
  <c r="D189" i="81" a="1"/>
  <c r="D189" i="81" s="1"/>
  <c r="D216" i="81" a="1"/>
  <c r="D216" i="81" s="1"/>
  <c r="D228" i="81" a="1"/>
  <c r="D228" i="81" s="1"/>
  <c r="D47" i="81" a="1"/>
  <c r="D47" i="81" s="1"/>
  <c r="D87" i="81" a="1"/>
  <c r="D87" i="81" s="1"/>
  <c r="D103" i="81" a="1"/>
  <c r="D103" i="81" s="1"/>
  <c r="D119" i="81" a="1"/>
  <c r="D119" i="81" s="1"/>
  <c r="D126" i="81" a="1"/>
  <c r="D126" i="81" s="1"/>
  <c r="D81" i="81" a="1"/>
  <c r="D81" i="81" s="1"/>
  <c r="D97" i="81" a="1"/>
  <c r="D97" i="81" s="1"/>
  <c r="D113" i="81" a="1"/>
  <c r="D113" i="81" s="1"/>
  <c r="D182" i="81" a="1"/>
  <c r="D182" i="81" s="1"/>
  <c r="D55" i="81" a="1"/>
  <c r="D55" i="81" s="1"/>
  <c r="D71" i="81" a="1"/>
  <c r="D71" i="81" s="1"/>
  <c r="D167" i="81" a="1"/>
  <c r="D167" i="81" s="1"/>
  <c r="D431" i="81" a="1"/>
  <c r="D431" i="81" s="1"/>
  <c r="D135" i="81" a="1"/>
  <c r="D135" i="81" s="1"/>
  <c r="D39" i="81" a="1"/>
  <c r="D39" i="81" s="1"/>
  <c r="D63" i="81" a="1"/>
  <c r="D63" i="81" s="1"/>
  <c r="D185" i="81" a="1"/>
  <c r="D185" i="81" s="1"/>
  <c r="D79" i="81" a="1"/>
  <c r="D79" i="81" s="1"/>
  <c r="D95" i="81" a="1"/>
  <c r="D95" i="81" s="1"/>
  <c r="D111" i="81" a="1"/>
  <c r="D111" i="81" s="1"/>
  <c r="D151" i="81" a="1"/>
  <c r="D151" i="81" s="1"/>
  <c r="D158" i="81" a="1"/>
  <c r="D158" i="81" s="1"/>
  <c r="D198" i="81" a="1"/>
  <c r="D198" i="81" s="1"/>
  <c r="D409" i="81" a="1"/>
  <c r="D409" i="81" s="1"/>
  <c r="D169" i="81" a="1"/>
  <c r="D169" i="81" s="1"/>
  <c r="D265" i="81" a="1"/>
  <c r="D265" i="81" s="1"/>
  <c r="I24" i="82"/>
  <c r="H24" i="82"/>
  <c r="D174" i="81" a="1"/>
  <c r="D174" i="81" s="1"/>
  <c r="D212" i="81" a="1"/>
  <c r="D212" i="81" s="1"/>
  <c r="D219" i="81" a="1"/>
  <c r="D219" i="81" s="1"/>
  <c r="D235" i="81" a="1"/>
  <c r="D235" i="81" s="1"/>
  <c r="D299" i="81" a="1"/>
  <c r="D299" i="81" s="1"/>
  <c r="D306" i="81" a="1"/>
  <c r="D306" i="81" s="1"/>
  <c r="D310" i="81" a="1"/>
  <c r="D310" i="81" s="1"/>
  <c r="D425" i="81" a="1"/>
  <c r="D425" i="81" s="1"/>
  <c r="H17" i="82"/>
  <c r="D30" i="83" s="1" a="1"/>
  <c r="D30" i="83" s="1"/>
  <c r="I17" i="82"/>
  <c r="D31" i="83" s="1" a="1"/>
  <c r="D31" i="83" s="1"/>
  <c r="D239" i="81" a="1"/>
  <c r="D239" i="81" s="1"/>
  <c r="D266" i="81" a="1"/>
  <c r="D266" i="81" s="1"/>
  <c r="D273" i="81" a="1"/>
  <c r="D273" i="81" s="1"/>
  <c r="D296" i="81" a="1"/>
  <c r="D296" i="81" s="1"/>
  <c r="D303" i="81" a="1"/>
  <c r="D303" i="81" s="1"/>
  <c r="D328" i="81" a="1"/>
  <c r="D328" i="81" s="1"/>
  <c r="D399" i="81" a="1"/>
  <c r="D399" i="81" s="1"/>
  <c r="D437" i="81" a="1"/>
  <c r="D437" i="81" s="1"/>
  <c r="D441" i="81" a="1"/>
  <c r="D441" i="81" s="1"/>
  <c r="D175" i="81" a="1"/>
  <c r="D175" i="81" s="1"/>
  <c r="D178" i="81" a="1"/>
  <c r="D178" i="81" s="1"/>
  <c r="D201" i="81" a="1"/>
  <c r="D201" i="81" s="1"/>
  <c r="D207" i="81" a="1"/>
  <c r="D207" i="81" s="1"/>
  <c r="D214" i="81" a="1"/>
  <c r="D214" i="81" s="1"/>
  <c r="D217" i="81" a="1"/>
  <c r="D217" i="81" s="1"/>
  <c r="D220" i="81" a="1"/>
  <c r="D220" i="81" s="1"/>
  <c r="D227" i="81" a="1"/>
  <c r="D227" i="81" s="1"/>
  <c r="D243" i="81" a="1"/>
  <c r="D243" i="81" s="1"/>
  <c r="D246" i="81" a="1"/>
  <c r="D246" i="81" s="1"/>
  <c r="D253" i="81" a="1"/>
  <c r="D253" i="81" s="1"/>
  <c r="D260" i="81" a="1"/>
  <c r="D260" i="81" s="1"/>
  <c r="D345" i="81" a="1"/>
  <c r="D345" i="81" s="1"/>
  <c r="D419" i="81" a="1"/>
  <c r="D419" i="81" s="1"/>
  <c r="D196" i="81" a="1"/>
  <c r="D196" i="81" s="1"/>
  <c r="D211" i="81" a="1"/>
  <c r="D211" i="81" s="1"/>
  <c r="D224" i="81" a="1"/>
  <c r="D224" i="81" s="1"/>
  <c r="D230" i="81" a="1"/>
  <c r="D230" i="81" s="1"/>
  <c r="D240" i="81" a="1"/>
  <c r="D240" i="81" s="1"/>
  <c r="D290" i="81" a="1"/>
  <c r="D290" i="81" s="1"/>
  <c r="D304" i="81" a="1"/>
  <c r="D304" i="81" s="1"/>
  <c r="D501" i="81" a="1"/>
  <c r="D501" i="81" s="1"/>
  <c r="H40" i="82"/>
  <c r="D99" i="83" s="1" a="1"/>
  <c r="D99" i="83" s="1"/>
  <c r="I40" i="82"/>
  <c r="D89" i="83" a="1"/>
  <c r="D89" i="83" s="1"/>
  <c r="D173" i="81" a="1"/>
  <c r="D173" i="81" s="1"/>
  <c r="D176" i="81" a="1"/>
  <c r="D176" i="81" s="1"/>
  <c r="D179" i="81" a="1"/>
  <c r="D179" i="81" s="1"/>
  <c r="D193" i="81" a="1"/>
  <c r="D193" i="81" s="1"/>
  <c r="D202" i="81" a="1"/>
  <c r="D202" i="81" s="1"/>
  <c r="D208" i="81" a="1"/>
  <c r="D208" i="81" s="1"/>
  <c r="D237" i="81" a="1"/>
  <c r="D237" i="81" s="1"/>
  <c r="D257" i="81" a="1"/>
  <c r="D257" i="81" s="1"/>
  <c r="D287" i="81" a="1"/>
  <c r="D287" i="81" s="1"/>
  <c r="D323" i="81" a="1"/>
  <c r="D323" i="81" s="1"/>
  <c r="D339" i="81" a="1"/>
  <c r="D339" i="81" s="1"/>
  <c r="D393" i="81" a="1"/>
  <c r="D393" i="81" s="1"/>
  <c r="D435" i="81" a="1"/>
  <c r="D435" i="81" s="1"/>
  <c r="H56" i="82"/>
  <c r="I56" i="82"/>
  <c r="D191" i="81" a="1"/>
  <c r="D191" i="81" s="1"/>
  <c r="D209" i="81" a="1"/>
  <c r="D209" i="81" s="1"/>
  <c r="D255" i="81" a="1"/>
  <c r="D255" i="81" s="1"/>
  <c r="D271" i="81" a="1"/>
  <c r="D271" i="81" s="1"/>
  <c r="D274" i="81" a="1"/>
  <c r="D274" i="81" s="1"/>
  <c r="D307" i="81" a="1"/>
  <c r="D307" i="81" s="1"/>
  <c r="D312" i="81" a="1"/>
  <c r="D312" i="81" s="1"/>
  <c r="D315" i="81" a="1"/>
  <c r="D315" i="81" s="1"/>
  <c r="D320" i="81" a="1"/>
  <c r="D320" i="81" s="1"/>
  <c r="D361" i="81" a="1"/>
  <c r="D361" i="81" s="1"/>
  <c r="D367" i="81" a="1"/>
  <c r="D367" i="81" s="1"/>
  <c r="D371" i="81" a="1"/>
  <c r="D371" i="81" s="1"/>
  <c r="D377" i="81" a="1"/>
  <c r="D377" i="81" s="1"/>
  <c r="D387" i="81" a="1"/>
  <c r="D387" i="81" s="1"/>
  <c r="D539" i="81" a="1"/>
  <c r="D539" i="81" s="1"/>
  <c r="D549" i="81" a="1"/>
  <c r="D549" i="81" s="1"/>
  <c r="I59" i="82"/>
  <c r="D157" i="83" s="1" a="1"/>
  <c r="D157" i="83" s="1"/>
  <c r="H59" i="82"/>
  <c r="D79" i="83" a="1"/>
  <c r="D79" i="83" s="1"/>
  <c r="D225" i="81" a="1"/>
  <c r="D225" i="81" s="1"/>
  <c r="D275" i="81" a="1"/>
  <c r="D275" i="81" s="1"/>
  <c r="D280" i="81" a="1"/>
  <c r="D280" i="81" s="1"/>
  <c r="D283" i="81" a="1"/>
  <c r="D283" i="81" s="1"/>
  <c r="D288" i="81" a="1"/>
  <c r="D288" i="81" s="1"/>
  <c r="D329" i="81" a="1"/>
  <c r="D329" i="81" s="1"/>
  <c r="D337" i="81" a="1"/>
  <c r="D337" i="81" s="1"/>
  <c r="D475" i="81" a="1"/>
  <c r="D475" i="81" s="1"/>
  <c r="D485" i="81" a="1"/>
  <c r="D485" i="81" s="1"/>
  <c r="D553" i="81" a="1"/>
  <c r="D553" i="81" s="1"/>
  <c r="D559" i="81" a="1"/>
  <c r="D559" i="81" s="1"/>
  <c r="D563" i="81" a="1"/>
  <c r="D563" i="81" s="1"/>
  <c r="I34" i="82"/>
  <c r="D82" i="83" s="1" a="1"/>
  <c r="D82" i="83" s="1"/>
  <c r="H34" i="82"/>
  <c r="D81" i="83" s="1" a="1"/>
  <c r="D81" i="83" s="1"/>
  <c r="D187" i="81" a="1"/>
  <c r="D187" i="81" s="1"/>
  <c r="D192" i="81" a="1"/>
  <c r="D192" i="81" s="1"/>
  <c r="D195" i="81" a="1"/>
  <c r="D195" i="81" s="1"/>
  <c r="D205" i="81" a="1"/>
  <c r="D205" i="81" s="1"/>
  <c r="D210" i="81" a="1"/>
  <c r="D210" i="81" s="1"/>
  <c r="D233" i="81" a="1"/>
  <c r="D233" i="81" s="1"/>
  <c r="D251" i="81" a="1"/>
  <c r="D251" i="81" s="1"/>
  <c r="D256" i="81" a="1"/>
  <c r="D256" i="81" s="1"/>
  <c r="D259" i="81" a="1"/>
  <c r="D259" i="81" s="1"/>
  <c r="D264" i="81" a="1"/>
  <c r="D264" i="81" s="1"/>
  <c r="D267" i="81" a="1"/>
  <c r="D267" i="81" s="1"/>
  <c r="D272" i="81" a="1"/>
  <c r="D272" i="81" s="1"/>
  <c r="D313" i="81" a="1"/>
  <c r="D313" i="81" s="1"/>
  <c r="D321" i="81" a="1"/>
  <c r="D321" i="81" s="1"/>
  <c r="D443" i="81" a="1"/>
  <c r="D443" i="81" s="1"/>
  <c r="D453" i="81" a="1"/>
  <c r="D453" i="81" s="1"/>
  <c r="D521" i="81" a="1"/>
  <c r="D521" i="81" s="1"/>
  <c r="D527" i="81" a="1"/>
  <c r="D527" i="81" s="1"/>
  <c r="D531" i="81" a="1"/>
  <c r="D531" i="81" s="1"/>
  <c r="D537" i="81" a="1"/>
  <c r="D537" i="81" s="1"/>
  <c r="D547" i="81" a="1"/>
  <c r="D547" i="81" s="1"/>
  <c r="D177" i="81" a="1"/>
  <c r="D177" i="81" s="1"/>
  <c r="D223" i="81" a="1"/>
  <c r="D223" i="81" s="1"/>
  <c r="D241" i="81" a="1"/>
  <c r="D241" i="81" s="1"/>
  <c r="D297" i="81" a="1"/>
  <c r="D297" i="81" s="1"/>
  <c r="D305" i="81" a="1"/>
  <c r="D305" i="81" s="1"/>
  <c r="D335" i="81" a="1"/>
  <c r="D335" i="81" s="1"/>
  <c r="D411" i="81" a="1"/>
  <c r="D411" i="81" s="1"/>
  <c r="D421" i="81" a="1"/>
  <c r="D421" i="81" s="1"/>
  <c r="D489" i="81" a="1"/>
  <c r="D489" i="81" s="1"/>
  <c r="D495" i="81" a="1"/>
  <c r="D495" i="81" s="1"/>
  <c r="D499" i="81" a="1"/>
  <c r="D499" i="81" s="1"/>
  <c r="D505" i="81" a="1"/>
  <c r="D505" i="81" s="1"/>
  <c r="D515" i="81" a="1"/>
  <c r="D515" i="81" s="1"/>
  <c r="D52" i="83" a="1"/>
  <c r="D52" i="83" s="1"/>
  <c r="D92" i="83" a="1"/>
  <c r="D92" i="83" s="1"/>
  <c r="D103" i="83" a="1"/>
  <c r="D103" i="83" s="1"/>
  <c r="D221" i="81" a="1"/>
  <c r="D221" i="81" s="1"/>
  <c r="D226" i="81" a="1"/>
  <c r="D226" i="81" s="1"/>
  <c r="D249" i="81" a="1"/>
  <c r="D249" i="81" s="1"/>
  <c r="D281" i="81" a="1"/>
  <c r="D281" i="81" s="1"/>
  <c r="D289" i="81" a="1"/>
  <c r="D289" i="81" s="1"/>
  <c r="D319" i="81" a="1"/>
  <c r="D319" i="81" s="1"/>
  <c r="D322" i="81" a="1"/>
  <c r="D322" i="81" s="1"/>
  <c r="D379" i="81" a="1"/>
  <c r="D379" i="81" s="1"/>
  <c r="D389" i="81" a="1"/>
  <c r="D389" i="81" s="1"/>
  <c r="D457" i="81" a="1"/>
  <c r="D457" i="81" s="1"/>
  <c r="D463" i="81" a="1"/>
  <c r="D463" i="81" s="1"/>
  <c r="D467" i="81" a="1"/>
  <c r="D467" i="81" s="1"/>
  <c r="D473" i="81" a="1"/>
  <c r="D473" i="81" s="1"/>
  <c r="D483" i="81" a="1"/>
  <c r="D483" i="81" s="1"/>
  <c r="I16" i="82"/>
  <c r="D28" i="83" s="1" a="1"/>
  <c r="D28" i="83" s="1"/>
  <c r="H16" i="82"/>
  <c r="D27" i="83" s="1" a="1"/>
  <c r="D27" i="83" s="1"/>
  <c r="D67" i="83" a="1"/>
  <c r="D67" i="83" s="1"/>
  <c r="D269" i="81" a="1"/>
  <c r="D269" i="81" s="1"/>
  <c r="D285" i="81" a="1"/>
  <c r="D285" i="81" s="1"/>
  <c r="D301" i="81" a="1"/>
  <c r="D301" i="81" s="1"/>
  <c r="D317" i="81" a="1"/>
  <c r="D317" i="81" s="1"/>
  <c r="D333" i="81" a="1"/>
  <c r="D333" i="81" s="1"/>
  <c r="D365" i="81" a="1"/>
  <c r="D365" i="81" s="1"/>
  <c r="D397" i="81" a="1"/>
  <c r="D397" i="81" s="1"/>
  <c r="D429" i="81" a="1"/>
  <c r="D429" i="81" s="1"/>
  <c r="D461" i="81" a="1"/>
  <c r="D461" i="81" s="1"/>
  <c r="D493" i="81" a="1"/>
  <c r="D493" i="81" s="1"/>
  <c r="D525" i="81" a="1"/>
  <c r="D525" i="81" s="1"/>
  <c r="D557" i="81" a="1"/>
  <c r="D557" i="81" s="1"/>
  <c r="D579" i="81" a="1"/>
  <c r="D579" i="81" s="1"/>
  <c r="I43" i="82"/>
  <c r="D109" i="83" s="1" a="1"/>
  <c r="D109" i="83" s="1"/>
  <c r="H43" i="82"/>
  <c r="D76" i="83" a="1"/>
  <c r="D76" i="83" s="1"/>
  <c r="D150" i="83" a="1"/>
  <c r="D150" i="83" s="1"/>
  <c r="D183" i="81" a="1"/>
  <c r="D183" i="81" s="1"/>
  <c r="D199" i="81" a="1"/>
  <c r="D199" i="81" s="1"/>
  <c r="D215" i="81" a="1"/>
  <c r="D215" i="81" s="1"/>
  <c r="D231" i="81" a="1"/>
  <c r="D231" i="81" s="1"/>
  <c r="D247" i="81" a="1"/>
  <c r="D247" i="81" s="1"/>
  <c r="D263" i="81" a="1"/>
  <c r="D263" i="81" s="1"/>
  <c r="D279" i="81" a="1"/>
  <c r="D279" i="81" s="1"/>
  <c r="D295" i="81" a="1"/>
  <c r="D295" i="81" s="1"/>
  <c r="D311" i="81" a="1"/>
  <c r="D311" i="81" s="1"/>
  <c r="D327" i="81" a="1"/>
  <c r="D327" i="81" s="1"/>
  <c r="D343" i="81" a="1"/>
  <c r="D343" i="81" s="1"/>
  <c r="D363" i="81" a="1"/>
  <c r="D363" i="81" s="1"/>
  <c r="D395" i="81" a="1"/>
  <c r="D395" i="81" s="1"/>
  <c r="D427" i="81" a="1"/>
  <c r="D427" i="81" s="1"/>
  <c r="D459" i="81" a="1"/>
  <c r="D459" i="81" s="1"/>
  <c r="D491" i="81" a="1"/>
  <c r="D491" i="81" s="1"/>
  <c r="D523" i="81" a="1"/>
  <c r="D523" i="81" s="1"/>
  <c r="D555" i="81" a="1"/>
  <c r="D555" i="81" s="1"/>
  <c r="D147" i="83" a="1"/>
  <c r="D147" i="83" s="1"/>
  <c r="D155" i="83" a="1"/>
  <c r="D155" i="83" s="1"/>
  <c r="D181" i="81" a="1"/>
  <c r="D181" i="81" s="1"/>
  <c r="D197" i="81" a="1"/>
  <c r="D197" i="81" s="1"/>
  <c r="D213" i="81" a="1"/>
  <c r="D213" i="81" s="1"/>
  <c r="D229" i="81" a="1"/>
  <c r="D229" i="81" s="1"/>
  <c r="D245" i="81" a="1"/>
  <c r="D245" i="81" s="1"/>
  <c r="D261" i="81" a="1"/>
  <c r="D261" i="81" s="1"/>
  <c r="D277" i="81" a="1"/>
  <c r="D277" i="81" s="1"/>
  <c r="D293" i="81" a="1"/>
  <c r="D293" i="81" s="1"/>
  <c r="D309" i="81" a="1"/>
  <c r="D309" i="81" s="1"/>
  <c r="D325" i="81" a="1"/>
  <c r="D325" i="81" s="1"/>
  <c r="D341" i="81" a="1"/>
  <c r="D341" i="81" s="1"/>
  <c r="D349" i="81" a="1"/>
  <c r="D349" i="81" s="1"/>
  <c r="D381" i="81" a="1"/>
  <c r="D381" i="81" s="1"/>
  <c r="D413" i="81" a="1"/>
  <c r="D413" i="81" s="1"/>
  <c r="D445" i="81" a="1"/>
  <c r="D445" i="81" s="1"/>
  <c r="D477" i="81" a="1"/>
  <c r="D477" i="81" s="1"/>
  <c r="D509" i="81" a="1"/>
  <c r="D509" i="81" s="1"/>
  <c r="D541" i="81" a="1"/>
  <c r="D541" i="81" s="1"/>
  <c r="I47" i="82"/>
  <c r="D121" i="83" s="1" a="1"/>
  <c r="D121" i="83" s="1"/>
  <c r="H47" i="82"/>
  <c r="D61" i="83" a="1"/>
  <c r="D61" i="83" s="1"/>
  <c r="D102" i="83" a="1"/>
  <c r="D102" i="83" s="1"/>
  <c r="D108" i="83" a="1"/>
  <c r="D108" i="83" s="1"/>
  <c r="D131" i="83" a="1"/>
  <c r="D131" i="83" s="1"/>
  <c r="D156" i="83" a="1"/>
  <c r="D156" i="83" s="1"/>
  <c r="D51" i="83" a="1"/>
  <c r="D51" i="83" s="1"/>
  <c r="D65" i="83" a="1"/>
  <c r="D65" i="83" s="1"/>
  <c r="D118" i="83" a="1"/>
  <c r="D118" i="83" s="1"/>
  <c r="D124" i="83" a="1"/>
  <c r="D124" i="83" s="1"/>
  <c r="D140" i="83" a="1"/>
  <c r="D140" i="83" s="1"/>
  <c r="D143" i="83" a="1"/>
  <c r="D143" i="83" s="1"/>
  <c r="D288" i="83" a="1"/>
  <c r="D288" i="83" s="1"/>
  <c r="I30" i="82"/>
  <c r="D70" i="83" s="1" a="1"/>
  <c r="D70" i="83" s="1"/>
  <c r="H30" i="82"/>
  <c r="D69" i="83" s="1" a="1"/>
  <c r="D69" i="83" s="1"/>
  <c r="I55" i="82"/>
  <c r="D145" i="83" s="1" a="1"/>
  <c r="D145" i="83" s="1"/>
  <c r="H55" i="82"/>
  <c r="D16" i="83" a="1"/>
  <c r="D16" i="83" s="1"/>
  <c r="D40" i="83" a="1"/>
  <c r="D40" i="83" s="1"/>
  <c r="D62" i="83" a="1"/>
  <c r="D62" i="83" s="1"/>
  <c r="D68" i="83" a="1"/>
  <c r="D68" i="83" s="1"/>
  <c r="D84" i="83" a="1"/>
  <c r="D84" i="83" s="1"/>
  <c r="D94" i="83" a="1"/>
  <c r="D94" i="83" s="1"/>
  <c r="D100" i="83" a="1"/>
  <c r="D100" i="83" s="1"/>
  <c r="D116" i="83" a="1"/>
  <c r="D116" i="83" s="1"/>
  <c r="D119" i="83" a="1"/>
  <c r="D119" i="83" s="1"/>
  <c r="D135" i="83" a="1"/>
  <c r="D135" i="83" s="1"/>
  <c r="H8" i="82"/>
  <c r="D3" i="83" s="1" a="1"/>
  <c r="D3" i="83" s="1"/>
  <c r="H11" i="82"/>
  <c r="D12" i="83" s="1" a="1"/>
  <c r="D12" i="83" s="1"/>
  <c r="H19" i="82"/>
  <c r="D36" i="83" s="1" a="1"/>
  <c r="D36" i="83" s="1"/>
  <c r="H33" i="82"/>
  <c r="D78" i="83" s="1" a="1"/>
  <c r="D78" i="83" s="1"/>
  <c r="H45" i="82"/>
  <c r="H48" i="82"/>
  <c r="D123" i="83" s="1" a="1"/>
  <c r="D123" i="83" s="1"/>
  <c r="D126" i="83" a="1"/>
  <c r="D126" i="83" s="1"/>
  <c r="D151" i="83" a="1"/>
  <c r="D151" i="83" s="1"/>
  <c r="D320" i="83" a="1"/>
  <c r="D320" i="83" s="1"/>
  <c r="I15" i="82"/>
  <c r="D25" i="83" s="1" a="1"/>
  <c r="D25" i="83" s="1"/>
  <c r="H15" i="82"/>
  <c r="D24" i="83" s="1" a="1"/>
  <c r="D24" i="83" s="1"/>
  <c r="I23" i="82"/>
  <c r="D49" i="83" s="1" a="1"/>
  <c r="D49" i="83" s="1"/>
  <c r="H23" i="82"/>
  <c r="D48" i="83" s="1" a="1"/>
  <c r="D48" i="83" s="1"/>
  <c r="I51" i="82"/>
  <c r="D133" i="83" s="1" a="1"/>
  <c r="D133" i="83" s="1"/>
  <c r="H51" i="82"/>
  <c r="D132" i="83" s="1" a="1"/>
  <c r="D132" i="83" s="1"/>
  <c r="D6" i="83" a="1"/>
  <c r="D6" i="83" s="1"/>
  <c r="D14" i="83" a="1"/>
  <c r="D14" i="83" s="1"/>
  <c r="D22" i="83" a="1"/>
  <c r="D22" i="83" s="1"/>
  <c r="D38" i="83" a="1"/>
  <c r="D38" i="83" s="1"/>
  <c r="D46" i="83" a="1"/>
  <c r="D46" i="83" s="1"/>
  <c r="D54" i="83" a="1"/>
  <c r="D54" i="83" s="1"/>
  <c r="D148" i="83" a="1"/>
  <c r="D148" i="83" s="1"/>
  <c r="D195" i="83" a="1"/>
  <c r="D195" i="83" s="1"/>
  <c r="D227" i="83" a="1"/>
  <c r="D227" i="83" s="1"/>
  <c r="D98" i="83" a="1"/>
  <c r="D98" i="83" s="1"/>
  <c r="D106" i="83" a="1"/>
  <c r="D106" i="83" s="1"/>
  <c r="D114" i="83" a="1"/>
  <c r="D114" i="83" s="1"/>
  <c r="D130" i="83" a="1"/>
  <c r="D130" i="83" s="1"/>
  <c r="D138" i="83" a="1"/>
  <c r="D138" i="83" s="1"/>
  <c r="D154" i="83" a="1"/>
  <c r="D154" i="83" s="1"/>
  <c r="H14" i="82"/>
  <c r="D21" i="83" s="1" a="1"/>
  <c r="D21" i="83" s="1"/>
  <c r="H22" i="82"/>
  <c r="D45" i="83" s="1" a="1"/>
  <c r="D45" i="83" s="1"/>
  <c r="H29" i="82"/>
  <c r="D66" i="83" s="1" a="1"/>
  <c r="D66" i="83" s="1"/>
  <c r="H37" i="82"/>
  <c r="D90" i="83" s="1" a="1"/>
  <c r="D90" i="83" s="1"/>
  <c r="H39" i="82"/>
  <c r="D96" i="83" s="1" a="1"/>
  <c r="D96" i="83" s="1"/>
  <c r="D64" i="83" a="1"/>
  <c r="D64" i="83" s="1"/>
  <c r="D72" i="83" a="1"/>
  <c r="D72" i="83" s="1"/>
  <c r="D80" i="83" a="1"/>
  <c r="D80" i="83" s="1"/>
  <c r="D88" i="83" a="1"/>
  <c r="D88" i="83" s="1"/>
  <c r="D104" i="83" a="1"/>
  <c r="D104" i="83" s="1"/>
  <c r="D112" i="83" a="1"/>
  <c r="D112" i="83" s="1"/>
  <c r="D120" i="83" a="1"/>
  <c r="D120" i="83" s="1"/>
  <c r="D128" i="83" a="1"/>
  <c r="D128" i="83" s="1"/>
  <c r="D136" i="83" a="1"/>
  <c r="D136" i="83" s="1"/>
  <c r="D144" i="83" a="1"/>
  <c r="D144" i="83" s="1"/>
  <c r="D152" i="83" a="1"/>
  <c r="D152" i="83" s="1"/>
  <c r="D182" i="83" a="1"/>
  <c r="D182" i="83" s="1"/>
  <c r="D214" i="83" a="1"/>
  <c r="D214" i="83" s="1"/>
  <c r="I21" i="77"/>
  <c r="H21" i="77"/>
  <c r="D42" i="78" s="1" a="1"/>
  <c r="D42" i="78" s="1"/>
  <c r="I31" i="77"/>
  <c r="D73" i="78" s="1" a="1"/>
  <c r="D73" i="78" s="1"/>
  <c r="H31" i="77"/>
  <c r="D72" i="78" s="1" a="1"/>
  <c r="D72" i="78" s="1"/>
  <c r="D21" i="78" a="1"/>
  <c r="D21" i="78" s="1"/>
  <c r="I28" i="77"/>
  <c r="D64" i="78" s="1" a="1"/>
  <c r="D64" i="78" s="1"/>
  <c r="H28" i="77"/>
  <c r="D63" i="78" s="1" a="1"/>
  <c r="D63" i="78" s="1"/>
  <c r="I16" i="77"/>
  <c r="D28" i="78" s="1" a="1"/>
  <c r="D28" i="78" s="1"/>
  <c r="H16" i="77"/>
  <c r="D27" i="78" s="1" a="1"/>
  <c r="D27" i="78" s="1"/>
  <c r="D5" i="78" a="1"/>
  <c r="D5" i="78" s="1"/>
  <c r="D43" i="78" a="1"/>
  <c r="D43" i="78" s="1"/>
  <c r="D13" i="78" a="1"/>
  <c r="D13" i="78" s="1"/>
  <c r="D37" i="78" a="1"/>
  <c r="D37" i="78" s="1"/>
  <c r="I13" i="77"/>
  <c r="H13" i="77"/>
  <c r="D18" i="78" s="1" a="1"/>
  <c r="D18" i="78" s="1"/>
  <c r="I24" i="77"/>
  <c r="D52" i="78" s="1" a="1"/>
  <c r="D52" i="78" s="1"/>
  <c r="H24" i="77"/>
  <c r="D51" i="78" s="1" a="1"/>
  <c r="D51" i="78" s="1"/>
  <c r="D9" i="78" a="1"/>
  <c r="D9" i="78" s="1"/>
  <c r="D25" i="78" a="1"/>
  <c r="D25" i="78" s="1"/>
  <c r="D3" i="78" a="1"/>
  <c r="D3" i="78" s="1"/>
  <c r="D19" i="78" a="1"/>
  <c r="D19" i="78" s="1"/>
  <c r="C27" i="77"/>
  <c r="H36" i="77"/>
  <c r="D87" i="78" s="1" a="1"/>
  <c r="D87" i="78" s="1"/>
  <c r="H42" i="77"/>
  <c r="D105" i="78" s="1" a="1"/>
  <c r="D105" i="78" s="1"/>
  <c r="H46" i="77"/>
  <c r="D117" i="78" s="1" a="1"/>
  <c r="D117" i="78" s="1"/>
  <c r="H50" i="77"/>
  <c r="D129" i="78" s="1" a="1"/>
  <c r="D129" i="78" s="1"/>
  <c r="H54" i="77"/>
  <c r="D141" i="78" s="1" a="1"/>
  <c r="D141" i="78" s="1"/>
  <c r="H58" i="77"/>
  <c r="D153" i="78" s="1" a="1"/>
  <c r="D153" i="78" s="1"/>
  <c r="H11" i="77"/>
  <c r="D12" i="78" s="1" a="1"/>
  <c r="D12" i="78" s="1"/>
  <c r="H19" i="77"/>
  <c r="D36" i="78" s="1" a="1"/>
  <c r="D36" i="78" s="1"/>
  <c r="H27" i="77"/>
  <c r="D60" i="78" s="1" a="1"/>
  <c r="D60" i="78" s="1"/>
  <c r="H34" i="77"/>
  <c r="D81" i="78" s="1" a="1"/>
  <c r="D81" i="78" s="1"/>
  <c r="H41" i="77"/>
  <c r="D102" i="78" s="1" a="1"/>
  <c r="D102" i="78" s="1"/>
  <c r="H45" i="77"/>
  <c r="D114" i="78" s="1" a="1"/>
  <c r="D114" i="78" s="1"/>
  <c r="H49" i="77"/>
  <c r="D126" i="78" s="1" a="1"/>
  <c r="D126" i="78" s="1"/>
  <c r="H53" i="77"/>
  <c r="D138" i="78" s="1" a="1"/>
  <c r="D138" i="78" s="1"/>
  <c r="H57" i="77"/>
  <c r="D150" i="78" s="1" a="1"/>
  <c r="D150" i="78" s="1"/>
  <c r="D253" i="78" a="1"/>
  <c r="D253" i="78" s="1"/>
  <c r="D189" i="78" a="1"/>
  <c r="D189" i="78" s="1"/>
  <c r="D205" i="78" a="1"/>
  <c r="D205" i="78" s="1"/>
  <c r="D221" i="78" a="1"/>
  <c r="D221" i="78" s="1"/>
  <c r="D237" i="78" a="1"/>
  <c r="D237" i="78" s="1"/>
  <c r="D260" i="78" a="1"/>
  <c r="D260" i="78" s="1"/>
  <c r="H7" i="71"/>
  <c r="H8" i="71"/>
  <c r="H9" i="71"/>
  <c r="H10" i="71"/>
  <c r="H11" i="71"/>
  <c r="H12" i="71"/>
  <c r="J12" i="71" s="1"/>
  <c r="D19" i="72" s="1" a="1"/>
  <c r="D19" i="72" s="1"/>
  <c r="D126" i="73" s="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D107" i="72" s="1" a="1"/>
  <c r="D107" i="72" s="1"/>
  <c r="D106" i="72" a="1"/>
  <c r="D106" i="72" s="1"/>
  <c r="C106" i="72"/>
  <c r="B106" i="72"/>
  <c r="C105" i="72"/>
  <c r="B105" i="72"/>
  <c r="C104" i="72"/>
  <c r="B104" i="72"/>
  <c r="D104" i="72" s="1" a="1"/>
  <c r="D104" i="72" s="1"/>
  <c r="C103" i="72"/>
  <c r="B103" i="72"/>
  <c r="C102" i="72"/>
  <c r="B102" i="72"/>
  <c r="C101" i="72"/>
  <c r="B101" i="72"/>
  <c r="C100" i="72"/>
  <c r="B100" i="72"/>
  <c r="C99" i="72"/>
  <c r="B99" i="72"/>
  <c r="C98" i="72"/>
  <c r="B98" i="72"/>
  <c r="D98" i="72" s="1" a="1"/>
  <c r="D98" i="72" s="1"/>
  <c r="D205" i="73" s="1"/>
  <c r="C97" i="72"/>
  <c r="B97" i="72"/>
  <c r="D97" i="72" s="1" a="1"/>
  <c r="D97" i="72" s="1"/>
  <c r="D204" i="73" s="1"/>
  <c r="C96" i="72"/>
  <c r="B96" i="72"/>
  <c r="C95" i="72"/>
  <c r="B95" i="72"/>
  <c r="D95" i="72" s="1" a="1"/>
  <c r="D95" i="72" s="1"/>
  <c r="D202" i="73" s="1"/>
  <c r="C94" i="72"/>
  <c r="B94" i="72"/>
  <c r="C93" i="72"/>
  <c r="B93" i="72"/>
  <c r="C92" i="72"/>
  <c r="B92" i="72"/>
  <c r="C91" i="72"/>
  <c r="B91" i="72"/>
  <c r="C90" i="72"/>
  <c r="B90" i="72"/>
  <c r="C89" i="72"/>
  <c r="B89" i="72"/>
  <c r="D89" i="72" s="1" a="1"/>
  <c r="D89" i="72" s="1"/>
  <c r="D196" i="73" s="1"/>
  <c r="C88" i="72"/>
  <c r="B88" i="72"/>
  <c r="D88" i="72" s="1" a="1"/>
  <c r="D88" i="72" s="1"/>
  <c r="D195" i="73" s="1"/>
  <c r="C87" i="72"/>
  <c r="B87" i="72"/>
  <c r="C86" i="72"/>
  <c r="B86" i="72"/>
  <c r="D86" i="72" s="1" a="1"/>
  <c r="D86" i="72" s="1"/>
  <c r="D193" i="73" s="1"/>
  <c r="C85" i="72"/>
  <c r="B85" i="72"/>
  <c r="C84" i="72"/>
  <c r="B84" i="72"/>
  <c r="D83" i="72" a="1"/>
  <c r="D83" i="72" s="1"/>
  <c r="D190" i="73" s="1"/>
  <c r="C83" i="72"/>
  <c r="B83" i="72"/>
  <c r="C82" i="72"/>
  <c r="B82" i="72"/>
  <c r="D82" i="72" s="1" a="1"/>
  <c r="D82" i="72" s="1"/>
  <c r="D189" i="73" s="1"/>
  <c r="C81" i="72"/>
  <c r="B81" i="72"/>
  <c r="D81" i="72" s="1" a="1"/>
  <c r="D81" i="72" s="1"/>
  <c r="D188" i="73" s="1"/>
  <c r="C80" i="72"/>
  <c r="B80" i="72"/>
  <c r="C79" i="72"/>
  <c r="B79" i="72"/>
  <c r="C78" i="72"/>
  <c r="B78" i="72"/>
  <c r="C77" i="72"/>
  <c r="B77" i="72"/>
  <c r="C76" i="72"/>
  <c r="B76" i="72"/>
  <c r="C75" i="72"/>
  <c r="B75" i="72"/>
  <c r="C74" i="72"/>
  <c r="B74" i="72"/>
  <c r="C73" i="72"/>
  <c r="B73" i="72"/>
  <c r="D73" i="72" s="1" a="1"/>
  <c r="D73" i="72" s="1"/>
  <c r="D180" i="73" s="1"/>
  <c r="C72" i="72"/>
  <c r="B72" i="72"/>
  <c r="C71" i="72"/>
  <c r="B71" i="72"/>
  <c r="C70" i="72"/>
  <c r="B70" i="72"/>
  <c r="C69" i="72"/>
  <c r="B69" i="72"/>
  <c r="C68" i="72"/>
  <c r="B68" i="72"/>
  <c r="C67" i="72"/>
  <c r="B67" i="72"/>
  <c r="C66" i="72"/>
  <c r="B66" i="72"/>
  <c r="C65" i="72"/>
  <c r="B65" i="72"/>
  <c r="D65" i="72" s="1" a="1"/>
  <c r="D65" i="72" s="1"/>
  <c r="D172" i="73" s="1"/>
  <c r="C64" i="72"/>
  <c r="B64" i="72"/>
  <c r="C63" i="72"/>
  <c r="B63" i="72"/>
  <c r="C62" i="72"/>
  <c r="D62" i="72" s="1" a="1"/>
  <c r="D62" i="72" s="1"/>
  <c r="D169" i="73" s="1"/>
  <c r="B62" i="72"/>
  <c r="C61" i="72"/>
  <c r="B61" i="72"/>
  <c r="C60" i="72"/>
  <c r="B60" i="72"/>
  <c r="C59" i="72"/>
  <c r="B59" i="72"/>
  <c r="C58" i="72"/>
  <c r="B58" i="72"/>
  <c r="C57" i="72"/>
  <c r="B57" i="72"/>
  <c r="D57" i="72" s="1" a="1"/>
  <c r="D57" i="72" s="1"/>
  <c r="D164" i="73" s="1"/>
  <c r="C56" i="72"/>
  <c r="B56" i="72"/>
  <c r="C55" i="72"/>
  <c r="B55" i="72"/>
  <c r="C54" i="72"/>
  <c r="B54" i="72"/>
  <c r="C53" i="72"/>
  <c r="B53" i="72"/>
  <c r="C52" i="72"/>
  <c r="B52" i="72"/>
  <c r="C51" i="72"/>
  <c r="B51" i="72"/>
  <c r="C50" i="72"/>
  <c r="B50" i="72"/>
  <c r="D50" i="72" s="1" a="1"/>
  <c r="D50" i="72" s="1"/>
  <c r="D157" i="73" s="1"/>
  <c r="C49" i="72"/>
  <c r="B49" i="72"/>
  <c r="C48" i="72"/>
  <c r="B48" i="72"/>
  <c r="C47" i="72"/>
  <c r="B47" i="72"/>
  <c r="C46" i="72"/>
  <c r="B46" i="72"/>
  <c r="C45" i="72"/>
  <c r="B45" i="72"/>
  <c r="C44" i="72"/>
  <c r="B44" i="72"/>
  <c r="C43" i="72"/>
  <c r="B43" i="72"/>
  <c r="C42" i="72"/>
  <c r="B42" i="72"/>
  <c r="C41" i="72"/>
  <c r="B41" i="72"/>
  <c r="D41" i="72" s="1" a="1"/>
  <c r="D41" i="72" s="1"/>
  <c r="D148" i="73" s="1"/>
  <c r="C40" i="72"/>
  <c r="B40" i="72"/>
  <c r="C39" i="72"/>
  <c r="B39" i="72"/>
  <c r="C38" i="72"/>
  <c r="B38" i="72"/>
  <c r="D38" i="72" s="1" a="1"/>
  <c r="D38" i="72" s="1"/>
  <c r="D145" i="73" s="1"/>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J33" i="71"/>
  <c r="I33" i="71"/>
  <c r="H33" i="71"/>
  <c r="N32" i="71"/>
  <c r="K32" i="71"/>
  <c r="I32" i="71"/>
  <c r="H32" i="71"/>
  <c r="J32" i="71" s="1"/>
  <c r="C32" i="71"/>
  <c r="B32" i="71"/>
  <c r="K31" i="71"/>
  <c r="D77" i="72" s="1" a="1"/>
  <c r="D77" i="72" s="1"/>
  <c r="D184" i="73" s="1"/>
  <c r="H31" i="71"/>
  <c r="J31" i="71" s="1"/>
  <c r="D76" i="72" s="1" a="1"/>
  <c r="D76" i="72" s="1"/>
  <c r="D183" i="73" s="1"/>
  <c r="C31" i="71"/>
  <c r="N31" i="71" s="1"/>
  <c r="B31" i="71"/>
  <c r="K30" i="71"/>
  <c r="D74" i="72" s="1" a="1"/>
  <c r="D74" i="72" s="1"/>
  <c r="D181" i="73" s="1"/>
  <c r="J30" i="71"/>
  <c r="I30" i="71"/>
  <c r="H30" i="71"/>
  <c r="C30" i="71"/>
  <c r="N30" i="71" s="1"/>
  <c r="B30" i="71"/>
  <c r="N29" i="71"/>
  <c r="K29" i="71"/>
  <c r="I29" i="71"/>
  <c r="D69" i="72" s="1" a="1"/>
  <c r="D69" i="72" s="1"/>
  <c r="D176" i="73" s="1"/>
  <c r="H29" i="71"/>
  <c r="J29" i="71" s="1"/>
  <c r="C29" i="71"/>
  <c r="B29" i="71"/>
  <c r="N28" i="71"/>
  <c r="K28" i="71"/>
  <c r="D68" i="72" s="1" a="1"/>
  <c r="D68" i="72" s="1"/>
  <c r="D175" i="73" s="1"/>
  <c r="H28" i="71"/>
  <c r="J28" i="71" s="1"/>
  <c r="D67" i="72" s="1" a="1"/>
  <c r="D67" i="72" s="1"/>
  <c r="D174" i="73" s="1"/>
  <c r="C28" i="71"/>
  <c r="B28" i="71"/>
  <c r="K27" i="71"/>
  <c r="J27" i="71"/>
  <c r="I27" i="71"/>
  <c r="H27" i="71"/>
  <c r="C27" i="71"/>
  <c r="N27" i="71" s="1"/>
  <c r="B27" i="71"/>
  <c r="K26" i="71"/>
  <c r="J26" i="71"/>
  <c r="D61" i="72" s="1" a="1"/>
  <c r="D61" i="72" s="1"/>
  <c r="D168" i="73" s="1"/>
  <c r="I26" i="71"/>
  <c r="D60" i="72" s="1" a="1"/>
  <c r="D60" i="72" s="1"/>
  <c r="D167" i="73" s="1"/>
  <c r="H26" i="71"/>
  <c r="C26" i="71"/>
  <c r="N26" i="71" s="1"/>
  <c r="B26" i="71"/>
  <c r="K25" i="71"/>
  <c r="J25" i="71"/>
  <c r="D58" i="72" s="1" a="1"/>
  <c r="D58" i="72" s="1"/>
  <c r="D165" i="73" s="1"/>
  <c r="I25" i="71"/>
  <c r="H25" i="71"/>
  <c r="C25" i="71"/>
  <c r="N25" i="71" s="1"/>
  <c r="B25" i="71"/>
  <c r="N24" i="71"/>
  <c r="K24" i="71"/>
  <c r="I24" i="71"/>
  <c r="H24" i="71"/>
  <c r="J24" i="71" s="1"/>
  <c r="C24" i="71"/>
  <c r="B24" i="71"/>
  <c r="K23" i="71"/>
  <c r="D53" i="72" s="1" a="1"/>
  <c r="D53" i="72" s="1"/>
  <c r="D160" i="73" s="1"/>
  <c r="H23" i="71"/>
  <c r="C23" i="71"/>
  <c r="N23" i="71" s="1"/>
  <c r="B23" i="71"/>
  <c r="K22" i="71"/>
  <c r="H22" i="71"/>
  <c r="I22" i="71" s="1"/>
  <c r="C22" i="71"/>
  <c r="N22" i="71" s="1"/>
  <c r="B22" i="71"/>
  <c r="K21" i="71"/>
  <c r="H21" i="71"/>
  <c r="J21" i="71" s="1"/>
  <c r="C21" i="71"/>
  <c r="N21" i="71" s="1"/>
  <c r="B21" i="71"/>
  <c r="K20" i="71"/>
  <c r="D44" i="72" s="1" a="1"/>
  <c r="D44" i="72" s="1"/>
  <c r="D151" i="73" s="1"/>
  <c r="H20" i="71"/>
  <c r="C20" i="71"/>
  <c r="N20" i="71" s="1"/>
  <c r="B20" i="71"/>
  <c r="N19" i="71"/>
  <c r="K19" i="71"/>
  <c r="H19" i="71"/>
  <c r="J19" i="71" s="1"/>
  <c r="C19" i="71"/>
  <c r="B19" i="71"/>
  <c r="K18" i="71"/>
  <c r="H18" i="71"/>
  <c r="C18" i="71"/>
  <c r="N18" i="71" s="1"/>
  <c r="B18" i="71"/>
  <c r="K17" i="71"/>
  <c r="D35" i="72" s="1" a="1"/>
  <c r="D35" i="72" s="1"/>
  <c r="D142" i="73" s="1"/>
  <c r="H17" i="71"/>
  <c r="J17" i="71" s="1"/>
  <c r="D34" i="72" s="1" a="1"/>
  <c r="D34" i="72" s="1"/>
  <c r="D141" i="73" s="1"/>
  <c r="C17" i="71"/>
  <c r="N17" i="71" s="1"/>
  <c r="B17" i="71"/>
  <c r="K16" i="71"/>
  <c r="D32" i="72" s="1" a="1"/>
  <c r="D32" i="72" s="1"/>
  <c r="D139" i="73" s="1"/>
  <c r="C16" i="71"/>
  <c r="N16" i="71" s="1"/>
  <c r="B16" i="71"/>
  <c r="I16" i="71" s="1"/>
  <c r="D30" i="72" s="1" a="1"/>
  <c r="D30" i="72" s="1"/>
  <c r="D137" i="73" s="1"/>
  <c r="K15" i="71"/>
  <c r="D29" i="72" s="1" a="1"/>
  <c r="D29" i="72" s="1"/>
  <c r="D136" i="73" s="1"/>
  <c r="J15" i="71"/>
  <c r="D28" i="72" s="1" a="1"/>
  <c r="D28" i="72" s="1"/>
  <c r="D135" i="73" s="1"/>
  <c r="C15" i="71"/>
  <c r="N15" i="71" s="1"/>
  <c r="B15" i="71"/>
  <c r="K14" i="71"/>
  <c r="D26" i="72" s="1" a="1"/>
  <c r="D26" i="72" s="1"/>
  <c r="D133" i="73" s="1"/>
  <c r="C14" i="71"/>
  <c r="N14" i="71" s="1"/>
  <c r="B14" i="71"/>
  <c r="K13" i="71"/>
  <c r="D23" i="72" s="1" a="1"/>
  <c r="D23" i="72" s="1"/>
  <c r="D130" i="73" s="1"/>
  <c r="C13" i="71"/>
  <c r="N13" i="71" s="1"/>
  <c r="B13" i="71"/>
  <c r="I13" i="71" s="1"/>
  <c r="D21" i="72" s="1" a="1"/>
  <c r="D21" i="72" s="1"/>
  <c r="D128" i="73" s="1"/>
  <c r="K12" i="71"/>
  <c r="D20" i="72" s="1" a="1"/>
  <c r="D20" i="72" s="1"/>
  <c r="D127" i="73" s="1"/>
  <c r="C12" i="71"/>
  <c r="N12" i="71" s="1"/>
  <c r="B12" i="71"/>
  <c r="K11" i="71"/>
  <c r="D17" i="72" s="1" a="1"/>
  <c r="D17" i="72" s="1"/>
  <c r="D124" i="73" s="1"/>
  <c r="J11" i="71"/>
  <c r="D16" i="72" s="1" a="1"/>
  <c r="D16" i="72" s="1"/>
  <c r="D123" i="73" s="1"/>
  <c r="C11" i="71"/>
  <c r="N11" i="71" s="1"/>
  <c r="B11" i="71"/>
  <c r="K10" i="71"/>
  <c r="D14" i="72" s="1" a="1"/>
  <c r="D14" i="72" s="1"/>
  <c r="D121" i="73" s="1"/>
  <c r="C10" i="71"/>
  <c r="N10" i="71" s="1"/>
  <c r="B10" i="71"/>
  <c r="K9" i="71"/>
  <c r="D11" i="72" s="1" a="1"/>
  <c r="D11" i="72" s="1"/>
  <c r="D118" i="73" s="1"/>
  <c r="J9" i="71"/>
  <c r="D10" i="72" s="1" a="1"/>
  <c r="D10" i="72" s="1"/>
  <c r="D117" i="73" s="1"/>
  <c r="I9" i="71"/>
  <c r="D9" i="72" s="1" a="1"/>
  <c r="D9" i="72" s="1"/>
  <c r="D116" i="73" s="1"/>
  <c r="C9" i="71"/>
  <c r="N9" i="71" s="1"/>
  <c r="B9" i="71"/>
  <c r="K8" i="71"/>
  <c r="D8" i="72" s="1" a="1"/>
  <c r="D8" i="72" s="1"/>
  <c r="D115"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J16" i="71" l="1"/>
  <c r="D31" i="72" s="1" a="1"/>
  <c r="D31" i="72" s="1"/>
  <c r="D138" i="73" s="1"/>
  <c r="J8" i="71"/>
  <c r="D7" i="72" s="1" a="1"/>
  <c r="D7" i="72" s="1"/>
  <c r="D114" i="73" s="1"/>
  <c r="D47" i="72" a="1"/>
  <c r="D47" i="72" s="1"/>
  <c r="D154" i="73" s="1"/>
  <c r="D59" i="72" a="1"/>
  <c r="D59" i="72" s="1"/>
  <c r="D166" i="73" s="1"/>
  <c r="J20" i="71"/>
  <c r="D55" i="72" a="1"/>
  <c r="D55" i="72" s="1"/>
  <c r="D162" i="73" s="1"/>
  <c r="D71" i="72" a="1"/>
  <c r="D71" i="72" s="1"/>
  <c r="D178" i="73" s="1"/>
  <c r="D56" i="72" a="1"/>
  <c r="D56" i="72" s="1"/>
  <c r="D163" i="73" s="1"/>
  <c r="D64" i="72" a="1"/>
  <c r="D64" i="72" s="1"/>
  <c r="D171" i="73" s="1"/>
  <c r="J14" i="71"/>
  <c r="D25" i="72" s="1" a="1"/>
  <c r="D25" i="72" s="1"/>
  <c r="D132" i="73" s="1"/>
  <c r="J23" i="71"/>
  <c r="D52" i="72" s="1" a="1"/>
  <c r="D52" i="72" s="1"/>
  <c r="D159" i="73" s="1"/>
  <c r="D80" i="72" a="1"/>
  <c r="D80" i="72" s="1"/>
  <c r="D187" i="73"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D40" i="72" a="1"/>
  <c r="D40" i="72" s="1"/>
  <c r="D147" i="73" s="1"/>
  <c r="J10" i="71"/>
  <c r="D13" i="72" s="1" a="1"/>
  <c r="D13" i="72" s="1"/>
  <c r="D120" i="73" s="1"/>
  <c r="I11" i="71"/>
  <c r="D15" i="72" s="1" a="1"/>
  <c r="D15" i="72" s="1"/>
  <c r="D122" i="73" s="1"/>
  <c r="I17" i="71"/>
  <c r="D33" i="72" s="1" a="1"/>
  <c r="D33" i="72" s="1"/>
  <c r="D140" i="73" s="1"/>
  <c r="I19" i="71"/>
  <c r="D39" i="72" s="1" a="1"/>
  <c r="D39" i="72" s="1"/>
  <c r="D146" i="73" s="1"/>
  <c r="D48" i="72" a="1"/>
  <c r="D48" i="72" s="1"/>
  <c r="D155"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C19" i="33"/>
  <c r="C20" i="33"/>
  <c r="C21" i="33"/>
  <c r="C22" i="33"/>
  <c r="C23" i="33"/>
  <c r="N23" i="33" s="1"/>
  <c r="C24" i="33"/>
  <c r="N24" i="33" s="1"/>
  <c r="C25" i="33"/>
  <c r="C8" i="33"/>
  <c r="C9" i="33"/>
  <c r="C10" i="33"/>
  <c r="C11" i="33"/>
  <c r="C12" i="33"/>
  <c r="N12" i="33" s="1"/>
  <c r="C13" i="33"/>
  <c r="N13" i="33" s="1"/>
  <c r="C14" i="33"/>
  <c r="N14" i="33" s="1"/>
  <c r="C15" i="33"/>
  <c r="C16" i="33"/>
  <c r="C17" i="33"/>
  <c r="C18" i="33"/>
  <c r="C4" i="33"/>
  <c r="C3" i="33"/>
  <c r="C2" i="33"/>
  <c r="C1" i="33"/>
  <c r="C2" i="31"/>
  <c r="C3" i="31"/>
  <c r="C4" i="31"/>
  <c r="C1" i="31"/>
  <c r="W10" i="68"/>
  <c r="W10" i="66"/>
  <c r="D30" i="69" a="1"/>
  <c r="D30" i="69" s="1"/>
  <c r="D31" i="69" a="1"/>
  <c r="D31" i="69" s="1"/>
  <c r="D32" i="69" a="1"/>
  <c r="D32" i="69" s="1"/>
  <c r="D33" i="69" a="1"/>
  <c r="D33" i="69" s="1"/>
  <c r="D34" i="69" a="1"/>
  <c r="D34" i="69" s="1"/>
  <c r="D35" i="69" a="1"/>
  <c r="D35" i="69" s="1"/>
  <c r="D36" i="69" a="1"/>
  <c r="D36" i="69" s="1"/>
  <c r="D37" i="69" a="1"/>
  <c r="D37" i="69" s="1"/>
  <c r="D38" i="69" a="1"/>
  <c r="D38" i="69" s="1"/>
  <c r="D39" i="69" a="1"/>
  <c r="D39" i="69" s="1"/>
  <c r="D40" i="69" a="1"/>
  <c r="D40" i="69" s="1"/>
  <c r="D41" i="69" a="1"/>
  <c r="D41" i="69" s="1"/>
  <c r="D42" i="69" a="1"/>
  <c r="D42" i="69" s="1"/>
  <c r="D43" i="69" a="1"/>
  <c r="D43" i="69" s="1"/>
  <c r="D44" i="69" a="1"/>
  <c r="D44" i="69" s="1"/>
  <c r="D45" i="69" a="1"/>
  <c r="D45" i="69" s="1"/>
  <c r="D46" i="69" a="1"/>
  <c r="D46" i="69" s="1"/>
  <c r="D47" i="69" a="1"/>
  <c r="D47" i="69" s="1"/>
  <c r="D48" i="69" a="1"/>
  <c r="D48" i="69" s="1"/>
  <c r="D49" i="69" a="1"/>
  <c r="D49" i="69" s="1"/>
  <c r="D50" i="69" a="1"/>
  <c r="D50" i="69" s="1"/>
  <c r="D51" i="69" a="1"/>
  <c r="D51" i="69" s="1"/>
  <c r="D52" i="69" a="1"/>
  <c r="D52" i="69" s="1"/>
  <c r="D53" i="69" a="1"/>
  <c r="D53" i="69" s="1"/>
  <c r="D54" i="69" a="1"/>
  <c r="D54" i="69" s="1"/>
  <c r="D55" i="69" a="1"/>
  <c r="D55" i="69" s="1"/>
  <c r="D56" i="69" a="1"/>
  <c r="D56" i="69" s="1"/>
  <c r="D57" i="69" a="1"/>
  <c r="D57" i="69" s="1"/>
  <c r="D58" i="69" a="1"/>
  <c r="D58" i="69" s="1"/>
  <c r="D59" i="69" a="1"/>
  <c r="D59" i="69" s="1"/>
  <c r="D60" i="69" a="1"/>
  <c r="D60" i="69" s="1"/>
  <c r="D61" i="69" a="1"/>
  <c r="D61" i="69" s="1"/>
  <c r="D62" i="69" a="1"/>
  <c r="D62" i="69" s="1"/>
  <c r="D63" i="69" a="1"/>
  <c r="D63" i="69" s="1"/>
  <c r="D64" i="69" a="1"/>
  <c r="D64" i="69" s="1"/>
  <c r="D65" i="69" a="1"/>
  <c r="D65" i="69" s="1"/>
  <c r="D66" i="69" a="1"/>
  <c r="D66" i="69" s="1"/>
  <c r="D67" i="69" a="1"/>
  <c r="D67" i="69" s="1"/>
  <c r="D68" i="69" a="1"/>
  <c r="D68" i="69" s="1"/>
  <c r="D69" i="69" a="1"/>
  <c r="D69" i="69" s="1"/>
  <c r="D70" i="69" a="1"/>
  <c r="D70" i="69" s="1"/>
  <c r="D71" i="69" a="1"/>
  <c r="D71" i="69" s="1"/>
  <c r="D72" i="69" a="1"/>
  <c r="D72" i="69" s="1"/>
  <c r="D73" i="69" a="1"/>
  <c r="D73" i="69"/>
  <c r="D74" i="69" a="1"/>
  <c r="D74" i="69" s="1"/>
  <c r="D75" i="69" a="1"/>
  <c r="D75" i="69" s="1"/>
  <c r="D76" i="69" a="1"/>
  <c r="D76" i="69" s="1"/>
  <c r="D77" i="69" a="1"/>
  <c r="D77" i="69" s="1"/>
  <c r="D78" i="69" a="1"/>
  <c r="D78" i="69" s="1"/>
  <c r="D79" i="69" a="1"/>
  <c r="D79" i="69" s="1"/>
  <c r="D80" i="69" a="1"/>
  <c r="D80" i="69" s="1"/>
  <c r="D81" i="69" a="1"/>
  <c r="D81" i="69" s="1"/>
  <c r="D82" i="69" a="1"/>
  <c r="D82" i="69" s="1"/>
  <c r="D83" i="69" a="1"/>
  <c r="D83" i="69" s="1"/>
  <c r="D84" i="69" a="1"/>
  <c r="D84" i="69" s="1"/>
  <c r="D85" i="69" a="1"/>
  <c r="D85" i="69" s="1"/>
  <c r="D86" i="69" a="1"/>
  <c r="D86" i="69" s="1"/>
  <c r="D87" i="69" a="1"/>
  <c r="D87" i="69" s="1"/>
  <c r="D88" i="69" a="1"/>
  <c r="D88" i="69" s="1"/>
  <c r="D89" i="69" a="1"/>
  <c r="D89" i="69" s="1"/>
  <c r="D90" i="69" a="1"/>
  <c r="D90" i="69" s="1"/>
  <c r="D91" i="69" a="1"/>
  <c r="D91" i="69" s="1"/>
  <c r="D92" i="69" a="1"/>
  <c r="D92" i="69" s="1"/>
  <c r="D93" i="69" a="1"/>
  <c r="D93" i="69" s="1"/>
  <c r="D94" i="69" a="1"/>
  <c r="D94" i="69" s="1"/>
  <c r="D95" i="69" a="1"/>
  <c r="D95" i="69" s="1"/>
  <c r="D96" i="69" a="1"/>
  <c r="D96" i="69" s="1"/>
  <c r="D97" i="69" a="1"/>
  <c r="D97" i="69" s="1"/>
  <c r="D98" i="69" a="1"/>
  <c r="D98" i="69" s="1"/>
  <c r="D99" i="69" a="1"/>
  <c r="D99" i="69" s="1"/>
  <c r="D100" i="69" a="1"/>
  <c r="D100" i="69" s="1"/>
  <c r="D101" i="69" a="1"/>
  <c r="D101" i="69" s="1"/>
  <c r="D102" i="69" a="1"/>
  <c r="D102" i="69" s="1"/>
  <c r="D103" i="69" a="1"/>
  <c r="D103" i="69" s="1"/>
  <c r="D104" i="69" a="1"/>
  <c r="D104" i="69" s="1"/>
  <c r="D105" i="69" a="1"/>
  <c r="D105" i="69" s="1"/>
  <c r="D139" i="69" a="1"/>
  <c r="D139" i="69" s="1"/>
  <c r="D183" i="69" a="1"/>
  <c r="D183" i="69" s="1"/>
  <c r="D241" i="69" a="1"/>
  <c r="D241" i="69" s="1"/>
  <c r="D248" i="69" a="1"/>
  <c r="D248" i="69" s="1"/>
  <c r="D255" i="69" a="1"/>
  <c r="D255" i="69" s="1"/>
  <c r="D263" i="69" a="1"/>
  <c r="D263" i="69" s="1"/>
  <c r="D265" i="69" a="1"/>
  <c r="D265" i="69"/>
  <c r="D270" i="69" a="1"/>
  <c r="D270" i="69" s="1"/>
  <c r="D272" i="69" a="1"/>
  <c r="D272" i="69" s="1"/>
  <c r="D274" i="69" a="1"/>
  <c r="D274" i="69" s="1"/>
  <c r="D275" i="69" a="1"/>
  <c r="D275" i="69" s="1"/>
  <c r="D279" i="69" a="1"/>
  <c r="D279" i="69" s="1"/>
  <c r="D281" i="69" a="1"/>
  <c r="D281" i="69" s="1"/>
  <c r="D282" i="69" a="1"/>
  <c r="D282" i="69" s="1"/>
  <c r="D283" i="69" a="1"/>
  <c r="D283" i="69" s="1"/>
  <c r="D284" i="69" a="1"/>
  <c r="D284" i="69" s="1"/>
  <c r="D285" i="69" a="1"/>
  <c r="D285" i="69" s="1"/>
  <c r="D286" i="69" a="1"/>
  <c r="D286" i="69" s="1"/>
  <c r="D287" i="69" a="1"/>
  <c r="D287" i="69" s="1"/>
  <c r="D288" i="69" a="1"/>
  <c r="D288" i="69" s="1"/>
  <c r="D289" i="69" a="1"/>
  <c r="D289" i="69" s="1"/>
  <c r="D290" i="69" a="1"/>
  <c r="D290" i="69" s="1"/>
  <c r="D291" i="69" a="1"/>
  <c r="D291" i="69" s="1"/>
  <c r="D292" i="69" a="1"/>
  <c r="D292" i="69" s="1"/>
  <c r="D293" i="69" a="1"/>
  <c r="D293" i="69" s="1"/>
  <c r="D294" i="69" a="1"/>
  <c r="D294" i="69" s="1"/>
  <c r="D295" i="69" a="1"/>
  <c r="D295" i="69" s="1"/>
  <c r="D296" i="69" a="1"/>
  <c r="D296" i="69" s="1"/>
  <c r="D297" i="69" a="1"/>
  <c r="D297" i="69" s="1"/>
  <c r="D298" i="69" a="1"/>
  <c r="D298" i="69" s="1"/>
  <c r="D299" i="69" a="1"/>
  <c r="D299" i="69" s="1"/>
  <c r="D300" i="69" a="1"/>
  <c r="D300" i="69" s="1"/>
  <c r="D301" i="69" a="1"/>
  <c r="D301" i="69" s="1"/>
  <c r="D302" i="69" a="1"/>
  <c r="D302" i="69" s="1"/>
  <c r="D303" i="69" a="1"/>
  <c r="D303" i="69" s="1"/>
  <c r="D304" i="69" a="1"/>
  <c r="D304" i="69" s="1"/>
  <c r="D305" i="69" a="1"/>
  <c r="D305" i="69" s="1"/>
  <c r="D306" i="69" a="1"/>
  <c r="D306" i="69" s="1"/>
  <c r="D307" i="69" a="1"/>
  <c r="D307" i="69" s="1"/>
  <c r="D308" i="69" a="1"/>
  <c r="D308" i="69" s="1"/>
  <c r="D309" i="69" a="1"/>
  <c r="D309" i="69" s="1"/>
  <c r="D310" i="69" a="1"/>
  <c r="D310" i="69" s="1"/>
  <c r="D311" i="69" a="1"/>
  <c r="D311" i="69" s="1"/>
  <c r="D312" i="69" a="1"/>
  <c r="D312" i="69" s="1"/>
  <c r="D313" i="69" a="1"/>
  <c r="D313" i="69" s="1"/>
  <c r="D314" i="69" a="1"/>
  <c r="D314" i="69" s="1"/>
  <c r="D315" i="69" a="1"/>
  <c r="D315" i="69" s="1"/>
  <c r="D316" i="69" a="1"/>
  <c r="D316" i="69" s="1"/>
  <c r="D317" i="69" a="1"/>
  <c r="D317" i="69" s="1"/>
  <c r="D318" i="69" a="1"/>
  <c r="D318" i="69" s="1"/>
  <c r="D319" i="69" a="1"/>
  <c r="D319" i="69" s="1"/>
  <c r="D320" i="69" a="1"/>
  <c r="D320" i="69" s="1"/>
  <c r="D321" i="69" a="1"/>
  <c r="D321" i="69" s="1"/>
  <c r="D322" i="69" a="1"/>
  <c r="D322" i="69" s="1"/>
  <c r="D323" i="69" a="1"/>
  <c r="D323" i="69" s="1"/>
  <c r="D324" i="69" a="1"/>
  <c r="D324" i="69" s="1"/>
  <c r="D325" i="69" a="1"/>
  <c r="D325" i="69" s="1"/>
  <c r="D326" i="69" a="1"/>
  <c r="D326" i="69" s="1"/>
  <c r="D327" i="69" a="1"/>
  <c r="D327" i="69" s="1"/>
  <c r="D328" i="69" a="1"/>
  <c r="D328" i="69" s="1"/>
  <c r="D329" i="69" a="1"/>
  <c r="D329" i="69" s="1"/>
  <c r="D330" i="69" a="1"/>
  <c r="D330" i="69" s="1"/>
  <c r="D331" i="69" a="1"/>
  <c r="D331" i="69" s="1"/>
  <c r="D332" i="69" a="1"/>
  <c r="D332" i="69" s="1"/>
  <c r="D333" i="69" a="1"/>
  <c r="D333" i="69" s="1"/>
  <c r="D334" i="69" a="1"/>
  <c r="D334" i="69" s="1"/>
  <c r="D335" i="69" a="1"/>
  <c r="D335" i="69" s="1"/>
  <c r="D336" i="69" a="1"/>
  <c r="D336" i="69" s="1"/>
  <c r="D337" i="69" a="1"/>
  <c r="D337" i="69" s="1"/>
  <c r="D338" i="69" a="1"/>
  <c r="D338" i="69" s="1"/>
  <c r="D339" i="69" a="1"/>
  <c r="D339" i="69" s="1"/>
  <c r="D340" i="69" a="1"/>
  <c r="D340" i="69" s="1"/>
  <c r="D341" i="69" a="1"/>
  <c r="D341" i="69" s="1"/>
  <c r="D342" i="69" a="1"/>
  <c r="D342" i="69" s="1"/>
  <c r="D343" i="69" a="1"/>
  <c r="D343" i="69" s="1"/>
  <c r="D344" i="69" a="1"/>
  <c r="D344" i="69" s="1"/>
  <c r="D345" i="69" a="1"/>
  <c r="D345" i="69" s="1"/>
  <c r="D346" i="69" a="1"/>
  <c r="D346" i="69" s="1"/>
  <c r="D347" i="69" a="1"/>
  <c r="D347" i="69" s="1"/>
  <c r="D348" i="69" a="1"/>
  <c r="D348" i="69" s="1"/>
  <c r="D349" i="69" a="1"/>
  <c r="D349" i="69"/>
  <c r="D350" i="69" a="1"/>
  <c r="D350" i="69" s="1"/>
  <c r="D351" i="69" a="1"/>
  <c r="D351" i="69" s="1"/>
  <c r="D352" i="69" a="1"/>
  <c r="D352" i="69" s="1"/>
  <c r="D353" i="69" a="1"/>
  <c r="D353" i="69" s="1"/>
  <c r="D354" i="69" a="1"/>
  <c r="D354" i="69" s="1"/>
  <c r="D355" i="69" a="1"/>
  <c r="D355" i="69" s="1"/>
  <c r="D356" i="69" a="1"/>
  <c r="D356" i="69" s="1"/>
  <c r="D357" i="69" a="1"/>
  <c r="D357" i="69" s="1"/>
  <c r="D358" i="69" a="1"/>
  <c r="D358" i="69" s="1"/>
  <c r="D359" i="69" a="1"/>
  <c r="D359" i="69" s="1"/>
  <c r="D360" i="69" a="1"/>
  <c r="D360" i="69" s="1"/>
  <c r="D361" i="69" a="1"/>
  <c r="D361" i="69" s="1"/>
  <c r="D362" i="69" a="1"/>
  <c r="D362" i="69" s="1"/>
  <c r="D363" i="69" a="1"/>
  <c r="D363" i="69" s="1"/>
  <c r="D364" i="69" a="1"/>
  <c r="D364" i="69" s="1"/>
  <c r="D365" i="69" a="1"/>
  <c r="D365" i="69" s="1"/>
  <c r="D366" i="69" a="1"/>
  <c r="D366" i="69" s="1"/>
  <c r="D367" i="69" a="1"/>
  <c r="D367" i="69" s="1"/>
  <c r="D368" i="69" a="1"/>
  <c r="D368" i="69" s="1"/>
  <c r="D369" i="69" a="1"/>
  <c r="D369" i="69" s="1"/>
  <c r="D370" i="69" a="1"/>
  <c r="D370" i="69" s="1"/>
  <c r="D371" i="69" a="1"/>
  <c r="D371" i="69" s="1"/>
  <c r="D27" i="68"/>
  <c r="D21" i="68"/>
  <c r="D22" i="68"/>
  <c r="D23" i="68"/>
  <c r="C419" i="69"/>
  <c r="B419" i="69"/>
  <c r="C418" i="69"/>
  <c r="B418" i="69"/>
  <c r="C417" i="69"/>
  <c r="B417" i="69"/>
  <c r="C416" i="69"/>
  <c r="B416" i="69"/>
  <c r="C415" i="69"/>
  <c r="B415" i="69"/>
  <c r="C414" i="69"/>
  <c r="B414" i="69"/>
  <c r="C413" i="69"/>
  <c r="B413" i="69"/>
  <c r="C412" i="69"/>
  <c r="B412" i="69"/>
  <c r="C411" i="69"/>
  <c r="B411" i="69"/>
  <c r="C410" i="69"/>
  <c r="B410" i="69"/>
  <c r="C409" i="69"/>
  <c r="B409" i="69"/>
  <c r="C408" i="69"/>
  <c r="B408" i="69"/>
  <c r="C407" i="69"/>
  <c r="B407" i="69"/>
  <c r="C406" i="69"/>
  <c r="B406" i="69"/>
  <c r="C405" i="69"/>
  <c r="B405" i="69"/>
  <c r="C404" i="69"/>
  <c r="B404" i="69"/>
  <c r="C403" i="69"/>
  <c r="B403" i="69"/>
  <c r="C402" i="69"/>
  <c r="B402" i="69"/>
  <c r="C401" i="69"/>
  <c r="B401" i="69"/>
  <c r="C400" i="69"/>
  <c r="B400" i="69"/>
  <c r="C399" i="69"/>
  <c r="B399" i="69"/>
  <c r="C398" i="69"/>
  <c r="B398" i="69"/>
  <c r="C397" i="69"/>
  <c r="B397" i="69"/>
  <c r="C396" i="69"/>
  <c r="B396" i="69"/>
  <c r="C395" i="69"/>
  <c r="B395" i="69"/>
  <c r="C394" i="69"/>
  <c r="B394" i="69"/>
  <c r="C393" i="69"/>
  <c r="B393" i="69"/>
  <c r="C392" i="69"/>
  <c r="B392" i="69"/>
  <c r="C391" i="69"/>
  <c r="B391" i="69"/>
  <c r="C390" i="69"/>
  <c r="B390" i="69"/>
  <c r="C389" i="69"/>
  <c r="B389" i="69"/>
  <c r="C388" i="69"/>
  <c r="B388" i="69"/>
  <c r="C387" i="69"/>
  <c r="B387" i="69"/>
  <c r="C386" i="69"/>
  <c r="B386" i="69"/>
  <c r="C385" i="69"/>
  <c r="B385" i="69"/>
  <c r="C384" i="69"/>
  <c r="B384" i="69"/>
  <c r="C383" i="69"/>
  <c r="B383" i="69"/>
  <c r="C382" i="69"/>
  <c r="B382" i="69"/>
  <c r="C381" i="69"/>
  <c r="B381" i="69"/>
  <c r="C380" i="69"/>
  <c r="B380" i="69"/>
  <c r="C379" i="69"/>
  <c r="B379" i="69"/>
  <c r="C378" i="69"/>
  <c r="B378" i="69"/>
  <c r="C377" i="69"/>
  <c r="B377" i="69"/>
  <c r="C376" i="69"/>
  <c r="B376" i="69"/>
  <c r="C375" i="69"/>
  <c r="B375" i="69"/>
  <c r="C374" i="69"/>
  <c r="B374" i="69"/>
  <c r="C373" i="69"/>
  <c r="B373" i="69"/>
  <c r="C372" i="69"/>
  <c r="B372" i="69"/>
  <c r="C371" i="69"/>
  <c r="B371" i="69"/>
  <c r="C370" i="69"/>
  <c r="B370" i="69"/>
  <c r="C369" i="69"/>
  <c r="B369" i="69"/>
  <c r="C368" i="69"/>
  <c r="B368" i="69"/>
  <c r="C367" i="69"/>
  <c r="B367" i="69"/>
  <c r="C366" i="69"/>
  <c r="B366" i="69"/>
  <c r="C365" i="69"/>
  <c r="B365" i="69"/>
  <c r="C364" i="69"/>
  <c r="B364" i="69"/>
  <c r="C363" i="69"/>
  <c r="B363" i="69"/>
  <c r="C362" i="69"/>
  <c r="B362" i="69"/>
  <c r="C361" i="69"/>
  <c r="B361" i="69"/>
  <c r="C360" i="69"/>
  <c r="B360" i="69"/>
  <c r="C359" i="69"/>
  <c r="B359" i="69"/>
  <c r="C358" i="69"/>
  <c r="B358" i="69"/>
  <c r="C357" i="69"/>
  <c r="B357" i="69"/>
  <c r="C356" i="69"/>
  <c r="B356" i="69"/>
  <c r="C355" i="69"/>
  <c r="B355" i="69"/>
  <c r="C354" i="69"/>
  <c r="B354" i="69"/>
  <c r="C353" i="69"/>
  <c r="B353" i="69"/>
  <c r="C352" i="69"/>
  <c r="B352" i="69"/>
  <c r="C351" i="69"/>
  <c r="B351" i="69"/>
  <c r="C350" i="69"/>
  <c r="B350" i="69"/>
  <c r="C349" i="69"/>
  <c r="B349" i="69"/>
  <c r="C348" i="69"/>
  <c r="B348" i="69"/>
  <c r="C347" i="69"/>
  <c r="B347" i="69"/>
  <c r="C346" i="69"/>
  <c r="B346" i="69"/>
  <c r="C345" i="69"/>
  <c r="B345" i="69"/>
  <c r="C344" i="69"/>
  <c r="B344" i="69"/>
  <c r="C343" i="69"/>
  <c r="B343" i="69"/>
  <c r="C342" i="69"/>
  <c r="B342" i="69"/>
  <c r="C341" i="69"/>
  <c r="B341" i="69"/>
  <c r="C340" i="69"/>
  <c r="B340" i="69"/>
  <c r="C339" i="69"/>
  <c r="B339" i="69"/>
  <c r="C338" i="69"/>
  <c r="B338" i="69"/>
  <c r="C337" i="69"/>
  <c r="B337" i="69"/>
  <c r="C336" i="69"/>
  <c r="B336" i="69"/>
  <c r="C335" i="69"/>
  <c r="B335" i="69"/>
  <c r="C334" i="69"/>
  <c r="B334" i="69"/>
  <c r="C333" i="69"/>
  <c r="B333" i="69"/>
  <c r="C332" i="69"/>
  <c r="B332" i="69"/>
  <c r="C331" i="69"/>
  <c r="B331" i="69"/>
  <c r="C330" i="69"/>
  <c r="B330" i="69"/>
  <c r="C329" i="69"/>
  <c r="B329" i="69"/>
  <c r="C328" i="69"/>
  <c r="B328" i="69"/>
  <c r="C327" i="69"/>
  <c r="B327" i="69"/>
  <c r="C326" i="69"/>
  <c r="B326" i="69"/>
  <c r="C325" i="69"/>
  <c r="B325" i="69"/>
  <c r="C324" i="69"/>
  <c r="B324" i="69"/>
  <c r="C323" i="69"/>
  <c r="B323" i="69"/>
  <c r="C322" i="69"/>
  <c r="B322" i="69"/>
  <c r="C321" i="69"/>
  <c r="B321" i="69"/>
  <c r="C320" i="69"/>
  <c r="B320" i="69"/>
  <c r="C319" i="69"/>
  <c r="B319" i="69"/>
  <c r="C318" i="69"/>
  <c r="B318" i="69"/>
  <c r="C317" i="69"/>
  <c r="B317" i="69"/>
  <c r="C316" i="69"/>
  <c r="B316" i="69"/>
  <c r="C315" i="69"/>
  <c r="B315" i="69"/>
  <c r="C314" i="69"/>
  <c r="B314" i="69"/>
  <c r="C313" i="69"/>
  <c r="B313" i="69"/>
  <c r="C312" i="69"/>
  <c r="B312" i="69"/>
  <c r="C311" i="69"/>
  <c r="B311" i="69"/>
  <c r="C310" i="69"/>
  <c r="B310" i="69"/>
  <c r="C309" i="69"/>
  <c r="B309" i="69"/>
  <c r="C308" i="69"/>
  <c r="B308" i="69"/>
  <c r="C307" i="69"/>
  <c r="B307" i="69"/>
  <c r="C306" i="69"/>
  <c r="B306" i="69"/>
  <c r="C305" i="69"/>
  <c r="B305" i="69"/>
  <c r="C304" i="69"/>
  <c r="B304" i="69"/>
  <c r="C303" i="69"/>
  <c r="B303" i="69"/>
  <c r="C302" i="69"/>
  <c r="B302" i="69"/>
  <c r="C301" i="69"/>
  <c r="B301" i="69"/>
  <c r="C300" i="69"/>
  <c r="B300" i="69"/>
  <c r="C299" i="69"/>
  <c r="B299" i="69"/>
  <c r="C298" i="69"/>
  <c r="B298" i="69"/>
  <c r="C297" i="69"/>
  <c r="B297" i="69"/>
  <c r="C296" i="69"/>
  <c r="B296" i="69"/>
  <c r="C295" i="69"/>
  <c r="B295" i="69"/>
  <c r="C294" i="69"/>
  <c r="B294" i="69"/>
  <c r="C293" i="69"/>
  <c r="B293" i="69"/>
  <c r="C292" i="69"/>
  <c r="B292" i="69"/>
  <c r="C291" i="69"/>
  <c r="B291" i="69"/>
  <c r="C290" i="69"/>
  <c r="B290" i="69"/>
  <c r="C289" i="69"/>
  <c r="B289" i="69"/>
  <c r="C288" i="69"/>
  <c r="B288" i="69"/>
  <c r="C287" i="69"/>
  <c r="B287" i="69"/>
  <c r="C286" i="69"/>
  <c r="B286" i="69"/>
  <c r="C285" i="69"/>
  <c r="B285" i="69"/>
  <c r="C284" i="69"/>
  <c r="B284" i="69"/>
  <c r="C283" i="69"/>
  <c r="B283" i="69"/>
  <c r="C282" i="69"/>
  <c r="B282" i="69"/>
  <c r="C281" i="69"/>
  <c r="B281" i="69"/>
  <c r="C280" i="69"/>
  <c r="B280" i="69"/>
  <c r="C279" i="69"/>
  <c r="B279" i="69"/>
  <c r="C278" i="69"/>
  <c r="B278" i="69"/>
  <c r="C277" i="69"/>
  <c r="B277" i="69"/>
  <c r="C276" i="69"/>
  <c r="B276" i="69"/>
  <c r="C275" i="69"/>
  <c r="B275" i="69"/>
  <c r="C274" i="69"/>
  <c r="B274" i="69"/>
  <c r="C273" i="69"/>
  <c r="B273" i="69"/>
  <c r="C272" i="69"/>
  <c r="B272" i="69"/>
  <c r="C271" i="69"/>
  <c r="B271" i="69"/>
  <c r="C270" i="69"/>
  <c r="B270" i="69"/>
  <c r="C269" i="69"/>
  <c r="B269" i="69"/>
  <c r="C268" i="69"/>
  <c r="B268" i="69"/>
  <c r="C267" i="69"/>
  <c r="B267" i="69"/>
  <c r="C266" i="69"/>
  <c r="B266" i="69"/>
  <c r="C265" i="69"/>
  <c r="B265" i="69"/>
  <c r="C264" i="69"/>
  <c r="B264" i="69"/>
  <c r="C263" i="69"/>
  <c r="B263" i="69"/>
  <c r="C262" i="69"/>
  <c r="B262" i="69"/>
  <c r="C261" i="69"/>
  <c r="B261" i="69"/>
  <c r="C260" i="69"/>
  <c r="B260" i="69"/>
  <c r="C259" i="69"/>
  <c r="B259" i="69"/>
  <c r="C258" i="69"/>
  <c r="B258" i="69"/>
  <c r="C257" i="69"/>
  <c r="B257" i="69"/>
  <c r="C256" i="69"/>
  <c r="B256" i="69"/>
  <c r="C255" i="69"/>
  <c r="B255" i="69"/>
  <c r="C254" i="69"/>
  <c r="B254" i="69"/>
  <c r="C253" i="69"/>
  <c r="B253" i="69"/>
  <c r="C252" i="69"/>
  <c r="B252" i="69"/>
  <c r="C251" i="69"/>
  <c r="B251" i="69"/>
  <c r="C250" i="69"/>
  <c r="B250" i="69"/>
  <c r="C249" i="69"/>
  <c r="B249" i="69"/>
  <c r="C248" i="69"/>
  <c r="B248" i="69"/>
  <c r="C247" i="69"/>
  <c r="B247" i="69"/>
  <c r="C246" i="69"/>
  <c r="B246" i="69"/>
  <c r="C245" i="69"/>
  <c r="B245" i="69"/>
  <c r="C244" i="69"/>
  <c r="B244" i="69"/>
  <c r="C243" i="69"/>
  <c r="B243" i="69"/>
  <c r="C242" i="69"/>
  <c r="B242" i="69"/>
  <c r="C241" i="69"/>
  <c r="B241" i="69"/>
  <c r="C240" i="69"/>
  <c r="B240" i="69"/>
  <c r="C239" i="69"/>
  <c r="B239" i="69"/>
  <c r="C238" i="69"/>
  <c r="B238" i="69"/>
  <c r="C237" i="69"/>
  <c r="B237" i="69"/>
  <c r="C236" i="69"/>
  <c r="B236" i="69"/>
  <c r="C235" i="69"/>
  <c r="B235" i="69"/>
  <c r="C234" i="69"/>
  <c r="B234" i="69"/>
  <c r="C233" i="69"/>
  <c r="B233" i="69"/>
  <c r="C232" i="69"/>
  <c r="B232" i="69"/>
  <c r="C231" i="69"/>
  <c r="B231" i="69"/>
  <c r="C230" i="69"/>
  <c r="B230" i="69"/>
  <c r="C229" i="69"/>
  <c r="B229" i="69"/>
  <c r="C228" i="69"/>
  <c r="B228" i="69"/>
  <c r="C227" i="69"/>
  <c r="B227" i="69"/>
  <c r="C226" i="69"/>
  <c r="B226" i="69"/>
  <c r="C225" i="69"/>
  <c r="B225" i="69"/>
  <c r="C224" i="69"/>
  <c r="B224" i="69"/>
  <c r="C223" i="69"/>
  <c r="B223" i="69"/>
  <c r="C222" i="69"/>
  <c r="B222" i="69"/>
  <c r="C221" i="69"/>
  <c r="B221" i="69"/>
  <c r="C220" i="69"/>
  <c r="B220" i="69"/>
  <c r="C219" i="69"/>
  <c r="B219" i="69"/>
  <c r="C218" i="69"/>
  <c r="B218" i="69"/>
  <c r="C217" i="69"/>
  <c r="B217" i="69"/>
  <c r="C216" i="69"/>
  <c r="B216" i="69"/>
  <c r="C215" i="69"/>
  <c r="B215" i="69"/>
  <c r="C214" i="69"/>
  <c r="B214" i="69"/>
  <c r="C213" i="69"/>
  <c r="B213" i="69"/>
  <c r="C212" i="69"/>
  <c r="B212" i="69"/>
  <c r="C211" i="69"/>
  <c r="B211" i="69"/>
  <c r="C210" i="69"/>
  <c r="B210" i="69"/>
  <c r="C209" i="69"/>
  <c r="B209" i="69"/>
  <c r="C208" i="69"/>
  <c r="B208" i="69"/>
  <c r="C207" i="69"/>
  <c r="B207" i="69"/>
  <c r="C206" i="69"/>
  <c r="B206" i="69"/>
  <c r="C205" i="69"/>
  <c r="B205" i="69"/>
  <c r="C204" i="69"/>
  <c r="B204" i="69"/>
  <c r="C203" i="69"/>
  <c r="B203" i="69"/>
  <c r="C202" i="69"/>
  <c r="B202" i="69"/>
  <c r="C201" i="69"/>
  <c r="B201" i="69"/>
  <c r="C200" i="69"/>
  <c r="B200" i="69"/>
  <c r="C199" i="69"/>
  <c r="B199" i="69"/>
  <c r="C198" i="69"/>
  <c r="B198" i="69"/>
  <c r="C197" i="69"/>
  <c r="B197" i="69"/>
  <c r="C196" i="69"/>
  <c r="B196" i="69"/>
  <c r="C195" i="69"/>
  <c r="B195" i="69"/>
  <c r="C194" i="69"/>
  <c r="B194" i="69"/>
  <c r="C193" i="69"/>
  <c r="B193" i="69"/>
  <c r="C192" i="69"/>
  <c r="B192" i="69"/>
  <c r="C191" i="69"/>
  <c r="B191" i="69"/>
  <c r="C190" i="69"/>
  <c r="B190" i="69"/>
  <c r="C189" i="69"/>
  <c r="B189" i="69"/>
  <c r="C188" i="69"/>
  <c r="B188" i="69"/>
  <c r="C187" i="69"/>
  <c r="B187" i="69"/>
  <c r="C186" i="69"/>
  <c r="B186" i="69"/>
  <c r="C185" i="69"/>
  <c r="B185" i="69"/>
  <c r="C184" i="69"/>
  <c r="B184" i="69"/>
  <c r="C183" i="69"/>
  <c r="B183" i="69"/>
  <c r="C182" i="69"/>
  <c r="B182" i="69"/>
  <c r="C181" i="69"/>
  <c r="B181" i="69"/>
  <c r="C180" i="69"/>
  <c r="B180" i="69"/>
  <c r="C179" i="69"/>
  <c r="B179" i="69"/>
  <c r="C178" i="69"/>
  <c r="B178" i="69"/>
  <c r="C177" i="69"/>
  <c r="B177" i="69"/>
  <c r="C176" i="69"/>
  <c r="B176" i="69"/>
  <c r="C175" i="69"/>
  <c r="B175" i="69"/>
  <c r="C174" i="69"/>
  <c r="B174" i="69"/>
  <c r="C173" i="69"/>
  <c r="B173" i="69"/>
  <c r="C172" i="69"/>
  <c r="B172" i="69"/>
  <c r="C171" i="69"/>
  <c r="B171" i="69"/>
  <c r="C170" i="69"/>
  <c r="B170" i="69"/>
  <c r="C169" i="69"/>
  <c r="B169" i="69"/>
  <c r="C168" i="69"/>
  <c r="B168" i="69"/>
  <c r="C167" i="69"/>
  <c r="B167" i="69"/>
  <c r="C166" i="69"/>
  <c r="B166" i="69"/>
  <c r="C165" i="69"/>
  <c r="B165" i="69"/>
  <c r="C164" i="69"/>
  <c r="B164" i="69"/>
  <c r="C163" i="69"/>
  <c r="B163" i="69"/>
  <c r="C162" i="69"/>
  <c r="B162" i="69"/>
  <c r="C161" i="69"/>
  <c r="B161" i="69"/>
  <c r="C160" i="69"/>
  <c r="B160" i="69"/>
  <c r="C159" i="69"/>
  <c r="B159" i="69"/>
  <c r="C158" i="69"/>
  <c r="B158" i="69"/>
  <c r="C157" i="69"/>
  <c r="B157" i="69"/>
  <c r="C156" i="69"/>
  <c r="B156" i="69"/>
  <c r="C155" i="69"/>
  <c r="B155" i="69"/>
  <c r="C154" i="69"/>
  <c r="B154" i="69"/>
  <c r="C153" i="69"/>
  <c r="B153" i="69"/>
  <c r="C152" i="69"/>
  <c r="B152" i="69"/>
  <c r="C151" i="69"/>
  <c r="B151" i="69"/>
  <c r="C150" i="69"/>
  <c r="B150" i="69"/>
  <c r="C149" i="69"/>
  <c r="B149" i="69"/>
  <c r="C148" i="69"/>
  <c r="B148" i="69"/>
  <c r="C147" i="69"/>
  <c r="B147" i="69"/>
  <c r="C146" i="69"/>
  <c r="B146" i="69"/>
  <c r="C145" i="69"/>
  <c r="B145" i="69"/>
  <c r="C144" i="69"/>
  <c r="B144" i="69"/>
  <c r="C143" i="69"/>
  <c r="B143" i="69"/>
  <c r="C142" i="69"/>
  <c r="B142" i="69"/>
  <c r="C141" i="69"/>
  <c r="B141" i="69"/>
  <c r="C140" i="69"/>
  <c r="B140" i="69"/>
  <c r="C139" i="69"/>
  <c r="B139" i="69"/>
  <c r="C138" i="69"/>
  <c r="B138" i="69"/>
  <c r="C137" i="69"/>
  <c r="B137" i="69"/>
  <c r="C136" i="69"/>
  <c r="B136" i="69"/>
  <c r="C135" i="69"/>
  <c r="B135" i="69"/>
  <c r="C134" i="69"/>
  <c r="B134" i="69"/>
  <c r="C133" i="69"/>
  <c r="B133" i="69"/>
  <c r="C132" i="69"/>
  <c r="B132" i="69"/>
  <c r="C131" i="69"/>
  <c r="B131" i="69"/>
  <c r="C130" i="69"/>
  <c r="B130" i="69"/>
  <c r="C129" i="69"/>
  <c r="B129" i="69"/>
  <c r="C128" i="69"/>
  <c r="B128" i="69"/>
  <c r="C127" i="69"/>
  <c r="B127" i="69"/>
  <c r="C126" i="69"/>
  <c r="B126" i="69"/>
  <c r="C125" i="69"/>
  <c r="B125" i="69"/>
  <c r="C124" i="69"/>
  <c r="B124" i="69"/>
  <c r="C123" i="69"/>
  <c r="B123" i="69"/>
  <c r="C122" i="69"/>
  <c r="B122" i="69"/>
  <c r="C121" i="69"/>
  <c r="B121" i="69"/>
  <c r="C120" i="69"/>
  <c r="B120" i="69"/>
  <c r="C119" i="69"/>
  <c r="B119" i="69"/>
  <c r="C118" i="69"/>
  <c r="B118" i="69"/>
  <c r="C117" i="69"/>
  <c r="B117" i="69"/>
  <c r="C116" i="69"/>
  <c r="B116" i="69"/>
  <c r="C115" i="69"/>
  <c r="B115" i="69"/>
  <c r="C114" i="69"/>
  <c r="B114" i="69"/>
  <c r="C113" i="69"/>
  <c r="B113" i="69"/>
  <c r="C112" i="69"/>
  <c r="B112" i="69"/>
  <c r="C111" i="69"/>
  <c r="B111" i="69"/>
  <c r="C110" i="69"/>
  <c r="B110" i="69"/>
  <c r="C109" i="69"/>
  <c r="B109" i="69"/>
  <c r="C108" i="69"/>
  <c r="B108" i="69"/>
  <c r="C107" i="69"/>
  <c r="B107" i="69"/>
  <c r="C106" i="69"/>
  <c r="B106" i="69"/>
  <c r="C105" i="69"/>
  <c r="B105" i="69"/>
  <c r="C104" i="69"/>
  <c r="B104" i="69"/>
  <c r="C103" i="69"/>
  <c r="B103" i="69"/>
  <c r="C102" i="69"/>
  <c r="B102" i="69"/>
  <c r="C101" i="69"/>
  <c r="B101" i="69"/>
  <c r="C100" i="69"/>
  <c r="B100" i="69"/>
  <c r="C99" i="69"/>
  <c r="B99" i="69"/>
  <c r="C98" i="69"/>
  <c r="B98" i="69"/>
  <c r="C97" i="69"/>
  <c r="B97" i="69"/>
  <c r="C96" i="69"/>
  <c r="B96" i="69"/>
  <c r="C95" i="69"/>
  <c r="B95" i="69"/>
  <c r="C94" i="69"/>
  <c r="B94" i="69"/>
  <c r="C93" i="69"/>
  <c r="B93" i="69"/>
  <c r="C92" i="69"/>
  <c r="B92" i="69"/>
  <c r="C91" i="69"/>
  <c r="B91" i="69"/>
  <c r="C90" i="69"/>
  <c r="B90" i="69"/>
  <c r="C89" i="69"/>
  <c r="B89" i="69"/>
  <c r="C88" i="69"/>
  <c r="B88" i="69"/>
  <c r="C87" i="69"/>
  <c r="B87" i="69"/>
  <c r="C86" i="69"/>
  <c r="B86" i="69"/>
  <c r="C85" i="69"/>
  <c r="B85" i="69"/>
  <c r="C84" i="69"/>
  <c r="B84" i="69"/>
  <c r="C83" i="69"/>
  <c r="B83" i="69"/>
  <c r="C82" i="69"/>
  <c r="B82" i="69"/>
  <c r="C81" i="69"/>
  <c r="B81" i="69"/>
  <c r="C80" i="69"/>
  <c r="B80" i="69"/>
  <c r="C79" i="69"/>
  <c r="B79" i="69"/>
  <c r="C78" i="69"/>
  <c r="B78" i="69"/>
  <c r="C77" i="69"/>
  <c r="B77" i="69"/>
  <c r="C76" i="69"/>
  <c r="B76" i="69"/>
  <c r="C75" i="69"/>
  <c r="B75" i="69"/>
  <c r="C74" i="69"/>
  <c r="B74" i="69"/>
  <c r="C73" i="69"/>
  <c r="B73" i="69"/>
  <c r="C72" i="69"/>
  <c r="B72" i="69"/>
  <c r="C71" i="69"/>
  <c r="B71" i="69"/>
  <c r="C70" i="69"/>
  <c r="B70" i="69"/>
  <c r="C69" i="69"/>
  <c r="B69" i="69"/>
  <c r="C68" i="69"/>
  <c r="B68" i="69"/>
  <c r="C67" i="69"/>
  <c r="B67" i="69"/>
  <c r="C66" i="69"/>
  <c r="B66" i="69"/>
  <c r="C65" i="69"/>
  <c r="B65" i="69"/>
  <c r="C64" i="69"/>
  <c r="B64" i="69"/>
  <c r="C63" i="69"/>
  <c r="B63" i="69"/>
  <c r="C62" i="69"/>
  <c r="B62" i="69"/>
  <c r="C61" i="69"/>
  <c r="B61" i="69"/>
  <c r="C60" i="69"/>
  <c r="B60" i="69"/>
  <c r="C59" i="69"/>
  <c r="B59" i="69"/>
  <c r="C58" i="69"/>
  <c r="B58" i="69"/>
  <c r="C57" i="69"/>
  <c r="B57" i="69"/>
  <c r="C56" i="69"/>
  <c r="B56" i="69"/>
  <c r="C55" i="69"/>
  <c r="B55" i="69"/>
  <c r="C54" i="69"/>
  <c r="B54" i="69"/>
  <c r="C53" i="69"/>
  <c r="B53" i="69"/>
  <c r="C52" i="69"/>
  <c r="B52" i="69"/>
  <c r="C51" i="69"/>
  <c r="B51" i="69"/>
  <c r="C50" i="69"/>
  <c r="B50" i="69"/>
  <c r="C49" i="69"/>
  <c r="B49" i="69"/>
  <c r="C48" i="69"/>
  <c r="B48" i="69"/>
  <c r="C47" i="69"/>
  <c r="B47" i="69"/>
  <c r="C46" i="69"/>
  <c r="B46" i="69"/>
  <c r="C45" i="69"/>
  <c r="B45" i="69"/>
  <c r="C44" i="69"/>
  <c r="B44" i="69"/>
  <c r="C43" i="69"/>
  <c r="B43" i="69"/>
  <c r="C42" i="69"/>
  <c r="B42" i="69"/>
  <c r="C41" i="69"/>
  <c r="B41" i="69"/>
  <c r="C40" i="69"/>
  <c r="B40" i="69"/>
  <c r="C39" i="69"/>
  <c r="B39" i="69"/>
  <c r="C38" i="69"/>
  <c r="B38" i="69"/>
  <c r="C37" i="69"/>
  <c r="B37" i="69"/>
  <c r="C36" i="69"/>
  <c r="B36" i="69"/>
  <c r="C35" i="69"/>
  <c r="B35" i="69"/>
  <c r="C34" i="69"/>
  <c r="B34" i="69"/>
  <c r="C33" i="69"/>
  <c r="B33" i="69"/>
  <c r="C32" i="69"/>
  <c r="B32" i="69"/>
  <c r="C31" i="69"/>
  <c r="B31" i="69"/>
  <c r="C30" i="69"/>
  <c r="B30" i="69"/>
  <c r="C29" i="69"/>
  <c r="B29" i="69"/>
  <c r="D15" i="69"/>
  <c r="D12" i="69"/>
  <c r="D11" i="69"/>
  <c r="D10" i="69"/>
  <c r="D8" i="69"/>
  <c r="D5" i="69"/>
  <c r="D4" i="69"/>
  <c r="D2" i="69"/>
  <c r="C100" i="68"/>
  <c r="B100" i="68"/>
  <c r="C99" i="68"/>
  <c r="B99" i="68"/>
  <c r="C98" i="68"/>
  <c r="B98" i="68"/>
  <c r="C97" i="68"/>
  <c r="B97" i="68"/>
  <c r="C96" i="68"/>
  <c r="B96" i="68"/>
  <c r="C95" i="68"/>
  <c r="B95" i="68"/>
  <c r="C94" i="68"/>
  <c r="B94" i="68"/>
  <c r="C93" i="68"/>
  <c r="B93" i="68"/>
  <c r="C92" i="68"/>
  <c r="B92" i="68"/>
  <c r="C91" i="68"/>
  <c r="B91" i="68"/>
  <c r="C90" i="68"/>
  <c r="B90" i="68"/>
  <c r="C89" i="68"/>
  <c r="B89" i="68"/>
  <c r="C88" i="68"/>
  <c r="B88" i="68"/>
  <c r="C87" i="68"/>
  <c r="B87" i="68"/>
  <c r="C86" i="68"/>
  <c r="B86" i="68"/>
  <c r="C85" i="68"/>
  <c r="B85" i="68"/>
  <c r="C84" i="68"/>
  <c r="B84" i="68"/>
  <c r="C83" i="68"/>
  <c r="B83" i="68"/>
  <c r="C82" i="68"/>
  <c r="B82" i="68"/>
  <c r="C81" i="68"/>
  <c r="B81" i="68"/>
  <c r="C80" i="68"/>
  <c r="B80" i="68"/>
  <c r="C79" i="68"/>
  <c r="B79" i="68"/>
  <c r="C78" i="68"/>
  <c r="B78" i="68"/>
  <c r="C77" i="68"/>
  <c r="B77" i="68"/>
  <c r="C76" i="68"/>
  <c r="B76" i="68"/>
  <c r="C75" i="68"/>
  <c r="B75" i="68"/>
  <c r="C74" i="68"/>
  <c r="B74" i="68"/>
  <c r="C73" i="68"/>
  <c r="B73" i="68"/>
  <c r="C72" i="68"/>
  <c r="B72" i="68"/>
  <c r="C71" i="68"/>
  <c r="B71" i="68"/>
  <c r="C70" i="68"/>
  <c r="B70" i="68"/>
  <c r="C69" i="68"/>
  <c r="B69" i="68"/>
  <c r="C68" i="68"/>
  <c r="B68" i="68"/>
  <c r="C67" i="68"/>
  <c r="B67" i="68"/>
  <c r="C66" i="68"/>
  <c r="B66" i="68"/>
  <c r="C65" i="68"/>
  <c r="B65" i="68"/>
  <c r="C64" i="68"/>
  <c r="B64" i="68"/>
  <c r="C63" i="68"/>
  <c r="B63" i="68"/>
  <c r="C62" i="68"/>
  <c r="B62" i="68"/>
  <c r="C61" i="68"/>
  <c r="B61" i="68"/>
  <c r="W60" i="68"/>
  <c r="U60" i="68"/>
  <c r="T60" i="68"/>
  <c r="S60" i="68"/>
  <c r="C60" i="68"/>
  <c r="B60" i="68"/>
  <c r="W59" i="68"/>
  <c r="U59" i="68"/>
  <c r="T59" i="68"/>
  <c r="S59" i="68"/>
  <c r="C59" i="68"/>
  <c r="B59" i="68"/>
  <c r="W58" i="68"/>
  <c r="U58" i="68"/>
  <c r="T58" i="68"/>
  <c r="S58" i="68"/>
  <c r="C58" i="68"/>
  <c r="B58" i="68"/>
  <c r="W57" i="68"/>
  <c r="U57" i="68"/>
  <c r="T57" i="68"/>
  <c r="S57" i="68"/>
  <c r="C57" i="68"/>
  <c r="B57" i="68"/>
  <c r="W56" i="68"/>
  <c r="U56" i="68"/>
  <c r="T56" i="68"/>
  <c r="S56" i="68"/>
  <c r="C56" i="68"/>
  <c r="B56" i="68"/>
  <c r="W55" i="68"/>
  <c r="U55" i="68"/>
  <c r="T55" i="68"/>
  <c r="S55" i="68"/>
  <c r="C55" i="68"/>
  <c r="B55" i="68"/>
  <c r="W54" i="68"/>
  <c r="U54" i="68"/>
  <c r="T54" i="68"/>
  <c r="S54" i="68"/>
  <c r="C54" i="68"/>
  <c r="B54" i="68"/>
  <c r="W53" i="68"/>
  <c r="U53" i="68"/>
  <c r="T53" i="68"/>
  <c r="S53" i="68"/>
  <c r="C53" i="68"/>
  <c r="B53" i="68"/>
  <c r="W52" i="68"/>
  <c r="U52" i="68"/>
  <c r="T52" i="68"/>
  <c r="S52" i="68"/>
  <c r="C52" i="68"/>
  <c r="B52" i="68"/>
  <c r="W51" i="68"/>
  <c r="U51" i="68"/>
  <c r="T51" i="68"/>
  <c r="S51" i="68"/>
  <c r="C51" i="68"/>
  <c r="B51" i="68"/>
  <c r="W50" i="68"/>
  <c r="U50" i="68"/>
  <c r="T50" i="68"/>
  <c r="S50" i="68"/>
  <c r="C50" i="68"/>
  <c r="B50" i="68"/>
  <c r="W49" i="68"/>
  <c r="U49" i="68"/>
  <c r="T49" i="68"/>
  <c r="S49" i="68"/>
  <c r="C49" i="68"/>
  <c r="B49" i="68"/>
  <c r="W48" i="68"/>
  <c r="U48" i="68"/>
  <c r="T48" i="68"/>
  <c r="S48" i="68"/>
  <c r="C48" i="68"/>
  <c r="B48" i="68"/>
  <c r="W47" i="68"/>
  <c r="U47" i="68"/>
  <c r="T47" i="68"/>
  <c r="S47" i="68"/>
  <c r="C47" i="68"/>
  <c r="B47" i="68"/>
  <c r="W46" i="68"/>
  <c r="U46" i="68"/>
  <c r="T46" i="68"/>
  <c r="S46" i="68"/>
  <c r="C46" i="68"/>
  <c r="B46" i="68"/>
  <c r="U45" i="68"/>
  <c r="D278" i="69" s="1" a="1"/>
  <c r="D278" i="69" s="1"/>
  <c r="T45" i="68"/>
  <c r="D277" i="69" s="1" a="1"/>
  <c r="D277" i="69" s="1"/>
  <c r="S45" i="68"/>
  <c r="D276" i="69" s="1" a="1"/>
  <c r="D276" i="69" s="1"/>
  <c r="M45" i="68"/>
  <c r="L45" i="68"/>
  <c r="N45" i="68" s="1"/>
  <c r="C45" i="68"/>
  <c r="B45" i="68"/>
  <c r="U44" i="68"/>
  <c r="D271" i="69" s="1" a="1"/>
  <c r="D271" i="69" s="1"/>
  <c r="T44" i="68"/>
  <c r="S44" i="68"/>
  <c r="D269" i="69" s="1" a="1"/>
  <c r="D269" i="69" s="1"/>
  <c r="M44" i="68"/>
  <c r="L44" i="68"/>
  <c r="N44" i="68" s="1"/>
  <c r="C44" i="68"/>
  <c r="B44" i="68"/>
  <c r="U43" i="68"/>
  <c r="D264" i="69" s="1" a="1"/>
  <c r="D264" i="69" s="1"/>
  <c r="T43" i="68"/>
  <c r="S43" i="68"/>
  <c r="D262" i="69" s="1" a="1"/>
  <c r="D262" i="69" s="1"/>
  <c r="M43" i="68"/>
  <c r="L43" i="68"/>
  <c r="N43" i="68" s="1"/>
  <c r="C43" i="68"/>
  <c r="B43" i="68"/>
  <c r="V42" i="68"/>
  <c r="D258" i="69" s="1" a="1"/>
  <c r="D258" i="69" s="1"/>
  <c r="U42" i="68"/>
  <c r="D257" i="69" s="1" a="1"/>
  <c r="D257" i="69" s="1"/>
  <c r="T42" i="68"/>
  <c r="D256" i="69" s="1" a="1"/>
  <c r="D256" i="69" s="1"/>
  <c r="S42" i="68"/>
  <c r="M42" i="68"/>
  <c r="N42" i="68" s="1"/>
  <c r="L42" i="68"/>
  <c r="C42" i="68"/>
  <c r="B42" i="68"/>
  <c r="V41" i="68"/>
  <c r="D251" i="69" s="1" a="1"/>
  <c r="D251" i="69" s="1"/>
  <c r="U41" i="68"/>
  <c r="D250" i="69" s="1" a="1"/>
  <c r="D250" i="69" s="1"/>
  <c r="T41" i="68"/>
  <c r="D249" i="69" s="1" a="1"/>
  <c r="D249" i="69" s="1"/>
  <c r="S41" i="68"/>
  <c r="N41" i="68"/>
  <c r="R41" i="68" s="1"/>
  <c r="D247" i="69" s="1" a="1"/>
  <c r="D247" i="69" s="1"/>
  <c r="M41" i="68"/>
  <c r="L41" i="68"/>
  <c r="B41" i="68"/>
  <c r="V40" i="68"/>
  <c r="D244" i="69" s="1" a="1"/>
  <c r="D244" i="69" s="1"/>
  <c r="U40" i="68"/>
  <c r="D243" i="69" s="1" a="1"/>
  <c r="D243" i="69" s="1"/>
  <c r="T40" i="68"/>
  <c r="D242" i="69" s="1" a="1"/>
  <c r="D242" i="69" s="1"/>
  <c r="S40" i="68"/>
  <c r="N40" i="68"/>
  <c r="M40" i="68"/>
  <c r="L40" i="68"/>
  <c r="V39" i="68"/>
  <c r="D237" i="69" s="1" a="1"/>
  <c r="D237" i="69" s="1"/>
  <c r="U39" i="68"/>
  <c r="D236" i="69" s="1" a="1"/>
  <c r="D236" i="69" s="1"/>
  <c r="T39" i="68"/>
  <c r="D235" i="69" s="1" a="1"/>
  <c r="D235" i="69" s="1"/>
  <c r="S39" i="68"/>
  <c r="D234" i="69" s="1" a="1"/>
  <c r="D234" i="69" s="1"/>
  <c r="M39" i="68"/>
  <c r="N39" i="68" s="1"/>
  <c r="L39" i="68"/>
  <c r="V38" i="68"/>
  <c r="D230" i="69" s="1" a="1"/>
  <c r="D230" i="69" s="1"/>
  <c r="U38" i="68"/>
  <c r="D229" i="69" s="1" a="1"/>
  <c r="D229" i="69" s="1"/>
  <c r="T38" i="68"/>
  <c r="D228" i="69" s="1" a="1"/>
  <c r="D228" i="69" s="1"/>
  <c r="S38" i="68"/>
  <c r="D227" i="69" s="1" a="1"/>
  <c r="D227" i="69" s="1"/>
  <c r="M38" i="68"/>
  <c r="L38" i="68"/>
  <c r="N38" i="68" s="1"/>
  <c r="B38" i="68"/>
  <c r="V37" i="68"/>
  <c r="D223" i="69" s="1" a="1"/>
  <c r="D223" i="69" s="1"/>
  <c r="U37" i="68"/>
  <c r="D222" i="69" s="1" a="1"/>
  <c r="D222" i="69" s="1"/>
  <c r="T37" i="68"/>
  <c r="D221" i="69" s="1" a="1"/>
  <c r="D221" i="69" s="1"/>
  <c r="S37" i="68"/>
  <c r="D220" i="69" s="1" a="1"/>
  <c r="D220" i="69" s="1"/>
  <c r="M37" i="68"/>
  <c r="L37" i="68"/>
  <c r="N37" i="68" s="1"/>
  <c r="B37" i="68"/>
  <c r="V36" i="68"/>
  <c r="D216" i="69" s="1" a="1"/>
  <c r="D216" i="69" s="1"/>
  <c r="U36" i="68"/>
  <c r="D215" i="69" s="1" a="1"/>
  <c r="D215" i="69" s="1"/>
  <c r="T36" i="68"/>
  <c r="D214" i="69" s="1" a="1"/>
  <c r="D214" i="69" s="1"/>
  <c r="S36" i="68"/>
  <c r="D213" i="69" s="1" a="1"/>
  <c r="D213" i="69" s="1"/>
  <c r="M36" i="68"/>
  <c r="L36" i="68"/>
  <c r="N36" i="68" s="1"/>
  <c r="B36" i="68"/>
  <c r="V35" i="68"/>
  <c r="D209" i="69" s="1" a="1"/>
  <c r="D209" i="69" s="1"/>
  <c r="U35" i="68"/>
  <c r="D208" i="69" s="1" a="1"/>
  <c r="D208" i="69" s="1"/>
  <c r="T35" i="68"/>
  <c r="D207" i="69" s="1" a="1"/>
  <c r="D207" i="69" s="1"/>
  <c r="S35" i="68"/>
  <c r="D206" i="69" s="1" a="1"/>
  <c r="D206" i="69" s="1"/>
  <c r="M35" i="68"/>
  <c r="L35" i="68"/>
  <c r="N35" i="68" s="1"/>
  <c r="B35" i="68"/>
  <c r="V34" i="68"/>
  <c r="D202" i="69" s="1" a="1"/>
  <c r="D202" i="69" s="1"/>
  <c r="U34" i="68"/>
  <c r="D201" i="69" s="1" a="1"/>
  <c r="D201" i="69" s="1"/>
  <c r="T34" i="68"/>
  <c r="D200" i="69" s="1" a="1"/>
  <c r="D200" i="69" s="1"/>
  <c r="S34" i="68"/>
  <c r="D199" i="69" s="1" a="1"/>
  <c r="D199" i="69" s="1"/>
  <c r="M34" i="68"/>
  <c r="L34" i="68"/>
  <c r="N34" i="68" s="1"/>
  <c r="B34" i="68"/>
  <c r="V33" i="68"/>
  <c r="D195" i="69" s="1" a="1"/>
  <c r="D195" i="69" s="1"/>
  <c r="U33" i="68"/>
  <c r="D194" i="69" s="1" a="1"/>
  <c r="D194" i="69" s="1"/>
  <c r="T33" i="68"/>
  <c r="D193" i="69" s="1" a="1"/>
  <c r="D193" i="69" s="1"/>
  <c r="S33" i="68"/>
  <c r="D192" i="69" s="1" a="1"/>
  <c r="D192" i="69" s="1"/>
  <c r="M33" i="68"/>
  <c r="L33" i="68"/>
  <c r="N33" i="68" s="1"/>
  <c r="B33" i="68"/>
  <c r="V32" i="68"/>
  <c r="D188" i="69" s="1" a="1"/>
  <c r="D188" i="69" s="1"/>
  <c r="U32" i="68"/>
  <c r="D187" i="69" s="1" a="1"/>
  <c r="D187" i="69" s="1"/>
  <c r="T32" i="68"/>
  <c r="D186" i="69" s="1" a="1"/>
  <c r="D186" i="69" s="1"/>
  <c r="S32" i="68"/>
  <c r="D185" i="69" s="1" a="1"/>
  <c r="D185" i="69" s="1"/>
  <c r="Q32" i="68"/>
  <c r="N32" i="68"/>
  <c r="R32" i="68" s="1"/>
  <c r="D184" i="69" s="1" a="1"/>
  <c r="D184" i="69" s="1"/>
  <c r="M32" i="68"/>
  <c r="L32" i="68"/>
  <c r="B32" i="68"/>
  <c r="V31" i="68"/>
  <c r="D181" i="69" s="1" a="1"/>
  <c r="D181" i="69" s="1"/>
  <c r="U31" i="68"/>
  <c r="D180" i="69" s="1" a="1"/>
  <c r="D180" i="69" s="1"/>
  <c r="T31" i="68"/>
  <c r="D179" i="69" s="1" a="1"/>
  <c r="D179" i="69" s="1"/>
  <c r="S31" i="68"/>
  <c r="D178" i="69" s="1" a="1"/>
  <c r="D178" i="69" s="1"/>
  <c r="M31" i="68"/>
  <c r="L31" i="68"/>
  <c r="N31" i="68" s="1"/>
  <c r="B31" i="68"/>
  <c r="M30" i="68"/>
  <c r="I30" i="68"/>
  <c r="E30" i="68"/>
  <c r="C30" i="68"/>
  <c r="B30" i="68"/>
  <c r="M29" i="68"/>
  <c r="I29" i="68"/>
  <c r="E29" i="68"/>
  <c r="C29" i="68"/>
  <c r="B29" i="68"/>
  <c r="M28" i="68"/>
  <c r="I28" i="68"/>
  <c r="E28" i="68"/>
  <c r="C28" i="68"/>
  <c r="B28" i="68"/>
  <c r="T27" i="68"/>
  <c r="D151" i="69" s="1" a="1"/>
  <c r="D151" i="69" s="1"/>
  <c r="S27" i="68"/>
  <c r="D150" i="69" s="1" a="1"/>
  <c r="D150" i="69" s="1"/>
  <c r="M27" i="68"/>
  <c r="L27" i="68"/>
  <c r="E27" i="68"/>
  <c r="C27" i="68"/>
  <c r="B27" i="68"/>
  <c r="V26" i="68"/>
  <c r="D146" i="69" s="1" a="1"/>
  <c r="D146" i="69" s="1"/>
  <c r="T26" i="68"/>
  <c r="D144" i="69" s="1" a="1"/>
  <c r="D144" i="69" s="1"/>
  <c r="S26" i="68"/>
  <c r="D143" i="69" s="1" a="1"/>
  <c r="D143" i="69" s="1"/>
  <c r="M26" i="68"/>
  <c r="L26" i="68"/>
  <c r="N26" i="68" s="1"/>
  <c r="E26" i="68"/>
  <c r="D26" i="68"/>
  <c r="C26" i="68"/>
  <c r="B26" i="68"/>
  <c r="V25" i="68"/>
  <c r="T25" i="68"/>
  <c r="D137" i="69" s="1" a="1"/>
  <c r="D137" i="69" s="1"/>
  <c r="S25" i="68"/>
  <c r="D136" i="69" s="1" a="1"/>
  <c r="D136" i="69" s="1"/>
  <c r="M25" i="68"/>
  <c r="E25" i="68"/>
  <c r="D25" i="68"/>
  <c r="C25" i="68"/>
  <c r="B25" i="68"/>
  <c r="T24" i="68"/>
  <c r="D130" i="69" s="1" a="1"/>
  <c r="D130" i="69" s="1"/>
  <c r="S24" i="68"/>
  <c r="D129" i="69" s="1" a="1"/>
  <c r="D129" i="69" s="1"/>
  <c r="M24" i="68"/>
  <c r="N24" i="68" s="1"/>
  <c r="L24" i="68"/>
  <c r="E24" i="68"/>
  <c r="D24" i="68"/>
  <c r="C24" i="68"/>
  <c r="B24" i="68"/>
  <c r="M23" i="68"/>
  <c r="L23" i="68"/>
  <c r="E23" i="68"/>
  <c r="C23" i="68"/>
  <c r="B23" i="68"/>
  <c r="M22" i="68"/>
  <c r="L22" i="68"/>
  <c r="E22" i="68"/>
  <c r="C22" i="68"/>
  <c r="B22" i="68"/>
  <c r="M21" i="68"/>
  <c r="L21" i="68"/>
  <c r="E21" i="68"/>
  <c r="C21" i="68"/>
  <c r="B21" i="68"/>
  <c r="T20" i="68"/>
  <c r="S20" i="68"/>
  <c r="M20" i="68"/>
  <c r="I20" i="68"/>
  <c r="E20" i="68"/>
  <c r="D20" i="68"/>
  <c r="C20" i="68"/>
  <c r="B20" i="68"/>
  <c r="M19" i="68"/>
  <c r="I19" i="68"/>
  <c r="E19" i="68"/>
  <c r="C19" i="68"/>
  <c r="B19" i="68"/>
  <c r="V18" i="68"/>
  <c r="T18" i="68"/>
  <c r="S18" i="68"/>
  <c r="M18" i="68"/>
  <c r="I18" i="68"/>
  <c r="E18" i="68"/>
  <c r="D18" i="68"/>
  <c r="C18" i="68"/>
  <c r="B18" i="68"/>
  <c r="V17" i="68"/>
  <c r="T17" i="68"/>
  <c r="S17" i="68"/>
  <c r="M17" i="68"/>
  <c r="L17" i="68"/>
  <c r="N17" i="68" s="1"/>
  <c r="I17" i="68"/>
  <c r="E17" i="68"/>
  <c r="D17" i="68"/>
  <c r="C17" i="68"/>
  <c r="B17" i="68"/>
  <c r="V16" i="68"/>
  <c r="T16" i="68"/>
  <c r="S16" i="68"/>
  <c r="M16" i="68"/>
  <c r="L16" i="68"/>
  <c r="N16" i="68" s="1"/>
  <c r="I16" i="68"/>
  <c r="E16" i="68"/>
  <c r="D16" i="68"/>
  <c r="C16" i="68"/>
  <c r="B16" i="68"/>
  <c r="V15" i="68"/>
  <c r="T15" i="68"/>
  <c r="S15" i="68"/>
  <c r="M15" i="68"/>
  <c r="I15" i="68"/>
  <c r="E15" i="68"/>
  <c r="D15" i="68"/>
  <c r="C15" i="68"/>
  <c r="B15" i="68"/>
  <c r="V14" i="68"/>
  <c r="T14" i="68"/>
  <c r="S14" i="68"/>
  <c r="M14" i="68"/>
  <c r="L14" i="68"/>
  <c r="N14" i="68" s="1"/>
  <c r="I14" i="68"/>
  <c r="E14" i="68"/>
  <c r="D14" i="68"/>
  <c r="C14" i="68"/>
  <c r="B14" i="68"/>
  <c r="V13" i="68"/>
  <c r="T13" i="68"/>
  <c r="S13" i="68"/>
  <c r="M13" i="68"/>
  <c r="L13" i="68"/>
  <c r="N13" i="68" s="1"/>
  <c r="I13" i="68"/>
  <c r="E13" i="68"/>
  <c r="D13" i="68"/>
  <c r="C13" i="68"/>
  <c r="B13" i="68"/>
  <c r="V12" i="68"/>
  <c r="T12" i="68"/>
  <c r="S12" i="68"/>
  <c r="M12" i="68"/>
  <c r="I12" i="68"/>
  <c r="E12" i="68"/>
  <c r="D12" i="68"/>
  <c r="C12" i="68"/>
  <c r="B12" i="68"/>
  <c r="V11" i="68"/>
  <c r="M11" i="68"/>
  <c r="I11" i="68"/>
  <c r="E11" i="68"/>
  <c r="C11" i="68"/>
  <c r="B11" i="68"/>
  <c r="V10" i="68"/>
  <c r="M10" i="68"/>
  <c r="I10" i="68"/>
  <c r="F10" i="68"/>
  <c r="E10" i="68"/>
  <c r="C10" i="68"/>
  <c r="B10" i="68"/>
  <c r="C9" i="68"/>
  <c r="B9" i="68"/>
  <c r="F6" i="68"/>
  <c r="E6" i="68"/>
  <c r="D24" i="69" s="1"/>
  <c r="D30" i="67" a="1"/>
  <c r="D30" i="67" s="1"/>
  <c r="D31" i="67" a="1"/>
  <c r="D31" i="67" s="1"/>
  <c r="D32" i="67" a="1"/>
  <c r="D32" i="67" s="1"/>
  <c r="D33" i="67" a="1"/>
  <c r="D33" i="67" s="1"/>
  <c r="D34" i="67" a="1"/>
  <c r="D34" i="67" s="1"/>
  <c r="D35" i="67" a="1"/>
  <c r="D35" i="67" s="1"/>
  <c r="D36" i="67" a="1"/>
  <c r="D36" i="67" s="1"/>
  <c r="D37" i="67" a="1"/>
  <c r="D37" i="67" s="1"/>
  <c r="D38" i="67" a="1"/>
  <c r="D38" i="67" s="1"/>
  <c r="D39" i="67" a="1"/>
  <c r="D39" i="67" s="1"/>
  <c r="D40" i="67" a="1"/>
  <c r="D40" i="67" s="1"/>
  <c r="D41" i="67" a="1"/>
  <c r="D41" i="67" s="1"/>
  <c r="D42" i="67" a="1"/>
  <c r="D42" i="67" s="1"/>
  <c r="D43" i="67" a="1"/>
  <c r="D43" i="67" s="1"/>
  <c r="D44" i="67" a="1"/>
  <c r="D44" i="67" s="1"/>
  <c r="D45" i="67" a="1"/>
  <c r="D45" i="67" s="1"/>
  <c r="D46" i="67" a="1"/>
  <c r="D46" i="67" s="1"/>
  <c r="D47" i="67" a="1"/>
  <c r="D47" i="67" s="1"/>
  <c r="D48" i="67" a="1"/>
  <c r="D48" i="67" s="1"/>
  <c r="D49" i="67" a="1"/>
  <c r="D49" i="67" s="1"/>
  <c r="D50" i="67" a="1"/>
  <c r="D50" i="67" s="1"/>
  <c r="D51" i="67" a="1"/>
  <c r="D51" i="67" s="1"/>
  <c r="D52" i="67" a="1"/>
  <c r="D52" i="67" s="1"/>
  <c r="D53" i="67" a="1"/>
  <c r="D53" i="67" s="1"/>
  <c r="D54" i="67" a="1"/>
  <c r="D54" i="67" s="1"/>
  <c r="D55" i="67" a="1"/>
  <c r="D55" i="67" s="1"/>
  <c r="D56" i="67" a="1"/>
  <c r="D56" i="67" s="1"/>
  <c r="D57" i="67" a="1"/>
  <c r="D57" i="67" s="1"/>
  <c r="D58" i="67" a="1"/>
  <c r="D58" i="67" s="1"/>
  <c r="D59" i="67" a="1"/>
  <c r="D59" i="67" s="1"/>
  <c r="D60" i="67" a="1"/>
  <c r="D60" i="67" s="1"/>
  <c r="D61" i="67" a="1"/>
  <c r="D61" i="67" s="1"/>
  <c r="D62" i="67" a="1"/>
  <c r="D62" i="67" s="1"/>
  <c r="D63" i="67" a="1"/>
  <c r="D63" i="67" s="1"/>
  <c r="D64" i="67" a="1"/>
  <c r="D64" i="67" s="1"/>
  <c r="D65" i="67" a="1"/>
  <c r="D65" i="67" s="1"/>
  <c r="D66" i="67" a="1"/>
  <c r="D66" i="67" s="1"/>
  <c r="D67" i="67" a="1"/>
  <c r="D67" i="67" s="1"/>
  <c r="D68" i="67" a="1"/>
  <c r="D68" i="67" s="1"/>
  <c r="D69" i="67" a="1"/>
  <c r="D69" i="67" s="1"/>
  <c r="D70" i="67" a="1"/>
  <c r="D70" i="67" s="1"/>
  <c r="D71" i="67" a="1"/>
  <c r="D71" i="67" s="1"/>
  <c r="D72" i="67" a="1"/>
  <c r="D72" i="67" s="1"/>
  <c r="D73" i="67" a="1"/>
  <c r="D73" i="67" s="1"/>
  <c r="D74" i="67" a="1"/>
  <c r="D74" i="67" s="1"/>
  <c r="D75" i="67" a="1"/>
  <c r="D75" i="67" s="1"/>
  <c r="D76" i="67" a="1"/>
  <c r="D76" i="67" s="1"/>
  <c r="D77" i="67" a="1"/>
  <c r="D77" i="67" s="1"/>
  <c r="D78" i="67" a="1"/>
  <c r="D78" i="67" s="1"/>
  <c r="D79" i="67" a="1"/>
  <c r="D79" i="67" s="1"/>
  <c r="D80" i="67" a="1"/>
  <c r="D80" i="67" s="1"/>
  <c r="D81" i="67" a="1"/>
  <c r="D81" i="67" s="1"/>
  <c r="D82" i="67" a="1"/>
  <c r="D82" i="67" s="1"/>
  <c r="D83" i="67" a="1"/>
  <c r="D83" i="67" s="1"/>
  <c r="D84" i="67" a="1"/>
  <c r="D84" i="67" s="1"/>
  <c r="D85" i="67" a="1"/>
  <c r="D85" i="67" s="1"/>
  <c r="D86" i="67" a="1"/>
  <c r="D86" i="67" s="1"/>
  <c r="D87" i="67" a="1"/>
  <c r="D87" i="67" s="1"/>
  <c r="D88" i="67" a="1"/>
  <c r="D88" i="67" s="1"/>
  <c r="D89" i="67" a="1"/>
  <c r="D89" i="67" s="1"/>
  <c r="D90" i="67" a="1"/>
  <c r="D90" i="67" s="1"/>
  <c r="D91" i="67" a="1"/>
  <c r="D91" i="67" s="1"/>
  <c r="D92" i="67" a="1"/>
  <c r="D92" i="67" s="1"/>
  <c r="D93" i="67" a="1"/>
  <c r="D93" i="67" s="1"/>
  <c r="D94" i="67" a="1"/>
  <c r="D94" i="67" s="1"/>
  <c r="D95" i="67" a="1"/>
  <c r="D95" i="67" s="1"/>
  <c r="D96" i="67" a="1"/>
  <c r="D96" i="67" s="1"/>
  <c r="D97" i="67" a="1"/>
  <c r="D97" i="67" s="1"/>
  <c r="D98" i="67" a="1"/>
  <c r="D98" i="67" s="1"/>
  <c r="D99" i="67" a="1"/>
  <c r="D99" i="67" s="1"/>
  <c r="D100" i="67" a="1"/>
  <c r="D100" i="67" s="1"/>
  <c r="D101" i="67" a="1"/>
  <c r="D101" i="67" s="1"/>
  <c r="D102" i="67" a="1"/>
  <c r="D102" i="67" s="1"/>
  <c r="D103" i="67" a="1"/>
  <c r="D103" i="67" s="1"/>
  <c r="D104" i="67" a="1"/>
  <c r="D104" i="67" s="1"/>
  <c r="D105" i="67" a="1"/>
  <c r="D105" i="67" s="1"/>
  <c r="D139" i="67" a="1"/>
  <c r="D139" i="67" s="1"/>
  <c r="D146" i="67" a="1"/>
  <c r="D146" i="67" s="1"/>
  <c r="D186" i="67" a="1"/>
  <c r="D186" i="67" s="1"/>
  <c r="D194" i="67" a="1"/>
  <c r="D194" i="67" s="1"/>
  <c r="D201" i="67" a="1"/>
  <c r="D201" i="67" s="1"/>
  <c r="D202" i="67" a="1"/>
  <c r="D202" i="67" s="1"/>
  <c r="D209" i="67" a="1"/>
  <c r="D209" i="67" s="1"/>
  <c r="D234" i="67" a="1"/>
  <c r="D234" i="67" s="1"/>
  <c r="D242" i="67" a="1"/>
  <c r="D242" i="67" s="1"/>
  <c r="D250" i="67" a="1"/>
  <c r="D250" i="67" s="1"/>
  <c r="D257" i="67" a="1"/>
  <c r="D257" i="67" s="1"/>
  <c r="D262" i="67" a="1"/>
  <c r="D262" i="67" s="1"/>
  <c r="D265" i="67" a="1"/>
  <c r="D265" i="67" s="1"/>
  <c r="D272" i="67" a="1"/>
  <c r="D272" i="67" s="1"/>
  <c r="D274" i="67" a="1"/>
  <c r="D274" i="67" s="1"/>
  <c r="D275" i="67" a="1"/>
  <c r="D275" i="67" s="1"/>
  <c r="D278" i="67" a="1"/>
  <c r="D278" i="67" s="1"/>
  <c r="D279" i="67" a="1"/>
  <c r="D279" i="67" s="1"/>
  <c r="D281" i="67" a="1"/>
  <c r="D281" i="67" s="1"/>
  <c r="D282" i="67" a="1"/>
  <c r="D282" i="67" s="1"/>
  <c r="D283" i="67" a="1"/>
  <c r="D283" i="67" s="1"/>
  <c r="D284" i="67" a="1"/>
  <c r="D284" i="67" s="1"/>
  <c r="D285" i="67" a="1"/>
  <c r="D285" i="67" s="1"/>
  <c r="D286" i="67" a="1"/>
  <c r="D286" i="67" s="1"/>
  <c r="D287" i="67" a="1"/>
  <c r="D287" i="67" s="1"/>
  <c r="D288" i="67" a="1"/>
  <c r="D288" i="67" s="1"/>
  <c r="D289" i="67" a="1"/>
  <c r="D289" i="67" s="1"/>
  <c r="D290" i="67" a="1"/>
  <c r="D290" i="67" s="1"/>
  <c r="D291" i="67" a="1"/>
  <c r="D291" i="67" s="1"/>
  <c r="D292" i="67" a="1"/>
  <c r="D292" i="67" s="1"/>
  <c r="D293" i="67" a="1"/>
  <c r="D293" i="67" s="1"/>
  <c r="D294" i="67" a="1"/>
  <c r="D294" i="67" s="1"/>
  <c r="D295" i="67" a="1"/>
  <c r="D295" i="67" s="1"/>
  <c r="D296" i="67" a="1"/>
  <c r="D296" i="67" s="1"/>
  <c r="D297" i="67" a="1"/>
  <c r="D297" i="67" s="1"/>
  <c r="D298" i="67" a="1"/>
  <c r="D298" i="67" s="1"/>
  <c r="D299" i="67" a="1"/>
  <c r="D299" i="67" s="1"/>
  <c r="D300" i="67" a="1"/>
  <c r="D300" i="67" s="1"/>
  <c r="D301" i="67" a="1"/>
  <c r="D301" i="67" s="1"/>
  <c r="D302" i="67" a="1"/>
  <c r="D302" i="67" s="1"/>
  <c r="D303" i="67" a="1"/>
  <c r="D303" i="67" s="1"/>
  <c r="D304" i="67" a="1"/>
  <c r="D304" i="67" s="1"/>
  <c r="D305" i="67" a="1"/>
  <c r="D305" i="67" s="1"/>
  <c r="D306" i="67" a="1"/>
  <c r="D306" i="67" s="1"/>
  <c r="D307" i="67" a="1"/>
  <c r="D307" i="67" s="1"/>
  <c r="D308" i="67" a="1"/>
  <c r="D308" i="67" s="1"/>
  <c r="D309" i="67" a="1"/>
  <c r="D309" i="67" s="1"/>
  <c r="D310" i="67" a="1"/>
  <c r="D310" i="67" s="1"/>
  <c r="D311" i="67" a="1"/>
  <c r="D311" i="67" s="1"/>
  <c r="D312" i="67" a="1"/>
  <c r="D312" i="67" s="1"/>
  <c r="D313" i="67" a="1"/>
  <c r="D313" i="67" s="1"/>
  <c r="D314" i="67" a="1"/>
  <c r="D314" i="67" s="1"/>
  <c r="D315" i="67" a="1"/>
  <c r="D315" i="67" s="1"/>
  <c r="D316" i="67" a="1"/>
  <c r="D316" i="67" s="1"/>
  <c r="D317" i="67" a="1"/>
  <c r="D317" i="67" s="1"/>
  <c r="D318" i="67" a="1"/>
  <c r="D318" i="67" s="1"/>
  <c r="D319" i="67" a="1"/>
  <c r="D319" i="67" s="1"/>
  <c r="D320" i="67" a="1"/>
  <c r="D320" i="67" s="1"/>
  <c r="D321" i="67" a="1"/>
  <c r="D321" i="67" s="1"/>
  <c r="D322" i="67" a="1"/>
  <c r="D322" i="67" s="1"/>
  <c r="D323" i="67" a="1"/>
  <c r="D323" i="67" s="1"/>
  <c r="D324" i="67" a="1"/>
  <c r="D324" i="67" s="1"/>
  <c r="D325" i="67" a="1"/>
  <c r="D325" i="67" s="1"/>
  <c r="D326" i="67" a="1"/>
  <c r="D326" i="67" s="1"/>
  <c r="D327" i="67" a="1"/>
  <c r="D327" i="67" s="1"/>
  <c r="D328" i="67" a="1"/>
  <c r="D328" i="67" s="1"/>
  <c r="D329" i="67" a="1"/>
  <c r="D329" i="67" s="1"/>
  <c r="D330" i="67" a="1"/>
  <c r="D330" i="67" s="1"/>
  <c r="D331" i="67" a="1"/>
  <c r="D331" i="67" s="1"/>
  <c r="D332" i="67" a="1"/>
  <c r="D332" i="67" s="1"/>
  <c r="D333" i="67" a="1"/>
  <c r="D333" i="67" s="1"/>
  <c r="D334" i="67" a="1"/>
  <c r="D334" i="67" s="1"/>
  <c r="D335" i="67" a="1"/>
  <c r="D335" i="67" s="1"/>
  <c r="D336" i="67" a="1"/>
  <c r="D336" i="67" s="1"/>
  <c r="D337" i="67" a="1"/>
  <c r="D337" i="67" s="1"/>
  <c r="D338" i="67" a="1"/>
  <c r="D338" i="67" s="1"/>
  <c r="D339" i="67" a="1"/>
  <c r="D339" i="67" s="1"/>
  <c r="D340" i="67" a="1"/>
  <c r="D340" i="67" s="1"/>
  <c r="D341" i="67" a="1"/>
  <c r="D341" i="67" s="1"/>
  <c r="D342" i="67" a="1"/>
  <c r="D342" i="67" s="1"/>
  <c r="D343" i="67" a="1"/>
  <c r="D343" i="67" s="1"/>
  <c r="D344" i="67" a="1"/>
  <c r="D344" i="67" s="1"/>
  <c r="D345" i="67" a="1"/>
  <c r="D345" i="67" s="1"/>
  <c r="D346" i="67" a="1"/>
  <c r="D346" i="67" s="1"/>
  <c r="D347" i="67" a="1"/>
  <c r="D347" i="67" s="1"/>
  <c r="D348" i="67" a="1"/>
  <c r="D348" i="67" s="1"/>
  <c r="D349" i="67" a="1"/>
  <c r="D349" i="67" s="1"/>
  <c r="D350" i="67" a="1"/>
  <c r="D350" i="67" s="1"/>
  <c r="D351" i="67" a="1"/>
  <c r="D351" i="67" s="1"/>
  <c r="D352" i="67" a="1"/>
  <c r="D352" i="67" s="1"/>
  <c r="D353" i="67" a="1"/>
  <c r="D353" i="67" s="1"/>
  <c r="D354" i="67" a="1"/>
  <c r="D354" i="67" s="1"/>
  <c r="D355" i="67" a="1"/>
  <c r="D355" i="67" s="1"/>
  <c r="D356" i="67" a="1"/>
  <c r="D356" i="67" s="1"/>
  <c r="D357" i="67" a="1"/>
  <c r="D357" i="67" s="1"/>
  <c r="D358" i="67" a="1"/>
  <c r="D358" i="67" s="1"/>
  <c r="D359" i="67" a="1"/>
  <c r="D359" i="67" s="1"/>
  <c r="D360" i="67" a="1"/>
  <c r="D360" i="67" s="1"/>
  <c r="D361" i="67" a="1"/>
  <c r="D361" i="67" s="1"/>
  <c r="D362" i="67" a="1"/>
  <c r="D362" i="67" s="1"/>
  <c r="D363" i="67" a="1"/>
  <c r="D363" i="67" s="1"/>
  <c r="D364" i="67" a="1"/>
  <c r="D364" i="67" s="1"/>
  <c r="D365" i="67" a="1"/>
  <c r="D365" i="67" s="1"/>
  <c r="D366" i="67" a="1"/>
  <c r="D366" i="67" s="1"/>
  <c r="D367" i="67" a="1"/>
  <c r="D367" i="67" s="1"/>
  <c r="D368" i="67" a="1"/>
  <c r="D368" i="67" s="1"/>
  <c r="D369" i="67" a="1"/>
  <c r="D369" i="67" s="1"/>
  <c r="D370" i="67" a="1"/>
  <c r="D370" i="67" s="1"/>
  <c r="D371" i="67" a="1"/>
  <c r="D371" i="67" s="1"/>
  <c r="F11" i="66"/>
  <c r="F12" i="66"/>
  <c r="F13" i="66"/>
  <c r="F14" i="66"/>
  <c r="F15" i="66"/>
  <c r="F16" i="66"/>
  <c r="F17" i="66"/>
  <c r="F18" i="66"/>
  <c r="F19" i="66"/>
  <c r="F20" i="66"/>
  <c r="F21" i="66"/>
  <c r="F22" i="66"/>
  <c r="F23" i="66"/>
  <c r="F24" i="66"/>
  <c r="F25" i="66"/>
  <c r="F26" i="66"/>
  <c r="F27" i="66"/>
  <c r="F28" i="66"/>
  <c r="F29" i="66"/>
  <c r="F30" i="66"/>
  <c r="U34" i="66"/>
  <c r="F10" i="66"/>
  <c r="L10" i="66" s="1"/>
  <c r="N10" i="66" s="1"/>
  <c r="C100" i="66"/>
  <c r="B100" i="66"/>
  <c r="C99" i="66"/>
  <c r="B99" i="66"/>
  <c r="C98" i="66"/>
  <c r="B98" i="66"/>
  <c r="C97" i="66"/>
  <c r="B97" i="66"/>
  <c r="C96" i="66"/>
  <c r="B96" i="66"/>
  <c r="C95" i="66"/>
  <c r="B95" i="66"/>
  <c r="C94" i="66"/>
  <c r="B94" i="66"/>
  <c r="C93" i="66"/>
  <c r="B93" i="66"/>
  <c r="C92" i="66"/>
  <c r="B92" i="66"/>
  <c r="C91" i="66"/>
  <c r="B91" i="66"/>
  <c r="C90" i="66"/>
  <c r="B90" i="66"/>
  <c r="C89" i="66"/>
  <c r="B89" i="66"/>
  <c r="C88" i="66"/>
  <c r="B88" i="66"/>
  <c r="C87" i="66"/>
  <c r="B87" i="66"/>
  <c r="C86" i="66"/>
  <c r="B86" i="66"/>
  <c r="C85" i="66"/>
  <c r="B85" i="66"/>
  <c r="C84" i="66"/>
  <c r="B84" i="66"/>
  <c r="C83" i="66"/>
  <c r="B83" i="66"/>
  <c r="C82" i="66"/>
  <c r="B82" i="66"/>
  <c r="C81" i="66"/>
  <c r="B81" i="66"/>
  <c r="C80" i="66"/>
  <c r="B80" i="66"/>
  <c r="C79" i="66"/>
  <c r="B79" i="66"/>
  <c r="C78" i="66"/>
  <c r="B78" i="66"/>
  <c r="C77" i="66"/>
  <c r="B77" i="66"/>
  <c r="C76" i="66"/>
  <c r="B76" i="66"/>
  <c r="C75" i="66"/>
  <c r="B75" i="66"/>
  <c r="C74" i="66"/>
  <c r="B74" i="66"/>
  <c r="C73" i="66"/>
  <c r="B73" i="66"/>
  <c r="C72" i="66"/>
  <c r="B72" i="66"/>
  <c r="C71" i="66"/>
  <c r="B71" i="66"/>
  <c r="C70" i="66"/>
  <c r="B70" i="66"/>
  <c r="C69" i="66"/>
  <c r="B69" i="66"/>
  <c r="C68" i="66"/>
  <c r="B68" i="66"/>
  <c r="C67" i="66"/>
  <c r="B67" i="66"/>
  <c r="C66" i="66"/>
  <c r="B66" i="66"/>
  <c r="C65" i="66"/>
  <c r="B65" i="66"/>
  <c r="C64" i="66"/>
  <c r="B64" i="66"/>
  <c r="C63" i="66"/>
  <c r="B63" i="66"/>
  <c r="C62" i="66"/>
  <c r="B62" i="66"/>
  <c r="C61" i="66"/>
  <c r="B61" i="66"/>
  <c r="C60" i="66"/>
  <c r="B60" i="66"/>
  <c r="C59" i="66"/>
  <c r="B59" i="66"/>
  <c r="C58" i="66"/>
  <c r="B58" i="66"/>
  <c r="C57" i="66"/>
  <c r="B57" i="66"/>
  <c r="C56" i="66"/>
  <c r="B56" i="66"/>
  <c r="C55" i="66"/>
  <c r="B55" i="66"/>
  <c r="C54" i="66"/>
  <c r="B54" i="66"/>
  <c r="C53" i="66"/>
  <c r="B53" i="66"/>
  <c r="C52" i="66"/>
  <c r="B52" i="66"/>
  <c r="C51" i="66"/>
  <c r="B51" i="66"/>
  <c r="C50" i="66"/>
  <c r="B50" i="66"/>
  <c r="C49" i="66"/>
  <c r="B49" i="66"/>
  <c r="C48" i="66"/>
  <c r="B48" i="66"/>
  <c r="C47" i="66"/>
  <c r="B47" i="66"/>
  <c r="C46" i="66"/>
  <c r="B46" i="66"/>
  <c r="C45" i="66"/>
  <c r="B45" i="66"/>
  <c r="C44" i="66"/>
  <c r="B44" i="66"/>
  <c r="C43" i="66"/>
  <c r="B43" i="66"/>
  <c r="C42" i="66"/>
  <c r="B42" i="66"/>
  <c r="B41" i="66"/>
  <c r="B38" i="66"/>
  <c r="B37" i="66"/>
  <c r="B36" i="66"/>
  <c r="B35" i="66"/>
  <c r="B34" i="66"/>
  <c r="B33" i="66"/>
  <c r="B32" i="66"/>
  <c r="B31" i="66"/>
  <c r="I30" i="66"/>
  <c r="E30" i="66"/>
  <c r="D30" i="66"/>
  <c r="C30" i="66"/>
  <c r="B30" i="66"/>
  <c r="I29" i="66"/>
  <c r="E29" i="66"/>
  <c r="D29" i="66"/>
  <c r="C29" i="66"/>
  <c r="B29" i="66"/>
  <c r="I28" i="66"/>
  <c r="E28" i="66"/>
  <c r="D28" i="66"/>
  <c r="C28" i="66"/>
  <c r="B28" i="66"/>
  <c r="I27" i="66"/>
  <c r="E27" i="66"/>
  <c r="D27" i="66"/>
  <c r="C27" i="66"/>
  <c r="B27" i="66"/>
  <c r="I26" i="66"/>
  <c r="E26" i="66"/>
  <c r="D26" i="66"/>
  <c r="C26" i="66"/>
  <c r="B26" i="66"/>
  <c r="I25" i="66"/>
  <c r="E25" i="66"/>
  <c r="D25" i="66"/>
  <c r="C25" i="66"/>
  <c r="B25" i="66"/>
  <c r="I24" i="66"/>
  <c r="E24" i="66"/>
  <c r="D24" i="66"/>
  <c r="C24" i="66"/>
  <c r="B24" i="66"/>
  <c r="I23" i="66"/>
  <c r="E23" i="66"/>
  <c r="C23" i="66"/>
  <c r="B23" i="66"/>
  <c r="I22" i="66"/>
  <c r="E22" i="66"/>
  <c r="C22" i="66"/>
  <c r="B22" i="66"/>
  <c r="I21" i="66"/>
  <c r="E21" i="66"/>
  <c r="C21" i="66"/>
  <c r="B21" i="66"/>
  <c r="I20" i="66"/>
  <c r="E20" i="66"/>
  <c r="D20" i="66"/>
  <c r="C20" i="66"/>
  <c r="B20" i="66"/>
  <c r="I19" i="66"/>
  <c r="E19" i="66"/>
  <c r="D19" i="66"/>
  <c r="C19" i="66"/>
  <c r="B19" i="66"/>
  <c r="I18" i="66"/>
  <c r="E18" i="66"/>
  <c r="D18" i="66"/>
  <c r="C18" i="66"/>
  <c r="B18" i="66"/>
  <c r="I17" i="66"/>
  <c r="E17" i="66"/>
  <c r="D17" i="66"/>
  <c r="C17" i="66"/>
  <c r="B17" i="66"/>
  <c r="I16" i="66"/>
  <c r="E16" i="66"/>
  <c r="D16" i="66"/>
  <c r="C16" i="66"/>
  <c r="B16" i="66"/>
  <c r="I15" i="66"/>
  <c r="E15" i="66"/>
  <c r="D15" i="66"/>
  <c r="C15" i="66"/>
  <c r="B15" i="66"/>
  <c r="I14" i="66"/>
  <c r="E14" i="66"/>
  <c r="D14" i="66"/>
  <c r="C14" i="66"/>
  <c r="B14" i="66"/>
  <c r="I13" i="66"/>
  <c r="E13" i="66"/>
  <c r="D13" i="66"/>
  <c r="C13" i="66"/>
  <c r="B13" i="66"/>
  <c r="I12" i="66"/>
  <c r="E12" i="66"/>
  <c r="D12" i="66"/>
  <c r="C12" i="66"/>
  <c r="B12" i="66"/>
  <c r="I11" i="66"/>
  <c r="E11" i="66"/>
  <c r="C11" i="66"/>
  <c r="B11" i="66"/>
  <c r="I10" i="66"/>
  <c r="E10" i="66"/>
  <c r="C10" i="66"/>
  <c r="B10" i="66"/>
  <c r="C9" i="66"/>
  <c r="B9" i="66"/>
  <c r="F6" i="66"/>
  <c r="E6" i="66"/>
  <c r="C6" i="66" s="1"/>
  <c r="D25" i="67" s="1"/>
  <c r="C419" i="67"/>
  <c r="B419" i="67"/>
  <c r="C418" i="67"/>
  <c r="B418" i="67"/>
  <c r="C417" i="67"/>
  <c r="B417" i="67"/>
  <c r="C416" i="67"/>
  <c r="B416" i="67"/>
  <c r="C415" i="67"/>
  <c r="B415" i="67"/>
  <c r="C414" i="67"/>
  <c r="B414" i="67"/>
  <c r="C413" i="67"/>
  <c r="B413" i="67"/>
  <c r="C412" i="67"/>
  <c r="B412" i="67"/>
  <c r="C411" i="67"/>
  <c r="B411" i="67"/>
  <c r="C410" i="67"/>
  <c r="B410" i="67"/>
  <c r="C409" i="67"/>
  <c r="B409" i="67"/>
  <c r="C408" i="67"/>
  <c r="B408" i="67"/>
  <c r="C407" i="67"/>
  <c r="B407" i="67"/>
  <c r="C406" i="67"/>
  <c r="B406" i="67"/>
  <c r="C405" i="67"/>
  <c r="B405" i="67"/>
  <c r="C404" i="67"/>
  <c r="B404" i="67"/>
  <c r="C403" i="67"/>
  <c r="B403" i="67"/>
  <c r="C402" i="67"/>
  <c r="B402" i="67"/>
  <c r="C401" i="67"/>
  <c r="B401" i="67"/>
  <c r="C400" i="67"/>
  <c r="B400" i="67"/>
  <c r="C399" i="67"/>
  <c r="B399" i="67"/>
  <c r="C398" i="67"/>
  <c r="B398" i="67"/>
  <c r="C397" i="67"/>
  <c r="B397" i="67"/>
  <c r="C396" i="67"/>
  <c r="B396" i="67"/>
  <c r="C395" i="67"/>
  <c r="B395" i="67"/>
  <c r="C394" i="67"/>
  <c r="B394" i="67"/>
  <c r="C393" i="67"/>
  <c r="B393" i="67"/>
  <c r="C392" i="67"/>
  <c r="B392" i="67"/>
  <c r="C391" i="67"/>
  <c r="B391" i="67"/>
  <c r="C390" i="67"/>
  <c r="B390" i="67"/>
  <c r="C389" i="67"/>
  <c r="B389" i="67"/>
  <c r="C388" i="67"/>
  <c r="B388" i="67"/>
  <c r="C387" i="67"/>
  <c r="B387" i="67"/>
  <c r="C386" i="67"/>
  <c r="B386" i="67"/>
  <c r="C385" i="67"/>
  <c r="B385" i="67"/>
  <c r="C384" i="67"/>
  <c r="B384" i="67"/>
  <c r="C383" i="67"/>
  <c r="B383" i="67"/>
  <c r="C382" i="67"/>
  <c r="B382" i="67"/>
  <c r="C381" i="67"/>
  <c r="B381" i="67"/>
  <c r="C380" i="67"/>
  <c r="B380" i="67"/>
  <c r="C379" i="67"/>
  <c r="B379" i="67"/>
  <c r="C378" i="67"/>
  <c r="B378" i="67"/>
  <c r="C377" i="67"/>
  <c r="B377" i="67"/>
  <c r="C376" i="67"/>
  <c r="B376" i="67"/>
  <c r="C375" i="67"/>
  <c r="B375" i="67"/>
  <c r="C374" i="67"/>
  <c r="B374" i="67"/>
  <c r="C373" i="67"/>
  <c r="B373" i="67"/>
  <c r="C372" i="67"/>
  <c r="B372" i="67"/>
  <c r="C371" i="67"/>
  <c r="B371" i="67"/>
  <c r="C370" i="67"/>
  <c r="B370" i="67"/>
  <c r="C369" i="67"/>
  <c r="B369" i="67"/>
  <c r="C368" i="67"/>
  <c r="B368" i="67"/>
  <c r="C367" i="67"/>
  <c r="B367" i="67"/>
  <c r="C366" i="67"/>
  <c r="B366" i="67"/>
  <c r="C365" i="67"/>
  <c r="B365" i="67"/>
  <c r="C364" i="67"/>
  <c r="B364" i="67"/>
  <c r="C363" i="67"/>
  <c r="B363" i="67"/>
  <c r="C362" i="67"/>
  <c r="B362" i="67"/>
  <c r="C361" i="67"/>
  <c r="B361" i="67"/>
  <c r="C360" i="67"/>
  <c r="B360" i="67"/>
  <c r="C359" i="67"/>
  <c r="B359" i="67"/>
  <c r="C358" i="67"/>
  <c r="B358" i="67"/>
  <c r="C357" i="67"/>
  <c r="B357" i="67"/>
  <c r="C356" i="67"/>
  <c r="B356" i="67"/>
  <c r="C355" i="67"/>
  <c r="B355" i="67"/>
  <c r="C354" i="67"/>
  <c r="B354" i="67"/>
  <c r="C353" i="67"/>
  <c r="B353" i="67"/>
  <c r="C352" i="67"/>
  <c r="B352" i="67"/>
  <c r="C351" i="67"/>
  <c r="B351" i="67"/>
  <c r="C350" i="67"/>
  <c r="B350" i="67"/>
  <c r="C349" i="67"/>
  <c r="B349" i="67"/>
  <c r="C348" i="67"/>
  <c r="B348" i="67"/>
  <c r="C347" i="67"/>
  <c r="B347" i="67"/>
  <c r="C346" i="67"/>
  <c r="B346" i="67"/>
  <c r="C345" i="67"/>
  <c r="B345" i="67"/>
  <c r="C344" i="67"/>
  <c r="B344" i="67"/>
  <c r="C343" i="67"/>
  <c r="B343" i="67"/>
  <c r="C342" i="67"/>
  <c r="B342" i="67"/>
  <c r="C341" i="67"/>
  <c r="B341" i="67"/>
  <c r="C340" i="67"/>
  <c r="B340" i="67"/>
  <c r="C339" i="67"/>
  <c r="B339" i="67"/>
  <c r="C338" i="67"/>
  <c r="B338" i="67"/>
  <c r="C337" i="67"/>
  <c r="B337" i="67"/>
  <c r="C336" i="67"/>
  <c r="B336" i="67"/>
  <c r="C335" i="67"/>
  <c r="B335" i="67"/>
  <c r="C334" i="67"/>
  <c r="B334" i="67"/>
  <c r="C333" i="67"/>
  <c r="B333" i="67"/>
  <c r="C332" i="67"/>
  <c r="B332" i="67"/>
  <c r="C331" i="67"/>
  <c r="B331" i="67"/>
  <c r="C330" i="67"/>
  <c r="B330" i="67"/>
  <c r="C329" i="67"/>
  <c r="B329" i="67"/>
  <c r="C328" i="67"/>
  <c r="B328" i="67"/>
  <c r="C327" i="67"/>
  <c r="B327" i="67"/>
  <c r="C326" i="67"/>
  <c r="B326" i="67"/>
  <c r="C325" i="67"/>
  <c r="B325" i="67"/>
  <c r="C324" i="67"/>
  <c r="B324" i="67"/>
  <c r="C323" i="67"/>
  <c r="B323" i="67"/>
  <c r="C322" i="67"/>
  <c r="B322" i="67"/>
  <c r="C321" i="67"/>
  <c r="B321" i="67"/>
  <c r="C320" i="67"/>
  <c r="B320" i="67"/>
  <c r="C319" i="67"/>
  <c r="B319" i="67"/>
  <c r="C318" i="67"/>
  <c r="B318" i="67"/>
  <c r="C317" i="67"/>
  <c r="B317" i="67"/>
  <c r="C316" i="67"/>
  <c r="B316" i="67"/>
  <c r="C315" i="67"/>
  <c r="B315" i="67"/>
  <c r="C314" i="67"/>
  <c r="B314" i="67"/>
  <c r="C313" i="67"/>
  <c r="B313" i="67"/>
  <c r="C312" i="67"/>
  <c r="B312" i="67"/>
  <c r="C311" i="67"/>
  <c r="B311" i="67"/>
  <c r="C310" i="67"/>
  <c r="B310" i="67"/>
  <c r="C309" i="67"/>
  <c r="B309" i="67"/>
  <c r="C308" i="67"/>
  <c r="B308" i="67"/>
  <c r="C307" i="67"/>
  <c r="B307" i="67"/>
  <c r="C306" i="67"/>
  <c r="B306" i="67"/>
  <c r="C305" i="67"/>
  <c r="B305" i="67"/>
  <c r="C304" i="67"/>
  <c r="B304" i="67"/>
  <c r="C303" i="67"/>
  <c r="B303" i="67"/>
  <c r="C302" i="67"/>
  <c r="B302" i="67"/>
  <c r="C301" i="67"/>
  <c r="B301" i="67"/>
  <c r="C300" i="67"/>
  <c r="B300" i="67"/>
  <c r="C299" i="67"/>
  <c r="B299" i="67"/>
  <c r="C298" i="67"/>
  <c r="B298" i="67"/>
  <c r="C297" i="67"/>
  <c r="B297" i="67"/>
  <c r="C296" i="67"/>
  <c r="B296" i="67"/>
  <c r="C295" i="67"/>
  <c r="B295" i="67"/>
  <c r="C294" i="67"/>
  <c r="B294" i="67"/>
  <c r="C293" i="67"/>
  <c r="B293" i="67"/>
  <c r="C292" i="67"/>
  <c r="B292" i="67"/>
  <c r="C291" i="67"/>
  <c r="B291" i="67"/>
  <c r="C290" i="67"/>
  <c r="B290" i="67"/>
  <c r="C289" i="67"/>
  <c r="B289" i="67"/>
  <c r="C288" i="67"/>
  <c r="B288" i="67"/>
  <c r="C287" i="67"/>
  <c r="B287" i="67"/>
  <c r="C286" i="67"/>
  <c r="B286" i="67"/>
  <c r="C285" i="67"/>
  <c r="B285" i="67"/>
  <c r="C284" i="67"/>
  <c r="B284" i="67"/>
  <c r="C283" i="67"/>
  <c r="B283" i="67"/>
  <c r="C282" i="67"/>
  <c r="B282" i="67"/>
  <c r="C281" i="67"/>
  <c r="B281" i="67"/>
  <c r="C280" i="67"/>
  <c r="B280" i="67"/>
  <c r="C279" i="67"/>
  <c r="B279" i="67"/>
  <c r="C278" i="67"/>
  <c r="B278" i="67"/>
  <c r="C277" i="67"/>
  <c r="B277" i="67"/>
  <c r="C276" i="67"/>
  <c r="B276" i="67"/>
  <c r="C275" i="67"/>
  <c r="B275" i="67"/>
  <c r="C274" i="67"/>
  <c r="B274" i="67"/>
  <c r="C273" i="67"/>
  <c r="B273" i="67"/>
  <c r="C272" i="67"/>
  <c r="B272" i="67"/>
  <c r="C271" i="67"/>
  <c r="B271" i="67"/>
  <c r="C270" i="67"/>
  <c r="B270" i="67"/>
  <c r="C269" i="67"/>
  <c r="B269" i="67"/>
  <c r="C268" i="67"/>
  <c r="B268" i="67"/>
  <c r="C267" i="67"/>
  <c r="B267" i="67"/>
  <c r="C266" i="67"/>
  <c r="B266" i="67"/>
  <c r="C265" i="67"/>
  <c r="B265" i="67"/>
  <c r="C264" i="67"/>
  <c r="B264" i="67"/>
  <c r="C263" i="67"/>
  <c r="B263" i="67"/>
  <c r="C262" i="67"/>
  <c r="B262" i="67"/>
  <c r="C261" i="67"/>
  <c r="B261" i="67"/>
  <c r="C260" i="67"/>
  <c r="B260" i="67"/>
  <c r="C259" i="67"/>
  <c r="B259" i="67"/>
  <c r="C258" i="67"/>
  <c r="B258" i="67"/>
  <c r="C257" i="67"/>
  <c r="B257" i="67"/>
  <c r="C256" i="67"/>
  <c r="B256" i="67"/>
  <c r="C255" i="67"/>
  <c r="B255" i="67"/>
  <c r="C254" i="67"/>
  <c r="B254" i="67"/>
  <c r="C253" i="67"/>
  <c r="B253" i="67"/>
  <c r="C252" i="67"/>
  <c r="B252" i="67"/>
  <c r="C251" i="67"/>
  <c r="B251" i="67"/>
  <c r="C250" i="67"/>
  <c r="B250" i="67"/>
  <c r="C249" i="67"/>
  <c r="B249" i="67"/>
  <c r="C248" i="67"/>
  <c r="B248" i="67"/>
  <c r="C247" i="67"/>
  <c r="B247" i="67"/>
  <c r="C246" i="67"/>
  <c r="B246" i="67"/>
  <c r="C245" i="67"/>
  <c r="B245" i="67"/>
  <c r="C244" i="67"/>
  <c r="B244" i="67"/>
  <c r="C243" i="67"/>
  <c r="B243" i="67"/>
  <c r="C242" i="67"/>
  <c r="B242" i="67"/>
  <c r="C241" i="67"/>
  <c r="B241" i="67"/>
  <c r="C240" i="67"/>
  <c r="B240" i="67"/>
  <c r="C239" i="67"/>
  <c r="B239" i="67"/>
  <c r="C238" i="67"/>
  <c r="B238" i="67"/>
  <c r="C237" i="67"/>
  <c r="B237" i="67"/>
  <c r="C236" i="67"/>
  <c r="B236" i="67"/>
  <c r="C235" i="67"/>
  <c r="B235" i="67"/>
  <c r="C234" i="67"/>
  <c r="B234" i="67"/>
  <c r="C233" i="67"/>
  <c r="B233" i="67"/>
  <c r="C232" i="67"/>
  <c r="B232" i="67"/>
  <c r="C231" i="67"/>
  <c r="B231" i="67"/>
  <c r="C230" i="67"/>
  <c r="B230" i="67"/>
  <c r="C229" i="67"/>
  <c r="B229" i="67"/>
  <c r="C228" i="67"/>
  <c r="B228" i="67"/>
  <c r="C227" i="67"/>
  <c r="B227" i="67"/>
  <c r="C226" i="67"/>
  <c r="B226" i="67"/>
  <c r="C225" i="67"/>
  <c r="B225" i="67"/>
  <c r="C224" i="67"/>
  <c r="B224" i="67"/>
  <c r="C223" i="67"/>
  <c r="B223" i="67"/>
  <c r="C222" i="67"/>
  <c r="B222" i="67"/>
  <c r="C221" i="67"/>
  <c r="B221" i="67"/>
  <c r="C220" i="67"/>
  <c r="B220" i="67"/>
  <c r="C219" i="67"/>
  <c r="B219" i="67"/>
  <c r="C218" i="67"/>
  <c r="B218" i="67"/>
  <c r="C217" i="67"/>
  <c r="B217" i="67"/>
  <c r="C216" i="67"/>
  <c r="B216" i="67"/>
  <c r="C215" i="67"/>
  <c r="B215" i="67"/>
  <c r="C214" i="67"/>
  <c r="B214" i="67"/>
  <c r="C213" i="67"/>
  <c r="B213" i="67"/>
  <c r="C212" i="67"/>
  <c r="B212" i="67"/>
  <c r="C211" i="67"/>
  <c r="B211" i="67"/>
  <c r="C210" i="67"/>
  <c r="B210" i="67"/>
  <c r="C209" i="67"/>
  <c r="B209" i="67"/>
  <c r="C208" i="67"/>
  <c r="B208" i="67"/>
  <c r="C207" i="67"/>
  <c r="B207" i="67"/>
  <c r="C206" i="67"/>
  <c r="B206" i="67"/>
  <c r="C205" i="67"/>
  <c r="B205" i="67"/>
  <c r="C204" i="67"/>
  <c r="B204" i="67"/>
  <c r="C203" i="67"/>
  <c r="B203" i="67"/>
  <c r="C202" i="67"/>
  <c r="B202" i="67"/>
  <c r="C201" i="67"/>
  <c r="B201" i="67"/>
  <c r="C200" i="67"/>
  <c r="B200" i="67"/>
  <c r="C199" i="67"/>
  <c r="B199" i="67"/>
  <c r="C198" i="67"/>
  <c r="B198" i="67"/>
  <c r="C197" i="67"/>
  <c r="B197" i="67"/>
  <c r="C196" i="67"/>
  <c r="B196" i="67"/>
  <c r="C195" i="67"/>
  <c r="B195" i="67"/>
  <c r="C194" i="67"/>
  <c r="B194" i="67"/>
  <c r="C193" i="67"/>
  <c r="B193" i="67"/>
  <c r="C192" i="67"/>
  <c r="B192" i="67"/>
  <c r="C191" i="67"/>
  <c r="B191" i="67"/>
  <c r="C190" i="67"/>
  <c r="B190" i="67"/>
  <c r="C189" i="67"/>
  <c r="B189" i="67"/>
  <c r="C188" i="67"/>
  <c r="B188" i="67"/>
  <c r="C187" i="67"/>
  <c r="B187" i="67"/>
  <c r="C186" i="67"/>
  <c r="B186" i="67"/>
  <c r="C185" i="67"/>
  <c r="B185" i="67"/>
  <c r="C184" i="67"/>
  <c r="B184" i="67"/>
  <c r="C183" i="67"/>
  <c r="B183" i="67"/>
  <c r="C182" i="67"/>
  <c r="B182" i="67"/>
  <c r="C181" i="67"/>
  <c r="B181" i="67"/>
  <c r="C180" i="67"/>
  <c r="B180" i="67"/>
  <c r="C179" i="67"/>
  <c r="B179" i="67"/>
  <c r="C178" i="67"/>
  <c r="B178" i="67"/>
  <c r="C177" i="67"/>
  <c r="B177" i="67"/>
  <c r="C176" i="67"/>
  <c r="B176" i="67"/>
  <c r="C175" i="67"/>
  <c r="B175" i="67"/>
  <c r="C174" i="67"/>
  <c r="B174" i="67"/>
  <c r="C173" i="67"/>
  <c r="B173" i="67"/>
  <c r="C172" i="67"/>
  <c r="B172" i="67"/>
  <c r="C171" i="67"/>
  <c r="B171" i="67"/>
  <c r="C170" i="67"/>
  <c r="B170" i="67"/>
  <c r="C169" i="67"/>
  <c r="B169" i="67"/>
  <c r="C168" i="67"/>
  <c r="B168" i="67"/>
  <c r="C167" i="67"/>
  <c r="B167" i="67"/>
  <c r="C166" i="67"/>
  <c r="B166" i="67"/>
  <c r="C165" i="67"/>
  <c r="B165" i="67"/>
  <c r="C164" i="67"/>
  <c r="B164" i="67"/>
  <c r="C163" i="67"/>
  <c r="B163" i="67"/>
  <c r="C162" i="67"/>
  <c r="B162" i="67"/>
  <c r="C161" i="67"/>
  <c r="B161" i="67"/>
  <c r="C160" i="67"/>
  <c r="B160" i="67"/>
  <c r="C159" i="67"/>
  <c r="B159" i="67"/>
  <c r="C158" i="67"/>
  <c r="B158" i="67"/>
  <c r="C157" i="67"/>
  <c r="B157" i="67"/>
  <c r="C156" i="67"/>
  <c r="B156" i="67"/>
  <c r="C155" i="67"/>
  <c r="B155" i="67"/>
  <c r="C154" i="67"/>
  <c r="B154" i="67"/>
  <c r="C153" i="67"/>
  <c r="B153" i="67"/>
  <c r="C152" i="67"/>
  <c r="B152" i="67"/>
  <c r="C151" i="67"/>
  <c r="B151" i="67"/>
  <c r="C150" i="67"/>
  <c r="B150" i="67"/>
  <c r="C149" i="67"/>
  <c r="B149" i="67"/>
  <c r="C148" i="67"/>
  <c r="B148" i="67"/>
  <c r="C147" i="67"/>
  <c r="B147" i="67"/>
  <c r="C146" i="67"/>
  <c r="B146" i="67"/>
  <c r="C145" i="67"/>
  <c r="B145" i="67"/>
  <c r="C144" i="67"/>
  <c r="B144" i="67"/>
  <c r="C143" i="67"/>
  <c r="B143" i="67"/>
  <c r="C142" i="67"/>
  <c r="B142" i="67"/>
  <c r="C141" i="67"/>
  <c r="B141" i="67"/>
  <c r="C140" i="67"/>
  <c r="B140" i="67"/>
  <c r="C139" i="67"/>
  <c r="B139" i="67"/>
  <c r="C138" i="67"/>
  <c r="B138" i="67"/>
  <c r="C137" i="67"/>
  <c r="B137" i="67"/>
  <c r="C136" i="67"/>
  <c r="B136" i="67"/>
  <c r="C135" i="67"/>
  <c r="B135" i="67"/>
  <c r="C134" i="67"/>
  <c r="B134" i="67"/>
  <c r="C133" i="67"/>
  <c r="B133" i="67"/>
  <c r="C132" i="67"/>
  <c r="B132" i="67"/>
  <c r="C131" i="67"/>
  <c r="B131" i="67"/>
  <c r="C130" i="67"/>
  <c r="B130" i="67"/>
  <c r="C129" i="67"/>
  <c r="B129" i="67"/>
  <c r="C128" i="67"/>
  <c r="B128" i="67"/>
  <c r="C127" i="67"/>
  <c r="B127" i="67"/>
  <c r="C126" i="67"/>
  <c r="B126" i="67"/>
  <c r="C125" i="67"/>
  <c r="B125" i="67"/>
  <c r="C124" i="67"/>
  <c r="B124" i="67"/>
  <c r="C123" i="67"/>
  <c r="B123" i="67"/>
  <c r="C122" i="67"/>
  <c r="B122" i="67"/>
  <c r="C121" i="67"/>
  <c r="B121" i="67"/>
  <c r="C120" i="67"/>
  <c r="B120" i="67"/>
  <c r="C119" i="67"/>
  <c r="B119" i="67"/>
  <c r="C118" i="67"/>
  <c r="B118" i="67"/>
  <c r="C117" i="67"/>
  <c r="B117" i="67"/>
  <c r="C116" i="67"/>
  <c r="B116" i="67"/>
  <c r="C115" i="67"/>
  <c r="B115" i="67"/>
  <c r="C114" i="67"/>
  <c r="B114" i="67"/>
  <c r="C113" i="67"/>
  <c r="B113" i="67"/>
  <c r="C112" i="67"/>
  <c r="B112" i="67"/>
  <c r="C111" i="67"/>
  <c r="B111" i="67"/>
  <c r="C110" i="67"/>
  <c r="B110" i="67"/>
  <c r="C109" i="67"/>
  <c r="B109" i="67"/>
  <c r="C108" i="67"/>
  <c r="B108" i="67"/>
  <c r="C107" i="67"/>
  <c r="B107" i="67"/>
  <c r="C106" i="67"/>
  <c r="B106" i="67"/>
  <c r="C105" i="67"/>
  <c r="B105" i="67"/>
  <c r="C104" i="67"/>
  <c r="B104" i="67"/>
  <c r="C103" i="67"/>
  <c r="B103" i="67"/>
  <c r="C102" i="67"/>
  <c r="B102" i="67"/>
  <c r="C101" i="67"/>
  <c r="B101" i="67"/>
  <c r="C100" i="67"/>
  <c r="B100" i="67"/>
  <c r="C99" i="67"/>
  <c r="B99" i="67"/>
  <c r="C98" i="67"/>
  <c r="B98" i="67"/>
  <c r="C97" i="67"/>
  <c r="B97" i="67"/>
  <c r="C96" i="67"/>
  <c r="B96" i="67"/>
  <c r="C95" i="67"/>
  <c r="B95" i="67"/>
  <c r="C94" i="67"/>
  <c r="B94" i="67"/>
  <c r="C93" i="67"/>
  <c r="B93" i="67"/>
  <c r="C92" i="67"/>
  <c r="B92" i="67"/>
  <c r="C91" i="67"/>
  <c r="B91" i="67"/>
  <c r="C90" i="67"/>
  <c r="B90" i="67"/>
  <c r="C89" i="67"/>
  <c r="B89" i="67"/>
  <c r="C88" i="67"/>
  <c r="B88" i="67"/>
  <c r="C87" i="67"/>
  <c r="B87" i="67"/>
  <c r="C86" i="67"/>
  <c r="B86" i="67"/>
  <c r="C85" i="67"/>
  <c r="B85" i="67"/>
  <c r="C84" i="67"/>
  <c r="B84" i="67"/>
  <c r="C83" i="67"/>
  <c r="B83" i="67"/>
  <c r="C82" i="67"/>
  <c r="B82" i="67"/>
  <c r="C81" i="67"/>
  <c r="B81" i="67"/>
  <c r="C80" i="67"/>
  <c r="B80" i="67"/>
  <c r="C79" i="67"/>
  <c r="B79" i="67"/>
  <c r="C78" i="67"/>
  <c r="B78" i="67"/>
  <c r="C77" i="67"/>
  <c r="B77" i="67"/>
  <c r="C76" i="67"/>
  <c r="B76" i="67"/>
  <c r="C75" i="67"/>
  <c r="B75" i="67"/>
  <c r="C74" i="67"/>
  <c r="B74" i="67"/>
  <c r="C73" i="67"/>
  <c r="B73" i="67"/>
  <c r="C72" i="67"/>
  <c r="B72" i="67"/>
  <c r="C71" i="67"/>
  <c r="B71" i="67"/>
  <c r="C70" i="67"/>
  <c r="B70" i="67"/>
  <c r="C69" i="67"/>
  <c r="B69" i="67"/>
  <c r="C68" i="67"/>
  <c r="B68" i="67"/>
  <c r="C67" i="67"/>
  <c r="B67" i="67"/>
  <c r="C66" i="67"/>
  <c r="B66" i="67"/>
  <c r="C65" i="67"/>
  <c r="B65" i="67"/>
  <c r="C64" i="67"/>
  <c r="B64" i="67"/>
  <c r="C63" i="67"/>
  <c r="B63" i="67"/>
  <c r="C62" i="67"/>
  <c r="B62" i="67"/>
  <c r="C61" i="67"/>
  <c r="B61" i="67"/>
  <c r="C60" i="67"/>
  <c r="B60" i="67"/>
  <c r="C59" i="67"/>
  <c r="B59" i="67"/>
  <c r="C58" i="67"/>
  <c r="B58" i="67"/>
  <c r="C57" i="67"/>
  <c r="B57" i="67"/>
  <c r="C56" i="67"/>
  <c r="B56" i="67"/>
  <c r="C55" i="67"/>
  <c r="B55" i="67"/>
  <c r="C54" i="67"/>
  <c r="B54" i="67"/>
  <c r="C53" i="67"/>
  <c r="B53" i="67"/>
  <c r="C52" i="67"/>
  <c r="B52" i="67"/>
  <c r="C51" i="67"/>
  <c r="B51" i="67"/>
  <c r="C50" i="67"/>
  <c r="B50" i="67"/>
  <c r="C49" i="67"/>
  <c r="B49" i="67"/>
  <c r="C48" i="67"/>
  <c r="B48" i="67"/>
  <c r="C47" i="67"/>
  <c r="B47" i="67"/>
  <c r="C46" i="67"/>
  <c r="B46" i="67"/>
  <c r="C45" i="67"/>
  <c r="B45" i="67"/>
  <c r="C44" i="67"/>
  <c r="B44" i="67"/>
  <c r="C43" i="67"/>
  <c r="B43" i="67"/>
  <c r="C42" i="67"/>
  <c r="B42" i="67"/>
  <c r="C41" i="67"/>
  <c r="B41" i="67"/>
  <c r="C40" i="67"/>
  <c r="B40" i="67"/>
  <c r="C39" i="67"/>
  <c r="B39" i="67"/>
  <c r="C38" i="67"/>
  <c r="B38" i="67"/>
  <c r="C37" i="67"/>
  <c r="B37" i="67"/>
  <c r="C36" i="67"/>
  <c r="B36" i="67"/>
  <c r="C35" i="67"/>
  <c r="B35" i="67"/>
  <c r="C34" i="67"/>
  <c r="B34" i="67"/>
  <c r="C33" i="67"/>
  <c r="B33" i="67"/>
  <c r="C32" i="67"/>
  <c r="B32" i="67"/>
  <c r="C31" i="67"/>
  <c r="B31" i="67"/>
  <c r="C30" i="67"/>
  <c r="B30" i="67"/>
  <c r="C29" i="67"/>
  <c r="B29" i="67"/>
  <c r="D15" i="67"/>
  <c r="D12" i="67"/>
  <c r="D11" i="67"/>
  <c r="D10" i="67"/>
  <c r="D8" i="67"/>
  <c r="D5" i="67"/>
  <c r="D4" i="67"/>
  <c r="D2" i="67"/>
  <c r="W60" i="66"/>
  <c r="U60" i="66"/>
  <c r="T60" i="66"/>
  <c r="S60" i="66"/>
  <c r="W59" i="66"/>
  <c r="U59" i="66"/>
  <c r="T59" i="66"/>
  <c r="S59" i="66"/>
  <c r="W58" i="66"/>
  <c r="U58" i="66"/>
  <c r="T58" i="66"/>
  <c r="S58" i="66"/>
  <c r="W57" i="66"/>
  <c r="U57" i="66"/>
  <c r="T57" i="66"/>
  <c r="S57" i="66"/>
  <c r="W56" i="66"/>
  <c r="U56" i="66"/>
  <c r="T56" i="66"/>
  <c r="S56" i="66"/>
  <c r="W55" i="66"/>
  <c r="U55" i="66"/>
  <c r="T55" i="66"/>
  <c r="S55" i="66"/>
  <c r="W54" i="66"/>
  <c r="U54" i="66"/>
  <c r="T54" i="66"/>
  <c r="S54" i="66"/>
  <c r="W53" i="66"/>
  <c r="U53" i="66"/>
  <c r="T53" i="66"/>
  <c r="S53" i="66"/>
  <c r="W52" i="66"/>
  <c r="U52" i="66"/>
  <c r="T52" i="66"/>
  <c r="S52" i="66"/>
  <c r="W51" i="66"/>
  <c r="U51" i="66"/>
  <c r="T51" i="66"/>
  <c r="S51" i="66"/>
  <c r="W50" i="66"/>
  <c r="U50" i="66"/>
  <c r="T50" i="66"/>
  <c r="S50" i="66"/>
  <c r="W49" i="66"/>
  <c r="U49" i="66"/>
  <c r="T49" i="66"/>
  <c r="S49" i="66"/>
  <c r="W48" i="66"/>
  <c r="U48" i="66"/>
  <c r="T48" i="66"/>
  <c r="S48" i="66"/>
  <c r="W47" i="66"/>
  <c r="U47" i="66"/>
  <c r="T47" i="66"/>
  <c r="S47" i="66"/>
  <c r="W46" i="66"/>
  <c r="U46" i="66"/>
  <c r="T46" i="66"/>
  <c r="S46" i="66"/>
  <c r="U45" i="66"/>
  <c r="T45" i="66"/>
  <c r="D277" i="67" s="1" a="1"/>
  <c r="D277" i="67" s="1"/>
  <c r="S45" i="66"/>
  <c r="D276" i="67" s="1" a="1"/>
  <c r="D276" i="67" s="1"/>
  <c r="M45" i="66"/>
  <c r="L45" i="66"/>
  <c r="N45" i="66" s="1"/>
  <c r="U44" i="66"/>
  <c r="D271" i="67" s="1" a="1"/>
  <c r="D271" i="67" s="1"/>
  <c r="T44" i="66"/>
  <c r="D270" i="67" s="1" a="1"/>
  <c r="D270" i="67" s="1"/>
  <c r="S44" i="66"/>
  <c r="D269" i="67" s="1" a="1"/>
  <c r="D269" i="67" s="1"/>
  <c r="M44" i="66"/>
  <c r="L44" i="66"/>
  <c r="N44" i="66" s="1"/>
  <c r="U43" i="66"/>
  <c r="D264" i="67" s="1" a="1"/>
  <c r="D264" i="67" s="1"/>
  <c r="T43" i="66"/>
  <c r="D263" i="67" s="1" a="1"/>
  <c r="D263" i="67" s="1"/>
  <c r="S43" i="66"/>
  <c r="M43" i="66"/>
  <c r="L43" i="66"/>
  <c r="N43" i="66" s="1"/>
  <c r="V42" i="66"/>
  <c r="D258" i="67" s="1" a="1"/>
  <c r="D258" i="67" s="1"/>
  <c r="U42" i="66"/>
  <c r="T42" i="66"/>
  <c r="D256" i="67" s="1" a="1"/>
  <c r="D256" i="67" s="1"/>
  <c r="S42" i="66"/>
  <c r="D255" i="67" s="1" a="1"/>
  <c r="D255" i="67" s="1"/>
  <c r="M42" i="66"/>
  <c r="N42" i="66" s="1"/>
  <c r="L42" i="66"/>
  <c r="V41" i="66"/>
  <c r="D251" i="67" s="1" a="1"/>
  <c r="D251" i="67" s="1"/>
  <c r="U41" i="66"/>
  <c r="T41" i="66"/>
  <c r="D249" i="67" s="1" a="1"/>
  <c r="D249" i="67" s="1"/>
  <c r="S41" i="66"/>
  <c r="D248" i="67" s="1" a="1"/>
  <c r="D248" i="67" s="1"/>
  <c r="N41" i="66"/>
  <c r="W41" i="66" s="1"/>
  <c r="D252" i="67" s="1" a="1"/>
  <c r="D252" i="67" s="1"/>
  <c r="M41" i="66"/>
  <c r="L41" i="66"/>
  <c r="V40" i="66"/>
  <c r="D244" i="67" s="1" a="1"/>
  <c r="D244" i="67" s="1"/>
  <c r="U40" i="66"/>
  <c r="D243" i="67" s="1" a="1"/>
  <c r="D243" i="67" s="1"/>
  <c r="T40" i="66"/>
  <c r="S40" i="66"/>
  <c r="D241" i="67" s="1" a="1"/>
  <c r="D241" i="67" s="1"/>
  <c r="N40" i="66"/>
  <c r="R40" i="66" s="1"/>
  <c r="D240" i="67" s="1" a="1"/>
  <c r="D240" i="67" s="1"/>
  <c r="M40" i="66"/>
  <c r="L40" i="66"/>
  <c r="V39" i="66"/>
  <c r="D237" i="67" s="1" a="1"/>
  <c r="D237" i="67" s="1"/>
  <c r="U39" i="66"/>
  <c r="D236" i="67" s="1" a="1"/>
  <c r="D236" i="67" s="1"/>
  <c r="T39" i="66"/>
  <c r="D235" i="67" s="1" a="1"/>
  <c r="D235" i="67" s="1"/>
  <c r="S39" i="66"/>
  <c r="M39" i="66"/>
  <c r="N39" i="66" s="1"/>
  <c r="L39" i="66"/>
  <c r="V38" i="66"/>
  <c r="D230" i="67" s="1" a="1"/>
  <c r="D230" i="67" s="1"/>
  <c r="U38" i="66"/>
  <c r="D229" i="67" s="1" a="1"/>
  <c r="D229" i="67" s="1"/>
  <c r="T38" i="66"/>
  <c r="D228" i="67" s="1" a="1"/>
  <c r="D228" i="67" s="1"/>
  <c r="S38" i="66"/>
  <c r="D227" i="67" s="1" a="1"/>
  <c r="D227" i="67" s="1"/>
  <c r="M38" i="66"/>
  <c r="L38" i="66"/>
  <c r="M37" i="66"/>
  <c r="L37" i="66"/>
  <c r="N37" i="66" s="1"/>
  <c r="V36" i="66"/>
  <c r="D216" i="67" s="1" a="1"/>
  <c r="D216" i="67" s="1"/>
  <c r="U36" i="66"/>
  <c r="D215" i="67" s="1" a="1"/>
  <c r="D215" i="67" s="1"/>
  <c r="M36" i="66"/>
  <c r="L36" i="66"/>
  <c r="N36" i="66" s="1"/>
  <c r="V35" i="66"/>
  <c r="U35" i="66"/>
  <c r="D208" i="67" s="1" a="1"/>
  <c r="D208" i="67" s="1"/>
  <c r="M35" i="66"/>
  <c r="L35" i="66"/>
  <c r="N35" i="66" s="1"/>
  <c r="V34" i="66"/>
  <c r="M34" i="66"/>
  <c r="L34" i="66"/>
  <c r="N34" i="66" s="1"/>
  <c r="V33" i="66"/>
  <c r="D195" i="67" s="1" a="1"/>
  <c r="D195" i="67" s="1"/>
  <c r="U33" i="66"/>
  <c r="M33" i="66"/>
  <c r="N33" i="66" s="1"/>
  <c r="L33" i="66"/>
  <c r="V32" i="66"/>
  <c r="D188" i="67" s="1" a="1"/>
  <c r="D188" i="67" s="1"/>
  <c r="U32" i="66"/>
  <c r="D187" i="67" s="1" a="1"/>
  <c r="D187" i="67" s="1"/>
  <c r="T32" i="66"/>
  <c r="S32" i="66"/>
  <c r="D185" i="67" s="1" a="1"/>
  <c r="D185" i="67" s="1"/>
  <c r="M32" i="66"/>
  <c r="L32" i="66"/>
  <c r="N32" i="66" s="1"/>
  <c r="V31" i="66"/>
  <c r="D181" i="67" s="1" a="1"/>
  <c r="D181" i="67" s="1"/>
  <c r="U31" i="66"/>
  <c r="D180" i="67" s="1" a="1"/>
  <c r="D180" i="67" s="1"/>
  <c r="M31" i="66"/>
  <c r="L31" i="66"/>
  <c r="N31" i="66" s="1"/>
  <c r="M30" i="66"/>
  <c r="L30" i="66"/>
  <c r="N30" i="66" s="1"/>
  <c r="M29" i="66"/>
  <c r="L29" i="66"/>
  <c r="M28" i="66"/>
  <c r="N28" i="66" s="1"/>
  <c r="L28" i="66"/>
  <c r="V27" i="66"/>
  <c r="D153" i="67" s="1" a="1"/>
  <c r="D153" i="67" s="1"/>
  <c r="M27" i="66"/>
  <c r="L27" i="66"/>
  <c r="N27" i="66" s="1"/>
  <c r="V26" i="66"/>
  <c r="M26" i="66"/>
  <c r="V25" i="66"/>
  <c r="M25" i="66"/>
  <c r="L25" i="66"/>
  <c r="N25" i="66" s="1"/>
  <c r="M24" i="66"/>
  <c r="L24" i="66"/>
  <c r="M23" i="66"/>
  <c r="L23" i="66"/>
  <c r="M22" i="66"/>
  <c r="L22" i="66"/>
  <c r="M21" i="66"/>
  <c r="L21" i="66"/>
  <c r="N21" i="66" s="1"/>
  <c r="T20" i="66"/>
  <c r="S20" i="66"/>
  <c r="M20" i="66"/>
  <c r="L20" i="66"/>
  <c r="T19" i="66"/>
  <c r="S19" i="66"/>
  <c r="M19" i="66"/>
  <c r="L19" i="66"/>
  <c r="N19" i="66" s="1"/>
  <c r="M18" i="66"/>
  <c r="M17" i="66"/>
  <c r="M16" i="66"/>
  <c r="L16" i="66"/>
  <c r="N16" i="66" s="1"/>
  <c r="V15" i="66"/>
  <c r="M15" i="66"/>
  <c r="L15" i="66"/>
  <c r="V14" i="66"/>
  <c r="T14" i="66"/>
  <c r="S14" i="66"/>
  <c r="M14" i="66"/>
  <c r="N14" i="66" s="1"/>
  <c r="L14" i="66"/>
  <c r="V13" i="66"/>
  <c r="T13" i="66"/>
  <c r="S13" i="66"/>
  <c r="M13" i="66"/>
  <c r="L13" i="66"/>
  <c r="N13" i="66" s="1"/>
  <c r="V12" i="66"/>
  <c r="T12" i="66"/>
  <c r="S12" i="66"/>
  <c r="M12" i="66"/>
  <c r="L12" i="66"/>
  <c r="N12" i="66" s="1"/>
  <c r="V11" i="66"/>
  <c r="M11" i="66"/>
  <c r="L11" i="66"/>
  <c r="N11" i="66" s="1"/>
  <c r="V10" i="66"/>
  <c r="M10" i="66"/>
  <c r="D24" i="67"/>
  <c r="B21" i="29"/>
  <c r="C21" i="29"/>
  <c r="D21" i="29"/>
  <c r="E21" i="29"/>
  <c r="F21" i="29"/>
  <c r="G21" i="29"/>
  <c r="H21" i="29"/>
  <c r="D169" i="30" s="1" a="1"/>
  <c r="D169" i="30" s="1"/>
  <c r="B22" i="29"/>
  <c r="D170" i="30" s="1" a="1"/>
  <c r="D170" i="30" s="1"/>
  <c r="C22" i="29"/>
  <c r="D22" i="29"/>
  <c r="E22" i="29"/>
  <c r="F22" i="29"/>
  <c r="G22" i="29"/>
  <c r="H22" i="29"/>
  <c r="D177" i="30" a="1"/>
  <c r="D177" i="30" s="1"/>
  <c r="D178" i="30" a="1"/>
  <c r="D178" i="30" s="1"/>
  <c r="B3" i="29"/>
  <c r="C3" i="29"/>
  <c r="D3" i="29"/>
  <c r="E3" i="29"/>
  <c r="F3" i="29"/>
  <c r="G3" i="29"/>
  <c r="D42" i="30" s="1" a="1"/>
  <c r="D42" i="30" s="1"/>
  <c r="H3" i="29"/>
  <c r="B4" i="29"/>
  <c r="C4" i="29"/>
  <c r="D4" i="29"/>
  <c r="E4" i="29"/>
  <c r="F4" i="29"/>
  <c r="G4" i="29"/>
  <c r="H4" i="29"/>
  <c r="D50" i="30" s="1" a="1"/>
  <c r="D50" i="30" s="1"/>
  <c r="B5" i="29"/>
  <c r="C5" i="29"/>
  <c r="D5" i="29"/>
  <c r="E5" i="29"/>
  <c r="F5" i="29"/>
  <c r="G5" i="29"/>
  <c r="H5" i="29"/>
  <c r="B6" i="29"/>
  <c r="D58" i="30" s="1" a="1"/>
  <c r="D58" i="30" s="1"/>
  <c r="C6" i="29"/>
  <c r="D6" i="29"/>
  <c r="E6" i="29"/>
  <c r="F6" i="29"/>
  <c r="G6" i="29"/>
  <c r="H6" i="29"/>
  <c r="B7" i="29"/>
  <c r="C7" i="29"/>
  <c r="D66" i="30" s="1" a="1"/>
  <c r="D66" i="30" s="1"/>
  <c r="D7" i="29"/>
  <c r="E7" i="29"/>
  <c r="F7" i="29"/>
  <c r="G7" i="29"/>
  <c r="H7" i="29"/>
  <c r="B8" i="29"/>
  <c r="C8" i="29"/>
  <c r="D8" i="29"/>
  <c r="D74" i="30" s="1" a="1"/>
  <c r="D74" i="30" s="1"/>
  <c r="E8" i="29"/>
  <c r="F8" i="29"/>
  <c r="G8" i="29"/>
  <c r="H8" i="29"/>
  <c r="B9" i="29"/>
  <c r="C9" i="29"/>
  <c r="D9" i="29"/>
  <c r="E9" i="29"/>
  <c r="D82" i="30" s="1" a="1"/>
  <c r="D82" i="30" s="1"/>
  <c r="F9" i="29"/>
  <c r="G9" i="29"/>
  <c r="H9" i="29"/>
  <c r="B10" i="29"/>
  <c r="C10" i="29"/>
  <c r="D10" i="29"/>
  <c r="E10" i="29"/>
  <c r="F10" i="29"/>
  <c r="D90" i="30" s="1" a="1"/>
  <c r="D90" i="30" s="1"/>
  <c r="G10" i="29"/>
  <c r="H10" i="29"/>
  <c r="B11" i="29"/>
  <c r="C11" i="29"/>
  <c r="D11" i="29"/>
  <c r="E11" i="29"/>
  <c r="F11" i="29"/>
  <c r="G11" i="29"/>
  <c r="D98" i="30" s="1" a="1"/>
  <c r="D98" i="30" s="1"/>
  <c r="H11" i="29"/>
  <c r="B12" i="29"/>
  <c r="C12" i="29"/>
  <c r="D12" i="29"/>
  <c r="E12" i="29"/>
  <c r="F12" i="29"/>
  <c r="G12" i="29"/>
  <c r="H12" i="29"/>
  <c r="D106" i="30" s="1" a="1"/>
  <c r="D106" i="30" s="1"/>
  <c r="B13" i="29"/>
  <c r="C13" i="29"/>
  <c r="D13" i="29"/>
  <c r="E13" i="29"/>
  <c r="F13" i="29"/>
  <c r="G13" i="29"/>
  <c r="H13" i="29"/>
  <c r="B14" i="29"/>
  <c r="D114" i="30" s="1" a="1"/>
  <c r="D114" i="30" s="1"/>
  <c r="C14" i="29"/>
  <c r="D14" i="29"/>
  <c r="E14" i="29"/>
  <c r="F14" i="29"/>
  <c r="G14" i="29"/>
  <c r="H14" i="29"/>
  <c r="B15" i="29"/>
  <c r="C15" i="29"/>
  <c r="D122" i="30" s="1" a="1"/>
  <c r="D122" i="30" s="1"/>
  <c r="D15" i="29"/>
  <c r="E15" i="29"/>
  <c r="F15" i="29"/>
  <c r="G15" i="29"/>
  <c r="H15" i="29"/>
  <c r="B16" i="29"/>
  <c r="C16" i="29"/>
  <c r="D16" i="29"/>
  <c r="D130" i="30" s="1" a="1"/>
  <c r="D130" i="30" s="1"/>
  <c r="E16" i="29"/>
  <c r="F16" i="29"/>
  <c r="G16" i="29"/>
  <c r="H16" i="29"/>
  <c r="B17" i="29"/>
  <c r="C17" i="29"/>
  <c r="D17" i="29"/>
  <c r="E17" i="29"/>
  <c r="D138" i="30" s="1" a="1"/>
  <c r="D138" i="30" s="1"/>
  <c r="F17" i="29"/>
  <c r="G17" i="29"/>
  <c r="H17" i="29"/>
  <c r="B18" i="29"/>
  <c r="C18" i="29"/>
  <c r="D18" i="29"/>
  <c r="E18" i="29"/>
  <c r="F18" i="29"/>
  <c r="D146" i="30" s="1" a="1"/>
  <c r="D146" i="30" s="1"/>
  <c r="G18" i="29"/>
  <c r="H18" i="29"/>
  <c r="B19" i="29"/>
  <c r="C19" i="29"/>
  <c r="D19" i="29"/>
  <c r="E19" i="29"/>
  <c r="F19" i="29"/>
  <c r="G19" i="29"/>
  <c r="D154" i="30" s="1" a="1"/>
  <c r="D154" i="30" s="1"/>
  <c r="H19" i="29"/>
  <c r="B20" i="29"/>
  <c r="C20" i="29"/>
  <c r="D20" i="29"/>
  <c r="E20" i="29"/>
  <c r="F20" i="29"/>
  <c r="G20" i="29"/>
  <c r="H20" i="29"/>
  <c r="D162" i="30" s="1" a="1"/>
  <c r="D162" i="30" s="1"/>
  <c r="D31" i="30" a="1"/>
  <c r="D31" i="30" s="1"/>
  <c r="D32" i="30" a="1"/>
  <c r="D32" i="30" s="1"/>
  <c r="D33" i="30" a="1"/>
  <c r="D33" i="30" s="1"/>
  <c r="D34" i="30" a="1"/>
  <c r="D34" i="30" s="1"/>
  <c r="D35" i="30" a="1"/>
  <c r="D35" i="30" s="1"/>
  <c r="D36" i="30" a="1"/>
  <c r="D36" i="30" s="1"/>
  <c r="D37" i="30" a="1"/>
  <c r="D37" i="30" s="1"/>
  <c r="D38" i="30" a="1"/>
  <c r="D38" i="30" s="1"/>
  <c r="D39" i="30" a="1"/>
  <c r="D39" i="30" s="1"/>
  <c r="D40" i="30" a="1"/>
  <c r="D40" i="30" s="1"/>
  <c r="D41" i="30" a="1"/>
  <c r="D41" i="30" s="1"/>
  <c r="D43" i="30" a="1"/>
  <c r="D43" i="30" s="1"/>
  <c r="D44" i="30" a="1"/>
  <c r="D44" i="30" s="1"/>
  <c r="D45" i="30" a="1"/>
  <c r="D45" i="30" s="1"/>
  <c r="D46" i="30" a="1"/>
  <c r="D46" i="30" s="1"/>
  <c r="D47" i="30" a="1"/>
  <c r="D47" i="30" s="1"/>
  <c r="D48" i="30" a="1"/>
  <c r="D48" i="30" s="1"/>
  <c r="D49" i="30" a="1"/>
  <c r="D49" i="30" s="1"/>
  <c r="D51" i="30" a="1"/>
  <c r="D51" i="30" s="1"/>
  <c r="D52" i="30" a="1"/>
  <c r="D52" i="30" s="1"/>
  <c r="D53" i="30" a="1"/>
  <c r="D53" i="30" s="1"/>
  <c r="D54" i="30" a="1"/>
  <c r="D54" i="30" s="1"/>
  <c r="D55" i="30" a="1"/>
  <c r="D55" i="30" s="1"/>
  <c r="D56" i="30" a="1"/>
  <c r="D56" i="30" s="1"/>
  <c r="D57" i="30" a="1"/>
  <c r="D57" i="30" s="1"/>
  <c r="D59" i="30" a="1"/>
  <c r="D59" i="30" s="1"/>
  <c r="D60" i="30" a="1"/>
  <c r="D60" i="30" s="1"/>
  <c r="D61" i="30" a="1"/>
  <c r="D61" i="30" s="1"/>
  <c r="D62" i="30" a="1"/>
  <c r="D62" i="30" s="1"/>
  <c r="D63" i="30" a="1"/>
  <c r="D63" i="30" s="1"/>
  <c r="D64" i="30" a="1"/>
  <c r="D64" i="30" s="1"/>
  <c r="D65" i="30" a="1"/>
  <c r="D65" i="30" s="1"/>
  <c r="D67" i="30" a="1"/>
  <c r="D67" i="30" s="1"/>
  <c r="D68" i="30" a="1"/>
  <c r="D68" i="30" s="1"/>
  <c r="D69" i="30" a="1"/>
  <c r="D69" i="30" s="1"/>
  <c r="D70" i="30" a="1"/>
  <c r="D70" i="30" s="1"/>
  <c r="D71" i="30" a="1"/>
  <c r="D71" i="30" s="1"/>
  <c r="D72" i="30" a="1"/>
  <c r="D72" i="30" s="1"/>
  <c r="D73" i="30" a="1"/>
  <c r="D73" i="30" s="1"/>
  <c r="D75" i="30" a="1"/>
  <c r="D75" i="30" s="1"/>
  <c r="D76" i="30" a="1"/>
  <c r="D76" i="30" s="1"/>
  <c r="D77" i="30" a="1"/>
  <c r="D77" i="30" s="1"/>
  <c r="D78" i="30" a="1"/>
  <c r="D78" i="30"/>
  <c r="D79" i="30" a="1"/>
  <c r="D79" i="30" s="1"/>
  <c r="D80" i="30" a="1"/>
  <c r="D80" i="30" s="1"/>
  <c r="D81" i="30" a="1"/>
  <c r="D81" i="30" s="1"/>
  <c r="D83" i="30" a="1"/>
  <c r="D83" i="30" s="1"/>
  <c r="D84" i="30" a="1"/>
  <c r="D84" i="30" s="1"/>
  <c r="D85" i="30" a="1"/>
  <c r="D85" i="30" s="1"/>
  <c r="D86" i="30" a="1"/>
  <c r="D86" i="30" s="1"/>
  <c r="D87" i="30" a="1"/>
  <c r="D87" i="30" s="1"/>
  <c r="D88" i="30" a="1"/>
  <c r="D88" i="30" s="1"/>
  <c r="D89" i="30" a="1"/>
  <c r="D89" i="30" s="1"/>
  <c r="D91" i="30" a="1"/>
  <c r="D91" i="30" s="1"/>
  <c r="D92" i="30" a="1"/>
  <c r="D92" i="30" s="1"/>
  <c r="D93" i="30" a="1"/>
  <c r="D93" i="30" s="1"/>
  <c r="D94" i="30" a="1"/>
  <c r="D94" i="30" s="1"/>
  <c r="D95" i="30" a="1"/>
  <c r="D95" i="30" s="1"/>
  <c r="D96" i="30" a="1"/>
  <c r="D96" i="30" s="1"/>
  <c r="D97" i="30" a="1"/>
  <c r="D97" i="30" s="1"/>
  <c r="D99" i="30" a="1"/>
  <c r="D99" i="30" s="1"/>
  <c r="D100" i="30" a="1"/>
  <c r="D100" i="30" s="1"/>
  <c r="D101" i="30" a="1"/>
  <c r="D101" i="30" s="1"/>
  <c r="D102" i="30" a="1"/>
  <c r="D102" i="30" s="1"/>
  <c r="D103" i="30" a="1"/>
  <c r="D103" i="30" s="1"/>
  <c r="D104" i="30" a="1"/>
  <c r="D104" i="30" s="1"/>
  <c r="D105" i="30" a="1"/>
  <c r="D105" i="30" s="1"/>
  <c r="D107" i="30" a="1"/>
  <c r="D107" i="30" s="1"/>
  <c r="D108" i="30" a="1"/>
  <c r="D108" i="30" s="1"/>
  <c r="D109" i="30" a="1"/>
  <c r="D109" i="30" s="1"/>
  <c r="D110" i="30" a="1"/>
  <c r="D110" i="30" s="1"/>
  <c r="D111" i="30" a="1"/>
  <c r="D111" i="30" s="1"/>
  <c r="D112" i="30" a="1"/>
  <c r="D112" i="30" s="1"/>
  <c r="D113" i="30" a="1"/>
  <c r="D113" i="30" s="1"/>
  <c r="D115" i="30" a="1"/>
  <c r="D115" i="30" s="1"/>
  <c r="D116" i="30" a="1"/>
  <c r="D116" i="30" s="1"/>
  <c r="D117" i="30" a="1"/>
  <c r="D117" i="30" s="1"/>
  <c r="D118" i="30" a="1"/>
  <c r="D118" i="30" s="1"/>
  <c r="D119" i="30" a="1"/>
  <c r="D119" i="30" s="1"/>
  <c r="D120" i="30" a="1"/>
  <c r="D120" i="30" s="1"/>
  <c r="D121" i="30" a="1"/>
  <c r="D121" i="30" s="1"/>
  <c r="D123" i="30" a="1"/>
  <c r="D123" i="30" s="1"/>
  <c r="D124" i="30" a="1"/>
  <c r="D124" i="30" s="1"/>
  <c r="D125" i="30" a="1"/>
  <c r="D125" i="30" s="1"/>
  <c r="D126" i="30" a="1"/>
  <c r="D126" i="30"/>
  <c r="D127" i="30" a="1"/>
  <c r="D127" i="30" s="1"/>
  <c r="D128" i="30" a="1"/>
  <c r="D128" i="30" s="1"/>
  <c r="D129" i="30" a="1"/>
  <c r="D129" i="30" s="1"/>
  <c r="D131" i="30" a="1"/>
  <c r="D131" i="30" s="1"/>
  <c r="D132" i="30" a="1"/>
  <c r="D132" i="30" s="1"/>
  <c r="D133" i="30" a="1"/>
  <c r="D133" i="30" s="1"/>
  <c r="D134" i="30" a="1"/>
  <c r="D134" i="30" s="1"/>
  <c r="D135" i="30" a="1"/>
  <c r="D135" i="30" s="1"/>
  <c r="D136" i="30" a="1"/>
  <c r="D136" i="30" s="1"/>
  <c r="D137" i="30" a="1"/>
  <c r="D137" i="30" s="1"/>
  <c r="D139" i="30" a="1"/>
  <c r="D139" i="30" s="1"/>
  <c r="D140" i="30" a="1"/>
  <c r="D140" i="30" s="1"/>
  <c r="D141" i="30" a="1"/>
  <c r="D141" i="30" s="1"/>
  <c r="D142" i="30" a="1"/>
  <c r="D142" i="30" s="1"/>
  <c r="D143" i="30" a="1"/>
  <c r="D143" i="30" s="1"/>
  <c r="D144" i="30" a="1"/>
  <c r="D144" i="30" s="1"/>
  <c r="D145" i="30" a="1"/>
  <c r="D145" i="30" s="1"/>
  <c r="D147" i="30" a="1"/>
  <c r="D147" i="30" s="1"/>
  <c r="D148" i="30" a="1"/>
  <c r="D148" i="30" s="1"/>
  <c r="D149" i="30" a="1"/>
  <c r="D149" i="30" s="1"/>
  <c r="D150" i="30" a="1"/>
  <c r="D150" i="30" s="1"/>
  <c r="D151" i="30" a="1"/>
  <c r="D151" i="30" s="1"/>
  <c r="D152" i="30" a="1"/>
  <c r="D152" i="30" s="1"/>
  <c r="D153" i="30" a="1"/>
  <c r="D153" i="30" s="1"/>
  <c r="D155" i="30" a="1"/>
  <c r="D155" i="30" s="1"/>
  <c r="D156" i="30" a="1"/>
  <c r="D156" i="30" s="1"/>
  <c r="D157" i="30" a="1"/>
  <c r="D157" i="30" s="1"/>
  <c r="D158" i="30" a="1"/>
  <c r="D158" i="30" s="1"/>
  <c r="D159" i="30" a="1"/>
  <c r="D159" i="30" s="1"/>
  <c r="D160" i="30" a="1"/>
  <c r="D160" i="30" s="1"/>
  <c r="D161" i="30" a="1"/>
  <c r="D161" i="30" s="1"/>
  <c r="D163" i="30" a="1"/>
  <c r="D163" i="30" s="1"/>
  <c r="D164" i="30" a="1"/>
  <c r="D164" i="30" s="1"/>
  <c r="D165" i="30" a="1"/>
  <c r="D165" i="30" s="1"/>
  <c r="D166" i="30" a="1"/>
  <c r="D166" i="30" s="1"/>
  <c r="D167" i="30" a="1"/>
  <c r="D167" i="30" s="1"/>
  <c r="D168" i="30" a="1"/>
  <c r="D168" i="30" s="1"/>
  <c r="D171" i="30" a="1"/>
  <c r="D171" i="30" s="1"/>
  <c r="D172" i="30" a="1"/>
  <c r="D172" i="30" s="1"/>
  <c r="D173" i="30" a="1"/>
  <c r="D173" i="30" s="1"/>
  <c r="D174" i="30" a="1"/>
  <c r="D174" i="30" s="1"/>
  <c r="D175" i="30" a="1"/>
  <c r="D175" i="30" s="1"/>
  <c r="D176" i="30" a="1"/>
  <c r="D176" i="30" s="1"/>
  <c r="D179" i="30" a="1"/>
  <c r="D179" i="30" s="1"/>
  <c r="D180" i="30" a="1"/>
  <c r="D180" i="30" s="1"/>
  <c r="D181" i="30" a="1"/>
  <c r="D181" i="30" s="1"/>
  <c r="D182" i="30" a="1"/>
  <c r="D182" i="30" s="1"/>
  <c r="D183" i="30" a="1"/>
  <c r="D183" i="30" s="1"/>
  <c r="D184" i="30" a="1"/>
  <c r="D184" i="30" s="1"/>
  <c r="D185" i="30" a="1"/>
  <c r="D185" i="30" s="1"/>
  <c r="D186" i="30" a="1"/>
  <c r="D186" i="30" s="1"/>
  <c r="D187" i="30" a="1"/>
  <c r="D187" i="30" s="1"/>
  <c r="D188" i="30" a="1"/>
  <c r="D188" i="30" s="1"/>
  <c r="D189" i="30" a="1"/>
  <c r="D189" i="30" s="1"/>
  <c r="D190" i="30" a="1"/>
  <c r="D190" i="30" s="1"/>
  <c r="D191" i="30" a="1"/>
  <c r="D191" i="30" s="1"/>
  <c r="D192" i="30" a="1"/>
  <c r="D192" i="30" s="1"/>
  <c r="D193" i="30" a="1"/>
  <c r="D193" i="30" s="1"/>
  <c r="D194" i="30" a="1"/>
  <c r="D194" i="30" s="1"/>
  <c r="D195" i="30" a="1"/>
  <c r="D195" i="30" s="1"/>
  <c r="D196" i="30" a="1"/>
  <c r="D196" i="30" s="1"/>
  <c r="D197" i="30" a="1"/>
  <c r="D197" i="30" s="1"/>
  <c r="D198" i="30" a="1"/>
  <c r="D198" i="30" s="1"/>
  <c r="D199" i="30" a="1"/>
  <c r="D199" i="30" s="1"/>
  <c r="D200" i="30" a="1"/>
  <c r="D200" i="30" s="1"/>
  <c r="D201" i="30" a="1"/>
  <c r="D201" i="30" s="1"/>
  <c r="D202" i="30" a="1"/>
  <c r="D202" i="30" s="1"/>
  <c r="D203" i="30" a="1"/>
  <c r="D203" i="30" s="1"/>
  <c r="D204" i="30" a="1"/>
  <c r="D204" i="30" s="1"/>
  <c r="D205" i="30" a="1"/>
  <c r="D205" i="30" s="1"/>
  <c r="D206" i="30" a="1"/>
  <c r="D206" i="30" s="1"/>
  <c r="D207" i="30" a="1"/>
  <c r="D207" i="30" s="1"/>
  <c r="D208" i="30" a="1"/>
  <c r="D208" i="30" s="1"/>
  <c r="D209" i="30" a="1"/>
  <c r="D209" i="30" s="1"/>
  <c r="D210" i="30" a="1"/>
  <c r="D210" i="30" s="1"/>
  <c r="D211" i="30" a="1"/>
  <c r="D211" i="30" s="1"/>
  <c r="D212" i="30" a="1"/>
  <c r="D212" i="30" s="1"/>
  <c r="D213" i="30" a="1"/>
  <c r="D213" i="30" s="1"/>
  <c r="D214" i="30" a="1"/>
  <c r="D214" i="30" s="1"/>
  <c r="D215" i="30" a="1"/>
  <c r="D215" i="30" s="1"/>
  <c r="D216" i="30" a="1"/>
  <c r="D216" i="30" s="1"/>
  <c r="D217" i="30" a="1"/>
  <c r="D217" i="30" s="1"/>
  <c r="D218" i="30" a="1"/>
  <c r="D218" i="30" s="1"/>
  <c r="D219" i="30" a="1"/>
  <c r="D219" i="30" s="1"/>
  <c r="D220" i="30" a="1"/>
  <c r="D220" i="30" s="1"/>
  <c r="D221" i="30" a="1"/>
  <c r="D221" i="30" s="1"/>
  <c r="D222" i="30" a="1"/>
  <c r="D222" i="30" s="1"/>
  <c r="D223" i="30" a="1"/>
  <c r="D223" i="30" s="1"/>
  <c r="D224" i="30" a="1"/>
  <c r="D224" i="30" s="1"/>
  <c r="D225" i="30" a="1"/>
  <c r="D225" i="30" s="1"/>
  <c r="D226" i="30" a="1"/>
  <c r="D226" i="30" s="1"/>
  <c r="D227" i="30" a="1"/>
  <c r="D227" i="30" s="1"/>
  <c r="D228" i="30" a="1"/>
  <c r="D228" i="30" s="1"/>
  <c r="D229" i="30" a="1"/>
  <c r="D229" i="30" s="1"/>
  <c r="D230" i="30" a="1"/>
  <c r="D230" i="30" s="1"/>
  <c r="D231" i="30" a="1"/>
  <c r="D231" i="30" s="1"/>
  <c r="D232" i="30" a="1"/>
  <c r="D232" i="30" s="1"/>
  <c r="D233" i="30" a="1"/>
  <c r="D233" i="30" s="1"/>
  <c r="D234" i="30" a="1"/>
  <c r="D234" i="30" s="1"/>
  <c r="D235" i="30" a="1"/>
  <c r="D235" i="30" s="1"/>
  <c r="D236" i="30" a="1"/>
  <c r="D236" i="30" s="1"/>
  <c r="D237" i="30" a="1"/>
  <c r="D237" i="30" s="1"/>
  <c r="D238" i="30" a="1"/>
  <c r="D238" i="30" s="1"/>
  <c r="D239" i="30" a="1"/>
  <c r="D239" i="30" s="1"/>
  <c r="D240" i="30" a="1"/>
  <c r="D240" i="30" s="1"/>
  <c r="D241" i="30" a="1"/>
  <c r="D241" i="30" s="1"/>
  <c r="D242" i="30" a="1"/>
  <c r="D242" i="30" s="1"/>
  <c r="D243" i="30" a="1"/>
  <c r="D243" i="30" s="1"/>
  <c r="D244" i="30" a="1"/>
  <c r="D244" i="30" s="1"/>
  <c r="D245" i="30" a="1"/>
  <c r="D245" i="30" s="1"/>
  <c r="D246" i="30" a="1"/>
  <c r="D246" i="30" s="1"/>
  <c r="D247" i="30" a="1"/>
  <c r="D247" i="30" s="1"/>
  <c r="D248" i="30" a="1"/>
  <c r="D248" i="30" s="1"/>
  <c r="D249" i="30" a="1"/>
  <c r="D249" i="30" s="1"/>
  <c r="D250" i="30" a="1"/>
  <c r="D250" i="30" s="1"/>
  <c r="D251" i="30" a="1"/>
  <c r="D251" i="30" s="1"/>
  <c r="D252" i="30" a="1"/>
  <c r="D252" i="30" s="1"/>
  <c r="D253" i="30" a="1"/>
  <c r="D253" i="30" s="1"/>
  <c r="D254" i="30" a="1"/>
  <c r="D254" i="30" s="1"/>
  <c r="D255" i="30" a="1"/>
  <c r="D255" i="30" s="1"/>
  <c r="D256" i="30" a="1"/>
  <c r="D256" i="30" s="1"/>
  <c r="D257" i="30" a="1"/>
  <c r="D257" i="30" s="1"/>
  <c r="D258" i="30" a="1"/>
  <c r="D258" i="30" s="1"/>
  <c r="D259" i="30" a="1"/>
  <c r="D259" i="30" s="1"/>
  <c r="D260" i="30" a="1"/>
  <c r="D260" i="30" s="1"/>
  <c r="D261" i="30" a="1"/>
  <c r="D261" i="30" s="1"/>
  <c r="D262" i="30" a="1"/>
  <c r="D262" i="30" s="1"/>
  <c r="D263" i="30" a="1"/>
  <c r="D263" i="30" s="1"/>
  <c r="M11" i="43"/>
  <c r="M12" i="43" s="1"/>
  <c r="M13" i="43" s="1"/>
  <c r="M14" i="43" s="1"/>
  <c r="M15" i="43" s="1"/>
  <c r="M16" i="43" s="1"/>
  <c r="M17" i="43" s="1"/>
  <c r="M18" i="43" s="1"/>
  <c r="M19" i="43" s="1"/>
  <c r="M20" i="43" s="1"/>
  <c r="M21" i="43" s="1"/>
  <c r="M22" i="43" s="1"/>
  <c r="M23" i="43" s="1"/>
  <c r="M24" i="43" s="1"/>
  <c r="M25" i="43" s="1"/>
  <c r="M26" i="43" s="1"/>
  <c r="M27" i="43" s="1"/>
  <c r="M28" i="43" s="1"/>
  <c r="M29" i="43" s="1"/>
  <c r="M30" i="43" s="1"/>
  <c r="M31" i="43" s="1"/>
  <c r="M32" i="43" s="1"/>
  <c r="M33" i="43" s="1"/>
  <c r="M10" i="43"/>
  <c r="F6" i="43"/>
  <c r="Q12" i="43"/>
  <c r="R12" i="43"/>
  <c r="Q13" i="43"/>
  <c r="R13" i="43"/>
  <c r="Q14" i="43"/>
  <c r="R14" i="43"/>
  <c r="Q15" i="43"/>
  <c r="R15" i="43"/>
  <c r="Q17" i="43"/>
  <c r="R17" i="43"/>
  <c r="Q19" i="43"/>
  <c r="R19" i="43"/>
  <c r="Q20" i="43"/>
  <c r="R20" i="43"/>
  <c r="Q21" i="43"/>
  <c r="R21" i="43"/>
  <c r="Q22" i="43"/>
  <c r="R22" i="43"/>
  <c r="Q23" i="43"/>
  <c r="R23" i="43"/>
  <c r="Q24" i="43"/>
  <c r="R24" i="43"/>
  <c r="Q25" i="43"/>
  <c r="R25" i="43"/>
  <c r="Q26" i="43"/>
  <c r="R26" i="43"/>
  <c r="Q27" i="43"/>
  <c r="R27" i="43"/>
  <c r="Q28" i="43"/>
  <c r="R28" i="43"/>
  <c r="Q29" i="43"/>
  <c r="R29" i="43"/>
  <c r="Q30" i="43"/>
  <c r="R30" i="43"/>
  <c r="Q31" i="43"/>
  <c r="R31" i="43"/>
  <c r="Q32" i="43"/>
  <c r="R32" i="43"/>
  <c r="Q33" i="43"/>
  <c r="R33" i="43"/>
  <c r="Q34" i="43"/>
  <c r="R34" i="43"/>
  <c r="Q35" i="43"/>
  <c r="R35" i="43"/>
  <c r="Q36" i="43"/>
  <c r="R36" i="43"/>
  <c r="Q37" i="43"/>
  <c r="R37" i="43"/>
  <c r="Q38" i="43"/>
  <c r="R38" i="43"/>
  <c r="Q39" i="43"/>
  <c r="R39" i="43"/>
  <c r="Q40" i="43"/>
  <c r="R40" i="43"/>
  <c r="Q41" i="43"/>
  <c r="R41" i="43"/>
  <c r="Q42" i="43"/>
  <c r="R42" i="43"/>
  <c r="Q43" i="43"/>
  <c r="R43" i="43"/>
  <c r="Q44" i="43"/>
  <c r="R44" i="43"/>
  <c r="Q45" i="43"/>
  <c r="R45" i="43"/>
  <c r="Q46" i="43"/>
  <c r="R46" i="43"/>
  <c r="Q47" i="43"/>
  <c r="R47" i="43"/>
  <c r="Q48" i="43"/>
  <c r="R48" i="43"/>
  <c r="Q49" i="43"/>
  <c r="R49" i="43"/>
  <c r="Q50" i="43"/>
  <c r="R50" i="43"/>
  <c r="Q51" i="43"/>
  <c r="R51" i="43"/>
  <c r="Q52" i="43"/>
  <c r="R52" i="43"/>
  <c r="Q53" i="43"/>
  <c r="R53" i="43"/>
  <c r="Q54" i="43"/>
  <c r="R54" i="43"/>
  <c r="Q55" i="43"/>
  <c r="R55" i="43"/>
  <c r="Q56" i="43"/>
  <c r="R56" i="43"/>
  <c r="Q57" i="43"/>
  <c r="R57" i="43"/>
  <c r="Q58" i="43"/>
  <c r="R58" i="43"/>
  <c r="Q59" i="43"/>
  <c r="R59" i="43"/>
  <c r="Q60" i="43"/>
  <c r="R60" i="43"/>
  <c r="Q10" i="43"/>
  <c r="D15" i="43"/>
  <c r="S16" i="43"/>
  <c r="S17" i="43"/>
  <c r="S18" i="43"/>
  <c r="S19" i="43"/>
  <c r="S24" i="43"/>
  <c r="S26" i="43"/>
  <c r="S27" i="43"/>
  <c r="S32" i="43"/>
  <c r="J33" i="43"/>
  <c r="F34" i="43"/>
  <c r="J34" i="43" s="1"/>
  <c r="L34" i="43" s="1"/>
  <c r="F35" i="43"/>
  <c r="S35" i="43" s="1"/>
  <c r="F36" i="43"/>
  <c r="F37" i="43"/>
  <c r="F38" i="43"/>
  <c r="S38" i="43" s="1"/>
  <c r="E11" i="43"/>
  <c r="E12" i="43"/>
  <c r="E13" i="43"/>
  <c r="E14" i="43"/>
  <c r="E15" i="43"/>
  <c r="E16" i="43"/>
  <c r="E17" i="43"/>
  <c r="E18" i="43"/>
  <c r="E34" i="43"/>
  <c r="E35" i="43"/>
  <c r="E36" i="43"/>
  <c r="E37" i="43"/>
  <c r="E38" i="43"/>
  <c r="D12" i="43"/>
  <c r="D13" i="43"/>
  <c r="D14" i="43"/>
  <c r="D17" i="43"/>
  <c r="D34" i="43"/>
  <c r="D35" i="43"/>
  <c r="D36" i="43"/>
  <c r="D37" i="43"/>
  <c r="D38" i="43"/>
  <c r="E10" i="43"/>
  <c r="R10" i="43" s="1"/>
  <c r="C11" i="43"/>
  <c r="C12" i="43"/>
  <c r="C13" i="43"/>
  <c r="C14" i="43"/>
  <c r="C15" i="43"/>
  <c r="C16" i="43"/>
  <c r="C17" i="43"/>
  <c r="C18" i="43"/>
  <c r="C34" i="43"/>
  <c r="C35" i="43"/>
  <c r="C36" i="43"/>
  <c r="C37" i="43"/>
  <c r="C38" i="43"/>
  <c r="C10" i="43"/>
  <c r="C9" i="43"/>
  <c r="E6" i="43" s="1"/>
  <c r="C6" i="43" s="1"/>
  <c r="C419" i="44"/>
  <c r="B419" i="44"/>
  <c r="C418" i="44"/>
  <c r="B418" i="44"/>
  <c r="C417" i="44"/>
  <c r="B417" i="44"/>
  <c r="C416" i="44"/>
  <c r="B416" i="44"/>
  <c r="C415" i="44"/>
  <c r="B415" i="44"/>
  <c r="C414" i="44"/>
  <c r="B414" i="44"/>
  <c r="C413" i="44"/>
  <c r="B413" i="44"/>
  <c r="C412" i="44"/>
  <c r="B412" i="44"/>
  <c r="C411" i="44"/>
  <c r="B411" i="44"/>
  <c r="C410" i="44"/>
  <c r="B410" i="44"/>
  <c r="C409" i="44"/>
  <c r="B409" i="44"/>
  <c r="C408" i="44"/>
  <c r="B408" i="44"/>
  <c r="C407" i="44"/>
  <c r="B407" i="44"/>
  <c r="C406" i="44"/>
  <c r="B406" i="44"/>
  <c r="C405" i="44"/>
  <c r="B405" i="44"/>
  <c r="C404" i="44"/>
  <c r="B404" i="44"/>
  <c r="C403" i="44"/>
  <c r="B403" i="44"/>
  <c r="C402" i="44"/>
  <c r="B402" i="44"/>
  <c r="C401" i="44"/>
  <c r="B401" i="44"/>
  <c r="C400" i="44"/>
  <c r="B400" i="44"/>
  <c r="C399" i="44"/>
  <c r="B399" i="44"/>
  <c r="C398" i="44"/>
  <c r="B398" i="44"/>
  <c r="C397" i="44"/>
  <c r="B397" i="44"/>
  <c r="C396" i="44"/>
  <c r="B396" i="44"/>
  <c r="C395" i="44"/>
  <c r="B395" i="44"/>
  <c r="C394" i="44"/>
  <c r="B394" i="44"/>
  <c r="C393" i="44"/>
  <c r="B393" i="44"/>
  <c r="C392" i="44"/>
  <c r="B392" i="44"/>
  <c r="C391" i="44"/>
  <c r="B391" i="44"/>
  <c r="C390" i="44"/>
  <c r="B390" i="44"/>
  <c r="C389" i="44"/>
  <c r="B389" i="44"/>
  <c r="C388" i="44"/>
  <c r="B388" i="44"/>
  <c r="C387" i="44"/>
  <c r="B387" i="44"/>
  <c r="C386" i="44"/>
  <c r="B386" i="44"/>
  <c r="C385" i="44"/>
  <c r="B385" i="44"/>
  <c r="C384" i="44"/>
  <c r="B384" i="44"/>
  <c r="C383" i="44"/>
  <c r="B383" i="44"/>
  <c r="C382" i="44"/>
  <c r="B382" i="44"/>
  <c r="C381" i="44"/>
  <c r="B381" i="44"/>
  <c r="C380" i="44"/>
  <c r="B380" i="44"/>
  <c r="C379" i="44"/>
  <c r="B379" i="44"/>
  <c r="C378" i="44"/>
  <c r="B378" i="44"/>
  <c r="C377" i="44"/>
  <c r="B377" i="44"/>
  <c r="C376" i="44"/>
  <c r="B376" i="44"/>
  <c r="C375" i="44"/>
  <c r="B375" i="44"/>
  <c r="C374" i="44"/>
  <c r="B374" i="44"/>
  <c r="C373" i="44"/>
  <c r="B373" i="44"/>
  <c r="C372" i="44"/>
  <c r="B372" i="44"/>
  <c r="C371" i="44"/>
  <c r="B371" i="44"/>
  <c r="C370" i="44"/>
  <c r="B370" i="44"/>
  <c r="C369" i="44"/>
  <c r="B369" i="44"/>
  <c r="C368" i="44"/>
  <c r="B368" i="44"/>
  <c r="C367" i="44"/>
  <c r="B367" i="44"/>
  <c r="C366" i="44"/>
  <c r="B366" i="44"/>
  <c r="C365" i="44"/>
  <c r="B365" i="44"/>
  <c r="C364" i="44"/>
  <c r="B364" i="44"/>
  <c r="C363" i="44"/>
  <c r="B363" i="44"/>
  <c r="C362" i="44"/>
  <c r="B362" i="44"/>
  <c r="C361" i="44"/>
  <c r="B361" i="44"/>
  <c r="C360" i="44"/>
  <c r="B360" i="44"/>
  <c r="C359" i="44"/>
  <c r="B359" i="44"/>
  <c r="C358" i="44"/>
  <c r="B358" i="44"/>
  <c r="C357" i="44"/>
  <c r="B357" i="44"/>
  <c r="C356" i="44"/>
  <c r="B356" i="44"/>
  <c r="C355" i="44"/>
  <c r="B355" i="44"/>
  <c r="C354" i="44"/>
  <c r="B354" i="44"/>
  <c r="C353" i="44"/>
  <c r="B353" i="44"/>
  <c r="C352" i="44"/>
  <c r="B352" i="44"/>
  <c r="C351" i="44"/>
  <c r="B351" i="44"/>
  <c r="C350" i="44"/>
  <c r="B350" i="44"/>
  <c r="C349" i="44"/>
  <c r="B349" i="44"/>
  <c r="C348" i="44"/>
  <c r="B348" i="44"/>
  <c r="C347" i="44"/>
  <c r="B347" i="44"/>
  <c r="C346" i="44"/>
  <c r="B346" i="44"/>
  <c r="C345" i="44"/>
  <c r="B345" i="44"/>
  <c r="C344" i="44"/>
  <c r="B344" i="44"/>
  <c r="C343" i="44"/>
  <c r="B343" i="44"/>
  <c r="C342" i="44"/>
  <c r="B342" i="44"/>
  <c r="C341" i="44"/>
  <c r="B341" i="44"/>
  <c r="C340" i="44"/>
  <c r="B340" i="44"/>
  <c r="C339" i="44"/>
  <c r="B339" i="44"/>
  <c r="C338" i="44"/>
  <c r="B338" i="44"/>
  <c r="C337" i="44"/>
  <c r="B337" i="44"/>
  <c r="C336" i="44"/>
  <c r="B336" i="44"/>
  <c r="C335" i="44"/>
  <c r="B335" i="44"/>
  <c r="C334" i="44"/>
  <c r="B334" i="44"/>
  <c r="C333" i="44"/>
  <c r="B333" i="44"/>
  <c r="C332" i="44"/>
  <c r="B332" i="44"/>
  <c r="C331" i="44"/>
  <c r="B331" i="44"/>
  <c r="C330" i="44"/>
  <c r="B330" i="44"/>
  <c r="C329" i="44"/>
  <c r="B329" i="44"/>
  <c r="C328" i="44"/>
  <c r="B328" i="44"/>
  <c r="C327" i="44"/>
  <c r="B327" i="44"/>
  <c r="C326" i="44"/>
  <c r="B326" i="44"/>
  <c r="C325" i="44"/>
  <c r="B325" i="44"/>
  <c r="C324" i="44"/>
  <c r="B324" i="44"/>
  <c r="C323" i="44"/>
  <c r="B323" i="44"/>
  <c r="C322" i="44"/>
  <c r="B322" i="44"/>
  <c r="C321" i="44"/>
  <c r="B321" i="44"/>
  <c r="C320" i="44"/>
  <c r="B320" i="44"/>
  <c r="C319" i="44"/>
  <c r="B319" i="44"/>
  <c r="C318" i="44"/>
  <c r="B318" i="44"/>
  <c r="C317" i="44"/>
  <c r="B317" i="44"/>
  <c r="C316" i="44"/>
  <c r="B316" i="44"/>
  <c r="C315" i="44"/>
  <c r="B315" i="44"/>
  <c r="C314" i="44"/>
  <c r="B314" i="44"/>
  <c r="C313" i="44"/>
  <c r="B313" i="44"/>
  <c r="C312" i="44"/>
  <c r="B312" i="44"/>
  <c r="C311" i="44"/>
  <c r="B311" i="44"/>
  <c r="C310" i="44"/>
  <c r="B310" i="44"/>
  <c r="C309" i="44"/>
  <c r="B309" i="44"/>
  <c r="C308" i="44"/>
  <c r="B308" i="44"/>
  <c r="C307" i="44"/>
  <c r="B307" i="44"/>
  <c r="C306" i="44"/>
  <c r="B306" i="44"/>
  <c r="C305" i="44"/>
  <c r="B305" i="44"/>
  <c r="C304" i="44"/>
  <c r="B304" i="44"/>
  <c r="C303" i="44"/>
  <c r="B303" i="44"/>
  <c r="C302" i="44"/>
  <c r="B302" i="44"/>
  <c r="C301" i="44"/>
  <c r="B301" i="44"/>
  <c r="C300" i="44"/>
  <c r="B300" i="44"/>
  <c r="C299" i="44"/>
  <c r="B299" i="44"/>
  <c r="C298" i="44"/>
  <c r="B298" i="44"/>
  <c r="C297" i="44"/>
  <c r="B297" i="44"/>
  <c r="C296" i="44"/>
  <c r="B296" i="44"/>
  <c r="C295" i="44"/>
  <c r="B295" i="44"/>
  <c r="C294" i="44"/>
  <c r="B294" i="44"/>
  <c r="C293" i="44"/>
  <c r="B293" i="44"/>
  <c r="C292" i="44"/>
  <c r="B292" i="44"/>
  <c r="C291" i="44"/>
  <c r="B291" i="44"/>
  <c r="C290" i="44"/>
  <c r="B290" i="44"/>
  <c r="C289" i="44"/>
  <c r="B289" i="44"/>
  <c r="C288" i="44"/>
  <c r="B288" i="44"/>
  <c r="C287" i="44"/>
  <c r="B287" i="44"/>
  <c r="C286" i="44"/>
  <c r="B286" i="44"/>
  <c r="C285" i="44"/>
  <c r="B285" i="44"/>
  <c r="C284" i="44"/>
  <c r="B284" i="44"/>
  <c r="C283" i="44"/>
  <c r="B283" i="44"/>
  <c r="C282" i="44"/>
  <c r="B282" i="44"/>
  <c r="C281" i="44"/>
  <c r="B281" i="44"/>
  <c r="C280" i="44"/>
  <c r="B280" i="44"/>
  <c r="C279" i="44"/>
  <c r="B279" i="44"/>
  <c r="C278" i="44"/>
  <c r="B278" i="44"/>
  <c r="C277" i="44"/>
  <c r="B277" i="44"/>
  <c r="C276" i="44"/>
  <c r="B276" i="44"/>
  <c r="C275" i="44"/>
  <c r="B275" i="44"/>
  <c r="C274" i="44"/>
  <c r="B274" i="44"/>
  <c r="C273" i="44"/>
  <c r="B273" i="44"/>
  <c r="C272" i="44"/>
  <c r="B272" i="44"/>
  <c r="C271" i="44"/>
  <c r="B271" i="44"/>
  <c r="C270" i="44"/>
  <c r="B270" i="44"/>
  <c r="C269" i="44"/>
  <c r="B269" i="44"/>
  <c r="C268" i="44"/>
  <c r="B268" i="44"/>
  <c r="C267" i="44"/>
  <c r="B267" i="44"/>
  <c r="C266" i="44"/>
  <c r="B266" i="44"/>
  <c r="C265" i="44"/>
  <c r="B265" i="44"/>
  <c r="C264" i="44"/>
  <c r="B264" i="44"/>
  <c r="C263" i="44"/>
  <c r="B263" i="44"/>
  <c r="C262" i="44"/>
  <c r="B262" i="44"/>
  <c r="C261" i="44"/>
  <c r="B261" i="44"/>
  <c r="C260" i="44"/>
  <c r="B260" i="44"/>
  <c r="C259" i="44"/>
  <c r="B259" i="44"/>
  <c r="C258" i="44"/>
  <c r="B258" i="44"/>
  <c r="C257" i="44"/>
  <c r="B257" i="44"/>
  <c r="C256" i="44"/>
  <c r="B256" i="44"/>
  <c r="C255" i="44"/>
  <c r="B255" i="44"/>
  <c r="C254" i="44"/>
  <c r="B254" i="44"/>
  <c r="C253" i="44"/>
  <c r="B253" i="44"/>
  <c r="C252" i="44"/>
  <c r="B252" i="44"/>
  <c r="C251" i="44"/>
  <c r="B251" i="44"/>
  <c r="C250" i="44"/>
  <c r="B250" i="44"/>
  <c r="C249" i="44"/>
  <c r="B249" i="44"/>
  <c r="C248" i="44"/>
  <c r="B248" i="44"/>
  <c r="C247" i="44"/>
  <c r="B247" i="44"/>
  <c r="C246" i="44"/>
  <c r="B246" i="44"/>
  <c r="C245" i="44"/>
  <c r="B245" i="44"/>
  <c r="C244" i="44"/>
  <c r="B244" i="44"/>
  <c r="C243" i="44"/>
  <c r="B243" i="44"/>
  <c r="C242" i="44"/>
  <c r="B242" i="44"/>
  <c r="C241" i="44"/>
  <c r="B241" i="44"/>
  <c r="C240" i="44"/>
  <c r="B240" i="44"/>
  <c r="C239" i="44"/>
  <c r="B239" i="44"/>
  <c r="C238" i="44"/>
  <c r="B238" i="44"/>
  <c r="C237" i="44"/>
  <c r="B237" i="44"/>
  <c r="C236" i="44"/>
  <c r="B236" i="44"/>
  <c r="C235" i="44"/>
  <c r="B235" i="44"/>
  <c r="C234" i="44"/>
  <c r="B234" i="44"/>
  <c r="C233" i="44"/>
  <c r="B233" i="44"/>
  <c r="C232" i="44"/>
  <c r="B232" i="44"/>
  <c r="C231" i="44"/>
  <c r="B231" i="44"/>
  <c r="C230" i="44"/>
  <c r="B230" i="44"/>
  <c r="C229" i="44"/>
  <c r="B229" i="44"/>
  <c r="C228" i="44"/>
  <c r="B228" i="44"/>
  <c r="C227" i="44"/>
  <c r="B227" i="44"/>
  <c r="C226" i="44"/>
  <c r="B226" i="44"/>
  <c r="C225" i="44"/>
  <c r="B225" i="44"/>
  <c r="C224" i="44"/>
  <c r="B224" i="44"/>
  <c r="C223" i="44"/>
  <c r="B223" i="44"/>
  <c r="C222" i="44"/>
  <c r="B222" i="44"/>
  <c r="C221" i="44"/>
  <c r="B221" i="44"/>
  <c r="C220" i="44"/>
  <c r="B220" i="44"/>
  <c r="C219" i="44"/>
  <c r="B219" i="44"/>
  <c r="C218" i="44"/>
  <c r="B218" i="44"/>
  <c r="C217" i="44"/>
  <c r="B217" i="44"/>
  <c r="C216" i="44"/>
  <c r="B216" i="44"/>
  <c r="C215" i="44"/>
  <c r="B215" i="44"/>
  <c r="C214" i="44"/>
  <c r="B214" i="44"/>
  <c r="C213" i="44"/>
  <c r="B213" i="44"/>
  <c r="C212" i="44"/>
  <c r="B212" i="44"/>
  <c r="C211" i="44"/>
  <c r="B211" i="44"/>
  <c r="C210" i="44"/>
  <c r="B210" i="44"/>
  <c r="C209" i="44"/>
  <c r="B209" i="44"/>
  <c r="C208" i="44"/>
  <c r="B208" i="44"/>
  <c r="C207" i="44"/>
  <c r="B207" i="44"/>
  <c r="C206" i="44"/>
  <c r="B206" i="44"/>
  <c r="C205" i="44"/>
  <c r="B205" i="44"/>
  <c r="C204" i="44"/>
  <c r="B204" i="44"/>
  <c r="C203" i="44"/>
  <c r="B203" i="44"/>
  <c r="C202" i="44"/>
  <c r="B202" i="44"/>
  <c r="C201" i="44"/>
  <c r="B201" i="44"/>
  <c r="C200" i="44"/>
  <c r="B200" i="44"/>
  <c r="C199" i="44"/>
  <c r="B199" i="44"/>
  <c r="C198" i="44"/>
  <c r="B198" i="44"/>
  <c r="C197" i="44"/>
  <c r="B197" i="44"/>
  <c r="C196" i="44"/>
  <c r="B196" i="44"/>
  <c r="C195" i="44"/>
  <c r="B195" i="44"/>
  <c r="C194" i="44"/>
  <c r="B194" i="44"/>
  <c r="C193" i="44"/>
  <c r="B193" i="44"/>
  <c r="C192" i="44"/>
  <c r="B192" i="44"/>
  <c r="C191" i="44"/>
  <c r="B191" i="44"/>
  <c r="C190" i="44"/>
  <c r="B190" i="44"/>
  <c r="C189" i="44"/>
  <c r="B189" i="44"/>
  <c r="C188" i="44"/>
  <c r="B188" i="44"/>
  <c r="C187" i="44"/>
  <c r="B187" i="44"/>
  <c r="C186" i="44"/>
  <c r="B186" i="44"/>
  <c r="C185" i="44"/>
  <c r="B185" i="44"/>
  <c r="C184" i="44"/>
  <c r="B184" i="44"/>
  <c r="C183" i="44"/>
  <c r="B183" i="44"/>
  <c r="C182" i="44"/>
  <c r="B182" i="44"/>
  <c r="C181" i="44"/>
  <c r="B181" i="44"/>
  <c r="C180" i="44"/>
  <c r="B180" i="44"/>
  <c r="C179" i="44"/>
  <c r="B179" i="44"/>
  <c r="C178" i="44"/>
  <c r="B178" i="44"/>
  <c r="C177" i="44"/>
  <c r="B177" i="44"/>
  <c r="C176" i="44"/>
  <c r="B176" i="44"/>
  <c r="C175" i="44"/>
  <c r="B175" i="44"/>
  <c r="C174" i="44"/>
  <c r="B174" i="44"/>
  <c r="C173" i="44"/>
  <c r="B173" i="44"/>
  <c r="C172" i="44"/>
  <c r="B172" i="44"/>
  <c r="C171" i="44"/>
  <c r="B171" i="44"/>
  <c r="C170" i="44"/>
  <c r="B170" i="44"/>
  <c r="C169" i="44"/>
  <c r="B169" i="44"/>
  <c r="C168" i="44"/>
  <c r="B168" i="44"/>
  <c r="C167" i="44"/>
  <c r="B167" i="44"/>
  <c r="C166" i="44"/>
  <c r="B166" i="44"/>
  <c r="C165" i="44"/>
  <c r="B165" i="44"/>
  <c r="C164" i="44"/>
  <c r="B164" i="44"/>
  <c r="C163" i="44"/>
  <c r="B163" i="44"/>
  <c r="C162" i="44"/>
  <c r="B162" i="44"/>
  <c r="C161" i="44"/>
  <c r="B161" i="44"/>
  <c r="C160" i="44"/>
  <c r="B160" i="44"/>
  <c r="C159" i="44"/>
  <c r="B159" i="44"/>
  <c r="C158" i="44"/>
  <c r="B158" i="44"/>
  <c r="C157" i="44"/>
  <c r="B157" i="44"/>
  <c r="C156" i="44"/>
  <c r="B156" i="44"/>
  <c r="C155" i="44"/>
  <c r="B155" i="44"/>
  <c r="C154" i="44"/>
  <c r="B154" i="44"/>
  <c r="C153" i="44"/>
  <c r="B153" i="44"/>
  <c r="C152" i="44"/>
  <c r="B152" i="44"/>
  <c r="C151" i="44"/>
  <c r="B151" i="44"/>
  <c r="C150" i="44"/>
  <c r="B150" i="44"/>
  <c r="C149" i="44"/>
  <c r="B149" i="44"/>
  <c r="C148" i="44"/>
  <c r="B148" i="44"/>
  <c r="C147" i="44"/>
  <c r="B147" i="44"/>
  <c r="C146" i="44"/>
  <c r="B146" i="44"/>
  <c r="C145" i="44"/>
  <c r="B145" i="44"/>
  <c r="C144" i="44"/>
  <c r="B144" i="44"/>
  <c r="C143" i="44"/>
  <c r="B143" i="44"/>
  <c r="C142" i="44"/>
  <c r="B142" i="44"/>
  <c r="C141" i="44"/>
  <c r="B141" i="44"/>
  <c r="C140" i="44"/>
  <c r="B140" i="44"/>
  <c r="C139" i="44"/>
  <c r="B139" i="44"/>
  <c r="C138" i="44"/>
  <c r="B138" i="44"/>
  <c r="C137" i="44"/>
  <c r="B137" i="44"/>
  <c r="C136" i="44"/>
  <c r="B136" i="44"/>
  <c r="C135" i="44"/>
  <c r="B135" i="44"/>
  <c r="C134" i="44"/>
  <c r="B134" i="44"/>
  <c r="C133" i="44"/>
  <c r="B133" i="44"/>
  <c r="C132" i="44"/>
  <c r="B132" i="44"/>
  <c r="C131" i="44"/>
  <c r="B131" i="44"/>
  <c r="C130" i="44"/>
  <c r="B130" i="44"/>
  <c r="C129" i="44"/>
  <c r="B129" i="44"/>
  <c r="C128" i="44"/>
  <c r="B128" i="44"/>
  <c r="C127" i="44"/>
  <c r="B127" i="44"/>
  <c r="C126" i="44"/>
  <c r="B126" i="44"/>
  <c r="C125" i="44"/>
  <c r="B125" i="44"/>
  <c r="C124" i="44"/>
  <c r="B124" i="44"/>
  <c r="C123" i="44"/>
  <c r="B123" i="44"/>
  <c r="C122" i="44"/>
  <c r="B122" i="44"/>
  <c r="C121" i="44"/>
  <c r="B121" i="44"/>
  <c r="C120" i="44"/>
  <c r="B120" i="44"/>
  <c r="C119" i="44"/>
  <c r="B119" i="44"/>
  <c r="C118" i="44"/>
  <c r="B118" i="44"/>
  <c r="C117" i="44"/>
  <c r="B117" i="44"/>
  <c r="C116" i="44"/>
  <c r="B116" i="44"/>
  <c r="C115" i="44"/>
  <c r="B115" i="44"/>
  <c r="C114" i="44"/>
  <c r="B114" i="44"/>
  <c r="C113" i="44"/>
  <c r="B113" i="44"/>
  <c r="C112" i="44"/>
  <c r="B112" i="44"/>
  <c r="C111" i="44"/>
  <c r="B111" i="44"/>
  <c r="C110" i="44"/>
  <c r="B110" i="44"/>
  <c r="C109" i="44"/>
  <c r="B109" i="44"/>
  <c r="C108" i="44"/>
  <c r="B108" i="44"/>
  <c r="C107" i="44"/>
  <c r="B107" i="44"/>
  <c r="C106" i="44"/>
  <c r="B106" i="44"/>
  <c r="C105" i="44"/>
  <c r="B105" i="44"/>
  <c r="C104" i="44"/>
  <c r="B104" i="44"/>
  <c r="C103" i="44"/>
  <c r="B103" i="44"/>
  <c r="C102" i="44"/>
  <c r="B102" i="44"/>
  <c r="C101" i="44"/>
  <c r="B101" i="44"/>
  <c r="C100" i="44"/>
  <c r="B100" i="44"/>
  <c r="C99" i="44"/>
  <c r="B99" i="44"/>
  <c r="C98" i="44"/>
  <c r="B98" i="44"/>
  <c r="C97" i="44"/>
  <c r="B97" i="44"/>
  <c r="C96" i="44"/>
  <c r="B96" i="44"/>
  <c r="C95" i="44"/>
  <c r="B95" i="44"/>
  <c r="C94" i="44"/>
  <c r="B94" i="44"/>
  <c r="C93" i="44"/>
  <c r="B93" i="44"/>
  <c r="C92" i="44"/>
  <c r="B92" i="44"/>
  <c r="C91" i="44"/>
  <c r="B91" i="44"/>
  <c r="C90" i="44"/>
  <c r="B90" i="44"/>
  <c r="C89" i="44"/>
  <c r="B89" i="44"/>
  <c r="C88" i="44"/>
  <c r="B88" i="44"/>
  <c r="C87" i="44"/>
  <c r="B87" i="44"/>
  <c r="C86" i="44"/>
  <c r="B86" i="44"/>
  <c r="C85" i="44"/>
  <c r="B85" i="44"/>
  <c r="C84" i="44"/>
  <c r="B84" i="44"/>
  <c r="C83" i="44"/>
  <c r="B83" i="44"/>
  <c r="C82" i="44"/>
  <c r="B82" i="44"/>
  <c r="C81" i="44"/>
  <c r="B81" i="44"/>
  <c r="C80" i="44"/>
  <c r="B80" i="44"/>
  <c r="C79" i="44"/>
  <c r="B79" i="44"/>
  <c r="C78" i="44"/>
  <c r="B78" i="44"/>
  <c r="C77" i="44"/>
  <c r="B77" i="44"/>
  <c r="C76" i="44"/>
  <c r="B76" i="44"/>
  <c r="C75" i="44"/>
  <c r="B75" i="44"/>
  <c r="C74" i="44"/>
  <c r="B74" i="44"/>
  <c r="C73" i="44"/>
  <c r="B73" i="44"/>
  <c r="C72" i="44"/>
  <c r="B72" i="44"/>
  <c r="C71" i="44"/>
  <c r="B71" i="44"/>
  <c r="C70" i="44"/>
  <c r="B70" i="44"/>
  <c r="C69" i="44"/>
  <c r="B69" i="44"/>
  <c r="C68" i="44"/>
  <c r="B68" i="44"/>
  <c r="C67" i="44"/>
  <c r="B67" i="44"/>
  <c r="C66" i="44"/>
  <c r="B66" i="44"/>
  <c r="C65" i="44"/>
  <c r="B65" i="44"/>
  <c r="C64" i="44"/>
  <c r="B64" i="44"/>
  <c r="C63" i="44"/>
  <c r="B63" i="44"/>
  <c r="C62" i="44"/>
  <c r="B62" i="44"/>
  <c r="C61" i="44"/>
  <c r="B61" i="44"/>
  <c r="C60" i="44"/>
  <c r="B60" i="44"/>
  <c r="C59" i="44"/>
  <c r="B59" i="44"/>
  <c r="C58" i="44"/>
  <c r="B58" i="44"/>
  <c r="C57" i="44"/>
  <c r="B57" i="44"/>
  <c r="C56" i="44"/>
  <c r="B56" i="44"/>
  <c r="C55" i="44"/>
  <c r="B55" i="44"/>
  <c r="C54" i="44"/>
  <c r="B54" i="44"/>
  <c r="C53" i="44"/>
  <c r="B53" i="44"/>
  <c r="C52" i="44"/>
  <c r="B52" i="44"/>
  <c r="C51" i="44"/>
  <c r="B51" i="44"/>
  <c r="C50" i="44"/>
  <c r="B50" i="44"/>
  <c r="C49" i="44"/>
  <c r="B49" i="44"/>
  <c r="C48" i="44"/>
  <c r="B48" i="44"/>
  <c r="C47" i="44"/>
  <c r="B47" i="44"/>
  <c r="C46" i="44"/>
  <c r="B46" i="44"/>
  <c r="C45" i="44"/>
  <c r="B45" i="44"/>
  <c r="C44" i="44"/>
  <c r="B44" i="44"/>
  <c r="C43" i="44"/>
  <c r="B43" i="44"/>
  <c r="C42" i="44"/>
  <c r="B42" i="44"/>
  <c r="C41" i="44"/>
  <c r="B41" i="44"/>
  <c r="C40" i="44"/>
  <c r="B40" i="44"/>
  <c r="C39" i="44"/>
  <c r="B39" i="44"/>
  <c r="C38" i="44"/>
  <c r="B38" i="44"/>
  <c r="C37" i="44"/>
  <c r="B37" i="44"/>
  <c r="C36" i="44"/>
  <c r="B36" i="44"/>
  <c r="C35" i="44"/>
  <c r="B35" i="44"/>
  <c r="C34" i="44"/>
  <c r="B34" i="44"/>
  <c r="C33" i="44"/>
  <c r="B33" i="44"/>
  <c r="C32" i="44"/>
  <c r="B32" i="44"/>
  <c r="C31" i="44"/>
  <c r="B31" i="44"/>
  <c r="C30" i="44"/>
  <c r="B30" i="44"/>
  <c r="C29" i="44"/>
  <c r="B29" i="44"/>
  <c r="D15" i="44"/>
  <c r="D12" i="44"/>
  <c r="D11" i="44"/>
  <c r="D10" i="44"/>
  <c r="D8" i="44"/>
  <c r="D5" i="44"/>
  <c r="D4" i="44"/>
  <c r="D2" i="44"/>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S60" i="43"/>
  <c r="C60" i="43"/>
  <c r="B60" i="43"/>
  <c r="S59" i="43"/>
  <c r="C59" i="43"/>
  <c r="B59" i="43"/>
  <c r="S58" i="43"/>
  <c r="C58" i="43"/>
  <c r="B58" i="43"/>
  <c r="S57" i="43"/>
  <c r="C57" i="43"/>
  <c r="B57" i="43"/>
  <c r="S56" i="43"/>
  <c r="C56" i="43"/>
  <c r="B56" i="43"/>
  <c r="S55" i="43"/>
  <c r="C55" i="43"/>
  <c r="B55" i="43"/>
  <c r="S54" i="43"/>
  <c r="C54" i="43"/>
  <c r="B54" i="43"/>
  <c r="S53" i="43"/>
  <c r="C53" i="43"/>
  <c r="B53" i="43"/>
  <c r="S52" i="43"/>
  <c r="C52" i="43"/>
  <c r="B52" i="43"/>
  <c r="S51" i="43"/>
  <c r="C51" i="43"/>
  <c r="B51" i="43"/>
  <c r="S50" i="43"/>
  <c r="C50" i="43"/>
  <c r="B50" i="43"/>
  <c r="S49" i="43"/>
  <c r="C49" i="43"/>
  <c r="B49" i="43"/>
  <c r="S48" i="43"/>
  <c r="C48" i="43"/>
  <c r="B48" i="43"/>
  <c r="S47" i="43"/>
  <c r="C47" i="43"/>
  <c r="B47" i="43"/>
  <c r="S46" i="43"/>
  <c r="C46" i="43"/>
  <c r="B46" i="43"/>
  <c r="S45" i="43"/>
  <c r="K45" i="43"/>
  <c r="J45" i="43"/>
  <c r="L45" i="43" s="1"/>
  <c r="C45" i="43"/>
  <c r="B45" i="43"/>
  <c r="S44" i="43"/>
  <c r="K44" i="43"/>
  <c r="L44" i="43" s="1"/>
  <c r="J44" i="43"/>
  <c r="C44" i="43"/>
  <c r="B44" i="43"/>
  <c r="S43" i="43"/>
  <c r="K43" i="43"/>
  <c r="J43" i="43"/>
  <c r="L43" i="43" s="1"/>
  <c r="C43" i="43"/>
  <c r="B43" i="43"/>
  <c r="T42" i="43"/>
  <c r="S42" i="43"/>
  <c r="L42" i="43"/>
  <c r="P42" i="43" s="1"/>
  <c r="K42" i="43"/>
  <c r="J42" i="43"/>
  <c r="C42" i="43"/>
  <c r="B42" i="43"/>
  <c r="T41" i="43"/>
  <c r="S41" i="43"/>
  <c r="K41" i="43"/>
  <c r="J41" i="43"/>
  <c r="L41" i="43" s="1"/>
  <c r="B41" i="43"/>
  <c r="T40" i="43"/>
  <c r="S40" i="43"/>
  <c r="K40" i="43"/>
  <c r="L40" i="43" s="1"/>
  <c r="J40" i="43"/>
  <c r="T39" i="43"/>
  <c r="S39" i="43"/>
  <c r="K39" i="43"/>
  <c r="L39" i="43" s="1"/>
  <c r="J39" i="43"/>
  <c r="T38" i="43"/>
  <c r="K38" i="43"/>
  <c r="J38" i="43"/>
  <c r="L38" i="43" s="1"/>
  <c r="B38" i="43"/>
  <c r="S37" i="43"/>
  <c r="K37" i="43"/>
  <c r="L37" i="43" s="1"/>
  <c r="J37" i="43"/>
  <c r="B37" i="43"/>
  <c r="T36" i="43"/>
  <c r="S36" i="43"/>
  <c r="K36" i="43"/>
  <c r="J36" i="43"/>
  <c r="L36" i="43" s="1"/>
  <c r="B36" i="43"/>
  <c r="T35" i="43"/>
  <c r="K35" i="43"/>
  <c r="B35" i="43"/>
  <c r="T34" i="43"/>
  <c r="S34" i="43"/>
  <c r="K34" i="43"/>
  <c r="B34" i="43"/>
  <c r="T33" i="43"/>
  <c r="S33" i="43"/>
  <c r="K33" i="43"/>
  <c r="B33" i="43"/>
  <c r="T32" i="43"/>
  <c r="K32" i="43"/>
  <c r="J32" i="43"/>
  <c r="L32" i="43" s="1"/>
  <c r="B32" i="43"/>
  <c r="T31" i="43"/>
  <c r="S31" i="43"/>
  <c r="K31" i="43"/>
  <c r="L31" i="43" s="1"/>
  <c r="J31" i="43"/>
  <c r="B31" i="43"/>
  <c r="T30" i="43"/>
  <c r="S30" i="43"/>
  <c r="K30" i="43"/>
  <c r="J30" i="43"/>
  <c r="B30" i="43"/>
  <c r="T29" i="43"/>
  <c r="S29" i="43"/>
  <c r="K29" i="43"/>
  <c r="J29" i="43"/>
  <c r="L29" i="43" s="1"/>
  <c r="B29" i="43"/>
  <c r="T28" i="43"/>
  <c r="S28" i="43"/>
  <c r="K28" i="43"/>
  <c r="L28" i="43" s="1"/>
  <c r="J28" i="43"/>
  <c r="B28" i="43"/>
  <c r="T27" i="43"/>
  <c r="K27" i="43"/>
  <c r="B27" i="43"/>
  <c r="T26" i="43"/>
  <c r="K26" i="43"/>
  <c r="B26" i="43"/>
  <c r="T25" i="43"/>
  <c r="S25" i="43"/>
  <c r="K25" i="43"/>
  <c r="J25" i="43"/>
  <c r="B25" i="43"/>
  <c r="T24" i="43"/>
  <c r="K24" i="43"/>
  <c r="J24" i="43"/>
  <c r="L24" i="43" s="1"/>
  <c r="B24" i="43"/>
  <c r="T23" i="43"/>
  <c r="S23" i="43"/>
  <c r="K23" i="43"/>
  <c r="J23" i="43"/>
  <c r="L23" i="43" s="1"/>
  <c r="B23" i="43"/>
  <c r="T22" i="43"/>
  <c r="S22" i="43"/>
  <c r="K22" i="43"/>
  <c r="J22" i="43"/>
  <c r="B22" i="43"/>
  <c r="T21" i="43"/>
  <c r="S21" i="43"/>
  <c r="K21" i="43"/>
  <c r="L21" i="43" s="1"/>
  <c r="J21" i="43"/>
  <c r="B21" i="43"/>
  <c r="T20" i="43"/>
  <c r="S20" i="43"/>
  <c r="K20" i="43"/>
  <c r="J20" i="43"/>
  <c r="L20" i="43" s="1"/>
  <c r="B20" i="43"/>
  <c r="T19" i="43"/>
  <c r="K19" i="43"/>
  <c r="J19" i="43"/>
  <c r="L19" i="43" s="1"/>
  <c r="B19" i="43"/>
  <c r="K18" i="43"/>
  <c r="J18" i="43"/>
  <c r="B18" i="43"/>
  <c r="T17" i="43"/>
  <c r="D73" i="44" a="1"/>
  <c r="D73" i="44" s="1"/>
  <c r="K17" i="43"/>
  <c r="J17" i="43"/>
  <c r="B17" i="43"/>
  <c r="K16" i="43"/>
  <c r="J16" i="43"/>
  <c r="B16" i="43"/>
  <c r="T15" i="43"/>
  <c r="S15" i="43"/>
  <c r="D63" i="44" s="1" a="1"/>
  <c r="D63" i="44" s="1"/>
  <c r="K15" i="43"/>
  <c r="J15" i="43"/>
  <c r="L15" i="43" s="1"/>
  <c r="B15" i="43"/>
  <c r="T14" i="43"/>
  <c r="S14" i="43"/>
  <c r="D57" i="44" s="1" a="1"/>
  <c r="D57" i="44" s="1"/>
  <c r="K14" i="43"/>
  <c r="J14" i="43"/>
  <c r="L14" i="43" s="1"/>
  <c r="P14" i="43" s="1"/>
  <c r="B14" i="43"/>
  <c r="T13" i="43"/>
  <c r="S13" i="43"/>
  <c r="D51" i="44" s="1" a="1"/>
  <c r="D51" i="44" s="1"/>
  <c r="K13" i="43"/>
  <c r="J13" i="43"/>
  <c r="L13" i="43" s="1"/>
  <c r="B13" i="43"/>
  <c r="T12" i="43"/>
  <c r="S12" i="43"/>
  <c r="D45" i="44" s="1" a="1"/>
  <c r="D45" i="44" s="1"/>
  <c r="D43" i="44" a="1"/>
  <c r="D43" i="44" s="1"/>
  <c r="K12" i="43"/>
  <c r="J12" i="43"/>
  <c r="L12" i="43" s="1"/>
  <c r="B12" i="43"/>
  <c r="K11" i="43"/>
  <c r="B11" i="43"/>
  <c r="T10" i="43"/>
  <c r="S10" i="43"/>
  <c r="D33" i="44" s="1" a="1"/>
  <c r="D33" i="44" s="1"/>
  <c r="D31" i="44" a="1"/>
  <c r="D31" i="44" s="1"/>
  <c r="T11" i="43"/>
  <c r="L10" i="43"/>
  <c r="K10" i="43"/>
  <c r="J10" i="43"/>
  <c r="B10" i="43"/>
  <c r="B9" i="43"/>
  <c r="B9" i="33"/>
  <c r="N9" i="33"/>
  <c r="B10" i="33"/>
  <c r="B11" i="33"/>
  <c r="N11" i="33"/>
  <c r="B12" i="33"/>
  <c r="B13" i="33"/>
  <c r="B14" i="33"/>
  <c r="B15" i="33"/>
  <c r="N15" i="33"/>
  <c r="B16" i="33"/>
  <c r="B17" i="33"/>
  <c r="B18" i="33"/>
  <c r="B19" i="33"/>
  <c r="N19" i="33"/>
  <c r="B20" i="33"/>
  <c r="N20" i="33"/>
  <c r="B21" i="33"/>
  <c r="B22" i="33"/>
  <c r="B23" i="33"/>
  <c r="B24" i="33"/>
  <c r="B25" i="3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D81" i="34" s="1" a="1"/>
  <c r="D81" i="34" s="1"/>
  <c r="D81" i="73" s="1"/>
  <c r="C81" i="34"/>
  <c r="B82" i="34"/>
  <c r="D82" i="34" s="1" a="1"/>
  <c r="D82" i="34" s="1"/>
  <c r="D82" i="73" s="1"/>
  <c r="C82" i="34"/>
  <c r="B83" i="34"/>
  <c r="C83" i="34"/>
  <c r="B84" i="34"/>
  <c r="D84" i="34" s="1" a="1"/>
  <c r="D84" i="34" s="1"/>
  <c r="D84" i="73" s="1"/>
  <c r="C84" i="34"/>
  <c r="B85" i="34"/>
  <c r="C85" i="34"/>
  <c r="B86" i="34"/>
  <c r="D86" i="34" s="1" a="1"/>
  <c r="D86" i="34" s="1"/>
  <c r="D86" i="73" s="1"/>
  <c r="C86" i="34"/>
  <c r="B87" i="34"/>
  <c r="C87" i="34"/>
  <c r="B88" i="34"/>
  <c r="C88" i="34"/>
  <c r="B89" i="34"/>
  <c r="D89" i="34" s="1" a="1"/>
  <c r="D89" i="34" s="1"/>
  <c r="D89" i="73" s="1"/>
  <c r="C89" i="34"/>
  <c r="B90" i="34"/>
  <c r="D90" i="34" s="1" a="1"/>
  <c r="D90" i="34" s="1"/>
  <c r="D90" i="73" s="1"/>
  <c r="C90" i="34"/>
  <c r="B91" i="34"/>
  <c r="C91" i="34"/>
  <c r="D91" i="34" s="1" a="1"/>
  <c r="D91" i="34" s="1"/>
  <c r="D91" i="73" s="1"/>
  <c r="B92" i="34"/>
  <c r="D92" i="34" s="1" a="1"/>
  <c r="D92" i="34" s="1"/>
  <c r="D92" i="73" s="1"/>
  <c r="C92" i="34"/>
  <c r="B93" i="34"/>
  <c r="C93" i="34"/>
  <c r="B94" i="34"/>
  <c r="D94" i="34" s="1" a="1"/>
  <c r="D94" i="34" s="1"/>
  <c r="D94" i="73" s="1"/>
  <c r="C94" i="34"/>
  <c r="B95" i="34"/>
  <c r="C95" i="34"/>
  <c r="B96" i="34"/>
  <c r="C96" i="34"/>
  <c r="B97" i="34"/>
  <c r="C97" i="34"/>
  <c r="B98" i="34"/>
  <c r="C98" i="34"/>
  <c r="B99" i="34"/>
  <c r="C99" i="34"/>
  <c r="B100" i="34"/>
  <c r="C100" i="34"/>
  <c r="B101" i="34"/>
  <c r="D101" i="34" s="1" a="1"/>
  <c r="D101" i="34" s="1"/>
  <c r="D101" i="73" s="1"/>
  <c r="C101" i="34"/>
  <c r="B102" i="34"/>
  <c r="C102" i="34"/>
  <c r="B103" i="34"/>
  <c r="C103" i="34"/>
  <c r="B104" i="34"/>
  <c r="C104" i="34"/>
  <c r="B105" i="34"/>
  <c r="C105" i="34"/>
  <c r="B106" i="34"/>
  <c r="D106" i="34" s="1" a="1"/>
  <c r="D106" i="34" s="1"/>
  <c r="D106" i="73" s="1"/>
  <c r="C106" i="34"/>
  <c r="B107" i="34"/>
  <c r="D107" i="34" s="1" a="1"/>
  <c r="D107" i="34" s="1"/>
  <c r="D107" i="73" s="1"/>
  <c r="C107" i="34"/>
  <c r="B108" i="34"/>
  <c r="C108" i="34"/>
  <c r="B109" i="34"/>
  <c r="D109" i="34" s="1" a="1"/>
  <c r="D109" i="34" s="1"/>
  <c r="C109" i="34"/>
  <c r="B110" i="34"/>
  <c r="C110" i="34"/>
  <c r="B111" i="34"/>
  <c r="C111" i="34"/>
  <c r="D111" i="34" s="1" a="1"/>
  <c r="D111" i="34" s="1"/>
  <c r="B112" i="34"/>
  <c r="C112" i="34"/>
  <c r="B113" i="34"/>
  <c r="D113" i="34" s="1" a="1"/>
  <c r="D113" i="34" s="1"/>
  <c r="C113" i="34"/>
  <c r="B114" i="34"/>
  <c r="D114" i="34" s="1" a="1"/>
  <c r="D114" i="34" s="1"/>
  <c r="C114" i="34"/>
  <c r="B115" i="34"/>
  <c r="C115" i="34"/>
  <c r="D115" i="34" s="1" a="1"/>
  <c r="D115" i="34" s="1"/>
  <c r="B116" i="34"/>
  <c r="D116" i="34" s="1" a="1"/>
  <c r="D116" i="34" s="1"/>
  <c r="C116" i="34"/>
  <c r="B117" i="34"/>
  <c r="C117" i="34"/>
  <c r="B118" i="34"/>
  <c r="D118" i="34" s="1" a="1"/>
  <c r="D118" i="34" s="1"/>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D135" i="34" s="1" a="1"/>
  <c r="D135" i="34" s="1"/>
  <c r="B136" i="34"/>
  <c r="C136" i="34"/>
  <c r="B137" i="34"/>
  <c r="D137" i="34" s="1" a="1"/>
  <c r="D137" i="34" s="1"/>
  <c r="C137" i="34"/>
  <c r="B138" i="34"/>
  <c r="C138" i="34"/>
  <c r="B139" i="34"/>
  <c r="C139" i="34"/>
  <c r="D139" i="34" s="1" a="1"/>
  <c r="D139" i="34" s="1"/>
  <c r="B140" i="34"/>
  <c r="C140" i="34"/>
  <c r="B141" i="34"/>
  <c r="D141" i="34" s="1" a="1"/>
  <c r="D141" i="34" s="1"/>
  <c r="C141" i="34"/>
  <c r="B142" i="34"/>
  <c r="D142" i="34" s="1" a="1"/>
  <c r="D142" i="34" s="1"/>
  <c r="C142" i="34"/>
  <c r="B143" i="34"/>
  <c r="C143" i="34"/>
  <c r="B144" i="34"/>
  <c r="C144" i="34"/>
  <c r="B145" i="34"/>
  <c r="D145" i="34" s="1" a="1"/>
  <c r="D145" i="34" s="1"/>
  <c r="C145" i="34"/>
  <c r="B146" i="34"/>
  <c r="D146" i="34" s="1" a="1"/>
  <c r="D146" i="34" s="1"/>
  <c r="C146" i="34"/>
  <c r="B147" i="34"/>
  <c r="C147" i="34"/>
  <c r="B148" i="34"/>
  <c r="C148" i="34"/>
  <c r="B149" i="34"/>
  <c r="D149" i="34" s="1" a="1"/>
  <c r="D149" i="34" s="1"/>
  <c r="C149" i="34"/>
  <c r="B150" i="34"/>
  <c r="D150" i="34" s="1" a="1"/>
  <c r="D150" i="34" s="1"/>
  <c r="C150" i="34"/>
  <c r="B151" i="34"/>
  <c r="D151" i="34" s="1" a="1"/>
  <c r="D151" i="34" s="1"/>
  <c r="C151" i="34"/>
  <c r="B152" i="34"/>
  <c r="D152" i="34" s="1" a="1"/>
  <c r="D152" i="34" s="1"/>
  <c r="C152" i="34"/>
  <c r="B153" i="34"/>
  <c r="D153" i="34" s="1" a="1"/>
  <c r="D153" i="34" s="1"/>
  <c r="C153" i="34"/>
  <c r="B154" i="34"/>
  <c r="D154" i="34" s="1" a="1"/>
  <c r="D154" i="34" s="1"/>
  <c r="C154" i="34"/>
  <c r="B155" i="34"/>
  <c r="C155" i="34"/>
  <c r="B156" i="34"/>
  <c r="D156" i="34" s="1" a="1"/>
  <c r="D156" i="34" s="1"/>
  <c r="C156" i="34"/>
  <c r="B157" i="34"/>
  <c r="D157" i="34" s="1" a="1"/>
  <c r="D157" i="34" s="1"/>
  <c r="C157" i="34"/>
  <c r="B158" i="34"/>
  <c r="D158" i="34" s="1" a="1"/>
  <c r="D158" i="34" s="1"/>
  <c r="C158" i="34"/>
  <c r="B159" i="34"/>
  <c r="C159" i="34"/>
  <c r="D159" i="34" s="1" a="1"/>
  <c r="D159" i="34" s="1"/>
  <c r="B160" i="34"/>
  <c r="C160" i="34"/>
  <c r="B161" i="34"/>
  <c r="D161" i="34" s="1" a="1"/>
  <c r="D161" i="34" s="1"/>
  <c r="C161" i="34"/>
  <c r="B162" i="34"/>
  <c r="C162" i="34"/>
  <c r="B163" i="34"/>
  <c r="C163" i="34"/>
  <c r="D163" i="34" s="1" a="1"/>
  <c r="D163" i="34" s="1"/>
  <c r="B164" i="34"/>
  <c r="C164" i="34"/>
  <c r="B165" i="34"/>
  <c r="D165" i="34" s="1" a="1"/>
  <c r="D165" i="34" s="1"/>
  <c r="C165" i="34"/>
  <c r="B166" i="34"/>
  <c r="C166" i="34"/>
  <c r="B167" i="34"/>
  <c r="C167" i="34"/>
  <c r="D167" i="34" s="1" a="1"/>
  <c r="D167" i="34" s="1"/>
  <c r="B168" i="34"/>
  <c r="C168" i="34"/>
  <c r="B169" i="34"/>
  <c r="D169" i="34" s="1" a="1"/>
  <c r="D169" i="34" s="1"/>
  <c r="C169" i="34"/>
  <c r="B170" i="34"/>
  <c r="D170" i="34" s="1" a="1"/>
  <c r="D170" i="34" s="1"/>
  <c r="C170" i="34"/>
  <c r="B171" i="34"/>
  <c r="C171" i="34"/>
  <c r="B172" i="34"/>
  <c r="C172" i="34"/>
  <c r="B173" i="34"/>
  <c r="D173" i="34" s="1" a="1"/>
  <c r="D173" i="34" s="1"/>
  <c r="C173" i="34"/>
  <c r="B174" i="34"/>
  <c r="C174" i="34"/>
  <c r="B175" i="34"/>
  <c r="C175" i="34"/>
  <c r="B176" i="34"/>
  <c r="C176" i="34"/>
  <c r="B177" i="34"/>
  <c r="C177" i="34"/>
  <c r="B178" i="34"/>
  <c r="D178" i="34" s="1" a="1"/>
  <c r="D178" i="34" s="1"/>
  <c r="C178" i="34"/>
  <c r="B179" i="34"/>
  <c r="C179" i="34"/>
  <c r="B180" i="34"/>
  <c r="D180" i="34" s="1" a="1"/>
  <c r="D180" i="34" s="1"/>
  <c r="C180" i="34"/>
  <c r="B181" i="34"/>
  <c r="D181" i="34" s="1" a="1"/>
  <c r="D181" i="34" s="1"/>
  <c r="C181" i="34"/>
  <c r="B182" i="34"/>
  <c r="D182" i="34" s="1" a="1"/>
  <c r="D182" i="34" s="1"/>
  <c r="C182" i="34"/>
  <c r="B183" i="34"/>
  <c r="C183" i="34"/>
  <c r="D183" i="34" s="1" a="1"/>
  <c r="D183" i="34" s="1"/>
  <c r="B184" i="34"/>
  <c r="D184" i="34" s="1" a="1"/>
  <c r="D184" i="34" s="1"/>
  <c r="C184" i="34"/>
  <c r="B185" i="34"/>
  <c r="D185" i="34" s="1" a="1"/>
  <c r="D185" i="34" s="1"/>
  <c r="C185" i="34"/>
  <c r="B186" i="34"/>
  <c r="D186" i="34" s="1" a="1"/>
  <c r="D186" i="34" s="1"/>
  <c r="C186" i="34"/>
  <c r="B187" i="34"/>
  <c r="C187" i="34"/>
  <c r="B188" i="34"/>
  <c r="D188" i="34" s="1" a="1"/>
  <c r="D188" i="34" s="1"/>
  <c r="C188" i="34"/>
  <c r="B189" i="34"/>
  <c r="D189" i="34" s="1" a="1"/>
  <c r="D189" i="34" s="1"/>
  <c r="C189" i="34"/>
  <c r="B190" i="34"/>
  <c r="D190" i="34" s="1" a="1"/>
  <c r="D190" i="34" s="1"/>
  <c r="C190" i="34"/>
  <c r="B191" i="34"/>
  <c r="C191" i="34"/>
  <c r="D191" i="34" s="1" a="1"/>
  <c r="D191" i="34" s="1"/>
  <c r="B192" i="34"/>
  <c r="C192" i="34"/>
  <c r="B193" i="34"/>
  <c r="D193" i="34" s="1" a="1"/>
  <c r="D193" i="34" s="1"/>
  <c r="C193" i="34"/>
  <c r="B194" i="34"/>
  <c r="D194" i="34" s="1" a="1"/>
  <c r="D194" i="34" s="1"/>
  <c r="C194" i="34"/>
  <c r="B195" i="34"/>
  <c r="C195" i="34"/>
  <c r="B196" i="34"/>
  <c r="C196" i="34"/>
  <c r="B197" i="34"/>
  <c r="D197" i="34" s="1" a="1"/>
  <c r="D197" i="34" s="1"/>
  <c r="C197" i="34"/>
  <c r="B198" i="34"/>
  <c r="D198" i="34" s="1" a="1"/>
  <c r="D198" i="34" s="1"/>
  <c r="C198" i="34"/>
  <c r="B199" i="34"/>
  <c r="C199" i="34"/>
  <c r="B200" i="34"/>
  <c r="C200" i="34"/>
  <c r="B201" i="34"/>
  <c r="D201" i="34" s="1" a="1"/>
  <c r="D201" i="34" s="1"/>
  <c r="C201" i="34"/>
  <c r="B202" i="34"/>
  <c r="C202" i="34"/>
  <c r="B203" i="34"/>
  <c r="C203" i="34"/>
  <c r="B204" i="34"/>
  <c r="C204" i="34"/>
  <c r="B205" i="34"/>
  <c r="D205" i="34" s="1" a="1"/>
  <c r="D205" i="34" s="1"/>
  <c r="C205" i="34"/>
  <c r="B206" i="34"/>
  <c r="D206" i="34" s="1" a="1"/>
  <c r="D206" i="34" s="1"/>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D83" i="34" a="1"/>
  <c r="D83" i="34" s="1"/>
  <c r="D83" i="73" s="1"/>
  <c r="D85" i="34" a="1"/>
  <c r="D85" i="34" s="1"/>
  <c r="D85" i="73" s="1"/>
  <c r="D88" i="34" a="1"/>
  <c r="D88" i="34" s="1"/>
  <c r="D88" i="73" s="1"/>
  <c r="D93" i="34" a="1"/>
  <c r="D93" i="34" s="1"/>
  <c r="D93" i="73" s="1"/>
  <c r="D97" i="34" a="1"/>
  <c r="D97" i="34" s="1"/>
  <c r="D97" i="73" s="1"/>
  <c r="D105" i="34" a="1"/>
  <c r="D105" i="34" s="1"/>
  <c r="D105" i="73" s="1"/>
  <c r="D117" i="34" a="1"/>
  <c r="D117" i="34" s="1"/>
  <c r="D148" i="34" a="1"/>
  <c r="D148" i="34" s="1"/>
  <c r="D177" i="34" a="1"/>
  <c r="D177" i="34" s="1"/>
  <c r="H7" i="33"/>
  <c r="K7" i="33"/>
  <c r="B8" i="33"/>
  <c r="N8" i="33"/>
  <c r="N10" i="33"/>
  <c r="N16" i="33"/>
  <c r="N17" i="33"/>
  <c r="N18" i="33"/>
  <c r="N21" i="33"/>
  <c r="N22" i="33"/>
  <c r="N25" i="33"/>
  <c r="B26" i="33"/>
  <c r="C26" i="33"/>
  <c r="N26" i="33" s="1"/>
  <c r="B27" i="33"/>
  <c r="C27" i="33"/>
  <c r="N27" i="33" s="1"/>
  <c r="B28" i="33"/>
  <c r="C28" i="33"/>
  <c r="N28" i="33" s="1"/>
  <c r="B29" i="33"/>
  <c r="C29" i="33"/>
  <c r="B30" i="33"/>
  <c r="C30" i="33"/>
  <c r="N30" i="33" s="1"/>
  <c r="B31" i="33"/>
  <c r="C31" i="33"/>
  <c r="N31" i="33" s="1"/>
  <c r="B32" i="33"/>
  <c r="C32" i="33"/>
  <c r="N32" i="33" s="1"/>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H50" i="33"/>
  <c r="J50" i="33" s="1"/>
  <c r="C50" i="33"/>
  <c r="B50" i="33"/>
  <c r="K49" i="33"/>
  <c r="I49" i="33"/>
  <c r="H49" i="33"/>
  <c r="J49" i="33" s="1"/>
  <c r="C49" i="33"/>
  <c r="B49" i="33"/>
  <c r="K48" i="33"/>
  <c r="J48" i="33"/>
  <c r="I48" i="33"/>
  <c r="H48" i="33"/>
  <c r="C48" i="33"/>
  <c r="B48" i="33"/>
  <c r="K47" i="33"/>
  <c r="D125" i="34" s="1" a="1"/>
  <c r="D125" i="34" s="1"/>
  <c r="H47" i="33"/>
  <c r="C47" i="33"/>
  <c r="B47" i="33"/>
  <c r="K46" i="33"/>
  <c r="I46" i="33"/>
  <c r="H46" i="33"/>
  <c r="J46" i="33"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D77" i="34" s="1" a="1"/>
  <c r="D77" i="34" s="1"/>
  <c r="D77" i="73" s="1"/>
  <c r="J31" i="33"/>
  <c r="H31" i="33"/>
  <c r="I31" i="33" s="1"/>
  <c r="K30" i="33"/>
  <c r="H30" i="33"/>
  <c r="J30" i="33" s="1"/>
  <c r="D73" i="34" s="1" a="1"/>
  <c r="D73" i="34" s="1"/>
  <c r="D73" i="73" s="1"/>
  <c r="K29" i="33"/>
  <c r="H29" i="33"/>
  <c r="J29" i="33" s="1"/>
  <c r="N29" i="33"/>
  <c r="K28" i="33"/>
  <c r="H28" i="33"/>
  <c r="K27" i="33"/>
  <c r="D65" i="34" s="1" a="1"/>
  <c r="D65" i="34" s="1"/>
  <c r="D65" i="73" s="1"/>
  <c r="H27" i="33"/>
  <c r="I27" i="33" s="1"/>
  <c r="J27" i="33"/>
  <c r="D64" i="34" s="1" a="1"/>
  <c r="D64" i="34" s="1"/>
  <c r="D64" i="73" s="1"/>
  <c r="K26" i="33"/>
  <c r="H26" i="33"/>
  <c r="J26" i="33" s="1"/>
  <c r="D61" i="34" s="1" a="1"/>
  <c r="D61" i="34" s="1"/>
  <c r="D61" i="73" s="1"/>
  <c r="K25" i="33"/>
  <c r="H25" i="33"/>
  <c r="J25" i="33" s="1"/>
  <c r="D58" i="34" s="1" a="1"/>
  <c r="D58" i="34" s="1"/>
  <c r="D58" i="73" s="1"/>
  <c r="K24" i="33"/>
  <c r="H24" i="33"/>
  <c r="J24" i="33"/>
  <c r="K23" i="33"/>
  <c r="D53" i="34" s="1" a="1"/>
  <c r="D53" i="34" s="1"/>
  <c r="D53" i="73" s="1"/>
  <c r="H23" i="33"/>
  <c r="I23" i="33" s="1"/>
  <c r="K22" i="33"/>
  <c r="H22" i="33"/>
  <c r="K21" i="33"/>
  <c r="H21" i="33"/>
  <c r="K20" i="33"/>
  <c r="J20" i="33"/>
  <c r="H20" i="33"/>
  <c r="I20" i="33" s="1"/>
  <c r="K19" i="33"/>
  <c r="H19" i="33"/>
  <c r="J19" i="33" s="1"/>
  <c r="K18" i="33"/>
  <c r="H18" i="33"/>
  <c r="I18" i="33" s="1"/>
  <c r="K17" i="33"/>
  <c r="H17" i="33"/>
  <c r="I17" i="33" s="1"/>
  <c r="K16" i="33"/>
  <c r="H16" i="33"/>
  <c r="K15" i="33"/>
  <c r="H15" i="33"/>
  <c r="J15" i="33" s="1"/>
  <c r="K14" i="33"/>
  <c r="H14" i="33"/>
  <c r="K13" i="33"/>
  <c r="H13" i="33"/>
  <c r="K12" i="33"/>
  <c r="I12" i="33"/>
  <c r="H12" i="33"/>
  <c r="K11" i="33"/>
  <c r="I11" i="33"/>
  <c r="K10" i="33"/>
  <c r="H10" i="33"/>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M5" i="31" s="1"/>
  <c r="B7" i="31"/>
  <c r="C263" i="30"/>
  <c r="B263" i="30"/>
  <c r="C262" i="30"/>
  <c r="B262" i="30"/>
  <c r="C261" i="30"/>
  <c r="B261" i="30"/>
  <c r="C260" i="30"/>
  <c r="B260" i="30"/>
  <c r="C259" i="30"/>
  <c r="B259" i="30"/>
  <c r="C258" i="30"/>
  <c r="B258" i="30"/>
  <c r="C257" i="30"/>
  <c r="B257" i="30"/>
  <c r="C256" i="30"/>
  <c r="B256" i="30"/>
  <c r="C255" i="30"/>
  <c r="B255" i="30"/>
  <c r="C254" i="30"/>
  <c r="B254" i="30"/>
  <c r="C253" i="30"/>
  <c r="B253" i="30"/>
  <c r="C252" i="30"/>
  <c r="B252" i="30"/>
  <c r="C251" i="30"/>
  <c r="B251" i="30"/>
  <c r="C250" i="30"/>
  <c r="B250" i="30"/>
  <c r="C249" i="30"/>
  <c r="B249" i="30"/>
  <c r="C248" i="30"/>
  <c r="B248" i="30"/>
  <c r="C247" i="30"/>
  <c r="B247" i="30"/>
  <c r="C246" i="30"/>
  <c r="B246" i="30"/>
  <c r="C245" i="30"/>
  <c r="B245" i="30"/>
  <c r="C244" i="30"/>
  <c r="B244" i="30"/>
  <c r="C243" i="30"/>
  <c r="B243" i="30"/>
  <c r="C242" i="30"/>
  <c r="B242" i="30"/>
  <c r="C241" i="30"/>
  <c r="B241" i="30"/>
  <c r="C240" i="30"/>
  <c r="B240" i="30"/>
  <c r="C239" i="30"/>
  <c r="B239" i="30"/>
  <c r="C238" i="30"/>
  <c r="B238" i="30"/>
  <c r="C237" i="30"/>
  <c r="B237" i="30"/>
  <c r="C236" i="30"/>
  <c r="B236" i="30"/>
  <c r="C235" i="30"/>
  <c r="B235" i="30"/>
  <c r="C234" i="30"/>
  <c r="B234" i="30"/>
  <c r="C233" i="30"/>
  <c r="B233" i="30"/>
  <c r="C232" i="30"/>
  <c r="B232" i="30"/>
  <c r="C231" i="30"/>
  <c r="B231" i="30"/>
  <c r="C230" i="30"/>
  <c r="B230" i="30"/>
  <c r="C229" i="30"/>
  <c r="B229" i="30"/>
  <c r="C228" i="30"/>
  <c r="B228" i="30"/>
  <c r="C227" i="30"/>
  <c r="B227" i="30"/>
  <c r="C226" i="30"/>
  <c r="B226" i="30"/>
  <c r="C225" i="30"/>
  <c r="B225" i="30"/>
  <c r="C224" i="30"/>
  <c r="B224" i="30"/>
  <c r="C223" i="30"/>
  <c r="B223" i="30"/>
  <c r="C222" i="30"/>
  <c r="B222" i="30"/>
  <c r="C221" i="30"/>
  <c r="B221" i="30"/>
  <c r="C220" i="30"/>
  <c r="B220" i="30"/>
  <c r="C219" i="30"/>
  <c r="B219" i="30"/>
  <c r="C218" i="30"/>
  <c r="B218" i="30"/>
  <c r="C217" i="30"/>
  <c r="B217" i="30"/>
  <c r="C216" i="30"/>
  <c r="B216" i="30"/>
  <c r="C215" i="30"/>
  <c r="B215" i="30"/>
  <c r="C214" i="30"/>
  <c r="B214" i="30"/>
  <c r="C213" i="30"/>
  <c r="B213" i="30"/>
  <c r="C212" i="30"/>
  <c r="B212" i="30"/>
  <c r="C211" i="30"/>
  <c r="B211" i="30"/>
  <c r="C210" i="30"/>
  <c r="B210" i="30"/>
  <c r="C209" i="30"/>
  <c r="B209" i="30"/>
  <c r="C208" i="30"/>
  <c r="B208" i="30"/>
  <c r="C207" i="30"/>
  <c r="B207" i="30"/>
  <c r="C206" i="30"/>
  <c r="B206" i="30"/>
  <c r="C205" i="30"/>
  <c r="B205" i="30"/>
  <c r="C204" i="30"/>
  <c r="B204" i="30"/>
  <c r="C203" i="30"/>
  <c r="B203" i="30"/>
  <c r="C202" i="30"/>
  <c r="B202" i="30"/>
  <c r="C201" i="30"/>
  <c r="B201" i="30"/>
  <c r="C200" i="30"/>
  <c r="B200" i="30"/>
  <c r="C199" i="30"/>
  <c r="B199" i="30"/>
  <c r="C198" i="30"/>
  <c r="B198" i="30"/>
  <c r="C197" i="30"/>
  <c r="B197" i="30"/>
  <c r="C196" i="30"/>
  <c r="B196" i="30"/>
  <c r="C195" i="30"/>
  <c r="B195" i="30"/>
  <c r="C194" i="30"/>
  <c r="B194" i="30"/>
  <c r="C193" i="30"/>
  <c r="B193" i="30"/>
  <c r="C192" i="30"/>
  <c r="B192" i="30"/>
  <c r="C191" i="30"/>
  <c r="B191" i="30"/>
  <c r="C190" i="30"/>
  <c r="B190" i="30"/>
  <c r="C189" i="30"/>
  <c r="B189" i="30"/>
  <c r="C188" i="30"/>
  <c r="B188" i="30"/>
  <c r="C187" i="30"/>
  <c r="B187" i="30"/>
  <c r="C186" i="30"/>
  <c r="B186" i="30"/>
  <c r="C185" i="30"/>
  <c r="B185" i="30"/>
  <c r="C184" i="30"/>
  <c r="B184" i="30"/>
  <c r="C183" i="30"/>
  <c r="B183" i="30"/>
  <c r="C182" i="30"/>
  <c r="B182" i="30"/>
  <c r="C181" i="30"/>
  <c r="B181" i="30"/>
  <c r="C180" i="30"/>
  <c r="B180" i="30"/>
  <c r="C179" i="30"/>
  <c r="B179" i="30"/>
  <c r="C178" i="30"/>
  <c r="B178" i="30"/>
  <c r="C177" i="30"/>
  <c r="B177" i="30"/>
  <c r="C176" i="30"/>
  <c r="B176" i="30"/>
  <c r="C175" i="30"/>
  <c r="B175" i="30"/>
  <c r="C174" i="30"/>
  <c r="B174" i="30"/>
  <c r="C173" i="30"/>
  <c r="B173" i="30"/>
  <c r="C172" i="30"/>
  <c r="B172" i="30"/>
  <c r="C171" i="30"/>
  <c r="B171" i="30"/>
  <c r="C170" i="30"/>
  <c r="B170" i="30"/>
  <c r="C169" i="30"/>
  <c r="B169" i="30"/>
  <c r="C168" i="30"/>
  <c r="B168" i="30"/>
  <c r="C167" i="30"/>
  <c r="B167" i="30"/>
  <c r="C166" i="30"/>
  <c r="B166" i="30"/>
  <c r="C165" i="30"/>
  <c r="B165" i="30"/>
  <c r="C164" i="30"/>
  <c r="B164" i="30"/>
  <c r="C163" i="30"/>
  <c r="B163" i="30"/>
  <c r="C162" i="30"/>
  <c r="B162" i="30"/>
  <c r="C161" i="30"/>
  <c r="B161" i="30"/>
  <c r="C160" i="30"/>
  <c r="B160" i="30"/>
  <c r="C159" i="30"/>
  <c r="B159" i="30"/>
  <c r="C158" i="30"/>
  <c r="B158" i="30"/>
  <c r="C157" i="30"/>
  <c r="B157" i="30"/>
  <c r="C156" i="30"/>
  <c r="B156" i="30"/>
  <c r="C155" i="30"/>
  <c r="B155" i="30"/>
  <c r="C154" i="30"/>
  <c r="B154" i="30"/>
  <c r="C153" i="30"/>
  <c r="B153" i="30"/>
  <c r="C152" i="30"/>
  <c r="B152" i="30"/>
  <c r="C151" i="30"/>
  <c r="B151" i="30"/>
  <c r="C150" i="30"/>
  <c r="B150" i="30"/>
  <c r="C149" i="30"/>
  <c r="B149" i="30"/>
  <c r="C148" i="30"/>
  <c r="B148" i="30"/>
  <c r="C147" i="30"/>
  <c r="B147" i="30"/>
  <c r="C146" i="30"/>
  <c r="B146" i="30"/>
  <c r="C145" i="30"/>
  <c r="B145" i="30"/>
  <c r="C144" i="30"/>
  <c r="B144" i="30"/>
  <c r="C143" i="30"/>
  <c r="B143" i="30"/>
  <c r="C142" i="30"/>
  <c r="B142" i="30"/>
  <c r="C141" i="30"/>
  <c r="B141" i="30"/>
  <c r="C140" i="30"/>
  <c r="B140" i="30"/>
  <c r="C139" i="30"/>
  <c r="B139" i="30"/>
  <c r="C138" i="30"/>
  <c r="B138" i="30"/>
  <c r="C137" i="30"/>
  <c r="B137" i="30"/>
  <c r="C136" i="30"/>
  <c r="B136" i="30"/>
  <c r="C135" i="30"/>
  <c r="B135" i="30"/>
  <c r="C134" i="30"/>
  <c r="B134" i="30"/>
  <c r="C133" i="30"/>
  <c r="B133" i="30"/>
  <c r="C132" i="30"/>
  <c r="B132" i="30"/>
  <c r="C131" i="30"/>
  <c r="B131" i="30"/>
  <c r="C130" i="30"/>
  <c r="B130" i="30"/>
  <c r="C129" i="30"/>
  <c r="B129" i="30"/>
  <c r="C128" i="30"/>
  <c r="B128" i="30"/>
  <c r="C127" i="30"/>
  <c r="B127" i="30"/>
  <c r="C126" i="30"/>
  <c r="B126" i="30"/>
  <c r="C125" i="30"/>
  <c r="B125" i="30"/>
  <c r="C124" i="30"/>
  <c r="B124" i="30"/>
  <c r="C123" i="30"/>
  <c r="B123" i="30"/>
  <c r="C122" i="30"/>
  <c r="B122" i="30"/>
  <c r="C121" i="30"/>
  <c r="B121" i="30"/>
  <c r="C120" i="30"/>
  <c r="B120" i="30"/>
  <c r="C119" i="30"/>
  <c r="B119" i="30"/>
  <c r="C118" i="30"/>
  <c r="B118" i="30"/>
  <c r="C117" i="30"/>
  <c r="B117" i="30"/>
  <c r="C116" i="30"/>
  <c r="B116" i="30"/>
  <c r="C115" i="30"/>
  <c r="B115" i="30"/>
  <c r="C114" i="30"/>
  <c r="B114" i="30"/>
  <c r="C113" i="30"/>
  <c r="B113" i="30"/>
  <c r="C112" i="30"/>
  <c r="B112" i="30"/>
  <c r="C111" i="30"/>
  <c r="B111" i="30"/>
  <c r="C110" i="30"/>
  <c r="B110" i="30"/>
  <c r="C109" i="30"/>
  <c r="B109" i="30"/>
  <c r="C108" i="30"/>
  <c r="B108" i="30"/>
  <c r="C107" i="30"/>
  <c r="B107" i="30"/>
  <c r="C106" i="30"/>
  <c r="B106" i="30"/>
  <c r="C105" i="30"/>
  <c r="B105" i="30"/>
  <c r="C104" i="30"/>
  <c r="B104" i="30"/>
  <c r="C103" i="30"/>
  <c r="B103" i="30"/>
  <c r="C102" i="30"/>
  <c r="B102" i="30"/>
  <c r="C101" i="30"/>
  <c r="B101" i="30"/>
  <c r="C100" i="30"/>
  <c r="B100" i="30"/>
  <c r="C99" i="30"/>
  <c r="B99" i="30"/>
  <c r="C98" i="30"/>
  <c r="B98" i="30"/>
  <c r="C97" i="30"/>
  <c r="B97" i="30"/>
  <c r="C96" i="30"/>
  <c r="B96" i="30"/>
  <c r="C95" i="30"/>
  <c r="B95" i="30"/>
  <c r="C94" i="30"/>
  <c r="B94" i="30"/>
  <c r="C93" i="30"/>
  <c r="B93" i="30"/>
  <c r="C92" i="30"/>
  <c r="B92" i="30"/>
  <c r="C91" i="30"/>
  <c r="B91" i="30"/>
  <c r="C90" i="30"/>
  <c r="B90" i="30"/>
  <c r="C89" i="30"/>
  <c r="B89" i="30"/>
  <c r="C88" i="30"/>
  <c r="B88" i="30"/>
  <c r="C87" i="30"/>
  <c r="B87" i="30"/>
  <c r="C86" i="30"/>
  <c r="B86" i="30"/>
  <c r="C85" i="30"/>
  <c r="B85" i="30"/>
  <c r="C84" i="30"/>
  <c r="B84" i="30"/>
  <c r="C83" i="30"/>
  <c r="B83" i="30"/>
  <c r="C82" i="30"/>
  <c r="B82" i="30"/>
  <c r="C81" i="30"/>
  <c r="B81" i="30"/>
  <c r="C80" i="30"/>
  <c r="B80" i="30"/>
  <c r="C79" i="30"/>
  <c r="B79" i="30"/>
  <c r="C78" i="30"/>
  <c r="B78" i="30"/>
  <c r="C77" i="30"/>
  <c r="B77" i="30"/>
  <c r="C76" i="30"/>
  <c r="B76" i="30"/>
  <c r="C75" i="30"/>
  <c r="B75" i="30"/>
  <c r="C74" i="30"/>
  <c r="B74" i="30"/>
  <c r="C73" i="30"/>
  <c r="B73" i="30"/>
  <c r="C72" i="30"/>
  <c r="B72" i="30"/>
  <c r="C71" i="30"/>
  <c r="B71" i="30"/>
  <c r="C70" i="30"/>
  <c r="B70" i="30"/>
  <c r="C69" i="30"/>
  <c r="B69" i="30"/>
  <c r="C68" i="30"/>
  <c r="B68" i="30"/>
  <c r="C67" i="30"/>
  <c r="B67" i="30"/>
  <c r="C66" i="30"/>
  <c r="B66" i="30"/>
  <c r="C65" i="30"/>
  <c r="B65" i="30"/>
  <c r="C64" i="30"/>
  <c r="B64" i="30"/>
  <c r="C63" i="30"/>
  <c r="B63" i="30"/>
  <c r="C62" i="30"/>
  <c r="B62" i="30"/>
  <c r="C61" i="30"/>
  <c r="B61" i="30"/>
  <c r="C60" i="30"/>
  <c r="B60" i="30"/>
  <c r="C59" i="30"/>
  <c r="B59" i="30"/>
  <c r="C58" i="30"/>
  <c r="B58" i="30"/>
  <c r="C57" i="30"/>
  <c r="B57" i="30"/>
  <c r="C56" i="30"/>
  <c r="B56" i="30"/>
  <c r="C55" i="30"/>
  <c r="B55" i="30"/>
  <c r="C54" i="30"/>
  <c r="B54" i="30"/>
  <c r="C53" i="30"/>
  <c r="B53" i="30"/>
  <c r="C52" i="30"/>
  <c r="B52" i="30"/>
  <c r="C51" i="30"/>
  <c r="B51" i="30"/>
  <c r="C50" i="30"/>
  <c r="B50" i="30"/>
  <c r="C49" i="30"/>
  <c r="B49" i="30"/>
  <c r="C48" i="30"/>
  <c r="B48" i="30"/>
  <c r="C47" i="30"/>
  <c r="B47" i="30"/>
  <c r="C46" i="30"/>
  <c r="B46" i="30"/>
  <c r="C45" i="30"/>
  <c r="B45" i="30"/>
  <c r="C44" i="30"/>
  <c r="B44" i="30"/>
  <c r="C43" i="30"/>
  <c r="B43" i="30"/>
  <c r="C42" i="30"/>
  <c r="B42" i="30"/>
  <c r="C41" i="30"/>
  <c r="B41" i="30"/>
  <c r="C40" i="30"/>
  <c r="B40" i="30"/>
  <c r="C39" i="30"/>
  <c r="B39" i="30"/>
  <c r="C38" i="30"/>
  <c r="B38" i="30"/>
  <c r="C37" i="30"/>
  <c r="B37" i="30"/>
  <c r="C36" i="30"/>
  <c r="B36" i="30"/>
  <c r="C35" i="30"/>
  <c r="B35" i="30"/>
  <c r="C34" i="30"/>
  <c r="B34" i="30"/>
  <c r="C33" i="30"/>
  <c r="B33" i="30"/>
  <c r="C32" i="30"/>
  <c r="B32" i="30"/>
  <c r="C31" i="30"/>
  <c r="B31" i="30"/>
  <c r="C30" i="30"/>
  <c r="B30" i="30"/>
  <c r="D19" i="30"/>
  <c r="D15" i="30"/>
  <c r="D12" i="30"/>
  <c r="D11" i="30"/>
  <c r="D10" i="30"/>
  <c r="D8" i="30"/>
  <c r="D5" i="30"/>
  <c r="D4" i="30"/>
  <c r="D2" i="30"/>
  <c r="H2" i="29"/>
  <c r="G2" i="29"/>
  <c r="F2" i="29"/>
  <c r="E2" i="29"/>
  <c r="D2" i="29"/>
  <c r="C2" i="29"/>
  <c r="B2" i="29"/>
  <c r="G1" i="29"/>
  <c r="D28" i="30" s="1"/>
  <c r="F1" i="29"/>
  <c r="D27" i="30" s="1"/>
  <c r="E1" i="29"/>
  <c r="D26" i="30" s="1"/>
  <c r="D1" i="29"/>
  <c r="D25" i="30" s="1"/>
  <c r="C1" i="29"/>
  <c r="D24" i="30" s="1"/>
  <c r="B1" i="29"/>
  <c r="D23" i="30" s="1"/>
  <c r="D2" i="26"/>
  <c r="C263" i="27"/>
  <c r="B263" i="27"/>
  <c r="D263" i="27" s="1" a="1"/>
  <c r="D263" i="27" s="1"/>
  <c r="C262" i="27"/>
  <c r="B262" i="27"/>
  <c r="D262" i="27" s="1" a="1"/>
  <c r="D262" i="27" s="1"/>
  <c r="C261" i="27"/>
  <c r="B261" i="27"/>
  <c r="D261" i="27" s="1" a="1"/>
  <c r="D261" i="27" s="1"/>
  <c r="C260" i="27"/>
  <c r="B260" i="27"/>
  <c r="D260" i="27" s="1" a="1"/>
  <c r="D260" i="27" s="1"/>
  <c r="C259" i="27"/>
  <c r="B259" i="27"/>
  <c r="D259" i="27" s="1" a="1"/>
  <c r="D259" i="27" s="1"/>
  <c r="C258" i="27"/>
  <c r="B258" i="27"/>
  <c r="D258" i="27" s="1" a="1"/>
  <c r="D258" i="27" s="1"/>
  <c r="C257" i="27"/>
  <c r="B257" i="27"/>
  <c r="D257" i="27" s="1" a="1"/>
  <c r="D257" i="27" s="1"/>
  <c r="C256" i="27"/>
  <c r="B256" i="27"/>
  <c r="D256" i="27" s="1" a="1"/>
  <c r="D256" i="27" s="1"/>
  <c r="C255" i="27"/>
  <c r="B255" i="27"/>
  <c r="D255" i="27" s="1" a="1"/>
  <c r="D255" i="27" s="1"/>
  <c r="C254" i="27"/>
  <c r="B254" i="27"/>
  <c r="D254" i="27" s="1" a="1"/>
  <c r="D254" i="27" s="1"/>
  <c r="C253" i="27"/>
  <c r="B253" i="27"/>
  <c r="D253" i="27" s="1" a="1"/>
  <c r="D253" i="27" s="1"/>
  <c r="C252" i="27"/>
  <c r="B252" i="27"/>
  <c r="D252" i="27" s="1" a="1"/>
  <c r="D252" i="27" s="1"/>
  <c r="C251" i="27"/>
  <c r="B251" i="27"/>
  <c r="D251" i="27" s="1" a="1"/>
  <c r="D251" i="27" s="1"/>
  <c r="C250" i="27"/>
  <c r="B250" i="27"/>
  <c r="D250" i="27" s="1" a="1"/>
  <c r="D250" i="27" s="1"/>
  <c r="C249" i="27"/>
  <c r="B249" i="27"/>
  <c r="D249" i="27" s="1" a="1"/>
  <c r="D249" i="27" s="1"/>
  <c r="C248" i="27"/>
  <c r="B248" i="27"/>
  <c r="D248" i="27" s="1" a="1"/>
  <c r="D248" i="27" s="1"/>
  <c r="C247" i="27"/>
  <c r="B247" i="27"/>
  <c r="D247" i="27" s="1" a="1"/>
  <c r="D247" i="27" s="1"/>
  <c r="C246" i="27"/>
  <c r="B246" i="27"/>
  <c r="D246" i="27" s="1" a="1"/>
  <c r="D246" i="27" s="1"/>
  <c r="C245" i="27"/>
  <c r="B245" i="27"/>
  <c r="D245" i="27" s="1" a="1"/>
  <c r="D245" i="27" s="1"/>
  <c r="C244" i="27"/>
  <c r="B244" i="27"/>
  <c r="D244" i="27" s="1" a="1"/>
  <c r="D244" i="27" s="1"/>
  <c r="C243" i="27"/>
  <c r="B243" i="27"/>
  <c r="D243" i="27" s="1" a="1"/>
  <c r="D243" i="27" s="1"/>
  <c r="C242" i="27"/>
  <c r="B242" i="27"/>
  <c r="D242" i="27" s="1" a="1"/>
  <c r="D242" i="27" s="1"/>
  <c r="C241" i="27"/>
  <c r="B241" i="27"/>
  <c r="D241" i="27" s="1" a="1"/>
  <c r="D241" i="27" s="1"/>
  <c r="C240" i="27"/>
  <c r="B240" i="27"/>
  <c r="D240" i="27" s="1" a="1"/>
  <c r="D240" i="27" s="1"/>
  <c r="C239" i="27"/>
  <c r="B239" i="27"/>
  <c r="D239" i="27" s="1" a="1"/>
  <c r="D239" i="27" s="1"/>
  <c r="C238" i="27"/>
  <c r="B238" i="27"/>
  <c r="D238" i="27" s="1" a="1"/>
  <c r="D238" i="27" s="1"/>
  <c r="C237" i="27"/>
  <c r="B237" i="27"/>
  <c r="D237" i="27" s="1" a="1"/>
  <c r="D237" i="27" s="1"/>
  <c r="C236" i="27"/>
  <c r="B236" i="27"/>
  <c r="D236" i="27" s="1" a="1"/>
  <c r="D236" i="27" s="1"/>
  <c r="C235" i="27"/>
  <c r="B235" i="27"/>
  <c r="D235" i="27" s="1" a="1"/>
  <c r="D235" i="27" s="1"/>
  <c r="C234" i="27"/>
  <c r="B234" i="27"/>
  <c r="D234" i="27" s="1" a="1"/>
  <c r="D234" i="27" s="1"/>
  <c r="C233" i="27"/>
  <c r="B233" i="27"/>
  <c r="D233" i="27" s="1" a="1"/>
  <c r="D233" i="27" s="1"/>
  <c r="C232" i="27"/>
  <c r="B232" i="27"/>
  <c r="D232" i="27" s="1" a="1"/>
  <c r="D232" i="27" s="1"/>
  <c r="C231" i="27"/>
  <c r="B231" i="27"/>
  <c r="D231" i="27" s="1" a="1"/>
  <c r="D231" i="27" s="1"/>
  <c r="C230" i="27"/>
  <c r="B230" i="27"/>
  <c r="D230" i="27" s="1" a="1"/>
  <c r="D230" i="27" s="1"/>
  <c r="C229" i="27"/>
  <c r="B229" i="27"/>
  <c r="D229" i="27" s="1" a="1"/>
  <c r="D229" i="27" s="1"/>
  <c r="C228" i="27"/>
  <c r="B228" i="27"/>
  <c r="D228" i="27" s="1" a="1"/>
  <c r="D228" i="27" s="1"/>
  <c r="C227" i="27"/>
  <c r="B227" i="27"/>
  <c r="D227" i="27" s="1" a="1"/>
  <c r="D227" i="27" s="1"/>
  <c r="C226" i="27"/>
  <c r="B226" i="27"/>
  <c r="D226" i="27" s="1" a="1"/>
  <c r="D226" i="27" s="1"/>
  <c r="C225" i="27"/>
  <c r="B225" i="27"/>
  <c r="D225" i="27" s="1" a="1"/>
  <c r="D225" i="27" s="1"/>
  <c r="C224" i="27"/>
  <c r="B224" i="27"/>
  <c r="D224" i="27" s="1" a="1"/>
  <c r="D224" i="27" s="1"/>
  <c r="C223" i="27"/>
  <c r="B223" i="27"/>
  <c r="D223" i="27" s="1" a="1"/>
  <c r="D223" i="27" s="1"/>
  <c r="C222" i="27"/>
  <c r="B222" i="27"/>
  <c r="D222" i="27" s="1" a="1"/>
  <c r="D222" i="27" s="1"/>
  <c r="C221" i="27"/>
  <c r="B221" i="27"/>
  <c r="D221" i="27" s="1" a="1"/>
  <c r="D221" i="27" s="1"/>
  <c r="C220" i="27"/>
  <c r="B220" i="27"/>
  <c r="D220" i="27" s="1" a="1"/>
  <c r="D220" i="27" s="1"/>
  <c r="C219" i="27"/>
  <c r="B219" i="27"/>
  <c r="D219" i="27" s="1" a="1"/>
  <c r="D219" i="27" s="1"/>
  <c r="C218" i="27"/>
  <c r="B218" i="27"/>
  <c r="D218" i="27" s="1" a="1"/>
  <c r="D218" i="27" s="1"/>
  <c r="C217" i="27"/>
  <c r="B217" i="27"/>
  <c r="D217" i="27" s="1" a="1"/>
  <c r="D217" i="27" s="1"/>
  <c r="C216" i="27"/>
  <c r="B216" i="27"/>
  <c r="D216" i="27" s="1" a="1"/>
  <c r="D216" i="27" s="1"/>
  <c r="C215" i="27"/>
  <c r="B215" i="27"/>
  <c r="D215" i="27" s="1" a="1"/>
  <c r="D215" i="27" s="1"/>
  <c r="C214" i="27"/>
  <c r="B214" i="27"/>
  <c r="D214" i="27" s="1" a="1"/>
  <c r="D214" i="27" s="1"/>
  <c r="C213" i="27"/>
  <c r="B213" i="27"/>
  <c r="D213" i="27" s="1" a="1"/>
  <c r="D213" i="27" s="1"/>
  <c r="C212" i="27"/>
  <c r="B212" i="27"/>
  <c r="D212" i="27" s="1" a="1"/>
  <c r="D212" i="27" s="1"/>
  <c r="C211" i="27"/>
  <c r="B211" i="27"/>
  <c r="D211" i="27" s="1" a="1"/>
  <c r="D211" i="27" s="1"/>
  <c r="C210" i="27"/>
  <c r="B210" i="27"/>
  <c r="D210" i="27" s="1" a="1"/>
  <c r="D210" i="27" s="1"/>
  <c r="C209" i="27"/>
  <c r="B209" i="27"/>
  <c r="D209" i="27" s="1" a="1"/>
  <c r="D209" i="27" s="1"/>
  <c r="C208" i="27"/>
  <c r="B208" i="27"/>
  <c r="D208" i="27" s="1" a="1"/>
  <c r="D208" i="27" s="1"/>
  <c r="C207" i="27"/>
  <c r="B207" i="27"/>
  <c r="D207" i="27" s="1" a="1"/>
  <c r="D207" i="27" s="1"/>
  <c r="C206" i="27"/>
  <c r="B206" i="27"/>
  <c r="D206" i="27" s="1" a="1"/>
  <c r="D206" i="27" s="1"/>
  <c r="C205" i="27"/>
  <c r="B205" i="27"/>
  <c r="D205" i="27" s="1" a="1"/>
  <c r="D205" i="27" s="1"/>
  <c r="C204" i="27"/>
  <c r="B204" i="27"/>
  <c r="D204" i="27" s="1" a="1"/>
  <c r="D204" i="27" s="1"/>
  <c r="C203" i="27"/>
  <c r="B203" i="27"/>
  <c r="D203" i="27" s="1" a="1"/>
  <c r="D203" i="27" s="1"/>
  <c r="C202" i="27"/>
  <c r="B202" i="27"/>
  <c r="D202" i="27" s="1" a="1"/>
  <c r="D202" i="27" s="1"/>
  <c r="C201" i="27"/>
  <c r="B201" i="27"/>
  <c r="C200" i="27"/>
  <c r="B200" i="27"/>
  <c r="D200" i="27" s="1" a="1"/>
  <c r="D200" i="27" s="1"/>
  <c r="C199" i="27"/>
  <c r="B199" i="27"/>
  <c r="C198" i="27"/>
  <c r="B198" i="27"/>
  <c r="C197" i="27"/>
  <c r="B197" i="27"/>
  <c r="C196" i="27"/>
  <c r="B196" i="27"/>
  <c r="C195" i="27"/>
  <c r="B195" i="27"/>
  <c r="D195" i="27" s="1" a="1"/>
  <c r="D195" i="27" s="1"/>
  <c r="C194" i="27"/>
  <c r="B194" i="27"/>
  <c r="C193" i="27"/>
  <c r="B193" i="27"/>
  <c r="C192" i="27"/>
  <c r="B192" i="27"/>
  <c r="D192" i="27" s="1" a="1"/>
  <c r="D192" i="27" s="1"/>
  <c r="C191" i="27"/>
  <c r="B191" i="27"/>
  <c r="D191" i="27" s="1" a="1"/>
  <c r="D191" i="27" s="1"/>
  <c r="C190" i="27"/>
  <c r="B190" i="27"/>
  <c r="D190" i="27" s="1" a="1"/>
  <c r="D190" i="27" s="1"/>
  <c r="C189" i="27"/>
  <c r="B189" i="27"/>
  <c r="D189" i="27" s="1" a="1"/>
  <c r="D189" i="27" s="1"/>
  <c r="C188" i="27"/>
  <c r="B188" i="27"/>
  <c r="D188" i="27" s="1" a="1"/>
  <c r="D188" i="27" s="1"/>
  <c r="C187" i="27"/>
  <c r="B187" i="27"/>
  <c r="D187" i="27" s="1" a="1"/>
  <c r="D187" i="27" s="1"/>
  <c r="C186" i="27"/>
  <c r="B186" i="27"/>
  <c r="D186" i="27" s="1" a="1"/>
  <c r="D186" i="27" s="1"/>
  <c r="C185" i="27"/>
  <c r="B185" i="27"/>
  <c r="C184" i="27"/>
  <c r="B184" i="27"/>
  <c r="D184" i="27" s="1" a="1"/>
  <c r="D184" i="27" s="1"/>
  <c r="C183" i="27"/>
  <c r="B183" i="27"/>
  <c r="C182" i="27"/>
  <c r="B182" i="27"/>
  <c r="C181" i="27"/>
  <c r="B181" i="27"/>
  <c r="C180" i="27"/>
  <c r="B180" i="27"/>
  <c r="C179" i="27"/>
  <c r="B179" i="27"/>
  <c r="D179" i="27" s="1" a="1"/>
  <c r="D179" i="27" s="1"/>
  <c r="C178" i="27"/>
  <c r="B178" i="27"/>
  <c r="C177" i="27"/>
  <c r="B177" i="27"/>
  <c r="C176" i="27"/>
  <c r="B176" i="27"/>
  <c r="D176" i="27" s="1" a="1"/>
  <c r="D176" i="27" s="1"/>
  <c r="C175" i="27"/>
  <c r="B175" i="27"/>
  <c r="D175" i="27" s="1" a="1"/>
  <c r="D175" i="27" s="1"/>
  <c r="C174" i="27"/>
  <c r="B174" i="27"/>
  <c r="C173" i="27"/>
  <c r="B173" i="27"/>
  <c r="D173" i="27" s="1" a="1"/>
  <c r="D173" i="27" s="1"/>
  <c r="C172" i="27"/>
  <c r="B172" i="27"/>
  <c r="D172" i="27" s="1" a="1"/>
  <c r="D172" i="27" s="1"/>
  <c r="C171" i="27"/>
  <c r="B171" i="27"/>
  <c r="D171" i="27" s="1" a="1"/>
  <c r="D171" i="27" s="1"/>
  <c r="C170" i="27"/>
  <c r="B170" i="27"/>
  <c r="D170" i="27" s="1" a="1"/>
  <c r="D170" i="27" s="1"/>
  <c r="C169" i="27"/>
  <c r="B169" i="27"/>
  <c r="C168" i="27"/>
  <c r="B168" i="27"/>
  <c r="D168" i="27" s="1" a="1"/>
  <c r="D168" i="27" s="1"/>
  <c r="C167" i="27"/>
  <c r="B167" i="27"/>
  <c r="C166" i="27"/>
  <c r="B166" i="27"/>
  <c r="C165" i="27"/>
  <c r="B165" i="27"/>
  <c r="C164" i="27"/>
  <c r="B164" i="27"/>
  <c r="C163" i="27"/>
  <c r="B163" i="27"/>
  <c r="D163" i="27" s="1" a="1"/>
  <c r="D163" i="27" s="1"/>
  <c r="C162" i="27"/>
  <c r="B162" i="27"/>
  <c r="C161" i="27"/>
  <c r="B161" i="27"/>
  <c r="C160" i="27"/>
  <c r="B160" i="27"/>
  <c r="D160" i="27" s="1" a="1"/>
  <c r="D160" i="27" s="1"/>
  <c r="C159" i="27"/>
  <c r="B159" i="27"/>
  <c r="D159" i="27" s="1" a="1"/>
  <c r="D159" i="27" s="1"/>
  <c r="C158" i="27"/>
  <c r="B158" i="27"/>
  <c r="C157" i="27"/>
  <c r="B157" i="27"/>
  <c r="D157" i="27" s="1" a="1"/>
  <c r="D157" i="27" s="1"/>
  <c r="C156" i="27"/>
  <c r="B156" i="27"/>
  <c r="D156" i="27" s="1" a="1"/>
  <c r="D156" i="27" s="1"/>
  <c r="C155" i="27"/>
  <c r="B155" i="27"/>
  <c r="D155" i="27" s="1" a="1"/>
  <c r="D155" i="27" s="1"/>
  <c r="C154" i="27"/>
  <c r="B154" i="27"/>
  <c r="D154" i="27" s="1" a="1"/>
  <c r="D154" i="27" s="1"/>
  <c r="C153" i="27"/>
  <c r="B153" i="27"/>
  <c r="C152" i="27"/>
  <c r="B152" i="27"/>
  <c r="D152" i="27" s="1" a="1"/>
  <c r="D152" i="27" s="1"/>
  <c r="C151" i="27"/>
  <c r="B151" i="27"/>
  <c r="C150" i="27"/>
  <c r="B150" i="27"/>
  <c r="C149" i="27"/>
  <c r="B149" i="27"/>
  <c r="C148" i="27"/>
  <c r="B148" i="27"/>
  <c r="C147" i="27"/>
  <c r="B147" i="27"/>
  <c r="D147" i="27" s="1" a="1"/>
  <c r="D147" i="27" s="1"/>
  <c r="C146" i="27"/>
  <c r="B146" i="27"/>
  <c r="C145" i="27"/>
  <c r="B145" i="27"/>
  <c r="C144" i="27"/>
  <c r="B144" i="27"/>
  <c r="D144" i="27" s="1" a="1"/>
  <c r="D144" i="27" s="1"/>
  <c r="C143" i="27"/>
  <c r="B143" i="27"/>
  <c r="D143" i="27" s="1" a="1"/>
  <c r="D143" i="27" s="1"/>
  <c r="C142" i="27"/>
  <c r="B142" i="27"/>
  <c r="C141" i="27"/>
  <c r="D141" i="27" s="1" a="1"/>
  <c r="D141" i="27" s="1"/>
  <c r="B141" i="27"/>
  <c r="C140" i="27"/>
  <c r="B140" i="27"/>
  <c r="D140" i="27" s="1" a="1"/>
  <c r="D140" i="27" s="1"/>
  <c r="C139" i="27"/>
  <c r="B139" i="27"/>
  <c r="D139" i="27" s="1" a="1"/>
  <c r="D139" i="27" s="1"/>
  <c r="D138" i="27" a="1"/>
  <c r="D138" i="27" s="1"/>
  <c r="C138" i="27"/>
  <c r="B138" i="27"/>
  <c r="C137" i="27"/>
  <c r="B137" i="27"/>
  <c r="D137" i="27" s="1" a="1"/>
  <c r="D137" i="27" s="1"/>
  <c r="C136" i="27"/>
  <c r="B136" i="27"/>
  <c r="D136" i="27" s="1" a="1"/>
  <c r="D136" i="27" s="1"/>
  <c r="D135" i="27" a="1"/>
  <c r="D135" i="27" s="1"/>
  <c r="C135" i="27"/>
  <c r="B135" i="27"/>
  <c r="D134" i="27" a="1"/>
  <c r="D134" i="27" s="1"/>
  <c r="C134" i="27"/>
  <c r="B134" i="27"/>
  <c r="C133" i="27"/>
  <c r="B133" i="27"/>
  <c r="D133" i="27" s="1" a="1"/>
  <c r="D133" i="27" s="1"/>
  <c r="C132" i="27"/>
  <c r="D132" i="27" s="1" a="1"/>
  <c r="D132" i="27" s="1"/>
  <c r="B132" i="27"/>
  <c r="D131" i="27" a="1"/>
  <c r="D131" i="27" s="1"/>
  <c r="C131" i="27"/>
  <c r="B131" i="27"/>
  <c r="C130" i="27"/>
  <c r="B130" i="27"/>
  <c r="D130" i="27" s="1" a="1"/>
  <c r="D130" i="27" s="1"/>
  <c r="C129" i="27"/>
  <c r="B129" i="27"/>
  <c r="D129" i="27" s="1" a="1"/>
  <c r="D129" i="27" s="1"/>
  <c r="C128" i="27"/>
  <c r="B128" i="27"/>
  <c r="D128" i="27" s="1" a="1"/>
  <c r="D128" i="27" s="1"/>
  <c r="D127" i="27" a="1"/>
  <c r="D127" i="27" s="1"/>
  <c r="C127" i="27"/>
  <c r="B127" i="27"/>
  <c r="D126" i="27" a="1"/>
  <c r="D126" i="27" s="1"/>
  <c r="C126" i="27"/>
  <c r="B126" i="27"/>
  <c r="C125" i="27"/>
  <c r="D125" i="27" s="1" a="1"/>
  <c r="D125" i="27" s="1"/>
  <c r="B125" i="27"/>
  <c r="C124" i="27"/>
  <c r="B124" i="27"/>
  <c r="D124" i="27" s="1" a="1"/>
  <c r="D124" i="27" s="1"/>
  <c r="C123" i="27"/>
  <c r="B123" i="27"/>
  <c r="D123" i="27" s="1" a="1"/>
  <c r="D123" i="27" s="1"/>
  <c r="D122" i="27" a="1"/>
  <c r="D122" i="27" s="1"/>
  <c r="C122" i="27"/>
  <c r="B122" i="27"/>
  <c r="C121" i="27"/>
  <c r="B121" i="27"/>
  <c r="D121" i="27" s="1" a="1"/>
  <c r="D121" i="27" s="1"/>
  <c r="C120" i="27"/>
  <c r="B120" i="27"/>
  <c r="D120" i="27" s="1" a="1"/>
  <c r="D120" i="27" s="1"/>
  <c r="D119" i="27" a="1"/>
  <c r="D119" i="27" s="1"/>
  <c r="C119" i="27"/>
  <c r="B119" i="27"/>
  <c r="D118" i="27" a="1"/>
  <c r="D118" i="27" s="1"/>
  <c r="C118" i="27"/>
  <c r="B118" i="27"/>
  <c r="C117" i="27"/>
  <c r="B117" i="27"/>
  <c r="D117" i="27" s="1" a="1"/>
  <c r="D117" i="27" s="1"/>
  <c r="C116" i="27"/>
  <c r="D116" i="27" s="1" a="1"/>
  <c r="D116" i="27" s="1"/>
  <c r="B116" i="27"/>
  <c r="D115" i="27" a="1"/>
  <c r="D115" i="27" s="1"/>
  <c r="C115" i="27"/>
  <c r="B115" i="27"/>
  <c r="C114" i="27"/>
  <c r="B114" i="27"/>
  <c r="D114" i="27" s="1" a="1"/>
  <c r="D114" i="27" s="1"/>
  <c r="C113" i="27"/>
  <c r="B113" i="27"/>
  <c r="D113" i="27" s="1" a="1"/>
  <c r="D113" i="27" s="1"/>
  <c r="C112" i="27"/>
  <c r="B112" i="27"/>
  <c r="D112" i="27" s="1" a="1"/>
  <c r="D112" i="27" s="1"/>
  <c r="D111" i="27" a="1"/>
  <c r="D111" i="27" s="1"/>
  <c r="C111" i="27"/>
  <c r="B111" i="27"/>
  <c r="D110" i="27" a="1"/>
  <c r="D110" i="27" s="1"/>
  <c r="C110" i="27"/>
  <c r="B110" i="27"/>
  <c r="C109" i="27"/>
  <c r="D109" i="27" s="1" a="1"/>
  <c r="D109" i="27" s="1"/>
  <c r="B109" i="27"/>
  <c r="C108" i="27"/>
  <c r="B108" i="27"/>
  <c r="D108" i="27" s="1" a="1"/>
  <c r="D108" i="27" s="1"/>
  <c r="C107" i="27"/>
  <c r="B107" i="27"/>
  <c r="D107" i="27" s="1" a="1"/>
  <c r="D107" i="27" s="1"/>
  <c r="D106" i="27" a="1"/>
  <c r="D106" i="27" s="1"/>
  <c r="C106" i="27"/>
  <c r="B106" i="27"/>
  <c r="C105" i="27"/>
  <c r="B105" i="27"/>
  <c r="D105" i="27" s="1" a="1"/>
  <c r="D105" i="27" s="1"/>
  <c r="C104" i="27"/>
  <c r="B104" i="27"/>
  <c r="D104" i="27" s="1" a="1"/>
  <c r="D104" i="27" s="1"/>
  <c r="D103" i="27" a="1"/>
  <c r="D103" i="27" s="1"/>
  <c r="C103" i="27"/>
  <c r="B103" i="27"/>
  <c r="D102" i="27" a="1"/>
  <c r="D102" i="27" s="1"/>
  <c r="C102" i="27"/>
  <c r="B102" i="27"/>
  <c r="C101" i="27"/>
  <c r="B101" i="27"/>
  <c r="D101" i="27" s="1" a="1"/>
  <c r="D101" i="27" s="1"/>
  <c r="C100" i="27"/>
  <c r="D100" i="27" s="1" a="1"/>
  <c r="D100" i="27" s="1"/>
  <c r="B100" i="27"/>
  <c r="D99" i="27" a="1"/>
  <c r="D99" i="27" s="1"/>
  <c r="C99" i="27"/>
  <c r="B99" i="27"/>
  <c r="C98" i="27"/>
  <c r="B98" i="27"/>
  <c r="D98" i="27" s="1" a="1"/>
  <c r="D98" i="27" s="1"/>
  <c r="C97" i="27"/>
  <c r="B97" i="27"/>
  <c r="D97" i="27" s="1" a="1"/>
  <c r="D97" i="27" s="1"/>
  <c r="C96" i="27"/>
  <c r="B96" i="27"/>
  <c r="D96" i="27" s="1" a="1"/>
  <c r="D96" i="27" s="1"/>
  <c r="D95" i="27" a="1"/>
  <c r="D95" i="27" s="1"/>
  <c r="C95" i="27"/>
  <c r="B95" i="27"/>
  <c r="D94" i="27" a="1"/>
  <c r="D94" i="27" s="1"/>
  <c r="C94" i="27"/>
  <c r="B94" i="27"/>
  <c r="D93" i="27" a="1"/>
  <c r="D93" i="27" s="1"/>
  <c r="C93" i="27"/>
  <c r="B93" i="27"/>
  <c r="D92" i="27" a="1"/>
  <c r="D92" i="27" s="1"/>
  <c r="C92" i="27"/>
  <c r="B92" i="27"/>
  <c r="D91" i="27" a="1"/>
  <c r="D91" i="27" s="1"/>
  <c r="C91" i="27"/>
  <c r="B91" i="27"/>
  <c r="D90" i="27" a="1"/>
  <c r="D90" i="27" s="1"/>
  <c r="C90" i="27"/>
  <c r="B90" i="27"/>
  <c r="D89" i="27" a="1"/>
  <c r="D89" i="27" s="1"/>
  <c r="C89" i="27"/>
  <c r="B89" i="27"/>
  <c r="D88" i="27" a="1"/>
  <c r="D88" i="27" s="1"/>
  <c r="C88" i="27"/>
  <c r="B88" i="27"/>
  <c r="D87" i="27" a="1"/>
  <c r="D87" i="27" s="1"/>
  <c r="C87" i="27"/>
  <c r="B87" i="27"/>
  <c r="D86" i="27" a="1"/>
  <c r="D86" i="27" s="1"/>
  <c r="C86" i="27"/>
  <c r="B86" i="27"/>
  <c r="D85" i="27" a="1"/>
  <c r="D85" i="27" s="1"/>
  <c r="C85" i="27"/>
  <c r="B85" i="27"/>
  <c r="D84" i="27" a="1"/>
  <c r="D84" i="27" s="1"/>
  <c r="C84" i="27"/>
  <c r="B84" i="27"/>
  <c r="D83" i="27" a="1"/>
  <c r="D83" i="27" s="1"/>
  <c r="C83" i="27"/>
  <c r="B83" i="27"/>
  <c r="D82" i="27" a="1"/>
  <c r="D82" i="27" s="1"/>
  <c r="C82" i="27"/>
  <c r="B82" i="27"/>
  <c r="D81" i="27" a="1"/>
  <c r="D81" i="27" s="1"/>
  <c r="C81" i="27"/>
  <c r="B81" i="27"/>
  <c r="D80" i="27" a="1"/>
  <c r="D80" i="27" s="1"/>
  <c r="C80" i="27"/>
  <c r="B80" i="27"/>
  <c r="D79" i="27" a="1"/>
  <c r="D79" i="27" s="1"/>
  <c r="C79" i="27"/>
  <c r="B79" i="27"/>
  <c r="D78" i="27" a="1"/>
  <c r="D78" i="27" s="1"/>
  <c r="C78" i="27"/>
  <c r="B78" i="27"/>
  <c r="D77" i="27" a="1"/>
  <c r="D77" i="27" s="1"/>
  <c r="C77" i="27"/>
  <c r="B77" i="27"/>
  <c r="D76" i="27" a="1"/>
  <c r="D76" i="27" s="1"/>
  <c r="C76" i="27"/>
  <c r="B76" i="27"/>
  <c r="D75" i="27" a="1"/>
  <c r="D75" i="27" s="1"/>
  <c r="C75" i="27"/>
  <c r="B75" i="27"/>
  <c r="D74" i="27" a="1"/>
  <c r="D74" i="27" s="1"/>
  <c r="C74" i="27"/>
  <c r="B74" i="27"/>
  <c r="D73" i="27" a="1"/>
  <c r="D73" i="27" s="1"/>
  <c r="C73" i="27"/>
  <c r="B73" i="27"/>
  <c r="D72" i="27" a="1"/>
  <c r="D72" i="27" s="1"/>
  <c r="C72" i="27"/>
  <c r="B72" i="27"/>
  <c r="D71" i="27" a="1"/>
  <c r="D71" i="27" s="1"/>
  <c r="C71" i="27"/>
  <c r="B71" i="27"/>
  <c r="D70" i="27" a="1"/>
  <c r="D70" i="27" s="1"/>
  <c r="C70" i="27"/>
  <c r="B70" i="27"/>
  <c r="D69" i="27" a="1"/>
  <c r="D69" i="27" s="1"/>
  <c r="C69" i="27"/>
  <c r="B69" i="27"/>
  <c r="D68" i="27" a="1"/>
  <c r="D68" i="27" s="1"/>
  <c r="C68" i="27"/>
  <c r="B68" i="27"/>
  <c r="D67" i="27" a="1"/>
  <c r="D67" i="27" s="1"/>
  <c r="C67" i="27"/>
  <c r="B67" i="27"/>
  <c r="D66" i="27" a="1"/>
  <c r="D66" i="27" s="1"/>
  <c r="C66" i="27"/>
  <c r="B66" i="27"/>
  <c r="D65" i="27" a="1"/>
  <c r="D65" i="27" s="1"/>
  <c r="C65" i="27"/>
  <c r="B65" i="27"/>
  <c r="C64" i="27"/>
  <c r="B64" i="27"/>
  <c r="C63" i="27"/>
  <c r="B63" i="27"/>
  <c r="C62" i="27"/>
  <c r="B62" i="27"/>
  <c r="D61" i="27" a="1"/>
  <c r="D61" i="27" s="1"/>
  <c r="C61" i="27"/>
  <c r="B61" i="27"/>
  <c r="C60" i="27"/>
  <c r="B60" i="27"/>
  <c r="C59" i="27"/>
  <c r="B59" i="27"/>
  <c r="C58" i="27"/>
  <c r="B58" i="27"/>
  <c r="D57" i="27" a="1"/>
  <c r="D57" i="27" s="1"/>
  <c r="C57" i="27"/>
  <c r="B57" i="27"/>
  <c r="C56" i="27"/>
  <c r="B56" i="27"/>
  <c r="C55" i="27"/>
  <c r="B55" i="27"/>
  <c r="C54" i="27"/>
  <c r="B54" i="27"/>
  <c r="D53" i="27" a="1"/>
  <c r="D53" i="27" s="1"/>
  <c r="C53" i="27"/>
  <c r="B53" i="27"/>
  <c r="C52" i="27"/>
  <c r="B52" i="27"/>
  <c r="C51" i="27"/>
  <c r="B51" i="27"/>
  <c r="C50" i="27"/>
  <c r="B50" i="27"/>
  <c r="C49" i="27"/>
  <c r="B49" i="27"/>
  <c r="C48" i="27"/>
  <c r="B48" i="27"/>
  <c r="D47" i="27" a="1"/>
  <c r="D47" i="27" s="1"/>
  <c r="C47" i="27"/>
  <c r="B47" i="27"/>
  <c r="C46" i="27"/>
  <c r="B46" i="27"/>
  <c r="C45" i="27"/>
  <c r="B45" i="27"/>
  <c r="C44" i="27"/>
  <c r="B44" i="27"/>
  <c r="C43" i="27"/>
  <c r="B43" i="27"/>
  <c r="C42" i="27"/>
  <c r="B42" i="27"/>
  <c r="D41" i="27" a="1"/>
  <c r="D41" i="27" s="1"/>
  <c r="C41" i="27"/>
  <c r="B41" i="27"/>
  <c r="C40" i="27"/>
  <c r="B40" i="27"/>
  <c r="C39" i="27"/>
  <c r="B39" i="27"/>
  <c r="C38" i="27"/>
  <c r="B38" i="27"/>
  <c r="D37" i="27" a="1"/>
  <c r="D37" i="27" s="1"/>
  <c r="C37" i="27"/>
  <c r="B37" i="27"/>
  <c r="C36" i="27"/>
  <c r="B36" i="27"/>
  <c r="D35" i="27" a="1"/>
  <c r="D35" i="27" s="1"/>
  <c r="C35" i="27"/>
  <c r="B35" i="27"/>
  <c r="C34" i="27"/>
  <c r="B34" i="27"/>
  <c r="D33" i="27" a="1"/>
  <c r="D33" i="27" s="1"/>
  <c r="C33" i="27"/>
  <c r="B33" i="27"/>
  <c r="C32" i="27"/>
  <c r="B32" i="27"/>
  <c r="C31" i="27"/>
  <c r="B31" i="27"/>
  <c r="C30" i="27"/>
  <c r="B30" i="27"/>
  <c r="D27" i="27"/>
  <c r="D19" i="27"/>
  <c r="D15" i="27"/>
  <c r="D12" i="27"/>
  <c r="D11" i="27"/>
  <c r="D10" i="27"/>
  <c r="D8" i="27"/>
  <c r="D5" i="27"/>
  <c r="D4" i="27"/>
  <c r="D2" i="27"/>
  <c r="D64" i="27" a="1"/>
  <c r="D64" i="27" s="1"/>
  <c r="D63" i="27" a="1"/>
  <c r="D63" i="27" s="1"/>
  <c r="D62" i="27" a="1"/>
  <c r="D62" i="27" s="1"/>
  <c r="D60" i="27" a="1"/>
  <c r="D60" i="27" s="1"/>
  <c r="D59" i="27" a="1"/>
  <c r="D59" i="27" s="1"/>
  <c r="D58" i="27" a="1"/>
  <c r="D58" i="27" s="1"/>
  <c r="D56" i="27" a="1"/>
  <c r="D56" i="27" s="1"/>
  <c r="D55" i="27" a="1"/>
  <c r="D55" i="27" s="1"/>
  <c r="D54" i="27" a="1"/>
  <c r="D54" i="27" s="1"/>
  <c r="D52" i="27" a="1"/>
  <c r="D52" i="27" s="1"/>
  <c r="D51" i="27" a="1"/>
  <c r="D51" i="27" s="1"/>
  <c r="D50" i="27" a="1"/>
  <c r="D50" i="27" s="1"/>
  <c r="D49" i="27" a="1"/>
  <c r="D49" i="27" s="1"/>
  <c r="D48" i="27" a="1"/>
  <c r="D48" i="27" s="1"/>
  <c r="D46" i="27" a="1"/>
  <c r="D46" i="27" s="1"/>
  <c r="D45" i="27" a="1"/>
  <c r="D45" i="27" s="1"/>
  <c r="D44" i="27" a="1"/>
  <c r="D44" i="27" s="1"/>
  <c r="H3" i="26"/>
  <c r="D43" i="27" s="1" a="1"/>
  <c r="D43" i="27" s="1"/>
  <c r="G3" i="26"/>
  <c r="D42" i="27" s="1" a="1"/>
  <c r="D42" i="27" s="1"/>
  <c r="F3" i="26"/>
  <c r="E3" i="26"/>
  <c r="D40" i="27" s="1" a="1"/>
  <c r="D40" i="27" s="1"/>
  <c r="D3" i="26"/>
  <c r="D39" i="27" s="1" a="1"/>
  <c r="D39" i="27" s="1"/>
  <c r="C3" i="26"/>
  <c r="D38" i="27" s="1" a="1"/>
  <c r="D38" i="27" s="1"/>
  <c r="B3" i="26"/>
  <c r="H2" i="26"/>
  <c r="D36" i="27" s="1" a="1"/>
  <c r="D36" i="27" s="1"/>
  <c r="G2" i="26"/>
  <c r="F2" i="26"/>
  <c r="D34" i="27" s="1" a="1"/>
  <c r="D34" i="27" s="1"/>
  <c r="E2" i="26"/>
  <c r="D32" i="27" a="1"/>
  <c r="D32" i="27" s="1"/>
  <c r="C2" i="26"/>
  <c r="D31" i="27" s="1" a="1"/>
  <c r="D31" i="27" s="1"/>
  <c r="B2" i="26"/>
  <c r="D30" i="27" s="1" a="1"/>
  <c r="D30" i="27" s="1"/>
  <c r="G1" i="26"/>
  <c r="D28" i="27" s="1"/>
  <c r="F1" i="26"/>
  <c r="E1" i="26"/>
  <c r="D26" i="27" s="1"/>
  <c r="D1" i="26"/>
  <c r="D25" i="27" s="1"/>
  <c r="C1" i="26"/>
  <c r="D24" i="27" s="1"/>
  <c r="B1" i="26"/>
  <c r="D23" i="27" s="1"/>
  <c r="D2" i="9"/>
  <c r="D65" i="17" a="1"/>
  <c r="D65" i="17" s="1"/>
  <c r="D66" i="17" a="1"/>
  <c r="D66" i="17" s="1"/>
  <c r="D67" i="17" a="1"/>
  <c r="D67" i="17" s="1"/>
  <c r="D68" i="17" a="1"/>
  <c r="D68" i="17" s="1"/>
  <c r="D69" i="17" a="1"/>
  <c r="D69" i="17" s="1"/>
  <c r="D70" i="17" a="1"/>
  <c r="D70" i="17" s="1"/>
  <c r="D71" i="17" a="1"/>
  <c r="D71" i="17" s="1"/>
  <c r="D72" i="17" a="1"/>
  <c r="D72" i="17" s="1"/>
  <c r="D73" i="17" a="1"/>
  <c r="D73" i="17" s="1"/>
  <c r="D74" i="17" a="1"/>
  <c r="D74" i="17" s="1"/>
  <c r="D75" i="17" a="1"/>
  <c r="D75" i="17" s="1"/>
  <c r="D76" i="17" a="1"/>
  <c r="D76" i="17" s="1"/>
  <c r="D77" i="17" a="1"/>
  <c r="D77" i="17" s="1"/>
  <c r="D78" i="17" a="1"/>
  <c r="D78" i="17" s="1"/>
  <c r="D79" i="17" a="1"/>
  <c r="D79" i="17" s="1"/>
  <c r="D80" i="17" a="1"/>
  <c r="D80" i="17" s="1"/>
  <c r="D81" i="17" a="1"/>
  <c r="D81" i="17" s="1"/>
  <c r="D82" i="17" a="1"/>
  <c r="D82" i="17" s="1"/>
  <c r="D83" i="17" a="1"/>
  <c r="D83" i="17" s="1"/>
  <c r="D84" i="17" a="1"/>
  <c r="D84" i="17" s="1"/>
  <c r="D85" i="17" a="1"/>
  <c r="D85" i="17" s="1"/>
  <c r="D86" i="17" a="1"/>
  <c r="D86" i="17" s="1"/>
  <c r="D87" i="17" a="1"/>
  <c r="D87" i="17" s="1"/>
  <c r="D88" i="17" a="1"/>
  <c r="D88" i="17" s="1"/>
  <c r="D89" i="17" a="1"/>
  <c r="D89" i="17" s="1"/>
  <c r="D90" i="17" a="1"/>
  <c r="D90" i="17" s="1"/>
  <c r="D91" i="17" a="1"/>
  <c r="D91" i="17" s="1"/>
  <c r="D92" i="17" a="1"/>
  <c r="D92" i="17" s="1"/>
  <c r="D93" i="17" a="1"/>
  <c r="D93" i="17" s="1"/>
  <c r="D94" i="17" a="1"/>
  <c r="D94" i="17" s="1"/>
  <c r="D95" i="17" a="1"/>
  <c r="D95" i="17" s="1"/>
  <c r="D96" i="17" a="1"/>
  <c r="D96" i="17" s="1"/>
  <c r="D97" i="17" a="1"/>
  <c r="D97" i="17" s="1"/>
  <c r="D98" i="17" a="1"/>
  <c r="D98" i="17" s="1"/>
  <c r="D99" i="17" a="1"/>
  <c r="D99" i="17" s="1"/>
  <c r="D100" i="17" a="1"/>
  <c r="D100" i="17" s="1"/>
  <c r="D101" i="17" a="1"/>
  <c r="D101" i="17" s="1"/>
  <c r="D102" i="17" a="1"/>
  <c r="D102" i="17" s="1"/>
  <c r="D103" i="17" a="1"/>
  <c r="D103" i="17" s="1"/>
  <c r="D104" i="17" a="1"/>
  <c r="D104" i="17" s="1"/>
  <c r="D105" i="17" a="1"/>
  <c r="D105" i="17" s="1"/>
  <c r="D106" i="17" a="1"/>
  <c r="D106" i="17" s="1"/>
  <c r="D107" i="17" a="1"/>
  <c r="D107" i="17" s="1"/>
  <c r="D108" i="17" a="1"/>
  <c r="D108" i="17" s="1"/>
  <c r="D109" i="17" a="1"/>
  <c r="D109" i="17" s="1"/>
  <c r="D110" i="17" a="1"/>
  <c r="D110" i="17" s="1"/>
  <c r="D111" i="17" a="1"/>
  <c r="D111" i="17" s="1"/>
  <c r="D112" i="17" a="1"/>
  <c r="D112" i="17" s="1"/>
  <c r="D113" i="17" a="1"/>
  <c r="D113" i="17" s="1"/>
  <c r="D114" i="17" a="1"/>
  <c r="D114" i="17" s="1"/>
  <c r="D115" i="17" a="1"/>
  <c r="D115" i="17" s="1"/>
  <c r="D116" i="17" a="1"/>
  <c r="D116" i="17" s="1"/>
  <c r="D117" i="17" a="1"/>
  <c r="D117" i="17" s="1"/>
  <c r="D118" i="17" a="1"/>
  <c r="D118" i="17" s="1"/>
  <c r="D119" i="17" a="1"/>
  <c r="D119" i="17" s="1"/>
  <c r="D120" i="17" a="1"/>
  <c r="D120" i="17" s="1"/>
  <c r="D121" i="17" a="1"/>
  <c r="D121" i="17" s="1"/>
  <c r="D122" i="17" a="1"/>
  <c r="D122" i="17" s="1"/>
  <c r="D123" i="17" a="1"/>
  <c r="D123" i="17" s="1"/>
  <c r="D124" i="17" a="1"/>
  <c r="D124" i="17" s="1"/>
  <c r="D125" i="17" a="1"/>
  <c r="D125" i="17" s="1"/>
  <c r="D126" i="17" a="1"/>
  <c r="D126" i="17" s="1"/>
  <c r="D127" i="17" a="1"/>
  <c r="D127" i="17" s="1"/>
  <c r="D128" i="17" a="1"/>
  <c r="D128" i="17" s="1"/>
  <c r="D129" i="17" a="1"/>
  <c r="D129" i="17" s="1"/>
  <c r="D130" i="17" a="1"/>
  <c r="D130" i="17" s="1"/>
  <c r="D131" i="17" a="1"/>
  <c r="D131" i="17" s="1"/>
  <c r="D132" i="17" a="1"/>
  <c r="D132" i="17" s="1"/>
  <c r="D133" i="17" a="1"/>
  <c r="D133" i="17" s="1"/>
  <c r="D134" i="17" a="1"/>
  <c r="D134" i="17" s="1"/>
  <c r="D135" i="17" a="1"/>
  <c r="D135" i="17" s="1"/>
  <c r="D136" i="17" a="1"/>
  <c r="D136" i="17" s="1"/>
  <c r="D137" i="17" a="1"/>
  <c r="D137" i="17" s="1"/>
  <c r="D138" i="17" a="1"/>
  <c r="D138" i="17" s="1"/>
  <c r="D139" i="17" a="1"/>
  <c r="D139" i="17" s="1"/>
  <c r="D140" i="17" a="1"/>
  <c r="D140" i="17" s="1"/>
  <c r="D141" i="17" a="1"/>
  <c r="D141" i="17" s="1"/>
  <c r="D142" i="17" a="1"/>
  <c r="D142" i="17" s="1"/>
  <c r="D143" i="17" a="1"/>
  <c r="D143" i="17" s="1"/>
  <c r="D144" i="17" a="1"/>
  <c r="D144" i="17" s="1"/>
  <c r="D145" i="17" a="1"/>
  <c r="D145" i="17" s="1"/>
  <c r="D146" i="17" a="1"/>
  <c r="D146" i="17" s="1"/>
  <c r="D147" i="17" a="1"/>
  <c r="D147" i="17" s="1"/>
  <c r="D148" i="17" a="1"/>
  <c r="D148" i="17" s="1"/>
  <c r="D149" i="17" a="1"/>
  <c r="D149" i="17" s="1"/>
  <c r="D150" i="17" a="1"/>
  <c r="D150" i="17" s="1"/>
  <c r="D151" i="17" a="1"/>
  <c r="D151" i="17" s="1"/>
  <c r="D152" i="17" a="1"/>
  <c r="D152" i="17" s="1"/>
  <c r="D153" i="17" a="1"/>
  <c r="D153" i="17" s="1"/>
  <c r="D154" i="17" a="1"/>
  <c r="D154" i="17" s="1"/>
  <c r="D155" i="17" a="1"/>
  <c r="D155" i="17" s="1"/>
  <c r="D156" i="17" a="1"/>
  <c r="D156" i="17" s="1"/>
  <c r="D157" i="17" a="1"/>
  <c r="D157" i="17" s="1"/>
  <c r="D158" i="17" a="1"/>
  <c r="D158" i="17" s="1"/>
  <c r="D159" i="17" a="1"/>
  <c r="D159" i="17" s="1"/>
  <c r="D160" i="17" a="1"/>
  <c r="D160" i="17" s="1"/>
  <c r="D161" i="17" a="1"/>
  <c r="D161" i="17" s="1"/>
  <c r="D162" i="17" a="1"/>
  <c r="D162" i="17" s="1"/>
  <c r="D163" i="17" a="1"/>
  <c r="D163" i="17" s="1"/>
  <c r="D164" i="17" a="1"/>
  <c r="D164" i="17" s="1"/>
  <c r="D165" i="17" a="1"/>
  <c r="D165" i="17" s="1"/>
  <c r="D166" i="17" a="1"/>
  <c r="D166" i="17" s="1"/>
  <c r="D167" i="17" a="1"/>
  <c r="D167" i="17" s="1"/>
  <c r="D168" i="17" a="1"/>
  <c r="D168" i="17" s="1"/>
  <c r="D169" i="17" a="1"/>
  <c r="D169" i="17" s="1"/>
  <c r="D170" i="17" a="1"/>
  <c r="D170" i="17" s="1"/>
  <c r="D171" i="17" a="1"/>
  <c r="D171" i="17" s="1"/>
  <c r="D172" i="17" a="1"/>
  <c r="D172" i="17" s="1"/>
  <c r="D173" i="17" a="1"/>
  <c r="D173" i="17" s="1"/>
  <c r="D174" i="17" a="1"/>
  <c r="D174" i="17" s="1"/>
  <c r="D175" i="17" a="1"/>
  <c r="D175" i="17" s="1"/>
  <c r="D176" i="17" a="1"/>
  <c r="D176" i="17" s="1"/>
  <c r="D177" i="17" a="1"/>
  <c r="D177" i="17" s="1"/>
  <c r="D178" i="17" a="1"/>
  <c r="D178" i="17" s="1"/>
  <c r="D179" i="17" a="1"/>
  <c r="D179" i="17" s="1"/>
  <c r="D180" i="17" a="1"/>
  <c r="D180" i="17" s="1"/>
  <c r="D181" i="17" a="1"/>
  <c r="D181" i="17" s="1"/>
  <c r="D182" i="17" a="1"/>
  <c r="D182" i="17" s="1"/>
  <c r="D183" i="17" a="1"/>
  <c r="D183" i="17" s="1"/>
  <c r="B3" i="16"/>
  <c r="D37" i="17" s="1" a="1"/>
  <c r="D37" i="17" s="1"/>
  <c r="C3" i="16"/>
  <c r="D38" i="17" s="1" a="1"/>
  <c r="D38" i="17" s="1"/>
  <c r="D3" i="16"/>
  <c r="D39" i="17" s="1" a="1"/>
  <c r="D39" i="17" s="1"/>
  <c r="E3" i="16"/>
  <c r="D40" i="17" s="1" a="1"/>
  <c r="D40" i="17" s="1"/>
  <c r="F3" i="16"/>
  <c r="D41" i="17" s="1" a="1"/>
  <c r="D41" i="17" s="1"/>
  <c r="G3" i="16"/>
  <c r="D42" i="17" s="1" a="1"/>
  <c r="D42" i="17" s="1"/>
  <c r="H3" i="16"/>
  <c r="D43" i="17" s="1" a="1"/>
  <c r="D43" i="17" s="1"/>
  <c r="B4" i="16"/>
  <c r="D44" i="17" s="1" a="1"/>
  <c r="D44" i="17" s="1"/>
  <c r="C4" i="16"/>
  <c r="D45" i="17" s="1" a="1"/>
  <c r="D45" i="17" s="1"/>
  <c r="D4" i="16"/>
  <c r="D46" i="17" s="1" a="1"/>
  <c r="D46" i="17" s="1"/>
  <c r="E4" i="16"/>
  <c r="D47" i="17" s="1" a="1"/>
  <c r="D47" i="17" s="1"/>
  <c r="F4" i="16"/>
  <c r="D48" i="17" s="1" a="1"/>
  <c r="D48" i="17" s="1"/>
  <c r="G4" i="16"/>
  <c r="D49" i="17" s="1" a="1"/>
  <c r="D49" i="17" s="1"/>
  <c r="H4" i="16"/>
  <c r="D50" i="17" s="1" a="1"/>
  <c r="D50" i="17" s="1"/>
  <c r="B5" i="16"/>
  <c r="D51" i="17" s="1" a="1"/>
  <c r="D51" i="17" s="1"/>
  <c r="C5" i="16"/>
  <c r="D52" i="17" s="1" a="1"/>
  <c r="D52" i="17" s="1"/>
  <c r="D5" i="16"/>
  <c r="D53" i="17" s="1" a="1"/>
  <c r="D53" i="17" s="1"/>
  <c r="E5" i="16"/>
  <c r="D54" i="17" s="1" a="1"/>
  <c r="D54" i="17" s="1"/>
  <c r="F5" i="16"/>
  <c r="D55" i="17" s="1" a="1"/>
  <c r="D55" i="17" s="1"/>
  <c r="G5" i="16"/>
  <c r="D56" i="17" s="1" a="1"/>
  <c r="D56" i="17" s="1"/>
  <c r="H5" i="16"/>
  <c r="D57" i="17" s="1" a="1"/>
  <c r="D57" i="17" s="1"/>
  <c r="B6" i="16"/>
  <c r="D58" i="17" s="1" a="1"/>
  <c r="D58" i="17" s="1"/>
  <c r="C6" i="16"/>
  <c r="D59" i="17" s="1" a="1"/>
  <c r="D59" i="17" s="1"/>
  <c r="D6" i="16"/>
  <c r="D60" i="17" s="1" a="1"/>
  <c r="D60" i="17" s="1"/>
  <c r="E6" i="16"/>
  <c r="D61" i="17" s="1" a="1"/>
  <c r="D61" i="17" s="1"/>
  <c r="F6" i="16"/>
  <c r="D62" i="17" s="1" a="1"/>
  <c r="D62" i="17" s="1"/>
  <c r="G6" i="16"/>
  <c r="D63" i="17" s="1" a="1"/>
  <c r="D63" i="17" s="1"/>
  <c r="H6" i="16"/>
  <c r="D64" i="17" s="1" a="1"/>
  <c r="D64" i="17" s="1"/>
  <c r="B2" i="9"/>
  <c r="D35" i="10" s="1" a="1"/>
  <c r="D35" i="10" s="1"/>
  <c r="C2" i="9"/>
  <c r="E2" i="9"/>
  <c r="F2" i="9"/>
  <c r="G2" i="9"/>
  <c r="H2" i="9"/>
  <c r="J16" i="33" l="1"/>
  <c r="M34" i="43"/>
  <c r="J10" i="33"/>
  <c r="J21" i="33"/>
  <c r="I22" i="33"/>
  <c r="P10" i="43"/>
  <c r="D30" i="44" s="1" a="1"/>
  <c r="D30" i="44" s="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D195" i="34" a="1"/>
  <c r="D195" i="34" s="1"/>
  <c r="D8" i="34" a="1"/>
  <c r="D8" i="34" s="1"/>
  <c r="D8" i="73" s="1"/>
  <c r="D121" i="34" a="1"/>
  <c r="D121" i="34" s="1"/>
  <c r="D129" i="34" a="1"/>
  <c r="D129" i="34" s="1"/>
  <c r="D14" i="34" a="1"/>
  <c r="D14" i="34" s="1"/>
  <c r="D14" i="73" s="1"/>
  <c r="D47" i="34" a="1"/>
  <c r="D47" i="34" s="1"/>
  <c r="D47" i="73" s="1"/>
  <c r="D133" i="34" a="1"/>
  <c r="D133" i="34" s="1"/>
  <c r="D75" i="34" a="1"/>
  <c r="D75" i="34" s="1"/>
  <c r="D75" i="73" s="1"/>
  <c r="D203" i="34" a="1"/>
  <c r="D203" i="34" s="1"/>
  <c r="D199" i="34" a="1"/>
  <c r="D199" i="34" s="1"/>
  <c r="D187" i="34" a="1"/>
  <c r="D187" i="34" s="1"/>
  <c r="D179" i="34" a="1"/>
  <c r="D179" i="34" s="1"/>
  <c r="D175" i="34" a="1"/>
  <c r="D175" i="34" s="1"/>
  <c r="D171" i="34" a="1"/>
  <c r="D171" i="34" s="1"/>
  <c r="D155" i="34" a="1"/>
  <c r="D155" i="34" s="1"/>
  <c r="D147" i="34" a="1"/>
  <c r="D147" i="34" s="1"/>
  <c r="D143" i="34" a="1"/>
  <c r="D143" i="34" s="1"/>
  <c r="D119" i="34" a="1"/>
  <c r="D119" i="34" s="1"/>
  <c r="D103" i="34" a="1"/>
  <c r="D103" i="34" s="1"/>
  <c r="D103" i="73" s="1"/>
  <c r="D99" i="34" a="1"/>
  <c r="D99" i="34" s="1"/>
  <c r="D99" i="73" s="1"/>
  <c r="D95" i="34" a="1"/>
  <c r="D95" i="34" s="1"/>
  <c r="D95" i="73" s="1"/>
  <c r="D87" i="34" a="1"/>
  <c r="D87" i="34" s="1"/>
  <c r="D87" i="73" s="1"/>
  <c r="D11" i="34" a="1"/>
  <c r="D11" i="34" s="1"/>
  <c r="D11" i="73" s="1"/>
  <c r="D33" i="34" a="1"/>
  <c r="D33" i="34" s="1"/>
  <c r="D33" i="73" s="1"/>
  <c r="D17" i="34" a="1"/>
  <c r="D17" i="34" s="1"/>
  <c r="D17" i="73" s="1"/>
  <c r="D28" i="34" a="1"/>
  <c r="D28" i="34" s="1"/>
  <c r="D28" i="73" s="1"/>
  <c r="D29" i="34" a="1"/>
  <c r="D29" i="34" s="1"/>
  <c r="D29" i="73" s="1"/>
  <c r="D41" i="34" a="1"/>
  <c r="D41" i="34" s="1"/>
  <c r="D41" i="73" s="1"/>
  <c r="D51" i="34" a="1"/>
  <c r="D51" i="34" s="1"/>
  <c r="D51" i="73" s="1"/>
  <c r="D71" i="34" a="1"/>
  <c r="D71" i="34" s="1"/>
  <c r="D71" i="73" s="1"/>
  <c r="D5" i="34" a="1"/>
  <c r="D5" i="34" s="1"/>
  <c r="D5" i="73" s="1"/>
  <c r="D31" i="34" a="1"/>
  <c r="D31" i="34" s="1"/>
  <c r="D31" i="73" s="1"/>
  <c r="D20" i="34" a="1"/>
  <c r="D20" i="34" s="1"/>
  <c r="D20" i="73" s="1"/>
  <c r="D32" i="34" a="1"/>
  <c r="D32" i="34" s="1"/>
  <c r="D32" i="73" s="1"/>
  <c r="D43" i="34" a="1"/>
  <c r="D43" i="34" s="1"/>
  <c r="D43" i="73" s="1"/>
  <c r="D55" i="34" a="1"/>
  <c r="D55" i="34" s="1"/>
  <c r="D55" i="73" s="1"/>
  <c r="D63" i="34" a="1"/>
  <c r="D63" i="34" s="1"/>
  <c r="D63" i="73" s="1"/>
  <c r="D120" i="34" a="1"/>
  <c r="D120" i="34" s="1"/>
  <c r="D131" i="34" a="1"/>
  <c r="D131" i="34" s="1"/>
  <c r="D202" i="34" a="1"/>
  <c r="D202" i="34" s="1"/>
  <c r="D174" i="34" a="1"/>
  <c r="D174" i="34" s="1"/>
  <c r="D166" i="34" a="1"/>
  <c r="D166" i="34" s="1"/>
  <c r="D162" i="34" a="1"/>
  <c r="D162" i="34" s="1"/>
  <c r="D138" i="34" a="1"/>
  <c r="D138" i="34" s="1"/>
  <c r="D110" i="34" a="1"/>
  <c r="D110" i="34" s="1"/>
  <c r="D102" i="34" a="1"/>
  <c r="D102" i="34" s="1"/>
  <c r="D102" i="73" s="1"/>
  <c r="D98" i="34" a="1"/>
  <c r="D98" i="34" s="1"/>
  <c r="D98" i="73" s="1"/>
  <c r="D13" i="34" a="1"/>
  <c r="D13" i="34" s="1"/>
  <c r="D13" i="73" s="1"/>
  <c r="D23" i="34" a="1"/>
  <c r="D23" i="34" s="1"/>
  <c r="D23" i="73" s="1"/>
  <c r="D35" i="34" a="1"/>
  <c r="D35" i="34" s="1"/>
  <c r="D35" i="73" s="1"/>
  <c r="D127" i="34" a="1"/>
  <c r="D127" i="34" s="1"/>
  <c r="D15" i="34" a="1"/>
  <c r="D15" i="34" s="1"/>
  <c r="D15" i="73" s="1"/>
  <c r="D48" i="34" a="1"/>
  <c r="D48" i="34" s="1"/>
  <c r="D48" i="73" s="1"/>
  <c r="D59" i="34" a="1"/>
  <c r="D59" i="34" s="1"/>
  <c r="D59" i="73" s="1"/>
  <c r="D204" i="34" a="1"/>
  <c r="D204" i="34" s="1"/>
  <c r="D200" i="34" a="1"/>
  <c r="D200" i="34" s="1"/>
  <c r="D196" i="34" a="1"/>
  <c r="D196" i="34" s="1"/>
  <c r="D192" i="34" a="1"/>
  <c r="D192" i="34" s="1"/>
  <c r="D176" i="34" a="1"/>
  <c r="D176" i="34" s="1"/>
  <c r="D172" i="34" a="1"/>
  <c r="D172" i="34" s="1"/>
  <c r="D168" i="34" a="1"/>
  <c r="D168" i="34" s="1"/>
  <c r="D164" i="34" a="1"/>
  <c r="D164" i="34" s="1"/>
  <c r="D160" i="34" a="1"/>
  <c r="D160" i="34" s="1"/>
  <c r="D144" i="34" a="1"/>
  <c r="D144" i="34" s="1"/>
  <c r="D140" i="34" a="1"/>
  <c r="D140" i="34" s="1"/>
  <c r="D136" i="34" a="1"/>
  <c r="D136" i="34" s="1"/>
  <c r="D112" i="34" a="1"/>
  <c r="D112" i="34" s="1"/>
  <c r="D108" i="34" a="1"/>
  <c r="D108" i="34" s="1"/>
  <c r="D104" i="34" a="1"/>
  <c r="D104" i="34" s="1"/>
  <c r="D104" i="73" s="1"/>
  <c r="D100" i="34" a="1"/>
  <c r="D100" i="34" s="1"/>
  <c r="D100" i="73" s="1"/>
  <c r="D96" i="34" a="1"/>
  <c r="D96" i="34" s="1"/>
  <c r="D96" i="73" s="1"/>
  <c r="I19" i="33"/>
  <c r="D39" i="34" s="1" a="1"/>
  <c r="D39" i="34" s="1"/>
  <c r="D39" i="73" s="1"/>
  <c r="J18" i="33"/>
  <c r="D37" i="34" s="1" a="1"/>
  <c r="D37" i="34" s="1"/>
  <c r="D37" i="73" s="1"/>
  <c r="N27" i="68"/>
  <c r="N22" i="68"/>
  <c r="N23" i="68"/>
  <c r="N21" i="68"/>
  <c r="R38" i="68"/>
  <c r="D226" i="69" s="1" a="1"/>
  <c r="D226" i="69" s="1"/>
  <c r="Q38" i="68"/>
  <c r="D225" i="69" s="1" a="1"/>
  <c r="D225" i="69" s="1"/>
  <c r="W38" i="68"/>
  <c r="D231" i="69" s="1" a="1"/>
  <c r="D231" i="69" s="1"/>
  <c r="R37" i="68"/>
  <c r="D219" i="69" s="1" a="1"/>
  <c r="D219" i="69" s="1"/>
  <c r="Q37" i="68"/>
  <c r="D218" i="69" s="1" a="1"/>
  <c r="D218" i="69" s="1"/>
  <c r="W37" i="68"/>
  <c r="D224" i="69" s="1" a="1"/>
  <c r="D224" i="69" s="1"/>
  <c r="R36" i="68"/>
  <c r="D212" i="69" s="1" a="1"/>
  <c r="D212" i="69" s="1"/>
  <c r="Q36" i="68"/>
  <c r="D211" i="69" s="1" a="1"/>
  <c r="D211" i="69" s="1"/>
  <c r="W36" i="68"/>
  <c r="D217" i="69" s="1" a="1"/>
  <c r="D217" i="69" s="1"/>
  <c r="R35" i="68"/>
  <c r="D205" i="69" s="1" a="1"/>
  <c r="D205" i="69" s="1"/>
  <c r="Q35" i="68"/>
  <c r="D204" i="69" s="1" a="1"/>
  <c r="D204" i="69" s="1"/>
  <c r="W35" i="68"/>
  <c r="D210" i="69" s="1" a="1"/>
  <c r="D210" i="69" s="1"/>
  <c r="W45" i="68"/>
  <c r="D280" i="69" s="1" a="1"/>
  <c r="D280" i="69" s="1"/>
  <c r="R34" i="68"/>
  <c r="D198" i="69" s="1" a="1"/>
  <c r="D198" i="69" s="1"/>
  <c r="Q34" i="68"/>
  <c r="D197" i="69" s="1" a="1"/>
  <c r="D197" i="69" s="1"/>
  <c r="W34" i="68"/>
  <c r="D203" i="69" s="1" a="1"/>
  <c r="D203" i="69" s="1"/>
  <c r="W44" i="68"/>
  <c r="D273" i="69" s="1" a="1"/>
  <c r="D273" i="69" s="1"/>
  <c r="R44" i="68"/>
  <c r="D268" i="69" s="1" a="1"/>
  <c r="D268" i="69" s="1"/>
  <c r="Q44" i="68"/>
  <c r="D267" i="69" s="1" a="1"/>
  <c r="D267" i="69" s="1"/>
  <c r="R31" i="68"/>
  <c r="D177" i="69" s="1" a="1"/>
  <c r="D177" i="69" s="1"/>
  <c r="Q31" i="68"/>
  <c r="D176" i="69" s="1" a="1"/>
  <c r="D176" i="69" s="1"/>
  <c r="W31" i="68"/>
  <c r="D182" i="69" s="1" a="1"/>
  <c r="D182" i="69" s="1"/>
  <c r="R33" i="68"/>
  <c r="D191" i="69" s="1" a="1"/>
  <c r="D191" i="69" s="1"/>
  <c r="Q33" i="68"/>
  <c r="D190" i="69" s="1" a="1"/>
  <c r="D190" i="69" s="1"/>
  <c r="W33" i="68"/>
  <c r="D196" i="69" s="1" a="1"/>
  <c r="D196" i="69" s="1"/>
  <c r="R43" i="68"/>
  <c r="D261" i="69" s="1" a="1"/>
  <c r="D261" i="69" s="1"/>
  <c r="Q43" i="68"/>
  <c r="D260" i="69" s="1" a="1"/>
  <c r="D260" i="69" s="1"/>
  <c r="W43" i="68"/>
  <c r="D266" i="69" s="1" a="1"/>
  <c r="D266" i="69" s="1"/>
  <c r="W42" i="68"/>
  <c r="D259" i="69" s="1" a="1"/>
  <c r="D259" i="69" s="1"/>
  <c r="R42" i="68"/>
  <c r="D254" i="69" s="1" a="1"/>
  <c r="D254" i="69" s="1"/>
  <c r="Q42" i="68"/>
  <c r="D253" i="69" s="1" a="1"/>
  <c r="D253" i="69" s="1"/>
  <c r="R39" i="68"/>
  <c r="D233" i="69" s="1" a="1"/>
  <c r="D233" i="69" s="1"/>
  <c r="Q39" i="68"/>
  <c r="D232" i="69" s="1" a="1"/>
  <c r="D232" i="69" s="1"/>
  <c r="W39" i="68"/>
  <c r="D238" i="69" s="1" a="1"/>
  <c r="D238" i="69" s="1"/>
  <c r="W32" i="68"/>
  <c r="D189" i="69" s="1" a="1"/>
  <c r="D189" i="69" s="1"/>
  <c r="Q40" i="68"/>
  <c r="D239" i="69" s="1" a="1"/>
  <c r="D239" i="69" s="1"/>
  <c r="L15" i="68"/>
  <c r="N15" i="68" s="1"/>
  <c r="L25" i="68"/>
  <c r="N25" i="68" s="1"/>
  <c r="R40" i="68"/>
  <c r="D240" i="69" s="1" a="1"/>
  <c r="D240" i="69" s="1"/>
  <c r="W41" i="68"/>
  <c r="D252" i="69" s="1" a="1"/>
  <c r="D252" i="69" s="1"/>
  <c r="C6" i="68"/>
  <c r="D25" i="69" s="1"/>
  <c r="L18" i="68"/>
  <c r="N18" i="68" s="1"/>
  <c r="L28" i="68"/>
  <c r="N28" i="68" s="1"/>
  <c r="Q41" i="68"/>
  <c r="D246" i="69" s="1" a="1"/>
  <c r="D246" i="69" s="1"/>
  <c r="L10" i="68"/>
  <c r="N10" i="68" s="1"/>
  <c r="L11" i="68"/>
  <c r="N11" i="68" s="1"/>
  <c r="L19" i="68"/>
  <c r="N19" i="68" s="1"/>
  <c r="L29" i="68"/>
  <c r="N29" i="68" s="1"/>
  <c r="L12" i="68"/>
  <c r="N12" i="68" s="1"/>
  <c r="L20" i="68"/>
  <c r="N20" i="68" s="1"/>
  <c r="L30" i="68"/>
  <c r="N30" i="68" s="1"/>
  <c r="W40" i="68"/>
  <c r="D245" i="69" s="1" a="1"/>
  <c r="D245" i="69" s="1"/>
  <c r="N22" i="66"/>
  <c r="N38" i="66"/>
  <c r="Q38" i="66" s="1"/>
  <c r="D225" i="67" s="1" a="1"/>
  <c r="D225" i="67" s="1"/>
  <c r="N15" i="66"/>
  <c r="N29" i="66"/>
  <c r="L26" i="66"/>
  <c r="N26" i="66" s="1"/>
  <c r="N24" i="66"/>
  <c r="N20" i="66"/>
  <c r="N23" i="66"/>
  <c r="W45" i="66"/>
  <c r="D280" i="67" s="1" a="1"/>
  <c r="D280" i="67" s="1"/>
  <c r="Q44" i="66"/>
  <c r="D267" i="67" s="1" a="1"/>
  <c r="D267" i="67" s="1"/>
  <c r="W44" i="66"/>
  <c r="D273" i="67" s="1" a="1"/>
  <c r="D273" i="67" s="1"/>
  <c r="R44" i="66"/>
  <c r="D268" i="67" s="1" a="1"/>
  <c r="D268" i="67" s="1"/>
  <c r="R32" i="66"/>
  <c r="D184" i="67" s="1" a="1"/>
  <c r="D184" i="67" s="1"/>
  <c r="Q32" i="66"/>
  <c r="D183" i="67" s="1" a="1"/>
  <c r="D183" i="67" s="1"/>
  <c r="W32" i="66"/>
  <c r="D189" i="67" s="1" a="1"/>
  <c r="D189" i="67" s="1"/>
  <c r="R43" i="66"/>
  <c r="D261" i="67" s="1" a="1"/>
  <c r="D261" i="67" s="1"/>
  <c r="Q43" i="66"/>
  <c r="D260" i="67" s="1" a="1"/>
  <c r="D260" i="67" s="1"/>
  <c r="W43" i="66"/>
  <c r="D266" i="67" s="1" a="1"/>
  <c r="D266" i="67" s="1"/>
  <c r="R42" i="66"/>
  <c r="D254" i="67" s="1" a="1"/>
  <c r="D254" i="67" s="1"/>
  <c r="Q42" i="66"/>
  <c r="D253" i="67" s="1" a="1"/>
  <c r="D253" i="67" s="1"/>
  <c r="W42" i="66"/>
  <c r="D259" i="67" s="1" a="1"/>
  <c r="D259" i="67" s="1"/>
  <c r="R39" i="66"/>
  <c r="D233" i="67" s="1" a="1"/>
  <c r="D233" i="67" s="1"/>
  <c r="Q39" i="66"/>
  <c r="D232" i="67" s="1" a="1"/>
  <c r="D232" i="67" s="1"/>
  <c r="W39" i="66"/>
  <c r="D238" i="67" s="1" a="1"/>
  <c r="D238" i="67" s="1"/>
  <c r="R38" i="66"/>
  <c r="D226" i="67" s="1" a="1"/>
  <c r="D226" i="67" s="1"/>
  <c r="L17" i="66"/>
  <c r="N17" i="66" s="1"/>
  <c r="L18" i="66"/>
  <c r="N18" i="66" s="1"/>
  <c r="Q41" i="66"/>
  <c r="D246" i="67" s="1" a="1"/>
  <c r="D246" i="67" s="1"/>
  <c r="R41" i="66"/>
  <c r="D247" i="67" s="1" a="1"/>
  <c r="D247" i="67" s="1"/>
  <c r="W40" i="66"/>
  <c r="D245" i="67" s="1" a="1"/>
  <c r="D245" i="67" s="1"/>
  <c r="Q40" i="66"/>
  <c r="D239" i="67" s="1" a="1"/>
  <c r="D239" i="67" s="1"/>
  <c r="O10" i="66"/>
  <c r="D69" i="44" a="1"/>
  <c r="D69" i="44" s="1"/>
  <c r="D49" i="44" a="1"/>
  <c r="D49" i="44" s="1"/>
  <c r="D87" i="44" a="1"/>
  <c r="D87" i="44" s="1"/>
  <c r="D81" i="44" a="1"/>
  <c r="D81" i="44" s="1"/>
  <c r="D55" i="44" a="1"/>
  <c r="D55" i="44" s="1"/>
  <c r="D75" i="44" a="1"/>
  <c r="D75" i="44" s="1"/>
  <c r="R11" i="43"/>
  <c r="D38" i="44" s="1" a="1"/>
  <c r="D38" i="44" s="1"/>
  <c r="Q11" i="43"/>
  <c r="D37" i="44" s="1" a="1"/>
  <c r="D37" i="44" s="1"/>
  <c r="D25" i="44"/>
  <c r="L30" i="43"/>
  <c r="L33" i="43"/>
  <c r="D46" i="44" a="1"/>
  <c r="D46" i="44" s="1"/>
  <c r="D58" i="44" a="1"/>
  <c r="D58" i="44" s="1"/>
  <c r="D32" i="44" a="1"/>
  <c r="D32" i="44" s="1"/>
  <c r="D52" i="44" a="1"/>
  <c r="D52" i="44" s="1"/>
  <c r="D76" i="44" a="1"/>
  <c r="D76" i="44" s="1"/>
  <c r="D88" i="44" a="1"/>
  <c r="D88" i="44" s="1"/>
  <c r="D64" i="44" a="1"/>
  <c r="D64" i="44" s="1"/>
  <c r="D24" i="44"/>
  <c r="L18" i="43"/>
  <c r="L17" i="43"/>
  <c r="L16" i="43"/>
  <c r="D34" i="44" a="1"/>
  <c r="D34" i="44" s="1"/>
  <c r="D40" i="44" a="1"/>
  <c r="D40" i="44" s="1"/>
  <c r="L22" i="43"/>
  <c r="P22" i="43" s="1"/>
  <c r="D86" i="44" a="1"/>
  <c r="D86" i="44" s="1"/>
  <c r="L25" i="43"/>
  <c r="J27" i="43"/>
  <c r="L27" i="43"/>
  <c r="J35" i="43"/>
  <c r="L35" i="43" s="1"/>
  <c r="J26" i="43"/>
  <c r="L26" i="43" s="1"/>
  <c r="D50" i="44" a="1"/>
  <c r="D50" i="44" s="1"/>
  <c r="D74" i="44" a="1"/>
  <c r="D74" i="44" s="1"/>
  <c r="D44" i="44" a="1"/>
  <c r="D44" i="44" s="1"/>
  <c r="D56" i="44" a="1"/>
  <c r="D56" i="44" s="1"/>
  <c r="D85" i="44" a="1"/>
  <c r="D85" i="44" s="1"/>
  <c r="D54" i="44" a="1"/>
  <c r="D54" i="44" s="1"/>
  <c r="S11" i="43"/>
  <c r="D39" i="44" s="1" a="1"/>
  <c r="D39" i="44" s="1"/>
  <c r="P17" i="43"/>
  <c r="D72" i="44" s="1" a="1"/>
  <c r="D72" i="44" s="1"/>
  <c r="O17" i="43"/>
  <c r="D71" i="44" s="1" a="1"/>
  <c r="D71" i="44" s="1"/>
  <c r="P21" i="43"/>
  <c r="O21" i="43"/>
  <c r="P43" i="43"/>
  <c r="O43" i="43"/>
  <c r="P44" i="43"/>
  <c r="O44" i="43"/>
  <c r="P13" i="43"/>
  <c r="D48" i="44" s="1" a="1"/>
  <c r="D48" i="44" s="1"/>
  <c r="O13" i="43"/>
  <c r="D47" i="44" s="1" a="1"/>
  <c r="D47" i="44" s="1"/>
  <c r="P30" i="43"/>
  <c r="O30" i="43"/>
  <c r="P40" i="43"/>
  <c r="O40" i="43"/>
  <c r="O19" i="43"/>
  <c r="D83" i="44" s="1" a="1"/>
  <c r="D83" i="44" s="1"/>
  <c r="P19" i="43"/>
  <c r="D84" i="44" s="1" a="1"/>
  <c r="D84" i="44" s="1"/>
  <c r="P23" i="43"/>
  <c r="O23" i="43"/>
  <c r="O31" i="43"/>
  <c r="P31" i="43"/>
  <c r="O39" i="43"/>
  <c r="P39" i="43"/>
  <c r="O22" i="43"/>
  <c r="P32" i="43"/>
  <c r="O32" i="43"/>
  <c r="O38" i="43"/>
  <c r="P38" i="43"/>
  <c r="O15" i="43"/>
  <c r="D59" i="44" s="1" a="1"/>
  <c r="D59" i="44" s="1"/>
  <c r="P15" i="43"/>
  <c r="D60" i="44" s="1" a="1"/>
  <c r="D60" i="44" s="1"/>
  <c r="O20" i="43"/>
  <c r="D89" i="44" s="1" a="1"/>
  <c r="D89" i="44" s="1"/>
  <c r="P20" i="43"/>
  <c r="D90" i="44" s="1" a="1"/>
  <c r="D90" i="44" s="1"/>
  <c r="O33" i="43"/>
  <c r="P33" i="43"/>
  <c r="P12" i="43"/>
  <c r="D42" i="44" s="1" a="1"/>
  <c r="D42" i="44" s="1"/>
  <c r="O12" i="43"/>
  <c r="D41" i="44" s="1" a="1"/>
  <c r="D41" i="44" s="1"/>
  <c r="P41" i="43"/>
  <c r="O41" i="43"/>
  <c r="O10" i="43"/>
  <c r="D29" i="44" s="1" a="1"/>
  <c r="D29" i="44" s="1"/>
  <c r="O14" i="43"/>
  <c r="D53" i="44" s="1" a="1"/>
  <c r="D53" i="44" s="1"/>
  <c r="O42" i="43"/>
  <c r="J11" i="43"/>
  <c r="L11" i="4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D128" i="34" a="1"/>
  <c r="D128" i="34" s="1"/>
  <c r="D134" i="34" a="1"/>
  <c r="D134" i="34" s="1"/>
  <c r="D130" i="34" a="1"/>
  <c r="D130" i="34" s="1"/>
  <c r="D126" i="34" a="1"/>
  <c r="D126" i="34" s="1"/>
  <c r="D122" i="34" a="1"/>
  <c r="D122" i="34"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D38" i="34" a="1"/>
  <c r="D38" i="34" s="1"/>
  <c r="D38" i="73" s="1"/>
  <c r="D26" i="34" a="1"/>
  <c r="D26" i="34" s="1"/>
  <c r="D26" i="73" s="1"/>
  <c r="D18" i="34" a="1"/>
  <c r="D18" i="34" s="1"/>
  <c r="D18" i="73" s="1"/>
  <c r="D80" i="34" a="1"/>
  <c r="D80" i="34" s="1"/>
  <c r="D80" i="73" s="1"/>
  <c r="D76" i="34" a="1"/>
  <c r="D76" i="34" s="1"/>
  <c r="D76" i="73" s="1"/>
  <c r="D68" i="34" a="1"/>
  <c r="D68" i="34" s="1"/>
  <c r="D68" i="73" s="1"/>
  <c r="D56" i="34" a="1"/>
  <c r="D56" i="34" s="1"/>
  <c r="D56" i="73" s="1"/>
  <c r="D44" i="34" a="1"/>
  <c r="D44" i="34" s="1"/>
  <c r="D44" i="73" s="1"/>
  <c r="D40" i="34" a="1"/>
  <c r="D40" i="34" s="1"/>
  <c r="D40" i="73" s="1"/>
  <c r="I7" i="33"/>
  <c r="D3" i="34" s="1" a="1"/>
  <c r="D3" i="34" s="1"/>
  <c r="D3" i="73" s="1"/>
  <c r="D36" i="34" a="1"/>
  <c r="D36" i="34" s="1"/>
  <c r="D36" i="73" s="1"/>
  <c r="D78" i="34" a="1"/>
  <c r="D78" i="34" s="1"/>
  <c r="D78" i="73" s="1"/>
  <c r="D74" i="34" a="1"/>
  <c r="D74" i="34" s="1"/>
  <c r="D74" i="73" s="1"/>
  <c r="D70" i="34" a="1"/>
  <c r="D70" i="34" s="1"/>
  <c r="D70" i="73" s="1"/>
  <c r="D42" i="34" a="1"/>
  <c r="D42" i="34" s="1"/>
  <c r="D42" i="73" s="1"/>
  <c r="D62" i="34" a="1"/>
  <c r="D62" i="34" s="1"/>
  <c r="D62" i="73" s="1"/>
  <c r="D50" i="34" a="1"/>
  <c r="D50" i="34" s="1"/>
  <c r="D50" i="73" s="1"/>
  <c r="D46" i="34" a="1"/>
  <c r="D46" i="34" s="1"/>
  <c r="D46"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D57" i="34" s="1" a="1"/>
  <c r="D57" i="34" s="1"/>
  <c r="D57" i="73" s="1"/>
  <c r="J22" i="33"/>
  <c r="D49" i="34" s="1" a="1"/>
  <c r="D49" i="34" s="1"/>
  <c r="D49" i="73" s="1"/>
  <c r="J34" i="33"/>
  <c r="J38" i="33"/>
  <c r="I30" i="33"/>
  <c r="D72" i="34" s="1" a="1"/>
  <c r="D72" i="34" s="1"/>
  <c r="D72" i="73" s="1"/>
  <c r="I33" i="33"/>
  <c r="I41" i="33"/>
  <c r="I9" i="33"/>
  <c r="D9" i="34" s="1" a="1"/>
  <c r="D9" i="34" s="1"/>
  <c r="D9" i="73" s="1"/>
  <c r="I8" i="33"/>
  <c r="E3" i="34" s="1"/>
  <c r="I16" i="33"/>
  <c r="D30" i="34" s="1" a="1"/>
  <c r="D30" i="34" s="1"/>
  <c r="D30" i="73" s="1"/>
  <c r="J17" i="33"/>
  <c r="D34" i="34" s="1" a="1"/>
  <c r="D34" i="34" s="1"/>
  <c r="D34" i="73" s="1"/>
  <c r="I21" i="33"/>
  <c r="D45" i="34" s="1" a="1"/>
  <c r="D45" i="34" s="1"/>
  <c r="D45" i="73" s="1"/>
  <c r="I28" i="33"/>
  <c r="D66" i="34" s="1" a="1"/>
  <c r="D66" i="34" s="1"/>
  <c r="D66" i="73" s="1"/>
  <c r="J36" i="33"/>
  <c r="I36" i="33"/>
  <c r="J40" i="33"/>
  <c r="I29" i="33"/>
  <c r="D69" i="34" s="1" a="1"/>
  <c r="D69" i="34" s="1"/>
  <c r="D69" i="73" s="1"/>
  <c r="I15" i="33"/>
  <c r="D27" i="34" s="1" a="1"/>
  <c r="D27" i="34" s="1"/>
  <c r="D27" i="73" s="1"/>
  <c r="I24" i="33"/>
  <c r="D54" i="34" s="1" a="1"/>
  <c r="D54" i="34" s="1"/>
  <c r="D54" i="73" s="1"/>
  <c r="J28" i="33"/>
  <c r="D67" i="34" s="1" a="1"/>
  <c r="D67" i="34" s="1"/>
  <c r="D67" i="73" s="1"/>
  <c r="J32" i="33"/>
  <c r="D79" i="34" s="1" a="1"/>
  <c r="D79" i="34" s="1"/>
  <c r="D79" i="73" s="1"/>
  <c r="J45" i="33"/>
  <c r="J47" i="33"/>
  <c r="D124" i="34" s="1" a="1"/>
  <c r="D124" i="34" s="1"/>
  <c r="I47" i="33"/>
  <c r="D123" i="34" s="1" a="1"/>
  <c r="D123" i="34" s="1"/>
  <c r="I14" i="33"/>
  <c r="D24" i="34" s="1" a="1"/>
  <c r="D24" i="34" s="1"/>
  <c r="D24" i="73" s="1"/>
  <c r="I26" i="33"/>
  <c r="D60" i="34" s="1" a="1"/>
  <c r="D60" i="34" s="1"/>
  <c r="D60" i="73" s="1"/>
  <c r="I42" i="33"/>
  <c r="I44" i="33"/>
  <c r="I50" i="33"/>
  <c r="D132" i="34" s="1" a="1"/>
  <c r="D132" i="34" s="1"/>
  <c r="D30" i="30" a="1"/>
  <c r="D30" i="30" s="1"/>
  <c r="D142" i="27" a="1"/>
  <c r="D142" i="27" s="1"/>
  <c r="D148" i="27" a="1"/>
  <c r="D148" i="27" s="1"/>
  <c r="D151" i="27" a="1"/>
  <c r="D151" i="27" s="1"/>
  <c r="D164" i="27" a="1"/>
  <c r="D164" i="27" s="1"/>
  <c r="D167" i="27" a="1"/>
  <c r="D167" i="27" s="1"/>
  <c r="D180" i="27" a="1"/>
  <c r="D180" i="27" s="1"/>
  <c r="D183" i="27" a="1"/>
  <c r="D183" i="27" s="1"/>
  <c r="D196" i="27" a="1"/>
  <c r="D196" i="27" s="1"/>
  <c r="D199" i="27" a="1"/>
  <c r="D199" i="27" s="1"/>
  <c r="D145" i="27" a="1"/>
  <c r="D145" i="27" s="1"/>
  <c r="D158" i="27" a="1"/>
  <c r="D158" i="27" s="1"/>
  <c r="D161" i="27" a="1"/>
  <c r="D161" i="27" s="1"/>
  <c r="D174" i="27" a="1"/>
  <c r="D174" i="27" s="1"/>
  <c r="D177" i="27" a="1"/>
  <c r="D177" i="27" s="1"/>
  <c r="D193" i="27" a="1"/>
  <c r="D193" i="27" s="1"/>
  <c r="D146" i="27" a="1"/>
  <c r="D146" i="27" s="1"/>
  <c r="D149" i="27" a="1"/>
  <c r="D149" i="27" s="1"/>
  <c r="D162" i="27" a="1"/>
  <c r="D162" i="27" s="1"/>
  <c r="D165" i="27" a="1"/>
  <c r="D165" i="27" s="1"/>
  <c r="D178" i="27" a="1"/>
  <c r="D178" i="27" s="1"/>
  <c r="D181" i="27" a="1"/>
  <c r="D181" i="27" s="1"/>
  <c r="D194" i="27" a="1"/>
  <c r="D194" i="27" s="1"/>
  <c r="D197" i="27" a="1"/>
  <c r="D197" i="27" s="1"/>
  <c r="D150" i="27" a="1"/>
  <c r="D150" i="27" s="1"/>
  <c r="D153" i="27" a="1"/>
  <c r="D153" i="27" s="1"/>
  <c r="D166" i="27" a="1"/>
  <c r="D166" i="27" s="1"/>
  <c r="D169" i="27" a="1"/>
  <c r="D169" i="27" s="1"/>
  <c r="D182" i="27" a="1"/>
  <c r="D182" i="27" s="1"/>
  <c r="D185" i="27" a="1"/>
  <c r="D185" i="27" s="1"/>
  <c r="D198" i="27" a="1"/>
  <c r="D198" i="27" s="1"/>
  <c r="D201" i="27" a="1"/>
  <c r="D201" i="27" s="1"/>
  <c r="M35" i="43" l="1"/>
  <c r="M36" i="43" s="1"/>
  <c r="M37" i="43" s="1"/>
  <c r="M38" i="43" s="1"/>
  <c r="M39" i="43" s="1"/>
  <c r="M40" i="43" s="1"/>
  <c r="M41" i="43" s="1"/>
  <c r="M42" i="43" s="1"/>
  <c r="M43" i="43" s="1"/>
  <c r="M44" i="43" s="1"/>
  <c r="M45" i="43" s="1"/>
  <c r="O10" i="68"/>
  <c r="S10" i="66"/>
  <c r="T10" i="66"/>
  <c r="W38" i="66"/>
  <c r="D231" i="67" s="1" a="1"/>
  <c r="D231" i="67" s="1"/>
  <c r="R10" i="66"/>
  <c r="O11" i="66"/>
  <c r="O12" i="66" s="1"/>
  <c r="U10" i="66"/>
  <c r="Q10" i="66"/>
  <c r="D29" i="67" s="1" a="1"/>
  <c r="D29" i="67" s="1"/>
  <c r="T11" i="66"/>
  <c r="S11" i="66"/>
  <c r="Q11" i="66"/>
  <c r="P11" i="43"/>
  <c r="D36" i="44" s="1" a="1"/>
  <c r="D36" i="44" s="1"/>
  <c r="O11" i="43"/>
  <c r="D35" i="44" s="1" a="1"/>
  <c r="D35" i="44" s="1"/>
  <c r="D61" i="44" a="1"/>
  <c r="D61" i="44" s="1"/>
  <c r="D62" i="44" a="1"/>
  <c r="D62" i="44" s="1"/>
  <c r="D6" i="34" a="1"/>
  <c r="D6" i="34" s="1"/>
  <c r="D6" i="73" s="1"/>
  <c r="D1" i="9"/>
  <c r="D30" i="10" s="1"/>
  <c r="C263" i="17"/>
  <c r="B263" i="17"/>
  <c r="D263" i="17" s="1" a="1"/>
  <c r="D263" i="17" s="1"/>
  <c r="C262" i="17"/>
  <c r="B262" i="17"/>
  <c r="D262" i="17" s="1" a="1"/>
  <c r="D262" i="17" s="1"/>
  <c r="C261" i="17"/>
  <c r="D261" i="17" s="1" a="1"/>
  <c r="D261" i="17" s="1"/>
  <c r="B261" i="17"/>
  <c r="C260" i="17"/>
  <c r="B260" i="17"/>
  <c r="D260" i="17" s="1" a="1"/>
  <c r="D260" i="17" s="1"/>
  <c r="C259" i="17"/>
  <c r="B259" i="17"/>
  <c r="D259" i="17" s="1" a="1"/>
  <c r="D259" i="17" s="1"/>
  <c r="D258" i="17" a="1"/>
  <c r="D258" i="17" s="1"/>
  <c r="C258" i="17"/>
  <c r="B258" i="17"/>
  <c r="C257" i="17"/>
  <c r="D257" i="17" s="1" a="1"/>
  <c r="D257" i="17" s="1"/>
  <c r="B257" i="17"/>
  <c r="D256" i="17" a="1"/>
  <c r="D256" i="17" s="1"/>
  <c r="C256" i="17"/>
  <c r="B256" i="17"/>
  <c r="C255" i="17"/>
  <c r="B255" i="17"/>
  <c r="D255" i="17" s="1" a="1"/>
  <c r="D255" i="17" s="1"/>
  <c r="C254" i="17"/>
  <c r="B254" i="17"/>
  <c r="D254" i="17" s="1" a="1"/>
  <c r="D254" i="17" s="1"/>
  <c r="C253" i="17"/>
  <c r="D253" i="17" s="1" a="1"/>
  <c r="D253" i="17" s="1"/>
  <c r="B253" i="17"/>
  <c r="C252" i="17"/>
  <c r="B252" i="17"/>
  <c r="D252" i="17" s="1" a="1"/>
  <c r="D252" i="17" s="1"/>
  <c r="C251" i="17"/>
  <c r="B251" i="17"/>
  <c r="D251" i="17" s="1" a="1"/>
  <c r="D251" i="17" s="1"/>
  <c r="D250" i="17" a="1"/>
  <c r="D250" i="17" s="1"/>
  <c r="C250" i="17"/>
  <c r="B250" i="17"/>
  <c r="C249" i="17"/>
  <c r="D249" i="17" s="1" a="1"/>
  <c r="D249" i="17" s="1"/>
  <c r="B249" i="17"/>
  <c r="D248" i="17" a="1"/>
  <c r="D248" i="17" s="1"/>
  <c r="C248" i="17"/>
  <c r="B248" i="17"/>
  <c r="C247" i="17"/>
  <c r="B247" i="17"/>
  <c r="D247" i="17" s="1" a="1"/>
  <c r="D247" i="17" s="1"/>
  <c r="C246" i="17"/>
  <c r="B246" i="17"/>
  <c r="D246" i="17" s="1" a="1"/>
  <c r="D246" i="17" s="1"/>
  <c r="C245" i="17"/>
  <c r="D245" i="17" s="1" a="1"/>
  <c r="D245" i="17" s="1"/>
  <c r="B245" i="17"/>
  <c r="C244" i="17"/>
  <c r="B244" i="17"/>
  <c r="D244" i="17" s="1" a="1"/>
  <c r="D244" i="17" s="1"/>
  <c r="C243" i="17"/>
  <c r="B243" i="17"/>
  <c r="D243" i="17" s="1" a="1"/>
  <c r="D243" i="17" s="1"/>
  <c r="D242" i="17" a="1"/>
  <c r="D242" i="17" s="1"/>
  <c r="C242" i="17"/>
  <c r="B242" i="17"/>
  <c r="C241" i="17"/>
  <c r="D241" i="17" s="1" a="1"/>
  <c r="D241" i="17" s="1"/>
  <c r="B241" i="17"/>
  <c r="D240" i="17" a="1"/>
  <c r="D240" i="17" s="1"/>
  <c r="C240" i="17"/>
  <c r="B240" i="17"/>
  <c r="C239" i="17"/>
  <c r="B239" i="17"/>
  <c r="D239" i="17" s="1" a="1"/>
  <c r="D239" i="17" s="1"/>
  <c r="C238" i="17"/>
  <c r="B238" i="17"/>
  <c r="D238" i="17" s="1" a="1"/>
  <c r="D238" i="17" s="1"/>
  <c r="C237" i="17"/>
  <c r="D237" i="17" s="1" a="1"/>
  <c r="D237" i="17" s="1"/>
  <c r="B237" i="17"/>
  <c r="C236" i="17"/>
  <c r="B236" i="17"/>
  <c r="D236" i="17" s="1" a="1"/>
  <c r="D236" i="17" s="1"/>
  <c r="C235" i="17"/>
  <c r="B235" i="17"/>
  <c r="D235" i="17" s="1" a="1"/>
  <c r="D235" i="17" s="1"/>
  <c r="D234" i="17" a="1"/>
  <c r="D234" i="17" s="1"/>
  <c r="C234" i="17"/>
  <c r="B234" i="17"/>
  <c r="C233" i="17"/>
  <c r="D233" i="17" s="1" a="1"/>
  <c r="D233" i="17" s="1"/>
  <c r="B233" i="17"/>
  <c r="D232" i="17" a="1"/>
  <c r="D232" i="17" s="1"/>
  <c r="C232" i="17"/>
  <c r="B232" i="17"/>
  <c r="C231" i="17"/>
  <c r="B231" i="17"/>
  <c r="D231" i="17" s="1" a="1"/>
  <c r="D231" i="17" s="1"/>
  <c r="C230" i="17"/>
  <c r="B230" i="17"/>
  <c r="D230" i="17" s="1" a="1"/>
  <c r="D230" i="17" s="1"/>
  <c r="C229" i="17"/>
  <c r="D229" i="17" s="1" a="1"/>
  <c r="D229" i="17" s="1"/>
  <c r="B229" i="17"/>
  <c r="C228" i="17"/>
  <c r="B228" i="17"/>
  <c r="D228" i="17" s="1" a="1"/>
  <c r="D228" i="17" s="1"/>
  <c r="C227" i="17"/>
  <c r="B227" i="17"/>
  <c r="D227" i="17" s="1" a="1"/>
  <c r="D227" i="17" s="1"/>
  <c r="D226" i="17" a="1"/>
  <c r="D226" i="17" s="1"/>
  <c r="C226" i="17"/>
  <c r="B226" i="17"/>
  <c r="C225" i="17"/>
  <c r="D225" i="17" s="1" a="1"/>
  <c r="D225" i="17" s="1"/>
  <c r="B225" i="17"/>
  <c r="D224" i="17" a="1"/>
  <c r="D224" i="17" s="1"/>
  <c r="C224" i="17"/>
  <c r="B224" i="17"/>
  <c r="C223" i="17"/>
  <c r="B223" i="17"/>
  <c r="D223" i="17" s="1" a="1"/>
  <c r="D223" i="17" s="1"/>
  <c r="C222" i="17"/>
  <c r="B222" i="17"/>
  <c r="D222" i="17" s="1" a="1"/>
  <c r="D222" i="17" s="1"/>
  <c r="C221" i="17"/>
  <c r="D221" i="17" s="1" a="1"/>
  <c r="D221" i="17" s="1"/>
  <c r="B221" i="17"/>
  <c r="C220" i="17"/>
  <c r="B220" i="17"/>
  <c r="D220" i="17" s="1" a="1"/>
  <c r="D220" i="17" s="1"/>
  <c r="C219" i="17"/>
  <c r="B219" i="17"/>
  <c r="D219" i="17" s="1" a="1"/>
  <c r="D219" i="17" s="1"/>
  <c r="D218" i="17" a="1"/>
  <c r="D218" i="17" s="1"/>
  <c r="C218" i="17"/>
  <c r="B218" i="17"/>
  <c r="C217" i="17"/>
  <c r="D217" i="17" s="1" a="1"/>
  <c r="D217" i="17" s="1"/>
  <c r="B217" i="17"/>
  <c r="D216" i="17" a="1"/>
  <c r="D216" i="17" s="1"/>
  <c r="C216" i="17"/>
  <c r="B216" i="17"/>
  <c r="C215" i="17"/>
  <c r="B215" i="17"/>
  <c r="D215" i="17" s="1" a="1"/>
  <c r="D215" i="17" s="1"/>
  <c r="C214" i="17"/>
  <c r="B214" i="17"/>
  <c r="D214" i="17" s="1" a="1"/>
  <c r="D214" i="17" s="1"/>
  <c r="C213" i="17"/>
  <c r="D213" i="17" s="1" a="1"/>
  <c r="D213" i="17" s="1"/>
  <c r="B213" i="17"/>
  <c r="C212" i="17"/>
  <c r="B212" i="17"/>
  <c r="D212" i="17" s="1" a="1"/>
  <c r="D212" i="17" s="1"/>
  <c r="C211" i="17"/>
  <c r="B211" i="17"/>
  <c r="D211" i="17" s="1" a="1"/>
  <c r="D211" i="17" s="1"/>
  <c r="D210" i="17" a="1"/>
  <c r="D210" i="17" s="1"/>
  <c r="C210" i="17"/>
  <c r="B210" i="17"/>
  <c r="C209" i="17"/>
  <c r="D209" i="17" s="1" a="1"/>
  <c r="D209" i="17" s="1"/>
  <c r="B209" i="17"/>
  <c r="D208" i="17" a="1"/>
  <c r="D208" i="17" s="1"/>
  <c r="C208" i="17"/>
  <c r="B208" i="17"/>
  <c r="C207" i="17"/>
  <c r="B207" i="17"/>
  <c r="D207" i="17" s="1" a="1"/>
  <c r="D207" i="17" s="1"/>
  <c r="C206" i="17"/>
  <c r="B206" i="17"/>
  <c r="D206" i="17" s="1" a="1"/>
  <c r="D206" i="17" s="1"/>
  <c r="C205" i="17"/>
  <c r="D205" i="17" s="1" a="1"/>
  <c r="D205" i="17" s="1"/>
  <c r="B205" i="17"/>
  <c r="C204" i="17"/>
  <c r="B204" i="17"/>
  <c r="D204" i="17" s="1" a="1"/>
  <c r="D204" i="17" s="1"/>
  <c r="C203" i="17"/>
  <c r="B203" i="17"/>
  <c r="D203" i="17" s="1" a="1"/>
  <c r="D203" i="17" s="1"/>
  <c r="D202" i="17" a="1"/>
  <c r="D202" i="17" s="1"/>
  <c r="C202" i="17"/>
  <c r="B202" i="17"/>
  <c r="C201" i="17"/>
  <c r="D201" i="17" s="1" a="1"/>
  <c r="D201" i="17" s="1"/>
  <c r="B201" i="17"/>
  <c r="D200" i="17" a="1"/>
  <c r="D200" i="17" s="1"/>
  <c r="C200" i="17"/>
  <c r="B200" i="17"/>
  <c r="C199" i="17"/>
  <c r="B199" i="17"/>
  <c r="D199" i="17" s="1" a="1"/>
  <c r="D199" i="17" s="1"/>
  <c r="C198" i="17"/>
  <c r="B198" i="17"/>
  <c r="D198" i="17" s="1" a="1"/>
  <c r="D198" i="17" s="1"/>
  <c r="C197" i="17"/>
  <c r="D197" i="17" s="1" a="1"/>
  <c r="D197" i="17" s="1"/>
  <c r="B197" i="17"/>
  <c r="C196" i="17"/>
  <c r="B196" i="17"/>
  <c r="D196" i="17" s="1" a="1"/>
  <c r="D196" i="17" s="1"/>
  <c r="C195" i="17"/>
  <c r="B195" i="17"/>
  <c r="D195" i="17" s="1" a="1"/>
  <c r="D195" i="17" s="1"/>
  <c r="D194" i="17" a="1"/>
  <c r="D194" i="17" s="1"/>
  <c r="C194" i="17"/>
  <c r="B194" i="17"/>
  <c r="C193" i="17"/>
  <c r="D193" i="17" s="1" a="1"/>
  <c r="D193" i="17" s="1"/>
  <c r="B193" i="17"/>
  <c r="D192" i="17" a="1"/>
  <c r="D192" i="17" s="1"/>
  <c r="C192" i="17"/>
  <c r="B192" i="17"/>
  <c r="C191" i="17"/>
  <c r="B191" i="17"/>
  <c r="D191" i="17" s="1" a="1"/>
  <c r="D191" i="17" s="1"/>
  <c r="C190" i="17"/>
  <c r="B190" i="17"/>
  <c r="D190" i="17" s="1" a="1"/>
  <c r="D190" i="17" s="1"/>
  <c r="C189" i="17"/>
  <c r="D189" i="17" s="1" a="1"/>
  <c r="D189" i="17" s="1"/>
  <c r="B189" i="17"/>
  <c r="C188" i="17"/>
  <c r="B188" i="17"/>
  <c r="D188" i="17" s="1" a="1"/>
  <c r="D188" i="17" s="1"/>
  <c r="C187" i="17"/>
  <c r="B187" i="17"/>
  <c r="D187" i="17" s="1" a="1"/>
  <c r="D187" i="17" s="1"/>
  <c r="D186" i="17" a="1"/>
  <c r="D186" i="17" s="1"/>
  <c r="C186" i="17"/>
  <c r="B186" i="17"/>
  <c r="C185" i="17"/>
  <c r="D185" i="17" s="1" a="1"/>
  <c r="D185" i="17" s="1"/>
  <c r="B185" i="17"/>
  <c r="D184" i="17" a="1"/>
  <c r="D184" i="17" s="1"/>
  <c r="C184" i="17"/>
  <c r="B184" i="17"/>
  <c r="C183" i="17"/>
  <c r="B183" i="17"/>
  <c r="C182" i="17"/>
  <c r="B182" i="17"/>
  <c r="C181" i="17"/>
  <c r="B181" i="17"/>
  <c r="C180" i="17"/>
  <c r="B180" i="17"/>
  <c r="C179" i="17"/>
  <c r="B179" i="17"/>
  <c r="C178" i="17"/>
  <c r="B178" i="17"/>
  <c r="C177" i="17"/>
  <c r="B177" i="17"/>
  <c r="C176" i="17"/>
  <c r="B176" i="17"/>
  <c r="C175" i="17"/>
  <c r="B175" i="17"/>
  <c r="C174" i="17"/>
  <c r="B174" i="17"/>
  <c r="C173" i="17"/>
  <c r="B173" i="17"/>
  <c r="C172" i="17"/>
  <c r="B172" i="17"/>
  <c r="C171" i="17"/>
  <c r="B171" i="17"/>
  <c r="C170" i="17"/>
  <c r="B170" i="17"/>
  <c r="C169" i="17"/>
  <c r="B169" i="17"/>
  <c r="C168" i="17"/>
  <c r="B168" i="17"/>
  <c r="C167" i="17"/>
  <c r="B167" i="17"/>
  <c r="C166" i="17"/>
  <c r="B166" i="17"/>
  <c r="C165" i="17"/>
  <c r="B165" i="17"/>
  <c r="C164" i="17"/>
  <c r="B164" i="17"/>
  <c r="C163" i="17"/>
  <c r="B163" i="17"/>
  <c r="C162" i="17"/>
  <c r="B162" i="17"/>
  <c r="C161" i="17"/>
  <c r="B161" i="17"/>
  <c r="C160" i="17"/>
  <c r="B160" i="17"/>
  <c r="C159" i="17"/>
  <c r="B159" i="17"/>
  <c r="C158" i="17"/>
  <c r="B158" i="17"/>
  <c r="C157" i="17"/>
  <c r="B157" i="17"/>
  <c r="C156" i="17"/>
  <c r="B156" i="17"/>
  <c r="C155" i="17"/>
  <c r="B155" i="17"/>
  <c r="C154" i="17"/>
  <c r="B154" i="17"/>
  <c r="C153" i="17"/>
  <c r="B153" i="17"/>
  <c r="C152" i="17"/>
  <c r="B152" i="17"/>
  <c r="C151" i="17"/>
  <c r="B151" i="17"/>
  <c r="C150" i="17"/>
  <c r="B150" i="17"/>
  <c r="C149" i="17"/>
  <c r="B149" i="17"/>
  <c r="C148" i="17"/>
  <c r="B148" i="17"/>
  <c r="C147" i="17"/>
  <c r="B147" i="17"/>
  <c r="C146" i="17"/>
  <c r="B146" i="17"/>
  <c r="C145" i="17"/>
  <c r="B145" i="17"/>
  <c r="C144" i="17"/>
  <c r="B144" i="17"/>
  <c r="C143" i="17"/>
  <c r="B143" i="17"/>
  <c r="C142" i="17"/>
  <c r="B142" i="17"/>
  <c r="C141" i="17"/>
  <c r="B141" i="17"/>
  <c r="C140" i="17"/>
  <c r="B140" i="17"/>
  <c r="C139" i="17"/>
  <c r="B139" i="17"/>
  <c r="C138" i="17"/>
  <c r="B138" i="17"/>
  <c r="C137" i="17"/>
  <c r="B137" i="17"/>
  <c r="C136" i="17"/>
  <c r="B136" i="17"/>
  <c r="C135" i="17"/>
  <c r="B135" i="17"/>
  <c r="C134" i="17"/>
  <c r="B134" i="17"/>
  <c r="C133" i="17"/>
  <c r="B133" i="17"/>
  <c r="C132" i="17"/>
  <c r="B132" i="17"/>
  <c r="C131" i="17"/>
  <c r="B131" i="17"/>
  <c r="C130" i="17"/>
  <c r="B130" i="17"/>
  <c r="C129" i="17"/>
  <c r="B129" i="17"/>
  <c r="C128" i="17"/>
  <c r="B128" i="17"/>
  <c r="C127" i="17"/>
  <c r="B127" i="17"/>
  <c r="C126" i="17"/>
  <c r="B126" i="17"/>
  <c r="C125" i="17"/>
  <c r="B125" i="17"/>
  <c r="C124" i="17"/>
  <c r="B124" i="17"/>
  <c r="C123" i="17"/>
  <c r="B123" i="17"/>
  <c r="C122" i="17"/>
  <c r="B122" i="17"/>
  <c r="C121" i="17"/>
  <c r="B121" i="17"/>
  <c r="C120" i="17"/>
  <c r="B120" i="17"/>
  <c r="C119" i="17"/>
  <c r="B119" i="17"/>
  <c r="C118" i="17"/>
  <c r="B118" i="17"/>
  <c r="C117" i="17"/>
  <c r="B117" i="17"/>
  <c r="C116" i="17"/>
  <c r="B116" i="17"/>
  <c r="C115" i="17"/>
  <c r="B115" i="17"/>
  <c r="C114" i="17"/>
  <c r="B114" i="17"/>
  <c r="C113" i="17"/>
  <c r="B113" i="17"/>
  <c r="C112" i="17"/>
  <c r="B112" i="17"/>
  <c r="C111" i="17"/>
  <c r="B111" i="17"/>
  <c r="C110" i="17"/>
  <c r="B110" i="17"/>
  <c r="C109" i="17"/>
  <c r="B109" i="17"/>
  <c r="C108" i="17"/>
  <c r="B108" i="17"/>
  <c r="C107" i="17"/>
  <c r="B107" i="17"/>
  <c r="C106" i="17"/>
  <c r="B106" i="17"/>
  <c r="C105" i="17"/>
  <c r="B105" i="17"/>
  <c r="C104" i="17"/>
  <c r="B104" i="17"/>
  <c r="C103" i="17"/>
  <c r="B103" i="17"/>
  <c r="C102" i="17"/>
  <c r="B102" i="17"/>
  <c r="C101" i="17"/>
  <c r="B101" i="17"/>
  <c r="C100" i="17"/>
  <c r="B100" i="17"/>
  <c r="C99" i="17"/>
  <c r="B99" i="17"/>
  <c r="C98" i="17"/>
  <c r="B98" i="17"/>
  <c r="C97" i="17"/>
  <c r="B97" i="17"/>
  <c r="C96" i="17"/>
  <c r="B96" i="17"/>
  <c r="C95" i="17"/>
  <c r="B95" i="17"/>
  <c r="C94" i="17"/>
  <c r="B94" i="17"/>
  <c r="C93" i="17"/>
  <c r="B93" i="17"/>
  <c r="C92" i="17"/>
  <c r="B92" i="17"/>
  <c r="C91" i="17"/>
  <c r="B91" i="17"/>
  <c r="C90" i="17"/>
  <c r="B90" i="17"/>
  <c r="C89" i="17"/>
  <c r="B89" i="17"/>
  <c r="C88" i="17"/>
  <c r="B88" i="17"/>
  <c r="C87" i="17"/>
  <c r="B87" i="17"/>
  <c r="C86" i="17"/>
  <c r="B86" i="17"/>
  <c r="C85" i="17"/>
  <c r="B85" i="17"/>
  <c r="C84" i="17"/>
  <c r="B84" i="17"/>
  <c r="C83" i="17"/>
  <c r="B83" i="17"/>
  <c r="C82" i="17"/>
  <c r="B82" i="17"/>
  <c r="C81" i="17"/>
  <c r="B81" i="17"/>
  <c r="C80" i="17"/>
  <c r="B80" i="17"/>
  <c r="C79" i="17"/>
  <c r="B79" i="17"/>
  <c r="C78" i="17"/>
  <c r="B78" i="17"/>
  <c r="C77" i="17"/>
  <c r="B77" i="17"/>
  <c r="C76" i="17"/>
  <c r="B76" i="17"/>
  <c r="C75" i="17"/>
  <c r="B75" i="17"/>
  <c r="C74" i="17"/>
  <c r="B74" i="17"/>
  <c r="C73" i="17"/>
  <c r="B73" i="17"/>
  <c r="C72" i="17"/>
  <c r="B72" i="17"/>
  <c r="C71" i="17"/>
  <c r="B71" i="17"/>
  <c r="C70" i="17"/>
  <c r="B70" i="17"/>
  <c r="C69" i="17"/>
  <c r="B69" i="17"/>
  <c r="C68" i="17"/>
  <c r="B68" i="17"/>
  <c r="C67" i="17"/>
  <c r="B67" i="17"/>
  <c r="C66" i="17"/>
  <c r="B66" i="17"/>
  <c r="C65" i="17"/>
  <c r="B65" i="17"/>
  <c r="C64" i="17"/>
  <c r="B64" i="17"/>
  <c r="C63" i="17"/>
  <c r="B63" i="17"/>
  <c r="C62" i="17"/>
  <c r="B62" i="17"/>
  <c r="C61" i="17"/>
  <c r="B61" i="17"/>
  <c r="C60" i="17"/>
  <c r="B60" i="17"/>
  <c r="C59" i="17"/>
  <c r="B59" i="17"/>
  <c r="C58" i="17"/>
  <c r="B58" i="17"/>
  <c r="C57" i="17"/>
  <c r="B57" i="17"/>
  <c r="C56" i="17"/>
  <c r="B56" i="17"/>
  <c r="C55" i="17"/>
  <c r="B55" i="17"/>
  <c r="C54" i="17"/>
  <c r="B54" i="17"/>
  <c r="C53" i="17"/>
  <c r="B53" i="17"/>
  <c r="C52" i="17"/>
  <c r="B52" i="17"/>
  <c r="C51" i="17"/>
  <c r="B51" i="17"/>
  <c r="C50" i="17"/>
  <c r="B50" i="17"/>
  <c r="C49" i="17"/>
  <c r="B49" i="17"/>
  <c r="C48" i="17"/>
  <c r="B48" i="17"/>
  <c r="C47" i="17"/>
  <c r="B47" i="17"/>
  <c r="C46" i="17"/>
  <c r="B46" i="17"/>
  <c r="C45" i="17"/>
  <c r="B45" i="17"/>
  <c r="C44" i="17"/>
  <c r="B44" i="17"/>
  <c r="C43" i="17"/>
  <c r="B43" i="17"/>
  <c r="C42" i="17"/>
  <c r="B42" i="17"/>
  <c r="C41" i="17"/>
  <c r="B41" i="17"/>
  <c r="C40" i="17"/>
  <c r="B40" i="17"/>
  <c r="C39" i="17"/>
  <c r="B39" i="17"/>
  <c r="C38" i="17"/>
  <c r="B38" i="17"/>
  <c r="C37" i="17"/>
  <c r="B37" i="17"/>
  <c r="C36" i="17"/>
  <c r="B36" i="17"/>
  <c r="C35" i="17"/>
  <c r="B35" i="17"/>
  <c r="C34" i="17"/>
  <c r="B34" i="17"/>
  <c r="C33" i="17"/>
  <c r="B33" i="17"/>
  <c r="C32" i="17"/>
  <c r="B32" i="17"/>
  <c r="C31" i="17"/>
  <c r="B31" i="17"/>
  <c r="C30" i="17"/>
  <c r="B30" i="17"/>
  <c r="D19" i="17"/>
  <c r="D15" i="17"/>
  <c r="D12" i="17"/>
  <c r="D11" i="17"/>
  <c r="D10" i="17"/>
  <c r="D8" i="17"/>
  <c r="D5" i="17"/>
  <c r="D4" i="17"/>
  <c r="D2" i="17"/>
  <c r="H2" i="16"/>
  <c r="D36" i="17" s="1" a="1"/>
  <c r="D36" i="17" s="1"/>
  <c r="G2" i="16"/>
  <c r="D35" i="17" s="1" a="1"/>
  <c r="D35" i="17" s="1"/>
  <c r="F2" i="16"/>
  <c r="D34" i="17" s="1" a="1"/>
  <c r="D34" i="17" s="1"/>
  <c r="E2" i="16"/>
  <c r="D33" i="17" s="1" a="1"/>
  <c r="D33" i="17" s="1"/>
  <c r="D2" i="16"/>
  <c r="D32" i="17" s="1" a="1"/>
  <c r="D32" i="17" s="1"/>
  <c r="C2" i="16"/>
  <c r="D31" i="17" s="1" a="1"/>
  <c r="D31" i="17" s="1"/>
  <c r="B2" i="16"/>
  <c r="G1" i="16"/>
  <c r="D28" i="17" s="1"/>
  <c r="F1" i="16"/>
  <c r="D27" i="17" s="1"/>
  <c r="E1" i="16"/>
  <c r="D26" i="17" s="1"/>
  <c r="D1" i="16"/>
  <c r="D25" i="17" s="1"/>
  <c r="C1" i="16"/>
  <c r="D24" i="17" s="1"/>
  <c r="B1" i="16"/>
  <c r="D23" i="17" s="1"/>
  <c r="D24" i="10"/>
  <c r="D15" i="10"/>
  <c r="D12" i="10"/>
  <c r="D10" i="10"/>
  <c r="D8" i="10"/>
  <c r="D5" i="10"/>
  <c r="D4" i="10"/>
  <c r="D2" i="10"/>
  <c r="C1" i="9"/>
  <c r="D29" i="10" s="1"/>
  <c r="B1" i="9"/>
  <c r="D28" i="10" s="1"/>
  <c r="E1" i="9"/>
  <c r="D31" i="10" s="1"/>
  <c r="F1" i="9"/>
  <c r="D32" i="10" s="1"/>
  <c r="G1" i="9"/>
  <c r="D33" i="10" s="1"/>
  <c r="R10" i="68" l="1"/>
  <c r="Q10" i="68"/>
  <c r="D29" i="69" s="1" a="1"/>
  <c r="D29" i="69" s="1"/>
  <c r="T10" i="68"/>
  <c r="S10" i="68"/>
  <c r="U10" i="68"/>
  <c r="O11" i="68"/>
  <c r="W11" i="66"/>
  <c r="U11" i="66"/>
  <c r="O13" i="66"/>
  <c r="U12" i="66"/>
  <c r="Q12" i="66"/>
  <c r="W12" i="66"/>
  <c r="R12" i="66"/>
  <c r="R11" i="66"/>
  <c r="Q16" i="43"/>
  <c r="D67" i="44" s="1" a="1"/>
  <c r="D67" i="44" s="1"/>
  <c r="R16" i="43"/>
  <c r="D68" i="44" s="1" a="1"/>
  <c r="D68" i="44" s="1"/>
  <c r="T16" i="43"/>
  <c r="D70" i="44" s="1" a="1"/>
  <c r="D70" i="44" s="1"/>
  <c r="P16" i="43"/>
  <c r="D66" i="44" s="1" a="1"/>
  <c r="D66" i="44" s="1"/>
  <c r="O16" i="43"/>
  <c r="D65" i="44" s="1" a="1"/>
  <c r="D65" i="44" s="1"/>
  <c r="D30" i="17" a="1"/>
  <c r="D30" i="17" s="1"/>
  <c r="T11" i="68" l="1"/>
  <c r="S11" i="68"/>
  <c r="U11" i="68"/>
  <c r="W11" i="68"/>
  <c r="Q11" i="68"/>
  <c r="O12" i="68"/>
  <c r="R11" i="68"/>
  <c r="O14" i="66"/>
  <c r="U13" i="66"/>
  <c r="Q13" i="66"/>
  <c r="W13" i="66"/>
  <c r="R13" i="66"/>
  <c r="V16" i="66"/>
  <c r="Q18" i="43"/>
  <c r="R18" i="43"/>
  <c r="D80" i="44" s="1" a="1"/>
  <c r="D80" i="44" s="1"/>
  <c r="D79" i="44" a="1"/>
  <c r="D79" i="44" s="1"/>
  <c r="T18" i="43"/>
  <c r="D82" i="44" s="1" a="1"/>
  <c r="D82" i="44" s="1"/>
  <c r="O18" i="43"/>
  <c r="D77" i="44" s="1" a="1"/>
  <c r="D77" i="44" s="1"/>
  <c r="P18" i="43"/>
  <c r="D78" i="44" s="1" a="1"/>
  <c r="D78" i="44" s="1"/>
  <c r="O13" i="68" l="1"/>
  <c r="U12" i="68"/>
  <c r="R12" i="68"/>
  <c r="W12" i="68"/>
  <c r="Q12" i="68"/>
  <c r="O15" i="66"/>
  <c r="U14" i="66"/>
  <c r="W14" i="66"/>
  <c r="Q14" i="66"/>
  <c r="R14" i="66"/>
  <c r="V17" i="66"/>
  <c r="O24" i="43"/>
  <c r="P24" i="43"/>
  <c r="U13" i="68" l="1"/>
  <c r="O14" i="68"/>
  <c r="R13" i="68"/>
  <c r="Q13" i="68"/>
  <c r="W13" i="68"/>
  <c r="U15" i="66"/>
  <c r="Q15" i="66"/>
  <c r="O16" i="66"/>
  <c r="W15" i="66"/>
  <c r="T15" i="66"/>
  <c r="S15" i="66"/>
  <c r="R15" i="66"/>
  <c r="V18" i="66"/>
  <c r="O25" i="43"/>
  <c r="P25" i="43"/>
  <c r="U14" i="68" l="1"/>
  <c r="Q14" i="68"/>
  <c r="W14" i="68"/>
  <c r="R14" i="68"/>
  <c r="O15" i="68"/>
  <c r="U16" i="66"/>
  <c r="T16" i="66"/>
  <c r="O17" i="66"/>
  <c r="S16" i="66"/>
  <c r="Q16" i="66"/>
  <c r="W16" i="66"/>
  <c r="R16" i="66"/>
  <c r="V19" i="66"/>
  <c r="P26" i="43"/>
  <c r="O26" i="43"/>
  <c r="U15" i="68" l="1"/>
  <c r="O16" i="68"/>
  <c r="W15" i="68"/>
  <c r="R15" i="68"/>
  <c r="Q15" i="68"/>
  <c r="W17" i="66"/>
  <c r="U17" i="66"/>
  <c r="Q17" i="66"/>
  <c r="S17" i="66"/>
  <c r="T17" i="66"/>
  <c r="O18" i="66"/>
  <c r="R17" i="66"/>
  <c r="P27" i="43"/>
  <c r="O27" i="43"/>
  <c r="U16" i="68" l="1"/>
  <c r="W16" i="68"/>
  <c r="R16" i="68"/>
  <c r="O17" i="68"/>
  <c r="Q16" i="68"/>
  <c r="U18" i="66"/>
  <c r="T18" i="66"/>
  <c r="O19" i="66"/>
  <c r="Q18" i="66"/>
  <c r="W18" i="66"/>
  <c r="R18" i="66"/>
  <c r="S18" i="66"/>
  <c r="O28" i="43"/>
  <c r="P28" i="43"/>
  <c r="U17" i="68" l="1"/>
  <c r="Q17" i="68"/>
  <c r="W17" i="68"/>
  <c r="R17" i="68"/>
  <c r="O18" i="68"/>
  <c r="U19" i="66"/>
  <c r="W19" i="66"/>
  <c r="Q19" i="66"/>
  <c r="R19" i="66"/>
  <c r="O20" i="66"/>
  <c r="V20" i="66" s="1"/>
  <c r="P29" i="43"/>
  <c r="O29" i="43"/>
  <c r="U18" i="68" l="1"/>
  <c r="W18" i="68"/>
  <c r="R18" i="68"/>
  <c r="Q18" i="68"/>
  <c r="O19" i="68"/>
  <c r="U20" i="66"/>
  <c r="O21" i="66"/>
  <c r="W20" i="66"/>
  <c r="R20" i="66"/>
  <c r="Q20" i="66"/>
  <c r="O34" i="43"/>
  <c r="P34" i="43"/>
  <c r="V21" i="66" l="1"/>
  <c r="D111" i="67" s="1" a="1"/>
  <c r="D111" i="67" s="1"/>
  <c r="T21" i="66"/>
  <c r="D109" i="67" s="1" a="1"/>
  <c r="D109" i="67" s="1"/>
  <c r="S21" i="66"/>
  <c r="D108" i="67" s="1" a="1"/>
  <c r="D108" i="67" s="1"/>
  <c r="V19" i="68"/>
  <c r="T19" i="68"/>
  <c r="S19" i="68"/>
  <c r="U19" i="68"/>
  <c r="W19" i="68"/>
  <c r="R19" i="68"/>
  <c r="Q19" i="68"/>
  <c r="O20" i="68"/>
  <c r="U21" i="66"/>
  <c r="D110" i="67" s="1" a="1"/>
  <c r="D110" i="67" s="1"/>
  <c r="O22" i="66"/>
  <c r="V22" i="66" s="1"/>
  <c r="D118" i="67" s="1" a="1"/>
  <c r="D118" i="67" s="1"/>
  <c r="R21" i="66"/>
  <c r="D107" i="67" s="1" a="1"/>
  <c r="D107" i="67" s="1"/>
  <c r="Q21" i="66"/>
  <c r="D106" i="67" s="1" a="1"/>
  <c r="D106" i="67" s="1"/>
  <c r="W21" i="66"/>
  <c r="D112" i="67" s="1" a="1"/>
  <c r="D112" i="67" s="1"/>
  <c r="O35" i="43"/>
  <c r="P35" i="43"/>
  <c r="V20" i="68" l="1"/>
  <c r="U20" i="68"/>
  <c r="O21" i="68"/>
  <c r="R20" i="68"/>
  <c r="W20" i="68"/>
  <c r="Q20" i="68"/>
  <c r="T22" i="66"/>
  <c r="D116" i="67" s="1" a="1"/>
  <c r="D116" i="67" s="1"/>
  <c r="S22" i="66"/>
  <c r="D115" i="67" s="1" a="1"/>
  <c r="D115" i="67" s="1"/>
  <c r="U22" i="66"/>
  <c r="D117" i="67" s="1" a="1"/>
  <c r="D117" i="67" s="1"/>
  <c r="Q22" i="66"/>
  <c r="D113" i="67" s="1" a="1"/>
  <c r="D113" i="67" s="1"/>
  <c r="W22" i="66"/>
  <c r="D119" i="67" s="1" a="1"/>
  <c r="D119" i="67" s="1"/>
  <c r="R22" i="66"/>
  <c r="D114" i="67" s="1" a="1"/>
  <c r="D114" i="67" s="1"/>
  <c r="O23" i="66"/>
  <c r="V23" i="66" s="1"/>
  <c r="D125" i="67" s="1" a="1"/>
  <c r="D125" i="67" s="1"/>
  <c r="P36" i="43"/>
  <c r="O36" i="43"/>
  <c r="T21" i="68" l="1"/>
  <c r="D109" i="69" s="1" a="1"/>
  <c r="D109" i="69" s="1"/>
  <c r="S21" i="68"/>
  <c r="D108" i="69" s="1" a="1"/>
  <c r="D108" i="69" s="1"/>
  <c r="U21" i="68"/>
  <c r="D110" i="69" s="1" a="1"/>
  <c r="D110" i="69" s="1"/>
  <c r="V21" i="68"/>
  <c r="D111" i="69" s="1" a="1"/>
  <c r="D111" i="69" s="1"/>
  <c r="R21" i="68"/>
  <c r="D107" i="69" s="1" a="1"/>
  <c r="D107" i="69" s="1"/>
  <c r="Q21" i="68"/>
  <c r="D106" i="69" s="1" a="1"/>
  <c r="D106" i="69" s="1"/>
  <c r="W21" i="68"/>
  <c r="D112" i="69" s="1" a="1"/>
  <c r="D112" i="69" s="1"/>
  <c r="O22" i="68"/>
  <c r="S23" i="66"/>
  <c r="D122" i="67" s="1" a="1"/>
  <c r="D122" i="67" s="1"/>
  <c r="T23" i="66"/>
  <c r="D123" i="67" s="1" a="1"/>
  <c r="D123" i="67" s="1"/>
  <c r="O24" i="66"/>
  <c r="V24" i="66" s="1"/>
  <c r="D132" i="67" s="1" a="1"/>
  <c r="D132" i="67" s="1"/>
  <c r="U23" i="66"/>
  <c r="D124" i="67" s="1" a="1"/>
  <c r="D124" i="67" s="1"/>
  <c r="W23" i="66"/>
  <c r="D126" i="67" s="1" a="1"/>
  <c r="D126" i="67" s="1"/>
  <c r="Q23" i="66"/>
  <c r="D120" i="67" s="1" a="1"/>
  <c r="D120" i="67" s="1"/>
  <c r="R23" i="66"/>
  <c r="D121" i="67" s="1" a="1"/>
  <c r="D121" i="67" s="1"/>
  <c r="P37" i="43"/>
  <c r="O37" i="43"/>
  <c r="T37" i="43"/>
  <c r="U22" i="68" l="1"/>
  <c r="D117" i="69" s="1" a="1"/>
  <c r="D117" i="69" s="1"/>
  <c r="T22" i="68"/>
  <c r="D116" i="69" s="1" a="1"/>
  <c r="D116" i="69" s="1"/>
  <c r="S22" i="68"/>
  <c r="D115" i="69" s="1" a="1"/>
  <c r="D115" i="69" s="1"/>
  <c r="V22" i="68"/>
  <c r="D118" i="69" s="1" a="1"/>
  <c r="D118" i="69" s="1"/>
  <c r="R22" i="68"/>
  <c r="D114" i="69" s="1" a="1"/>
  <c r="D114" i="69" s="1"/>
  <c r="Q22" i="68"/>
  <c r="D113" i="69" s="1" a="1"/>
  <c r="D113" i="69" s="1"/>
  <c r="W22" i="68"/>
  <c r="D119" i="69" s="1" a="1"/>
  <c r="D119" i="69" s="1"/>
  <c r="O23" i="68"/>
  <c r="U24" i="66"/>
  <c r="D131" i="67" s="1" a="1"/>
  <c r="D131" i="67" s="1"/>
  <c r="W24" i="66"/>
  <c r="D133" i="67" s="1" a="1"/>
  <c r="D133" i="67" s="1"/>
  <c r="Q24" i="66"/>
  <c r="D127" i="67" s="1" a="1"/>
  <c r="D127" i="67" s="1"/>
  <c r="S24" i="66"/>
  <c r="D129" i="67" s="1" a="1"/>
  <c r="D129" i="67" s="1"/>
  <c r="R24" i="66"/>
  <c r="D128" i="67" s="1" a="1"/>
  <c r="D128" i="67" s="1"/>
  <c r="T24" i="66"/>
  <c r="D130" i="67" s="1" a="1"/>
  <c r="D130" i="67" s="1"/>
  <c r="O25" i="66"/>
  <c r="U23" i="68" l="1"/>
  <c r="D124" i="69" s="1" a="1"/>
  <c r="D124" i="69" s="1"/>
  <c r="T23" i="68"/>
  <c r="D123" i="69" s="1" a="1"/>
  <c r="D123" i="69" s="1"/>
  <c r="S23" i="68"/>
  <c r="D122" i="69" s="1" a="1"/>
  <c r="D122" i="69" s="1"/>
  <c r="V23" i="68"/>
  <c r="D125" i="69" s="1" a="1"/>
  <c r="D125" i="69" s="1"/>
  <c r="R23" i="68"/>
  <c r="D121" i="69" s="1" a="1"/>
  <c r="D121" i="69" s="1"/>
  <c r="Q23" i="68"/>
  <c r="D120" i="69" s="1" a="1"/>
  <c r="D120" i="69" s="1"/>
  <c r="O24" i="68"/>
  <c r="W23" i="68"/>
  <c r="D126" i="69" s="1" a="1"/>
  <c r="D126" i="69" s="1"/>
  <c r="U25" i="66"/>
  <c r="D138" i="67" s="1" a="1"/>
  <c r="D138" i="67" s="1"/>
  <c r="O26" i="66"/>
  <c r="T25" i="66"/>
  <c r="D137" i="67" s="1" a="1"/>
  <c r="D137" i="67" s="1"/>
  <c r="R25" i="66"/>
  <c r="D135" i="67" s="1" a="1"/>
  <c r="D135" i="67" s="1"/>
  <c r="S25" i="66"/>
  <c r="D136" i="67" s="1" a="1"/>
  <c r="D136" i="67" s="1"/>
  <c r="Q25" i="66"/>
  <c r="D134" i="67" s="1" a="1"/>
  <c r="D134" i="67" s="1"/>
  <c r="W25" i="66"/>
  <c r="D140" i="67" s="1" a="1"/>
  <c r="D140" i="67" s="1"/>
  <c r="V24" i="68" l="1"/>
  <c r="D132" i="69" s="1" a="1"/>
  <c r="D132" i="69" s="1"/>
  <c r="U24" i="68"/>
  <c r="D131" i="69" s="1" a="1"/>
  <c r="D131" i="69" s="1"/>
  <c r="Q24" i="68"/>
  <c r="D127" i="69" s="1" a="1"/>
  <c r="D127" i="69" s="1"/>
  <c r="R24" i="68"/>
  <c r="D128" i="69" s="1" a="1"/>
  <c r="D128" i="69" s="1"/>
  <c r="W24" i="68"/>
  <c r="D133" i="69" s="1" a="1"/>
  <c r="D133" i="69" s="1"/>
  <c r="O25" i="68"/>
  <c r="U26" i="66"/>
  <c r="D145" i="67" s="1" a="1"/>
  <c r="D145" i="67" s="1"/>
  <c r="W26" i="66"/>
  <c r="D147" i="67" s="1" a="1"/>
  <c r="D147" i="67" s="1"/>
  <c r="O27" i="66"/>
  <c r="T26" i="66"/>
  <c r="D144" i="67" s="1" a="1"/>
  <c r="D144" i="67" s="1"/>
  <c r="Q26" i="66"/>
  <c r="D141" i="67" s="1" a="1"/>
  <c r="D141" i="67" s="1"/>
  <c r="S26" i="66"/>
  <c r="D143" i="67" s="1" a="1"/>
  <c r="D143" i="67" s="1"/>
  <c r="R26" i="66"/>
  <c r="D142" i="67" s="1" a="1"/>
  <c r="D142" i="67" s="1"/>
  <c r="O26" i="68" l="1"/>
  <c r="U25" i="68"/>
  <c r="D138" i="69" s="1" a="1"/>
  <c r="D138" i="69" s="1"/>
  <c r="R25" i="68"/>
  <c r="D135" i="69" s="1" a="1"/>
  <c r="D135" i="69" s="1"/>
  <c r="Q25" i="68"/>
  <c r="D134" i="69" s="1" a="1"/>
  <c r="D134" i="69" s="1"/>
  <c r="W25" i="68"/>
  <c r="D140" i="69" s="1" a="1"/>
  <c r="D140" i="69" s="1"/>
  <c r="U27" i="66"/>
  <c r="D152" i="67" s="1" a="1"/>
  <c r="D152" i="67" s="1"/>
  <c r="O28" i="66"/>
  <c r="V28" i="66" s="1"/>
  <c r="D160" i="67" s="1" a="1"/>
  <c r="D160" i="67" s="1"/>
  <c r="W27" i="66"/>
  <c r="D154" i="67" s="1" a="1"/>
  <c r="D154" i="67" s="1"/>
  <c r="Q27" i="66"/>
  <c r="D148" i="67" s="1" a="1"/>
  <c r="D148" i="67" s="1"/>
  <c r="T27" i="66"/>
  <c r="D151" i="67" s="1" a="1"/>
  <c r="D151" i="67" s="1"/>
  <c r="R27" i="66"/>
  <c r="D149" i="67" s="1" a="1"/>
  <c r="D149" i="67" s="1"/>
  <c r="S27" i="66"/>
  <c r="D150" i="67" s="1" a="1"/>
  <c r="D150" i="67" s="1"/>
  <c r="U26" i="68" l="1"/>
  <c r="D145" i="69" s="1" a="1"/>
  <c r="D145" i="69" s="1"/>
  <c r="O27" i="68"/>
  <c r="V27" i="68" s="1"/>
  <c r="D153" i="69" s="1" a="1"/>
  <c r="D153" i="69" s="1"/>
  <c r="R26" i="68"/>
  <c r="D142" i="69" s="1" a="1"/>
  <c r="D142" i="69" s="1"/>
  <c r="Q26" i="68"/>
  <c r="D141" i="69" s="1" a="1"/>
  <c r="D141" i="69" s="1"/>
  <c r="W26" i="68"/>
  <c r="D147" i="69" s="1" a="1"/>
  <c r="D147" i="69" s="1"/>
  <c r="U28" i="66"/>
  <c r="D159" i="67" s="1" a="1"/>
  <c r="D159" i="67" s="1"/>
  <c r="S28" i="66"/>
  <c r="D157" i="67" s="1" a="1"/>
  <c r="D157" i="67" s="1"/>
  <c r="Q28" i="66"/>
  <c r="D155" i="67" s="1" a="1"/>
  <c r="D155" i="67" s="1"/>
  <c r="O29" i="66"/>
  <c r="V29" i="66" s="1"/>
  <c r="D167" i="67" s="1" a="1"/>
  <c r="D167" i="67" s="1"/>
  <c r="T28" i="66"/>
  <c r="D158" i="67" s="1" a="1"/>
  <c r="D158" i="67" s="1"/>
  <c r="R28" i="66"/>
  <c r="D156" i="67" s="1" a="1"/>
  <c r="D156" i="67" s="1"/>
  <c r="W28" i="66"/>
  <c r="D161" i="67" s="1" a="1"/>
  <c r="D161" i="67" s="1"/>
  <c r="U27" i="68" l="1"/>
  <c r="D152" i="69" s="1" a="1"/>
  <c r="D152" i="69" s="1"/>
  <c r="Q27" i="68"/>
  <c r="D148" i="69" s="1" a="1"/>
  <c r="D148" i="69" s="1"/>
  <c r="W27" i="68"/>
  <c r="D154" i="69" s="1" a="1"/>
  <c r="D154" i="69" s="1"/>
  <c r="R27" i="68"/>
  <c r="D149" i="69" s="1" a="1"/>
  <c r="D149" i="69" s="1"/>
  <c r="O28" i="68"/>
  <c r="U29" i="66"/>
  <c r="D166" i="67" s="1" a="1"/>
  <c r="D166" i="67" s="1"/>
  <c r="Q29" i="66"/>
  <c r="D162" i="67" s="1" a="1"/>
  <c r="D162" i="67" s="1"/>
  <c r="T29" i="66"/>
  <c r="D165" i="67" s="1" a="1"/>
  <c r="D165" i="67" s="1"/>
  <c r="W29" i="66"/>
  <c r="D168" i="67" s="1" a="1"/>
  <c r="D168" i="67" s="1"/>
  <c r="R29" i="66"/>
  <c r="D163" i="67" s="1" a="1"/>
  <c r="D163" i="67" s="1"/>
  <c r="O30" i="66"/>
  <c r="V30" i="66" s="1"/>
  <c r="D174" i="67" s="1" a="1"/>
  <c r="D174" i="67" s="1"/>
  <c r="S29" i="66"/>
  <c r="D164" i="67" s="1" a="1"/>
  <c r="D164" i="67" s="1"/>
  <c r="S28" i="68" l="1"/>
  <c r="D157" i="69" s="1" a="1"/>
  <c r="D157" i="69" s="1"/>
  <c r="T28" i="68"/>
  <c r="D158" i="69" s="1" a="1"/>
  <c r="D158" i="69" s="1"/>
  <c r="V28" i="68"/>
  <c r="D160" i="69" s="1" a="1"/>
  <c r="D160" i="69" s="1"/>
  <c r="U28" i="68"/>
  <c r="D159" i="69" s="1" a="1"/>
  <c r="D159" i="69" s="1"/>
  <c r="W28" i="68"/>
  <c r="D161" i="69" s="1" a="1"/>
  <c r="D161" i="69" s="1"/>
  <c r="R28" i="68"/>
  <c r="D156" i="69" s="1" a="1"/>
  <c r="D156" i="69" s="1"/>
  <c r="O29" i="68"/>
  <c r="Q28" i="68"/>
  <c r="D155" i="69" s="1" a="1"/>
  <c r="D155" i="69" s="1"/>
  <c r="U30" i="66"/>
  <c r="D173" i="67" s="1" a="1"/>
  <c r="D173" i="67" s="1"/>
  <c r="S30" i="66"/>
  <c r="D171" i="67" s="1" a="1"/>
  <c r="D171" i="67" s="1"/>
  <c r="R30" i="66"/>
  <c r="D170" i="67" s="1" a="1"/>
  <c r="D170" i="67" s="1"/>
  <c r="O31" i="66"/>
  <c r="W30" i="66"/>
  <c r="D175" i="67" s="1" a="1"/>
  <c r="D175" i="67" s="1"/>
  <c r="Q30" i="66"/>
  <c r="D169" i="67" s="1" a="1"/>
  <c r="D169" i="67" s="1"/>
  <c r="T30" i="66"/>
  <c r="D172" i="67" s="1" a="1"/>
  <c r="D172" i="67" s="1"/>
  <c r="S29" i="68" l="1"/>
  <c r="D164" i="69" s="1" a="1"/>
  <c r="D164" i="69" s="1"/>
  <c r="T29" i="68"/>
  <c r="D165" i="69" s="1" a="1"/>
  <c r="D165" i="69" s="1"/>
  <c r="V29" i="68"/>
  <c r="D167" i="69" s="1" a="1"/>
  <c r="D167" i="69" s="1"/>
  <c r="U29" i="68"/>
  <c r="D166" i="69" s="1" a="1"/>
  <c r="D166" i="69" s="1"/>
  <c r="W29" i="68"/>
  <c r="D168" i="69" s="1" a="1"/>
  <c r="D168" i="69" s="1"/>
  <c r="R29" i="68"/>
  <c r="D163" i="69" s="1" a="1"/>
  <c r="D163" i="69" s="1"/>
  <c r="Q29" i="68"/>
  <c r="D162" i="69" s="1" a="1"/>
  <c r="D162" i="69" s="1"/>
  <c r="O30" i="68"/>
  <c r="S31" i="66"/>
  <c r="D178" i="67" s="1" a="1"/>
  <c r="D178" i="67" s="1"/>
  <c r="R31" i="66"/>
  <c r="D177" i="67" s="1" a="1"/>
  <c r="D177" i="67" s="1"/>
  <c r="Q31" i="66"/>
  <c r="D176" i="67" s="1" a="1"/>
  <c r="D176" i="67" s="1"/>
  <c r="O32" i="66"/>
  <c r="O33" i="66" s="1"/>
  <c r="W31" i="66"/>
  <c r="D182" i="67" s="1" a="1"/>
  <c r="D182" i="67" s="1"/>
  <c r="T31" i="66"/>
  <c r="D179" i="67" s="1" a="1"/>
  <c r="D179" i="67" s="1"/>
  <c r="T30" i="68" l="1"/>
  <c r="D172" i="69" s="1" a="1"/>
  <c r="D172" i="69" s="1"/>
  <c r="S30" i="68"/>
  <c r="D171" i="69" s="1" a="1"/>
  <c r="D171" i="69" s="1"/>
  <c r="V30" i="68"/>
  <c r="D174" i="69" s="1" a="1"/>
  <c r="D174" i="69" s="1"/>
  <c r="U30" i="68"/>
  <c r="D173" i="69" s="1" a="1"/>
  <c r="D173" i="69" s="1"/>
  <c r="O31" i="68"/>
  <c r="O32" i="68" s="1"/>
  <c r="O33" i="68" s="1"/>
  <c r="O34" i="68" s="1"/>
  <c r="O35" i="68" s="1"/>
  <c r="O36" i="68" s="1"/>
  <c r="O37" i="68" s="1"/>
  <c r="O38" i="68" s="1"/>
  <c r="O39" i="68" s="1"/>
  <c r="O40" i="68" s="1"/>
  <c r="O41" i="68" s="1"/>
  <c r="O42" i="68" s="1"/>
  <c r="O43" i="68" s="1"/>
  <c r="O44" i="68" s="1"/>
  <c r="O45" i="68" s="1"/>
  <c r="R30" i="68"/>
  <c r="D170" i="69" s="1" a="1"/>
  <c r="D170" i="69" s="1"/>
  <c r="Q30" i="68"/>
  <c r="D169" i="69" s="1" a="1"/>
  <c r="D169" i="69" s="1"/>
  <c r="W30" i="68"/>
  <c r="D175" i="69" s="1" a="1"/>
  <c r="D175" i="69" s="1"/>
  <c r="S33" i="66"/>
  <c r="D192" i="67" s="1" a="1"/>
  <c r="D192" i="67" s="1"/>
  <c r="R33" i="66"/>
  <c r="D191" i="67" s="1" a="1"/>
  <c r="D191" i="67" s="1"/>
  <c r="Q33" i="66"/>
  <c r="D190" i="67" s="1" a="1"/>
  <c r="D190" i="67" s="1"/>
  <c r="O34" i="66"/>
  <c r="W33" i="66"/>
  <c r="D196" i="67" s="1" a="1"/>
  <c r="D196" i="67" s="1"/>
  <c r="T33" i="66"/>
  <c r="D193" i="67" s="1" a="1"/>
  <c r="D193" i="67" s="1"/>
  <c r="V37" i="66"/>
  <c r="D223" i="67" s="1" a="1"/>
  <c r="D223" i="67" s="1"/>
  <c r="U37" i="66"/>
  <c r="D222" i="67" s="1" a="1"/>
  <c r="D222" i="67" s="1"/>
  <c r="S34" i="66" l="1"/>
  <c r="D199" i="67" s="1" a="1"/>
  <c r="D199" i="67" s="1"/>
  <c r="W34" i="66"/>
  <c r="D203" i="67" s="1" a="1"/>
  <c r="D203" i="67" s="1"/>
  <c r="R34" i="66"/>
  <c r="D198" i="67" s="1" a="1"/>
  <c r="D198" i="67" s="1"/>
  <c r="Q34" i="66"/>
  <c r="D197" i="67" s="1" a="1"/>
  <c r="D197" i="67" s="1"/>
  <c r="O35" i="66"/>
  <c r="T34" i="66"/>
  <c r="D200" i="67" s="1" a="1"/>
  <c r="D200" i="67" s="1"/>
  <c r="S35" i="66" l="1"/>
  <c r="D206" i="67" s="1" a="1"/>
  <c r="D206" i="67" s="1"/>
  <c r="Q35" i="66"/>
  <c r="D204" i="67" s="1" a="1"/>
  <c r="D204" i="67" s="1"/>
  <c r="R35" i="66"/>
  <c r="D205" i="67" s="1" a="1"/>
  <c r="D205" i="67" s="1"/>
  <c r="O36" i="66"/>
  <c r="W35" i="66"/>
  <c r="D210" i="67" s="1" a="1"/>
  <c r="D210" i="67" s="1"/>
  <c r="T35" i="66"/>
  <c r="D207" i="67" s="1" a="1"/>
  <c r="D207" i="67" s="1"/>
  <c r="O37" i="66" l="1"/>
  <c r="W36" i="66"/>
  <c r="D217" i="67" s="1" a="1"/>
  <c r="D217" i="67" s="1"/>
  <c r="R36" i="66"/>
  <c r="D212" i="67" s="1" a="1"/>
  <c r="D212" i="67" s="1"/>
  <c r="Q36" i="66"/>
  <c r="D211" i="67" s="1" a="1"/>
  <c r="D211" i="67" s="1"/>
  <c r="T36" i="66"/>
  <c r="D214" i="67" s="1" a="1"/>
  <c r="D214" i="67" s="1"/>
  <c r="S36" i="66"/>
  <c r="D213" i="67" s="1" a="1"/>
  <c r="D213" i="67" s="1"/>
  <c r="T37" i="66" l="1"/>
  <c r="D221" i="67" s="1" a="1"/>
  <c r="D221" i="67" s="1"/>
  <c r="S37" i="66"/>
  <c r="D220" i="67" s="1" a="1"/>
  <c r="D220" i="67" s="1"/>
  <c r="R37" i="66"/>
  <c r="D219" i="67" s="1" a="1"/>
  <c r="D219" i="67" s="1"/>
  <c r="O38" i="66"/>
  <c r="O39" i="66" s="1"/>
  <c r="O40" i="66" s="1"/>
  <c r="O41" i="66" s="1"/>
  <c r="O42" i="66" s="1"/>
  <c r="O43" i="66" s="1"/>
  <c r="O44" i="66" s="1"/>
  <c r="O45" i="66" s="1"/>
  <c r="W37" i="66"/>
  <c r="D224" i="67" s="1" a="1"/>
  <c r="D224" i="67" s="1"/>
  <c r="Q37" i="66"/>
  <c r="D218" i="67" s="1" a="1"/>
  <c r="D218" i="6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tc={DFEEB6D1-F1E9-42F6-820F-99C510296DCC}</author>
  </authors>
  <commentList>
    <comment ref="B14" authorId="0" shapeId="0" xr:uid="{DFEEB6D1-F1E9-42F6-820F-99C510296DC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<sst xmlns="http://schemas.openxmlformats.org/spreadsheetml/2006/main" count="2847" uniqueCount="1143">
  <si>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</si>
  <si>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</si>
  <si>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</si>
  <si>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</si>
  <si>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</si>
  <si>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</si>
  <si>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</si>
  <si>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</si>
  <si>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</si>
  <si>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</si>
  <si>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</si>
  <si>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</si>
  <si>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</si>
  <si>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</si>
  <si>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min</t>
  </si>
  <si>
    <t>max</t>
  </si>
  <si>
    <t>dataType</t>
  </si>
  <si>
    <t>*</t>
  </si>
  <si>
    <t>x</t>
  </si>
  <si>
    <t>Subject</t>
  </si>
  <si>
    <t>ID</t>
  </si>
  <si>
    <t>TYPE</t>
  </si>
  <si>
    <t>InstanceOf: StructureDefinition</t>
  </si>
  <si>
    <t>Usage: #definition</t>
  </si>
  <si>
    <t>* status = #draft</t>
  </si>
  <si>
    <t>* experimental = true</t>
  </si>
  <si>
    <t>* version = "0.0.1"</t>
  </si>
  <si>
    <t>* kind = #logical</t>
  </si>
  <si>
    <t>* abstract = false</t>
  </si>
  <si>
    <t>* baseDefinition = "http://hl7.org/fhir/StructureDefinition/Element"</t>
  </si>
  <si>
    <t>* derivation = #specialization</t>
  </si>
  <si>
    <t>Title</t>
  </si>
  <si>
    <t>canonical</t>
  </si>
  <si>
    <t>Publisher</t>
  </si>
  <si>
    <t>identifier</t>
  </si>
  <si>
    <t>name</t>
  </si>
  <si>
    <t>Organization</t>
  </si>
  <si>
    <t>Type</t>
  </si>
  <si>
    <t>subject</t>
  </si>
  <si>
    <t>Market Authorization Holder (MAH)</t>
  </si>
  <si>
    <t>the organisation that holds the authorisation for marketing a Medicinal Product in a region</t>
  </si>
  <si>
    <t>manufacturer</t>
  </si>
  <si>
    <t>Organisation that holds the authorisation for the manufacturing process</t>
  </si>
  <si>
    <t>The lot number of the Administrable Immunizing Agent, as assigned by the manufacturer.</t>
  </si>
  <si>
    <t>ISO/TC 521 WG3</t>
  </si>
  <si>
    <t>http://iso.org/fhir/ts-5384</t>
  </si>
  <si>
    <t>IDMP PCID</t>
  </si>
  <si>
    <t>IDMP MPID</t>
  </si>
  <si>
    <t>IDMP PhP</t>
  </si>
  <si>
    <t>Identifiers typically related to the supply chain management, but often used also for other purposes as the fight against falsified and counterfeit medicines; adverse event reporting, and so on.</t>
  </si>
  <si>
    <t>Product Name</t>
  </si>
  <si>
    <t>Composition</t>
  </si>
  <si>
    <t>Substance name</t>
  </si>
  <si>
    <t>Substance code</t>
  </si>
  <si>
    <t>Ingredient role</t>
  </si>
  <si>
    <t>Ratio</t>
  </si>
  <si>
    <t>Substance quantity</t>
  </si>
  <si>
    <t>Quantity of this substance / specified substance. It can be per unit of presentation or per concentration.</t>
  </si>
  <si>
    <t>Role of this ingredient</t>
  </si>
  <si>
    <t>Name of the substance / specified substance</t>
  </si>
  <si>
    <t>Composition of this product</t>
  </si>
  <si>
    <t>Textual description of the product composition</t>
  </si>
  <si>
    <t>SimpleOrganization</t>
  </si>
  <si>
    <t>Simple Organization</t>
  </si>
  <si>
    <t>http://iso.org/fhir/ts-5384/StructureDefinition/SimpleOrganization</t>
  </si>
  <si>
    <t>Product</t>
  </si>
  <si>
    <t>Name</t>
  </si>
  <si>
    <t>Name used for the organization</t>
  </si>
  <si>
    <t>Set of identifiers</t>
  </si>
  <si>
    <t>Product code</t>
  </si>
  <si>
    <t>Map1</t>
  </si>
  <si>
    <t>hl7.org/fhir/r4</t>
  </si>
  <si>
    <t>codeSet</t>
  </si>
  <si>
    <t>codeSet.productCode</t>
  </si>
  <si>
    <t>codeSet.PCID</t>
  </si>
  <si>
    <t>codeSet.MPID</t>
  </si>
  <si>
    <t>codeSet.PhPID</t>
  </si>
  <si>
    <t>composition</t>
  </si>
  <si>
    <t>composition.ingredient</t>
  </si>
  <si>
    <t>composition.ingredient.substanceName</t>
  </si>
  <si>
    <t>composition.ingredient.substanceCode</t>
  </si>
  <si>
    <t>composition.ingredient.ingredientRole</t>
  </si>
  <si>
    <t>composition.ingredient.substanceQuantity</t>
  </si>
  <si>
    <t>composition.description</t>
  </si>
  <si>
    <t>marketAuthorizationHolder</t>
  </si>
  <si>
    <t>A product  that have or should have been administered to a subject that includes one or more specific antigen(s) aimed at developing an immune response in an individual to provide protection from a vaccine preventable disease(s).</t>
  </si>
  <si>
    <t>Id</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</si>
  <si>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</si>
  <si>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</si>
  <si>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</si>
  <si>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</si>
  <si>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</si>
  <si>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</si>
  <si>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</si>
  <si>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</si>
  <si>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</si>
  <si>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</si>
  <si>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</si>
  <si>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</si>
  <si>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</si>
  <si>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</si>
  <si>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</si>
  <si>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</si>
  <si>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MS</t>
  </si>
  <si>
    <t>type</t>
  </si>
  <si>
    <t>MIN</t>
  </si>
  <si>
    <t>MAX</t>
  </si>
  <si>
    <t>INDEX</t>
  </si>
  <si>
    <t>CHANGED</t>
  </si>
  <si>
    <t>* derivation = #constraint</t>
  </si>
  <si>
    <t>Base</t>
  </si>
  <si>
    <t>http://iso.org/fhir/ts-5384/StructureDefinition/Immunization</t>
  </si>
  <si>
    <t>Data Model for the 'Populate an Immunization Registry'</t>
  </si>
  <si>
    <t>id</t>
  </si>
  <si>
    <t>path</t>
  </si>
  <si>
    <t>min-max</t>
  </si>
  <si>
    <t>ms</t>
  </si>
  <si>
    <t>global</t>
  </si>
  <si>
    <t>Subject-uc1</t>
  </si>
  <si>
    <t>url</t>
  </si>
  <si>
    <t>Subject of Care - Registry Use Case</t>
  </si>
  <si>
    <t>Information about the ingredients composing this product</t>
  </si>
  <si>
    <t>Ingredient (e.g. antigen)</t>
  </si>
  <si>
    <t>Code identifying the IDMP Packaged Medicinal Product.
A Packaged Medicinal Product is a 'Medicinal Product in a container being part of a package, representing the entirety that has been packaged for sale or supply' [source ISO 11615:2017]</t>
  </si>
  <si>
    <t>Code identifying the IDMP Medicinal Product.
A Medicinal Product is a 'pharmaceutical product or combination of pharmaceutical products that may be administered to human beings (or animals) for treating or preventing disease, with the aim/purpose of making a medical diagnosis or to restore, correct or modify physiological functions'  [source ISO 11615:2017]</t>
  </si>
  <si>
    <t>Code identifying the IDMP Pharmaceutical Product.
A Pharmaceutical Product is a 'qualitative and quantitative composition of a Medicinal Product in the dose form approved for administration' [source ISO 11616:2017]</t>
  </si>
  <si>
    <t>Set of product codes</t>
  </si>
  <si>
    <t>Set of codes that are used to identify this product.</t>
  </si>
  <si>
    <t>Code identifying this product.
The code may represent different kinds of products: it might be an Authorized Packaged Medicinal Product, a Virtual Medicinal Product , a Pharmaceutical Product (PhP) , a cluster of products and so on.
It might be a jurisdictional (e.g. sub-national, national), cross-jurisdictional (e.g. regional) or a global product code.</t>
  </si>
  <si>
    <t>Data Carrier Identifier (e.g. GTIN)</t>
  </si>
  <si>
    <t>Set of identifiers associated to this instance of the product.
It could be a global (e.g. GTIN) or a national identifier. 
The identifiers may refer to different package levels such as primary packaging or secondary packaging.
The identifier of the lowest packaging should be captured.</t>
  </si>
  <si>
    <t>packageIdentifiers</t>
  </si>
  <si>
    <t>packageIdentifiers.dataCarrierIdentifier</t>
  </si>
  <si>
    <t>packageIdentifiers.lotNumber</t>
  </si>
  <si>
    <t>Composition (textual tescription)</t>
  </si>
  <si>
    <t xml:space="preserve">Code identifying this substance / specified substance. 
A susbtance is 'any matter of defined composition that has discrete existence, whose origin may be biological, mineral or chemical' [source ISO 11616:2017]
When active it is the substance that triggers an immune response to a specific disease with a role of an antigen. 
Derivable from vaccine product.
</t>
  </si>
  <si>
    <t>* abstract = true</t>
  </si>
  <si>
    <t>SubjectOfCareRegistry</t>
  </si>
  <si>
    <t>expiryDate</t>
  </si>
  <si>
    <t>Expiry Date</t>
  </si>
  <si>
    <t xml:space="preserve">Date, assigned to the Medicinal Immunizing Product by the manufacturer, after which the product should not be administered as product integrity cannot be guaranteed.  
The Medicinal Immunizing Product, along with the Medicinal Immunizing Product Lot Number and Medicinal Immunizing Product Expiry Date, uniquely identifies an immunizing product. 
A key variable in vaccine recalls because each lot number may have more than one expiry date.  
Expiry date may be changed (reduced) due to a cold chain break. </t>
  </si>
  <si>
    <t>Product-uc1</t>
  </si>
  <si>
    <t>Product - Registry Use Case</t>
  </si>
  <si>
    <t xml:space="preserve">b </t>
  </si>
  <si>
    <t>Short</t>
  </si>
  <si>
    <t>Conformance</t>
  </si>
  <si>
    <t>O</t>
  </si>
  <si>
    <t>R</t>
  </si>
  <si>
    <t>M</t>
  </si>
  <si>
    <t>short</t>
  </si>
  <si>
    <t>Num elements</t>
  </si>
  <si>
    <t>End Row</t>
  </si>
  <si>
    <t>RK</t>
  </si>
  <si>
    <t>Lot Number</t>
  </si>
  <si>
    <t>packageIdentifiers.serialNumber</t>
  </si>
  <si>
    <t>Serial number</t>
  </si>
  <si>
    <t>Serial Number of this package instance within this lot</t>
  </si>
  <si>
    <t>packageIdentifiers.uniqueIdentifier</t>
  </si>
  <si>
    <t>Unique Identifier</t>
  </si>
  <si>
    <t>Alphanumerical code enabling the identification and authentication of individual packs (compliant to ISO 15418; ISO 15434).
The UI is carried by a 2D barcode.
The UI will contain:
• Product code: ISO-compliant (ISO 15459); &lt; 50 characters; globally unique; issued by ISO-compliant coding agencies;
• Serial number (max 20 characters; randomised)
• A national reimbursement or identification number (optional)
• Batch number
• Expiry date
Example
(01)09876543210982(21)12345AZRQF1234567890(10)A1C2E3G4I5(17)180531</t>
  </si>
  <si>
    <t>ProductUcRegistry</t>
  </si>
  <si>
    <t>Product-uc2</t>
  </si>
  <si>
    <t>Product: Record a Current immunization event</t>
  </si>
  <si>
    <t>Product Model for the 'Record a Current immunization event'</t>
  </si>
  <si>
    <t>ProductUcCurrentEvent</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</si>
  <si>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</si>
  <si>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</si>
  <si>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</si>
  <si>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</si>
  <si>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</si>
  <si>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</si>
  <si>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</si>
  <si>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</si>
  <si>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</si>
  <si>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</si>
  <si>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</si>
  <si>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</si>
  <si>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</si>
  <si>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</si>
  <si>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</si>
  <si>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</si>
  <si>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</si>
  <si>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</si>
  <si>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</si>
  <si>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</si>
  <si>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</si>
  <si>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</si>
  <si>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</si>
  <si>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</si>
  <si>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</si>
  <si>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</si>
  <si>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</si>
  <si>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</si>
  <si>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</si>
  <si>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</si>
  <si>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</si>
  <si>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</si>
  <si>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</si>
  <si>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</si>
  <si>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</si>
  <si>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</si>
  <si>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</si>
  <si>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</si>
  <si>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</si>
  <si>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</si>
  <si>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</si>
  <si>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</si>
  <si>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</si>
  <si>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</si>
  <si>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</si>
  <si>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</si>
  <si>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</si>
  <si>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</si>
  <si>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</si>
  <si>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</si>
  <si>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</si>
  <si>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</si>
  <si>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</si>
  <si>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</si>
  <si>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</si>
  <si>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</si>
  <si>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</si>
  <si>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</si>
  <si>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</si>
  <si>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</si>
  <si>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</si>
  <si>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</si>
  <si>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</si>
  <si>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</si>
  <si>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</si>
  <si>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</si>
  <si>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</si>
  <si>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</si>
  <si>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</si>
  <si>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</si>
  <si>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</si>
  <si>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</si>
  <si>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</si>
  <si>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</si>
  <si>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</si>
  <si>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</si>
  <si>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</si>
  <si>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</si>
  <si>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</si>
  <si>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</si>
  <si>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</si>
  <si>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</si>
  <si>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</si>
  <si>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</si>
  <si>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</si>
  <si>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</si>
  <si>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</si>
  <si>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</si>
  <si>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</si>
  <si>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</si>
  <si>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</si>
  <si>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</si>
  <si>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</si>
  <si>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</si>
  <si>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</si>
  <si>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</si>
  <si>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</si>
  <si>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</si>
  <si>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</si>
  <si>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</si>
  <si>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</si>
  <si>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</si>
  <si>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</si>
  <si>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</si>
  <si>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</si>
  <si>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</si>
  <si>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</si>
  <si>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</si>
  <si>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</si>
  <si>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</si>
  <si>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</si>
  <si>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</si>
  <si>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</si>
  <si>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</si>
  <si>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</si>
  <si>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</si>
  <si>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</si>
  <si>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</si>
  <si>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</si>
  <si>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</si>
  <si>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</si>
  <si>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</si>
  <si>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</si>
  <si>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</si>
  <si>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</si>
  <si>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</si>
  <si>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</si>
  <si>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</si>
  <si>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</si>
  <si>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</si>
  <si>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</si>
  <si>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</si>
  <si>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</si>
  <si>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</si>
  <si>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</si>
  <si>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</si>
  <si>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</si>
  <si>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</si>
  <si>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</si>
  <si>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</si>
  <si>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</si>
  <si>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</si>
  <si>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</si>
  <si>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</si>
  <si>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</si>
  <si>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</si>
  <si>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</si>
  <si>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</si>
  <si>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</si>
  <si>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</si>
  <si>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</si>
  <si>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</si>
  <si>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</si>
  <si>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</si>
  <si>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</si>
  <si>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</si>
  <si>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</si>
  <si>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</si>
  <si>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</si>
  <si>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</si>
  <si>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</si>
  <si>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</si>
  <si>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</si>
  <si>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</si>
  <si>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</si>
  <si>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</si>
  <si>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</si>
  <si>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</si>
  <si>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</si>
  <si>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</si>
  <si>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</si>
  <si>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</si>
  <si>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</si>
  <si>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</si>
  <si>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</si>
  <si>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</si>
  <si>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</si>
  <si>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</si>
  <si>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</si>
  <si>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</si>
  <si>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</si>
  <si>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</si>
  <si>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</si>
  <si>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</si>
  <si>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</si>
  <si>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</si>
  <si>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</si>
  <si>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</si>
  <si>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</si>
  <si>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</si>
  <si>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</si>
  <si>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</si>
  <si>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</si>
  <si>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</si>
  <si>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</si>
  <si>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</si>
  <si>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</si>
  <si>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</si>
  <si>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</si>
  <si>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</si>
  <si>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</si>
  <si>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</si>
  <si>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</si>
  <si>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</si>
  <si>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</si>
  <si>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</si>
  <si>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</si>
  <si>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</si>
  <si>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</si>
  <si>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</si>
  <si>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</si>
  <si>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</si>
  <si>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</si>
  <si>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</si>
  <si>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</si>
  <si>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</si>
  <si>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</si>
  <si>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</si>
  <si>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</si>
  <si>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</si>
  <si>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</si>
  <si>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</si>
  <si>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</si>
  <si>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</si>
  <si>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</si>
  <si>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</si>
  <si>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</si>
  <si>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</si>
  <si>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</si>
  <si>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</si>
  <si>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</si>
  <si>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</si>
  <si>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</si>
  <si>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</si>
  <si>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</si>
  <si>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</si>
  <si>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</si>
  <si>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</si>
  <si>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</si>
  <si>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</si>
  <si>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</si>
  <si>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</si>
  <si>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</si>
  <si>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</si>
  <si>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</si>
  <si>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</si>
  <si>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</si>
  <si>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</si>
  <si>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</si>
  <si>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</si>
  <si>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</si>
  <si>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</si>
  <si>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</si>
  <si>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</si>
  <si>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</si>
  <si>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</si>
  <si>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</si>
  <si>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</si>
  <si>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</si>
  <si>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</si>
  <si>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</si>
  <si>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</si>
  <si>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</si>
  <si>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</si>
  <si>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</si>
  <si>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</si>
  <si>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</si>
  <si>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</si>
  <si>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</si>
  <si>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</si>
  <si>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</si>
  <si>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</si>
  <si>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</si>
  <si>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</si>
  <si>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</si>
  <si>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</si>
  <si>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</si>
  <si>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</si>
  <si>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</si>
  <si>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</si>
  <si>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</si>
  <si>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</si>
  <si>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</si>
  <si>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</si>
  <si>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</si>
  <si>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</si>
  <si>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</si>
  <si>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</si>
  <si>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</si>
  <si>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</si>
  <si>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</si>
  <si>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</si>
  <si>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</si>
  <si>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</si>
  <si>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</si>
  <si>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</si>
  <si>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</si>
  <si>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</si>
  <si>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</si>
  <si>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</si>
  <si>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</si>
  <si>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</si>
  <si>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</si>
  <si>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</si>
  <si>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</si>
  <si>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</si>
  <si>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</si>
  <si>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</si>
  <si>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</si>
  <si>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</si>
  <si>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</si>
  <si>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</si>
  <si>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</si>
  <si>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</si>
  <si>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</si>
  <si>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</si>
  <si>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</si>
  <si>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</si>
  <si>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</si>
  <si>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</si>
  <si>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</si>
  <si>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</si>
  <si>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</si>
  <si>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</si>
  <si>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</si>
  <si>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</si>
  <si>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</si>
  <si>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</si>
  <si>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</si>
  <si>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</si>
  <si>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</si>
  <si>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</si>
  <si>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</si>
  <si>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</si>
  <si>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</si>
  <si>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</si>
  <si>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</si>
  <si>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</si>
  <si>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</si>
  <si>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</si>
  <si>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</si>
  <si>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</si>
  <si>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</si>
  <si>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</si>
  <si>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</si>
  <si>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</si>
  <si>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</si>
  <si>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</si>
  <si>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</si>
  <si>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</si>
  <si>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</si>
  <si>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</si>
  <si>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</si>
  <si>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</si>
  <si>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</si>
  <si>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</si>
  <si>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</si>
  <si>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</si>
  <si>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</si>
  <si>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</si>
  <si>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</si>
  <si>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</si>
  <si>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</si>
  <si>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</si>
  <si>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</si>
  <si>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</si>
  <si>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</si>
  <si>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</si>
  <si>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</si>
  <si>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</si>
  <si>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</si>
  <si>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</si>
  <si>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</si>
  <si>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</si>
  <si>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</si>
  <si>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</si>
  <si>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</si>
  <si>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</si>
  <si>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</si>
  <si>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</si>
  <si>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</si>
  <si>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</si>
  <si>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</si>
  <si>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</si>
  <si>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</si>
  <si>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</si>
  <si>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</si>
  <si>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</si>
  <si>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</si>
  <si>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</si>
  <si>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</si>
  <si>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</si>
  <si>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</si>
  <si>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</si>
  <si>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</si>
  <si>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</si>
  <si>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</si>
  <si>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</si>
  <si>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</si>
  <si>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</si>
  <si>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</si>
  <si>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</si>
  <si>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</si>
  <si>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</si>
  <si>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</si>
  <si>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</si>
  <si>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</si>
  <si>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</si>
  <si>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</si>
  <si>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</si>
  <si>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</si>
  <si>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</si>
  <si>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</si>
  <si>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</si>
  <si>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</si>
  <si>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</si>
  <si>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</si>
  <si>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</si>
  <si>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</si>
  <si>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</si>
  <si>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</si>
  <si>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</si>
  <si>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</si>
  <si>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</si>
  <si>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</si>
  <si>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</si>
  <si>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</si>
  <si>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</si>
  <si>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</si>
  <si>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</si>
  <si>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</si>
  <si>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</si>
  <si>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</si>
  <si>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</si>
  <si>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</si>
  <si>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</si>
  <si>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</si>
  <si>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</si>
  <si>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</si>
  <si>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</si>
  <si>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</si>
  <si>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</si>
  <si>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</si>
  <si>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</si>
  <si>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</si>
  <si>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</si>
  <si>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</si>
  <si>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</si>
  <si>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</si>
  <si>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</si>
  <si>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</si>
  <si>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</si>
  <si>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</si>
  <si>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</si>
  <si>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</si>
  <si>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</si>
  <si>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</si>
  <si>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</si>
  <si>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</si>
  <si>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</si>
  <si>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</si>
  <si>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</si>
  <si>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</si>
  <si>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</si>
  <si>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</si>
  <si>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</si>
  <si>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</si>
  <si>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</si>
  <si>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</si>
  <si>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</si>
  <si>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</si>
  <si>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</si>
  <si>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</si>
  <si>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</si>
  <si>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</si>
  <si>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</si>
  <si>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</si>
  <si>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</si>
  <si>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</si>
  <si>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</si>
  <si>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</si>
  <si>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</si>
  <si>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</si>
  <si>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</si>
  <si>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</si>
  <si>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</si>
  <si>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</si>
  <si>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</si>
  <si>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</si>
  <si>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</si>
  <si>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</si>
  <si>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</si>
  <si>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</si>
  <si>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</si>
  <si>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</si>
  <si>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</si>
  <si>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</si>
  <si>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</si>
  <si>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</si>
  <si>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</si>
  <si>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</si>
  <si>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</si>
  <si>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</si>
  <si>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</si>
  <si>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</si>
  <si>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</si>
  <si>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</si>
  <si>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</si>
  <si>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</si>
  <si>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</si>
  <si>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</si>
  <si>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</si>
  <si>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</si>
  <si>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</si>
  <si>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</si>
  <si>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</si>
  <si>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</si>
  <si>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</si>
  <si>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</si>
  <si>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</si>
  <si>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</si>
  <si>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</si>
  <si>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</si>
  <si>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</si>
  <si>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</si>
  <si>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</si>
  <si>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</si>
  <si>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</si>
  <si>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</si>
  <si>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</si>
  <si>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</si>
  <si>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</si>
  <si>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</si>
  <si>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</si>
  <si>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</si>
  <si>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</si>
  <si>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</si>
  <si>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</si>
  <si>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</si>
  <si>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</si>
  <si>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</si>
  <si>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</si>
  <si>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</si>
  <si>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</si>
  <si>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</si>
  <si>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</si>
  <si>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</si>
  <si>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</si>
  <si>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</si>
  <si>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</si>
  <si>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</si>
  <si>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</si>
  <si>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</si>
  <si>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</si>
  <si>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</si>
  <si>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</si>
  <si>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</si>
  <si>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</si>
  <si>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</si>
  <si>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</si>
  <si>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</si>
  <si>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</si>
  <si>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</si>
  <si>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</si>
  <si>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</si>
  <si>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</si>
  <si>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</si>
  <si>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</si>
  <si>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</si>
  <si>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</si>
  <si>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</si>
  <si>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</si>
  <si>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</si>
  <si>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</si>
  <si>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</si>
  <si>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</si>
  <si>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</si>
  <si>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</si>
  <si>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</si>
  <si>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</si>
  <si>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</si>
  <si>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</si>
  <si>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</si>
  <si>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</si>
  <si>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</si>
  <si>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</si>
  <si>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</si>
  <si>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</si>
  <si>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</si>
  <si>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</si>
  <si>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</si>
  <si>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</si>
  <si>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</si>
  <si>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</si>
  <si>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</si>
  <si>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</si>
  <si>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</si>
  <si>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</si>
  <si>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</si>
  <si>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</si>
  <si>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</si>
  <si>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</si>
  <si>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</si>
  <si>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</si>
  <si>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</si>
  <si>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</si>
  <si>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</si>
  <si>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</si>
  <si>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</si>
  <si>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</si>
  <si>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</si>
  <si>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</si>
  <si>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</si>
  <si>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</si>
  <si>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</si>
  <si>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</si>
  <si>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</si>
  <si>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</si>
  <si>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</si>
  <si>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</si>
  <si>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</si>
  <si>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</si>
  <si>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</si>
  <si>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</si>
  <si>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</si>
  <si>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</si>
  <si>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</si>
  <si>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</si>
  <si>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</si>
  <si>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</si>
  <si>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</si>
  <si>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</si>
  <si>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</si>
  <si>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</si>
  <si>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</si>
  <si>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</si>
  <si>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</si>
  <si>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</si>
  <si>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</si>
  <si>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</si>
  <si>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</si>
  <si>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</si>
  <si>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</si>
  <si>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</si>
  <si>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</si>
  <si>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</si>
  <si>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</si>
  <si>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</si>
  <si>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</si>
  <si>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</si>
  <si>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</si>
  <si>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</si>
  <si>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</si>
  <si>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</si>
  <si>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</si>
  <si>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</si>
  <si>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</si>
  <si>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</si>
  <si>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</si>
  <si>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</si>
  <si>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</si>
  <si>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</si>
  <si>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</si>
  <si>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</si>
  <si>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</si>
  <si>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</si>
  <si>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</si>
  <si>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</si>
  <si>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</si>
  <si>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</si>
  <si>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</si>
  <si>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</si>
  <si>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</si>
  <si>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</si>
  <si>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</si>
  <si>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</si>
  <si>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</si>
  <si>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</si>
  <si>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</si>
  <si>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</si>
  <si>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</si>
  <si>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</si>
  <si>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</si>
  <si>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</si>
  <si>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</si>
  <si>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</si>
  <si>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</si>
  <si>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</si>
  <si>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</si>
  <si>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</si>
  <si>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</si>
  <si>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</si>
  <si>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</si>
  <si>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</si>
  <si>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</si>
  <si>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</si>
  <si>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</si>
  <si>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</si>
  <si>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</si>
  <si>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</si>
  <si>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</si>
  <si>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</si>
  <si>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</si>
  <si>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</si>
  <si>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</si>
  <si>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</si>
  <si>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</si>
  <si>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</si>
  <si>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</si>
  <si>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</si>
  <si>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</si>
  <si>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</si>
  <si>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</si>
  <si>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</si>
  <si>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</si>
  <si>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</si>
  <si>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</si>
  <si>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</si>
  <si>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</si>
  <si>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</si>
  <si>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</si>
  <si>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</si>
  <si>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</si>
  <si>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</si>
  <si>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</si>
  <si>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</si>
  <si>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</si>
  <si>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</si>
  <si>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</si>
  <si>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</si>
  <si>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</si>
  <si>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</si>
  <si>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</si>
  <si>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</si>
  <si>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</si>
  <si>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</si>
  <si>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</si>
  <si>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</si>
  <si>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</si>
  <si>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</si>
  <si>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</si>
  <si>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</si>
  <si>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</si>
  <si>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</si>
  <si>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</si>
  <si>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</si>
  <si>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</si>
  <si>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</si>
  <si>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</si>
  <si>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</si>
  <si>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</si>
  <si>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</si>
  <si>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</si>
  <si>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</si>
  <si>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</si>
  <si>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</si>
  <si>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</si>
  <si>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</si>
  <si>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</si>
  <si>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</si>
  <si>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</si>
  <si>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</si>
  <si>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</si>
  <si>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</si>
  <si>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</si>
  <si>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</si>
  <si>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</si>
  <si>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</si>
  <si>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</si>
  <si>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</si>
  <si>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</si>
  <si>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</si>
  <si>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</si>
  <si>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</si>
  <si>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</si>
  <si>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</si>
  <si>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</si>
  <si>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</si>
  <si>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</si>
  <si>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</si>
  <si>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</si>
  <si>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</si>
  <si>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</si>
  <si>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</si>
  <si>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</si>
  <si>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</si>
  <si>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</si>
  <si>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</si>
  <si>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</si>
  <si>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</si>
  <si>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</si>
  <si>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</si>
  <si>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</si>
  <si>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</si>
  <si>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</si>
  <si>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</si>
  <si>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</si>
  <si>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</si>
  <si>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</si>
  <si>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Patient.extension('http://hl7.org/fhir/StructureDefinition/patient-mothersMaidenName')</t>
  </si>
  <si>
    <t>Patient.extension(http://hl7.org/fhir/StructureDefinition/patient-birthPlace')</t>
  </si>
  <si>
    <t>Patient.contact.telecom</t>
  </si>
  <si>
    <t>Patient.contact</t>
  </si>
  <si>
    <t>CDA</t>
  </si>
  <si>
    <t>ClinicalDocument.recordTarget.patientRole</t>
  </si>
  <si>
    <t>.id</t>
  </si>
  <si>
    <t>.patient.administrativeGenderCode</t>
  </si>
  <si>
    <t>.patient.name</t>
  </si>
  <si>
    <t>.patient.name.family</t>
  </si>
  <si>
    <t>.patient.name.given</t>
  </si>
  <si>
    <t>.patient.birthTime</t>
  </si>
  <si>
    <t>.patient.birthplace</t>
  </si>
  <si>
    <t>.patient.guardian</t>
  </si>
  <si>
    <t>.patient.guardian.telecom</t>
  </si>
  <si>
    <t>cda</t>
  </si>
  <si>
    <t>http://hl7.org/fhir/cda/StructureDefinition/ClinicalDocument</t>
  </si>
  <si>
    <t>ClinicalDocument.recordTarget.participant</t>
  </si>
  <si>
    <t>ClinicalDocument.recordTarget.participant.associatedEntity.telecom</t>
  </si>
  <si>
    <t>subject.gender</t>
  </si>
  <si>
    <t>subject.dateOfBirth</t>
  </si>
  <si>
    <t>diagnosis.site</t>
  </si>
  <si>
    <t>diagnosis.predispositionOrCondition</t>
  </si>
  <si>
    <t>Antineoplastic and immunostimulating agents</t>
  </si>
  <si>
    <t>Product(s) administartion data</t>
  </si>
  <si>
    <t>Information about the product(s) administered</t>
  </si>
  <si>
    <t xml:space="preserve">Report the total cumulative dose received of each drug. </t>
  </si>
  <si>
    <t>If the dose was calculated, please report the measure unit of the calculation
1 =&gt; mg/m2
2 =&gt; gr/m2
3 =&gt; UI/m2
4 =&gt; NK
5 =&gt; NC (not calculated)</t>
  </si>
  <si>
    <t>Flag indicating if the dose was not calculated or it was not known</t>
  </si>
  <si>
    <t>Not calculated or not known dose</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</si>
  <si>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</si>
  <si>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Please State if chronic GVHD occurred
Required if DONOR1 = 2 (Type of transplant = Allogenic)</t>
  </si>
  <si>
    <t>radiotherapy.type</t>
  </si>
  <si>
    <t>radiotherapy.startDate</t>
  </si>
  <si>
    <t>radiotherapy.radionuclides</t>
  </si>
  <si>
    <t>Radionuclides</t>
  </si>
  <si>
    <t xml:space="preserve">A boost is an extra dose of radiotherapy directed to a smaller area inside the primary radiation field.
</t>
  </si>
  <si>
    <t>Not nown dose</t>
  </si>
  <si>
    <t>Specify the cumulative / total dose given to the primary radiation therapy site.</t>
  </si>
  <si>
    <t>Boost given</t>
  </si>
  <si>
    <t xml:space="preserve">Flag indicating if a boost was given, not given or unknown
</t>
  </si>
  <si>
    <t>radiotherapy.target</t>
  </si>
  <si>
    <t>radiotherapy.target.site</t>
  </si>
  <si>
    <t>Target Body Site</t>
  </si>
  <si>
    <t>Body Site</t>
  </si>
  <si>
    <t>radiotherapy.target.comulativeDose</t>
  </si>
  <si>
    <t>radiotherapy.target.comulativeDose.notKnown</t>
  </si>
  <si>
    <t>radiotherapy.target.comulativeDose.dose</t>
  </si>
  <si>
    <t>radiotherapy.target.comulativeDose.unit</t>
  </si>
  <si>
    <t>radiotherapy.target.boost</t>
  </si>
  <si>
    <t>radiotherapy.target.boost.given</t>
  </si>
  <si>
    <t>radiotherapy.target.boost.site</t>
  </si>
  <si>
    <t>radiotherapy.target.boost.comulativeDose</t>
  </si>
  <si>
    <t>radiotherapy.target.boost.comulativeDose.notKnown</t>
  </si>
  <si>
    <t>radiotherapy.target.boost.comulativeDose.dose</t>
  </si>
  <si>
    <t>radiotherapy.target.boost.comulativeDose.unit</t>
  </si>
  <si>
    <t>Specify the unit of the boost in case of external beam radiotherapy.
1 = Gy</t>
  </si>
  <si>
    <t>Comulative dose</t>
  </si>
  <si>
    <t>Specify the cumulative / total dose given to the boost site.</t>
  </si>
  <si>
    <t>MinimalTreatmentSummary</t>
  </si>
  <si>
    <t>Minimal Treatment Summary</t>
  </si>
  <si>
    <t>Minimal Treatment Summary data required by the PancareSurPass platform to generate the draft Care Plan</t>
  </si>
  <si>
    <t>Cumulative Dose</t>
  </si>
  <si>
    <t>decimal</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</si>
  <si>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</si>
  <si>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</si>
  <si>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</si>
  <si>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</si>
  <si>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</si>
  <si>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Type of transplant</t>
  </si>
  <si>
    <t>Unit (of external beam boost)</t>
  </si>
  <si>
    <t>Report the total cumulative dose received of each drug.</t>
  </si>
  <si>
    <t>Total cumulative dose</t>
  </si>
  <si>
    <t>Date of birth</t>
  </si>
  <si>
    <t>Hereditary Cancer Predisposition Syndromeor medical condition cancer associated</t>
  </si>
  <si>
    <t>Stem Cell transplantation</t>
  </si>
  <si>
    <t>Intrathecal injections</t>
  </si>
  <si>
    <t>GVHD Chronic</t>
  </si>
  <si>
    <t>Start date</t>
  </si>
  <si>
    <t>Dose</t>
  </si>
  <si>
    <t>Boost site</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</si>
  <si>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Required if Metabolic/radionuclide therapy
1 =&gt; Iodine-131
2 =&gt; MIBG
3 =&gt;Yttrium 90
4 =&gt; Other
-9922 =&gt; Unknown</t>
  </si>
  <si>
    <t>Please specify if hypogonadal occured during therapy
1 =&gt; Yes
2 =&gt; No
-9922 =&gt; NK</t>
  </si>
  <si>
    <t>Face involved?</t>
  </si>
  <si>
    <t>Spine involved?</t>
  </si>
  <si>
    <t>Chest/thorax involved?</t>
  </si>
  <si>
    <t>Please specify if sinusoidal obstruction syndrome occuredduring therapy</t>
  </si>
  <si>
    <t>binding</t>
  </si>
  <si>
    <t>http://hl7.eu/fhir/ig/pcsp/ValueSet/vs-radiotherapy-pcsp</t>
  </si>
  <si>
    <t>Abdomen involved?</t>
  </si>
  <si>
    <t>Brain involved?</t>
  </si>
  <si>
    <t>extensible</t>
  </si>
  <si>
    <t>Elements</t>
  </si>
  <si>
    <t>Report 'yes' if the survivor was treated with steroids for at least 4 weeks continuously
1 =&gt; Yes
2 =&gt; No
-9922 =&gt; NK</t>
  </si>
  <si>
    <t>Please state if the survivor received any therapeutic intrathecal injections
1 =&gt; Yes
2 =&gt; No
-9922 =&gt; NK</t>
  </si>
  <si>
    <t>Indicate if the transplant was autologous or allogeneic.
1 = Autologous
2 = Allogeneic
-9922 = NK</t>
  </si>
  <si>
    <t>Shunt application</t>
  </si>
  <si>
    <t>Report here if the survivor has some Hereditary Cancer Predisposition Syndrome or a medical conditions, cancer associated. (Yes/No)</t>
  </si>
  <si>
    <r>
      <t xml:space="preserve">Please report if a cerebrovascular shunt was inserted 
1 =&gt; Yes 
2 =&gt; No
</t>
    </r>
    <r>
      <rPr>
        <strike/>
        <sz val="11"/>
        <color theme="1"/>
        <rFont val="Calibri"/>
        <family val="2"/>
        <scheme val="minor"/>
      </rPr>
      <t xml:space="preserve"> -9911 =&gt; NA</t>
    </r>
    <r>
      <rPr>
        <sz val="11"/>
        <color theme="1"/>
        <rFont val="Calibri"/>
        <family val="2"/>
        <scheme val="minor"/>
      </rPr>
      <t xml:space="preserve">
 -9922 =&gt; NK</t>
    </r>
  </si>
  <si>
    <t>diagnosis.chemotherapy</t>
  </si>
  <si>
    <t>productAdministration</t>
  </si>
  <si>
    <t>productAdministration.agent</t>
  </si>
  <si>
    <t>productAdministration.cumulativeDose</t>
  </si>
  <si>
    <t>productAdministration.cumulativeDose.notAvailable</t>
  </si>
  <si>
    <t>productAdministration.cumulativeDose.value</t>
  </si>
  <si>
    <t>productAdministration.cumulativeDose.unit</t>
  </si>
  <si>
    <t>corticosteroids</t>
  </si>
  <si>
    <t>intrathecalInjections</t>
  </si>
  <si>
    <t>http://hl7.eu/fhir/ig/pcsp/StructureDefinition/Radiotherapy</t>
  </si>
  <si>
    <t>diagnosis.radiotherapy</t>
  </si>
  <si>
    <t>http://hl7.eu/fhir/ig/pcsp/StructureDefinition/Chemotherapy</t>
  </si>
  <si>
    <t>diagnosis.stemCellTransplantation</t>
  </si>
  <si>
    <t>diagnosis.stemCellTransplantation.type</t>
  </si>
  <si>
    <t>diagnosis.stemCellTransplantation.gvhdChronic</t>
  </si>
  <si>
    <t>diagnosis.majorSurgery</t>
  </si>
  <si>
    <t>diagnosis.majorSurgery.isOesophagus</t>
  </si>
  <si>
    <t>diagnosis.majorSurgery.isAbdomen</t>
  </si>
  <si>
    <t>diagnosis.majorSurgery.isBrain</t>
  </si>
  <si>
    <t>diagnosis.majorSurgery.isFace</t>
  </si>
  <si>
    <t>diagnosis.majorSurgery.isLiver</t>
  </si>
  <si>
    <t>diagnosis.majorSurgery.isSpine</t>
  </si>
  <si>
    <t>diagnosis.majorSurgery.isSpinalCord</t>
  </si>
  <si>
    <t>diagnosis.majorSurgery.isSympatheticNerves</t>
  </si>
  <si>
    <t>diagnosis.majorSurgery.isChestThorax</t>
  </si>
  <si>
    <t>diagnosis.majorSurgery.isPelvis</t>
  </si>
  <si>
    <t>diagnosis.majorSurgery.sacrifiedOrgans</t>
  </si>
  <si>
    <t>diagnosis.majorSurgery.shuntApplied</t>
  </si>
  <si>
    <t>diagnosis.otherInfo</t>
  </si>
  <si>
    <t>diagnosis.otherInfo.hypogonadal</t>
  </si>
  <si>
    <t>diagnosis.otherInfo.growthHormoneDeficiency</t>
  </si>
  <si>
    <t>diagnosis.otherInfo.chronicViralHepatitis</t>
  </si>
  <si>
    <t>diagnosis.otherInfo.sinusoidalObstructionSyndrome</t>
  </si>
  <si>
    <t>diagnosis.otherInfo.moreOf10Transfusions</t>
  </si>
  <si>
    <t>diagnosis.progressionRelapseAfterEOT</t>
  </si>
  <si>
    <t>diagnosis.progressionRelapseAfterEOT.chemotherapy</t>
  </si>
  <si>
    <t>diagnosis.progressionRelapseAfterEOT.stemCellTransplantation.gvhdChronic</t>
  </si>
  <si>
    <t>diagnosis.progressionRelapseAfterEOT.radiotherapy</t>
  </si>
  <si>
    <t>diagnosis.progressionRelapseAfterEOT.majorSurgery</t>
  </si>
  <si>
    <t>diagnosis.progressionRelapseAfterEOT.majorSurgery.isOesophagus</t>
  </si>
  <si>
    <t>diagnosis.progressionRelapseAfterEOT.majorSurgery.isAbdomen</t>
  </si>
  <si>
    <t>diagnosis.progressionRelapseAfterEOT.majorSurgery.isBrain</t>
  </si>
  <si>
    <t>diagnosis.progressionRelapseAfterEOT.majorSurgery.isFace</t>
  </si>
  <si>
    <t>diagnosis.progressionRelapseAfterEOT.majorSurgery.isLiver</t>
  </si>
  <si>
    <t>diagnosis.progressionRelapseAfterEOT.majorSurgery.isSpine</t>
  </si>
  <si>
    <t>diagnosis.progressionRelapseAfterEOT.majorSurgery.isSpinalCord</t>
  </si>
  <si>
    <t>diagnosis.progressionRelapseAfterEOT.majorSurgery.isSympatheticNerves</t>
  </si>
  <si>
    <t>diagnosis.progressionRelapseAfterEOT.majorSurgery.isChestThorax</t>
  </si>
  <si>
    <t>diagnosis.progressionRelapseAfterEOT.majorSurgery.isPelvis</t>
  </si>
  <si>
    <t>diagnosis.progressionRelapseAfterEOT.majorSurgery.sacrifiedOrgans</t>
  </si>
  <si>
    <t>diagnosis.progressionRelapseAfterEOT.majorSurgery.shuntApplied</t>
  </si>
  <si>
    <t>diagnosis.progressionRelapseAfterEOT.otherInfo</t>
  </si>
  <si>
    <t>diagnosis.progressionRelapseAfterEOT.otherInfo.hypogonadal</t>
  </si>
  <si>
    <t>diagnosis.progressionRelapseAfterEOT.otherInfo.growthHormoneDeficiency</t>
  </si>
  <si>
    <t>diagnosis.progressionRelapseAfterEOT.otherInfo.chronicViralHepatitis</t>
  </si>
  <si>
    <t>diagnosis.progressionRelapseAfterEOT.otherInfo.sinusoidalObstructionSyndrome</t>
  </si>
  <si>
    <t>diagnosis.progressionRelapseAfterEOT.otherInfo.moreOf10Transfusions</t>
  </si>
  <si>
    <t>startDate</t>
  </si>
  <si>
    <t>target</t>
  </si>
  <si>
    <t>target.site</t>
  </si>
  <si>
    <t>target.comulativeDose</t>
  </si>
  <si>
    <t>target.comulativeDose.notKnown</t>
  </si>
  <si>
    <t>target.comulativeDose.dose</t>
  </si>
  <si>
    <t>target.comulativeDose.unit</t>
  </si>
  <si>
    <t>target.boost</t>
  </si>
  <si>
    <t>target.boost.given</t>
  </si>
  <si>
    <t>target.boost.site</t>
  </si>
  <si>
    <t>target.boost.comulativeDose</t>
  </si>
  <si>
    <t>target.boost.comulativeDose.notKnown</t>
  </si>
  <si>
    <t>target.boost.comulativeDose.dose</t>
  </si>
  <si>
    <t>target.boost.comulativeDose.unit</t>
  </si>
  <si>
    <t>radionuclides</t>
  </si>
  <si>
    <t>diagnosis.otherInfo.hydrocephalus</t>
  </si>
  <si>
    <t>diagnosis.progressionRelapseAfterEOT.otherInfo.hydrocephalus</t>
  </si>
  <si>
    <t>required</t>
  </si>
  <si>
    <t>diagnosis.progressionRelapseAfterEOT.stemCellTransplantation</t>
  </si>
  <si>
    <t>diagnosis.progressionRelapseAfterEOT.stemCellTransplantation.type</t>
  </si>
  <si>
    <t>http://hl7.eu/fhir/ig/pcsp/ValueSet/drugsAtc-eu-pcsp</t>
  </si>
  <si>
    <t xml:space="preserve">MedStatement </t>
  </si>
  <si>
    <t>Not known dose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</si>
</sst>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u/>
      <sz val="11"/>
      <color rgb="FFFF0000"/>
      <name val="Calibri"/>
      <family val="2"/>
      <scheme val="minor"/>
    </font>
    <font>
      <u/>
      <sz val="10"/>
      <color theme="1"/>
      <name val="Calibri"/>
      <family val="2"/>
      <scheme val="minor"/>
    </font>
    <font>
      <u/>
      <sz val="11"/>
      <name val="Calibri"/>
      <family val="2"/>
      <scheme val="minor"/>
    </font>
    <font>
      <sz val="11"/>
      <color rgb="FF000000"/>
      <name val="Calibri"/>
      <family val="2"/>
      <scheme val="minor"/>
    </font>
    <font>
      <sz val="10"/>
      <name val="Calibri"/>
      <family val="2"/>
      <scheme val="minor"/>
    </font>
    <font>
      <u/>
      <sz val="11"/>
      <color rgb="FF000000"/>
      <name val="Calibri"/>
      <family val="2"/>
      <scheme val="minor"/>
    </font>
    <font>
      <sz val="11"/>
      <color theme="10"/>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trike/>
      <sz val="11"/>
      <color theme="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auto="1"/>
      </left>
      <right/>
      <top style="thin">
        <color auto="1"/>
      </top>
      <bottom style="thin">
        <color auto="1"/>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89">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3" xfId="0" applyFill="1" applyBorder="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5" fillId="0" borderId="1" xfId="0" applyFont="1" applyBorder="1"/>
    <xf numFmtId="0" fontId="5" fillId="0" borderId="1" xfId="0" applyFont="1" applyBorder="1" applyAlignment="1">
      <alignment horizontal="left" vertical="top" wrapText="1"/>
    </xf>
    <xf numFmtId="0" fontId="0" fillId="3" borderId="1" xfId="0" applyFill="1" applyBorder="1"/>
    <xf numFmtId="0" fontId="0" fillId="0" borderId="1" xfId="0" applyFont="1" applyBorder="1"/>
    <xf numFmtId="0" fontId="6" fillId="0" borderId="8" xfId="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4" fillId="5" borderId="1" xfId="0" applyFont="1" applyFill="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0" borderId="4" xfId="0"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0" fillId="0" borderId="9" xfId="0" applyFont="1" applyFill="1" applyBorder="1"/>
    <xf numFmtId="0" fontId="0" fillId="0" borderId="0" xfId="0" applyFill="1" applyBorder="1"/>
    <xf numFmtId="0" fontId="6" fillId="0" borderId="1" xfId="1" applyBorder="1"/>
    <xf numFmtId="0" fontId="7" fillId="0" borderId="0" xfId="0" applyFont="1" applyBorder="1"/>
    <xf numFmtId="0" fontId="0" fillId="0" borderId="1" xfId="0" applyFont="1" applyBorder="1" applyAlignment="1">
      <alignment wrapText="1"/>
    </xf>
    <xf numFmtId="0" fontId="0" fillId="3" borderId="0" xfId="0" applyFill="1" applyAlignment="1">
      <alignment wrapText="1"/>
    </xf>
    <xf numFmtId="0" fontId="9" fillId="5" borderId="1" xfId="0" applyFont="1" applyFill="1" applyBorder="1" applyAlignment="1">
      <alignment horizontal="left" vertical="top" wrapText="1"/>
    </xf>
    <xf numFmtId="0" fontId="10" fillId="0" borderId="1" xfId="0" applyFont="1" applyBorder="1" applyAlignment="1">
      <alignment horizontal="left" vertical="top" wrapText="1"/>
    </xf>
    <xf numFmtId="0" fontId="6" fillId="0" borderId="1" xfId="1" applyFont="1" applyBorder="1"/>
    <xf numFmtId="0" fontId="7" fillId="0" borderId="0" xfId="0" applyFont="1"/>
    <xf numFmtId="0" fontId="1" fillId="0" borderId="0" xfId="0" applyFont="1" applyFill="1" applyBorder="1"/>
    <xf numFmtId="0" fontId="0" fillId="0" borderId="1" xfId="0" applyFont="1" applyBorder="1" applyAlignment="1">
      <alignment horizontal="left"/>
    </xf>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7" fillId="0" borderId="1" xfId="0" applyFont="1" applyBorder="1" applyAlignment="1">
      <alignment wrapText="1"/>
    </xf>
    <xf numFmtId="0" fontId="0" fillId="4" borderId="1" xfId="0" applyFill="1" applyBorder="1"/>
    <xf numFmtId="0" fontId="1" fillId="0" borderId="0" xfId="0" applyFont="1" applyFill="1" applyBorder="1" applyAlignment="1">
      <alignment wrapText="1"/>
    </xf>
    <xf numFmtId="0" fontId="0" fillId="0" borderId="1" xfId="0" applyFill="1" applyBorder="1" applyAlignment="1">
      <alignment wrapText="1"/>
    </xf>
    <xf numFmtId="0" fontId="1" fillId="0" borderId="1" xfId="0" applyFont="1" applyBorder="1" applyAlignment="1">
      <alignment horizontal="center"/>
    </xf>
    <xf numFmtId="0" fontId="6" fillId="0" borderId="0" xfId="1"/>
    <xf numFmtId="0" fontId="1" fillId="0" borderId="1" xfId="0" applyFont="1" applyBorder="1"/>
    <xf numFmtId="0" fontId="1" fillId="0" borderId="1" xfId="0" applyFont="1" applyFill="1" applyBorder="1"/>
    <xf numFmtId="0" fontId="1" fillId="0" borderId="1" xfId="0" applyFont="1" applyBorder="1" applyAlignment="1">
      <alignment wrapText="1"/>
    </xf>
    <xf numFmtId="0" fontId="6" fillId="0" borderId="1" xfId="1" applyBorder="1" applyAlignment="1">
      <alignment wrapText="1"/>
    </xf>
    <xf numFmtId="0" fontId="6" fillId="0" borderId="0" xfId="1" applyBorder="1" applyAlignment="1">
      <alignment wrapText="1"/>
    </xf>
    <xf numFmtId="0" fontId="0" fillId="0" borderId="1" xfId="0" applyFill="1" applyBorder="1" applyAlignment="1">
      <alignment horizontal="center"/>
    </xf>
    <xf numFmtId="0" fontId="1" fillId="12" borderId="1" xfId="0" applyFont="1" applyFill="1" applyBorder="1"/>
    <xf numFmtId="0" fontId="1" fillId="12" borderId="1" xfId="0" applyFont="1" applyFill="1" applyBorder="1" applyAlignment="1">
      <alignment wrapText="1"/>
    </xf>
    <xf numFmtId="0" fontId="1" fillId="6" borderId="1" xfId="0" applyFont="1" applyFill="1" applyBorder="1"/>
    <xf numFmtId="0" fontId="7" fillId="6" borderId="1" xfId="0" applyFont="1" applyFill="1" applyBorder="1"/>
    <xf numFmtId="0" fontId="6" fillId="6" borderId="1" xfId="1" applyFill="1" applyBorder="1"/>
    <xf numFmtId="0" fontId="0" fillId="6" borderId="0" xfId="0" applyFill="1" applyBorder="1"/>
    <xf numFmtId="0" fontId="0" fillId="6" borderId="0" xfId="0" applyFill="1"/>
    <xf numFmtId="0" fontId="0" fillId="7" borderId="1" xfId="0" applyFill="1" applyBorder="1"/>
    <xf numFmtId="0" fontId="0" fillId="12" borderId="1" xfId="0" applyFill="1" applyBorder="1"/>
    <xf numFmtId="0" fontId="15" fillId="6" borderId="1" xfId="1" applyFont="1" applyFill="1" applyBorder="1"/>
    <xf numFmtId="0" fontId="15" fillId="0" borderId="1" xfId="1" applyFont="1" applyBorder="1"/>
    <xf numFmtId="0" fontId="0" fillId="0" borderId="1" xfId="0" applyFont="1" applyFill="1" applyBorder="1"/>
    <xf numFmtId="0" fontId="0" fillId="0" borderId="0" xfId="0" applyFill="1" applyAlignment="1">
      <alignment wrapText="1"/>
    </xf>
    <xf numFmtId="0" fontId="0" fillId="0" borderId="14" xfId="0" applyBorder="1" applyAlignment="1">
      <alignment wrapText="1"/>
    </xf>
    <xf numFmtId="0" fontId="1" fillId="3" borderId="0" xfId="0" applyFont="1" applyFill="1"/>
    <xf numFmtId="0" fontId="1" fillId="0" borderId="7" xfId="0" applyFont="1" applyBorder="1"/>
    <xf numFmtId="0" fontId="0" fillId="0" borderId="11" xfId="0" applyBorder="1"/>
    <xf numFmtId="0" fontId="0" fillId="0" borderId="2" xfId="0" applyBorder="1"/>
    <xf numFmtId="0" fontId="17" fillId="0" borderId="0" xfId="0" applyFont="1" applyAlignment="1">
      <alignment horizontal="left" vertical="top"/>
    </xf>
    <xf numFmtId="0" fontId="17" fillId="13" borderId="0" xfId="0" applyFont="1" applyFill="1" applyAlignment="1">
      <alignment horizontal="left" vertical="top" wrapText="1"/>
    </xf>
    <xf numFmtId="0" fontId="18" fillId="14" borderId="1" xfId="0" applyFont="1" applyFill="1" applyBorder="1" applyAlignment="1">
      <alignment horizontal="left" vertical="top" wrapText="1"/>
    </xf>
    <xf numFmtId="0" fontId="17" fillId="0" borderId="7" xfId="0" applyFont="1" applyBorder="1" applyAlignment="1">
      <alignment horizontal="left" vertical="top" wrapText="1"/>
    </xf>
    <xf numFmtId="0" fontId="18" fillId="15" borderId="16" xfId="0" applyFont="1" applyFill="1" applyBorder="1" applyAlignment="1">
      <alignment horizontal="left" vertical="top" wrapText="1"/>
    </xf>
    <xf numFmtId="0" fontId="18" fillId="15" borderId="1" xfId="0" applyFont="1" applyFill="1" applyBorder="1" applyAlignment="1">
      <alignment horizontal="left" vertical="top" wrapText="1"/>
    </xf>
    <xf numFmtId="0" fontId="21" fillId="15" borderId="1" xfId="0" applyFont="1" applyFill="1" applyBorder="1" applyAlignment="1">
      <alignment horizontal="left" vertical="top" wrapText="1"/>
    </xf>
    <xf numFmtId="0" fontId="17" fillId="0" borderId="15" xfId="0" applyFont="1" applyBorder="1" applyAlignment="1">
      <alignment horizontal="left" vertical="top" wrapText="1"/>
    </xf>
    <xf numFmtId="0" fontId="21" fillId="0" borderId="16" xfId="0" applyFont="1" applyBorder="1" applyAlignment="1">
      <alignment horizontal="left" vertical="top" wrapText="1"/>
    </xf>
    <xf numFmtId="0" fontId="21" fillId="0" borderId="1" xfId="0" applyFont="1" applyBorder="1" applyAlignment="1">
      <alignment horizontal="left" vertical="top" wrapText="1"/>
    </xf>
    <xf numFmtId="0" fontId="17" fillId="0" borderId="1" xfId="0" applyFont="1" applyBorder="1" applyAlignment="1">
      <alignment horizontal="left" vertical="top"/>
    </xf>
    <xf numFmtId="0" fontId="17" fillId="0" borderId="16" xfId="0" applyFont="1" applyBorder="1" applyAlignment="1">
      <alignment horizontal="left" vertical="top" wrapText="1"/>
    </xf>
    <xf numFmtId="0" fontId="17" fillId="0" borderId="1" xfId="0" applyFont="1" applyBorder="1" applyAlignment="1">
      <alignment horizontal="left" vertical="top" wrapText="1"/>
    </xf>
    <xf numFmtId="0" fontId="21" fillId="3" borderId="1" xfId="0" applyFont="1" applyFill="1" applyBorder="1" applyAlignment="1">
      <alignment horizontal="left" vertical="top" wrapText="1"/>
    </xf>
    <xf numFmtId="0" fontId="22" fillId="15" borderId="1" xfId="0" applyFont="1" applyFill="1" applyBorder="1" applyAlignment="1">
      <alignment horizontal="left" vertical="top" wrapText="1"/>
    </xf>
    <xf numFmtId="0" fontId="17" fillId="6" borderId="15" xfId="0" applyFont="1" applyFill="1" applyBorder="1" applyAlignment="1">
      <alignment horizontal="left" vertical="top" wrapText="1"/>
    </xf>
    <xf numFmtId="0" fontId="17" fillId="6" borderId="0" xfId="0" applyFont="1" applyFill="1" applyAlignment="1">
      <alignment horizontal="left" vertical="top"/>
    </xf>
    <xf numFmtId="0" fontId="17" fillId="0" borderId="3" xfId="0" applyFont="1" applyBorder="1" applyAlignment="1">
      <alignment horizontal="left" vertical="top"/>
    </xf>
    <xf numFmtId="0" fontId="21" fillId="0" borderId="15" xfId="0" applyFont="1" applyBorder="1" applyAlignment="1">
      <alignment horizontal="left" vertical="top" wrapText="1"/>
    </xf>
    <xf numFmtId="0" fontId="21" fillId="0" borderId="1" xfId="0" applyFont="1" applyBorder="1" applyAlignment="1">
      <alignment horizontal="left" vertical="top"/>
    </xf>
    <xf numFmtId="0" fontId="21" fillId="0" borderId="0" xfId="0" applyFont="1" applyAlignment="1">
      <alignment horizontal="left" vertical="top"/>
    </xf>
    <xf numFmtId="49" fontId="21" fillId="0" borderId="1" xfId="0" applyNumberFormat="1" applyFont="1" applyBorder="1" applyAlignment="1">
      <alignment horizontal="left" vertical="top" wrapText="1"/>
    </xf>
    <xf numFmtId="0" fontId="17" fillId="13" borderId="15" xfId="0" applyFont="1" applyFill="1" applyBorder="1" applyAlignment="1">
      <alignment horizontal="left" vertical="top" wrapText="1"/>
    </xf>
    <xf numFmtId="49" fontId="21" fillId="0" borderId="16" xfId="0" applyNumberFormat="1" applyFont="1" applyBorder="1" applyAlignment="1">
      <alignment horizontal="left" vertical="top" wrapText="1"/>
    </xf>
    <xf numFmtId="0" fontId="17" fillId="0" borderId="21" xfId="0" applyFont="1" applyBorder="1" applyAlignment="1">
      <alignment horizontal="left" vertical="top" wrapText="1"/>
    </xf>
    <xf numFmtId="0" fontId="22" fillId="15" borderId="1" xfId="0" applyFont="1" applyFill="1" applyBorder="1" applyAlignment="1">
      <alignment horizontal="left" vertical="top"/>
    </xf>
    <xf numFmtId="0" fontId="17" fillId="15" borderId="1" xfId="0" applyFont="1" applyFill="1" applyBorder="1" applyAlignment="1">
      <alignment horizontal="left" vertical="top"/>
    </xf>
    <xf numFmtId="0" fontId="21" fillId="15" borderId="1" xfId="0" applyFont="1" applyFill="1" applyBorder="1" applyAlignment="1">
      <alignment horizontal="left" vertical="top"/>
    </xf>
    <xf numFmtId="0" fontId="17" fillId="15" borderId="1" xfId="0" applyFont="1" applyFill="1" applyBorder="1" applyAlignment="1">
      <alignment horizontal="left" vertical="top" wrapText="1"/>
    </xf>
    <xf numFmtId="0" fontId="17" fillId="0" borderId="6" xfId="0" applyFont="1" applyBorder="1" applyAlignment="1">
      <alignment horizontal="left" vertical="top"/>
    </xf>
    <xf numFmtId="0" fontId="17" fillId="13" borderId="7" xfId="0" applyFont="1" applyFill="1" applyBorder="1" applyAlignment="1">
      <alignment horizontal="left" vertical="top" wrapText="1"/>
    </xf>
    <xf numFmtId="0" fontId="17" fillId="0" borderId="8" xfId="0" applyFont="1" applyBorder="1" applyAlignment="1">
      <alignment horizontal="left" vertical="top"/>
    </xf>
    <xf numFmtId="0" fontId="17" fillId="0" borderId="19"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21" fillId="0" borderId="8" xfId="0" applyFont="1" applyBorder="1" applyAlignment="1">
      <alignment horizontal="left" vertical="top"/>
    </xf>
    <xf numFmtId="0" fontId="21" fillId="0" borderId="0" xfId="0" applyFont="1" applyAlignment="1">
      <alignment horizontal="left" vertical="top" wrapText="1"/>
    </xf>
    <xf numFmtId="0" fontId="21" fillId="0" borderId="3" xfId="0" applyFont="1" applyBorder="1" applyAlignment="1">
      <alignment horizontal="left" vertical="top" wrapText="1"/>
    </xf>
    <xf numFmtId="0" fontId="21" fillId="0" borderId="3" xfId="0" applyFont="1" applyBorder="1" applyAlignment="1">
      <alignment horizontal="left" vertical="top"/>
    </xf>
    <xf numFmtId="0" fontId="21" fillId="0" borderId="1" xfId="0" quotePrefix="1" applyFont="1" applyBorder="1" applyAlignment="1">
      <alignment horizontal="left" vertical="top" wrapText="1"/>
    </xf>
    <xf numFmtId="0" fontId="17" fillId="6" borderId="0" xfId="0" applyFont="1" applyFill="1" applyAlignment="1">
      <alignment horizontal="left" vertical="top" wrapText="1"/>
    </xf>
    <xf numFmtId="0" fontId="25" fillId="0" borderId="3" xfId="0" applyFont="1" applyBorder="1" applyAlignment="1">
      <alignment horizontal="left" vertical="top" wrapText="1"/>
    </xf>
    <xf numFmtId="0" fontId="25" fillId="0" borderId="1" xfId="0" applyFont="1" applyBorder="1" applyAlignment="1">
      <alignment horizontal="left" vertical="top" wrapText="1"/>
    </xf>
    <xf numFmtId="0" fontId="17" fillId="16" borderId="0" xfId="0" applyFont="1" applyFill="1" applyAlignment="1">
      <alignment horizontal="left" vertical="top" wrapText="1"/>
    </xf>
    <xf numFmtId="0" fontId="17" fillId="16" borderId="0" xfId="0" applyFont="1" applyFill="1" applyAlignment="1">
      <alignment horizontal="left" vertical="top"/>
    </xf>
    <xf numFmtId="0" fontId="17"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1" fillId="0" borderId="5" xfId="0" applyFont="1" applyBorder="1" applyAlignment="1">
      <alignment wrapText="1"/>
    </xf>
    <xf numFmtId="0" fontId="0" fillId="5" borderId="1" xfId="0" applyFill="1" applyBorder="1" applyAlignment="1">
      <alignment wrapText="1"/>
    </xf>
    <xf numFmtId="0" fontId="0" fillId="0" borderId="13" xfId="0" applyBorder="1" applyAlignment="1">
      <alignment wrapText="1"/>
    </xf>
    <xf numFmtId="0" fontId="0" fillId="5" borderId="15" xfId="0" applyFill="1" applyBorder="1" applyAlignment="1">
      <alignment wrapText="1"/>
    </xf>
    <xf numFmtId="0" fontId="1" fillId="0" borderId="0" xfId="0" applyFont="1" applyAlignment="1">
      <alignment wrapText="1"/>
    </xf>
    <xf numFmtId="0" fontId="0" fillId="0" borderId="1" xfId="0" quotePrefix="1" applyBorder="1" applyAlignment="1">
      <alignment wrapText="1"/>
    </xf>
    <xf numFmtId="0" fontId="1" fillId="0" borderId="0" xfId="0" applyFont="1"/>
    <xf numFmtId="0" fontId="0" fillId="0" borderId="1" xfId="0" applyFont="1" applyFill="1" applyBorder="1" applyAlignment="1">
      <alignment wrapText="1"/>
    </xf>
    <xf numFmtId="0" fontId="0" fillId="0" borderId="1" xfId="0" quotePrefix="1" applyFill="1" applyBorder="1" applyAlignment="1">
      <alignment wrapText="1"/>
    </xf>
    <xf numFmtId="0" fontId="6" fillId="0" borderId="1" xfId="1" applyFill="1" applyBorder="1"/>
    <xf numFmtId="0" fontId="0" fillId="0" borderId="0" xfId="0" applyFont="1" applyFill="1"/>
    <xf numFmtId="0" fontId="7" fillId="0" borderId="1" xfId="0" applyFont="1" applyFill="1" applyBorder="1"/>
    <xf numFmtId="0" fontId="0" fillId="0" borderId="4" xfId="0" applyFill="1" applyBorder="1"/>
    <xf numFmtId="0" fontId="7" fillId="0" borderId="0" xfId="0" applyFont="1" applyFill="1"/>
    <xf numFmtId="0" fontId="5" fillId="0" borderId="1" xfId="0" applyFont="1" applyFill="1" applyBorder="1" applyAlignment="1">
      <alignment wrapText="1"/>
    </xf>
    <xf numFmtId="0" fontId="13" fillId="0" borderId="1" xfId="0" applyFont="1" applyFill="1" applyBorder="1" applyAlignment="1">
      <alignment horizontal="left" vertical="top" wrapText="1"/>
    </xf>
    <xf numFmtId="0" fontId="11" fillId="0" borderId="1" xfId="0" applyFont="1" applyFill="1" applyBorder="1" applyAlignment="1">
      <alignment horizontal="left" vertical="top" wrapText="1"/>
    </xf>
    <xf numFmtId="0" fontId="12" fillId="0" borderId="0" xfId="0" applyFont="1" applyFill="1" applyAlignment="1">
      <alignment wrapText="1"/>
    </xf>
    <xf numFmtId="0" fontId="12" fillId="0" borderId="0" xfId="0" applyFont="1" applyFill="1"/>
    <xf numFmtId="0" fontId="14" fillId="0" borderId="0" xfId="0" applyFont="1" applyFill="1"/>
    <xf numFmtId="0" fontId="0" fillId="7" borderId="1" xfId="0" applyFont="1" applyFill="1" applyBorder="1" applyAlignment="1">
      <alignment wrapText="1"/>
    </xf>
    <xf numFmtId="0" fontId="0" fillId="7" borderId="1" xfId="0" applyFill="1" applyBorder="1" applyAlignment="1">
      <alignment wrapText="1"/>
    </xf>
    <xf numFmtId="0" fontId="17" fillId="13" borderId="3" xfId="0" applyFont="1" applyFill="1" applyBorder="1" applyAlignment="1">
      <alignment horizontal="center" vertical="center" wrapText="1"/>
    </xf>
    <xf numFmtId="0" fontId="17" fillId="13" borderId="9" xfId="0" applyFont="1" applyFill="1" applyBorder="1" applyAlignment="1">
      <alignment horizontal="center" vertical="center" wrapText="1"/>
    </xf>
    <xf numFmtId="0" fontId="17" fillId="13" borderId="4" xfId="0" applyFont="1" applyFill="1" applyBorder="1" applyAlignment="1">
      <alignment horizontal="center" vertical="center" wrapText="1"/>
    </xf>
    <xf numFmtId="0" fontId="17" fillId="7" borderId="6" xfId="0" applyFont="1" applyFill="1" applyBorder="1" applyAlignment="1">
      <alignment horizontal="center" vertical="center" wrapText="1"/>
    </xf>
    <xf numFmtId="0" fontId="17" fillId="7" borderId="8" xfId="0" applyFont="1" applyFill="1" applyBorder="1" applyAlignment="1">
      <alignment horizontal="center" vertical="center" wrapText="1"/>
    </xf>
    <xf numFmtId="0" fontId="17" fillId="7" borderId="19" xfId="0" applyFont="1" applyFill="1" applyBorder="1" applyAlignment="1">
      <alignment horizontal="center" vertical="center" wrapText="1"/>
    </xf>
    <xf numFmtId="0" fontId="17" fillId="13" borderId="15" xfId="0" applyFont="1" applyFill="1" applyBorder="1" applyAlignment="1">
      <alignment horizontal="center" vertical="center" wrapText="1"/>
    </xf>
    <xf numFmtId="0" fontId="17" fillId="13" borderId="17" xfId="0" applyFont="1" applyFill="1" applyBorder="1" applyAlignment="1">
      <alignment horizontal="center" vertical="center" wrapText="1"/>
    </xf>
    <xf numFmtId="0" fontId="17" fillId="13" borderId="18" xfId="0" applyFont="1" applyFill="1" applyBorder="1" applyAlignment="1">
      <alignment horizontal="center" vertical="center" wrapText="1"/>
    </xf>
    <xf numFmtId="0" fontId="17" fillId="13" borderId="20" xfId="0" applyFont="1" applyFill="1" applyBorder="1" applyAlignment="1">
      <alignment horizontal="center" vertical="center" wrapText="1"/>
    </xf>
    <xf numFmtId="0" fontId="17" fillId="0" borderId="6" xfId="0" applyFont="1" applyBorder="1" applyAlignment="1">
      <alignment horizontal="center" vertical="center" wrapText="1"/>
    </xf>
    <xf numFmtId="0" fontId="17" fillId="0" borderId="8" xfId="0" applyFont="1" applyBorder="1" applyAlignment="1">
      <alignment horizontal="center" vertical="center" wrapText="1"/>
    </xf>
    <xf numFmtId="0" fontId="17" fillId="0" borderId="19" xfId="0" applyFont="1" applyBorder="1" applyAlignment="1">
      <alignment horizontal="center" vertical="center" wrapText="1"/>
    </xf>
    <xf numFmtId="0" fontId="0" fillId="0" borderId="1" xfId="0" applyFill="1"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98425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0</xdr:row>
          <xdr:rowOff>0</xdr:rowOff>
        </xdr:from>
        <xdr:to>
          <xdr:col>11</xdr:col>
          <xdr:colOff>327025</xdr:colOff>
          <xdr:row>1</xdr:row>
          <xdr:rowOff>98425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Forecast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98425</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6384925</xdr:colOff>
          <xdr:row>0</xdr:row>
          <xdr:rowOff>0</xdr:rowOff>
        </xdr:from>
        <xdr:to>
          <xdr:col>6</xdr:col>
          <xdr:colOff>76200</xdr:colOff>
          <xdr:row>1</xdr:row>
          <xdr:rowOff>98425</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434975</xdr:colOff>
          <xdr:row>0</xdr:row>
          <xdr:rowOff>0</xdr:rowOff>
        </xdr:from>
        <xdr:to>
          <xdr:col>3</xdr:col>
          <xdr:colOff>527050</xdr:colOff>
          <xdr:row>1</xdr:row>
          <xdr:rowOff>98425</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98425</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50</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50</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50</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50</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50</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50</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45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50</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50</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50</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50</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50</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50</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38</xdr:row>
      <xdr:rowOff>0</xdr:rowOff>
    </xdr:from>
    <xdr:to>
      <xdr:col>2</xdr:col>
      <xdr:colOff>14605</xdr:colOff>
      <xdr:row>38</xdr:row>
      <xdr:rowOff>396169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38</xdr:row>
      <xdr:rowOff>0</xdr:rowOff>
    </xdr:from>
    <xdr:to>
      <xdr:col>2</xdr:col>
      <xdr:colOff>14605</xdr:colOff>
      <xdr:row>38</xdr:row>
      <xdr:rowOff>396170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38</xdr:row>
      <xdr:rowOff>0</xdr:rowOff>
    </xdr:from>
    <xdr:to>
      <xdr:col>2</xdr:col>
      <xdr:colOff>14605</xdr:colOff>
      <xdr:row>38</xdr:row>
      <xdr:rowOff>396169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38</xdr:row>
      <xdr:rowOff>0</xdr:rowOff>
    </xdr:from>
    <xdr:to>
      <xdr:col>2</xdr:col>
      <xdr:colOff>14605</xdr:colOff>
      <xdr:row>38</xdr:row>
      <xdr:rowOff>396170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38</xdr:row>
      <xdr:rowOff>0</xdr:rowOff>
    </xdr:from>
    <xdr:to>
      <xdr:col>2</xdr:col>
      <xdr:colOff>14605</xdr:colOff>
      <xdr:row>38</xdr:row>
      <xdr:rowOff>396168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38</xdr:row>
      <xdr:rowOff>0</xdr:rowOff>
    </xdr:from>
    <xdr:to>
      <xdr:col>2</xdr:col>
      <xdr:colOff>14605</xdr:colOff>
      <xdr:row>38</xdr:row>
      <xdr:rowOff>396171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38</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38</xdr:row>
      <xdr:rowOff>0</xdr:rowOff>
    </xdr:from>
    <xdr:to>
      <xdr:col>2</xdr:col>
      <xdr:colOff>16510</xdr:colOff>
      <xdr:row>38</xdr:row>
      <xdr:rowOff>396169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38</xdr:row>
      <xdr:rowOff>0</xdr:rowOff>
    </xdr:from>
    <xdr:to>
      <xdr:col>2</xdr:col>
      <xdr:colOff>16510</xdr:colOff>
      <xdr:row>38</xdr:row>
      <xdr:rowOff>396170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38</xdr:row>
      <xdr:rowOff>0</xdr:rowOff>
    </xdr:from>
    <xdr:to>
      <xdr:col>2</xdr:col>
      <xdr:colOff>16510</xdr:colOff>
      <xdr:row>38</xdr:row>
      <xdr:rowOff>396169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38</xdr:row>
      <xdr:rowOff>0</xdr:rowOff>
    </xdr:from>
    <xdr:to>
      <xdr:col>2</xdr:col>
      <xdr:colOff>16510</xdr:colOff>
      <xdr:row>38</xdr:row>
      <xdr:rowOff>396170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38</xdr:row>
      <xdr:rowOff>0</xdr:rowOff>
    </xdr:from>
    <xdr:to>
      <xdr:col>2</xdr:col>
      <xdr:colOff>16510</xdr:colOff>
      <xdr:row>38</xdr:row>
      <xdr:rowOff>396168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38</xdr:row>
      <xdr:rowOff>0</xdr:rowOff>
    </xdr:from>
    <xdr:to>
      <xdr:col>2</xdr:col>
      <xdr:colOff>16510</xdr:colOff>
      <xdr:row>38</xdr:row>
      <xdr:rowOff>396171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38</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38</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xdr:row>
      <xdr:rowOff>0</xdr:rowOff>
    </xdr:from>
    <xdr:ext cx="1397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150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xdr:row>
      <xdr:rowOff>0</xdr:rowOff>
    </xdr:from>
    <xdr:ext cx="1397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150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xdr:row>
      <xdr:rowOff>0</xdr:rowOff>
    </xdr:from>
    <xdr:ext cx="1397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150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xdr:row>
      <xdr:rowOff>0</xdr:rowOff>
    </xdr:from>
    <xdr:ext cx="1397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150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xdr:row>
      <xdr:rowOff>0</xdr:rowOff>
    </xdr:from>
    <xdr:ext cx="1397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150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xdr:row>
      <xdr:rowOff>0</xdr:rowOff>
    </xdr:from>
    <xdr:ext cx="1397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150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8</xdr:row>
      <xdr:rowOff>0</xdr:rowOff>
    </xdr:from>
    <xdr:ext cx="15240" cy="20630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341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8</xdr:row>
      <xdr:rowOff>0</xdr:rowOff>
    </xdr:from>
    <xdr:ext cx="15240" cy="20630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341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8</xdr:row>
      <xdr:rowOff>0</xdr:rowOff>
    </xdr:from>
    <xdr:ext cx="15240" cy="20630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341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8</xdr:row>
      <xdr:rowOff>0</xdr:rowOff>
    </xdr:from>
    <xdr:ext cx="15240" cy="20630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341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8</xdr:row>
      <xdr:rowOff>0</xdr:rowOff>
    </xdr:from>
    <xdr:ext cx="15240" cy="20630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341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8</xdr:row>
      <xdr:rowOff>0</xdr:rowOff>
    </xdr:from>
    <xdr:ext cx="15240" cy="20630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341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4605" cy="396169"/>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8538371"/>
          <a:ext cx="14605"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4605" cy="396170"/>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8538371"/>
          <a:ext cx="14605"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4605" cy="396169"/>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8538371"/>
          <a:ext cx="14605"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4605" cy="396170"/>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8538371"/>
          <a:ext cx="14605"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4605" cy="396168"/>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8538371"/>
          <a:ext cx="14605" cy="39616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4605" cy="396171"/>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8538371"/>
          <a:ext cx="14605" cy="396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4"/>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5"/>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4"/>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5"/>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3"/>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6"/>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6510" cy="39616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8538371"/>
          <a:ext cx="16510"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6510" cy="39617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8538371"/>
          <a:ext cx="16510"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6510" cy="39616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8538371"/>
          <a:ext cx="16510"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6510" cy="39617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8538371"/>
          <a:ext cx="16510"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6510" cy="39616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8538371"/>
          <a:ext cx="16510" cy="39616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6510" cy="39617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8538371"/>
          <a:ext cx="16510" cy="396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8538371"/>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4"/>
    <xdr:pic>
      <xdr:nvPicPr>
        <xdr:cNvPr id="128" name="Picture 6" descr=".">
          <a:extLst>
            <a:ext uri="{FF2B5EF4-FFF2-40B4-BE49-F238E27FC236}">
              <a16:creationId xmlns:a16="http://schemas.microsoft.com/office/drawing/2014/main" id="{00000000-0008-0000-02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5"/>
    <xdr:pic>
      <xdr:nvPicPr>
        <xdr:cNvPr id="129" name="Picture 7" descr=".">
          <a:extLst>
            <a:ext uri="{FF2B5EF4-FFF2-40B4-BE49-F238E27FC236}">
              <a16:creationId xmlns:a16="http://schemas.microsoft.com/office/drawing/2014/main" id="{00000000-0008-0000-02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4"/>
    <xdr:pic>
      <xdr:nvPicPr>
        <xdr:cNvPr id="130" name="Picture 8" descr=".">
          <a:extLst>
            <a:ext uri="{FF2B5EF4-FFF2-40B4-BE49-F238E27FC236}">
              <a16:creationId xmlns:a16="http://schemas.microsoft.com/office/drawing/2014/main" id="{00000000-0008-0000-02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5"/>
    <xdr:pic>
      <xdr:nvPicPr>
        <xdr:cNvPr id="131" name="Picture 9" descr=".">
          <a:extLst>
            <a:ext uri="{FF2B5EF4-FFF2-40B4-BE49-F238E27FC236}">
              <a16:creationId xmlns:a16="http://schemas.microsoft.com/office/drawing/2014/main" id="{00000000-0008-0000-02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3"/>
    <xdr:pic>
      <xdr:nvPicPr>
        <xdr:cNvPr id="132" name="Picture 10" descr=".">
          <a:extLst>
            <a:ext uri="{FF2B5EF4-FFF2-40B4-BE49-F238E27FC236}">
              <a16:creationId xmlns:a16="http://schemas.microsoft.com/office/drawing/2014/main" id="{00000000-0008-0000-02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6"/>
    <xdr:pic>
      <xdr:nvPicPr>
        <xdr:cNvPr id="133" name="Picture 11" descr=".">
          <a:extLst>
            <a:ext uri="{FF2B5EF4-FFF2-40B4-BE49-F238E27FC236}">
              <a16:creationId xmlns:a16="http://schemas.microsoft.com/office/drawing/2014/main" id="{00000000-0008-0000-02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4"/>
    <xdr:pic>
      <xdr:nvPicPr>
        <xdr:cNvPr id="134" name="Picture 6" descr=".">
          <a:extLst>
            <a:ext uri="{FF2B5EF4-FFF2-40B4-BE49-F238E27FC236}">
              <a16:creationId xmlns:a16="http://schemas.microsoft.com/office/drawing/2014/main" id="{00000000-0008-0000-02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5"/>
    <xdr:pic>
      <xdr:nvPicPr>
        <xdr:cNvPr id="135" name="Picture 7" descr=".">
          <a:extLst>
            <a:ext uri="{FF2B5EF4-FFF2-40B4-BE49-F238E27FC236}">
              <a16:creationId xmlns:a16="http://schemas.microsoft.com/office/drawing/2014/main" id="{00000000-0008-0000-02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4"/>
    <xdr:pic>
      <xdr:nvPicPr>
        <xdr:cNvPr id="136" name="Picture 8" descr=".">
          <a:extLst>
            <a:ext uri="{FF2B5EF4-FFF2-40B4-BE49-F238E27FC236}">
              <a16:creationId xmlns:a16="http://schemas.microsoft.com/office/drawing/2014/main" id="{00000000-0008-0000-02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5"/>
    <xdr:pic>
      <xdr:nvPicPr>
        <xdr:cNvPr id="137" name="Picture 9" descr=".">
          <a:extLst>
            <a:ext uri="{FF2B5EF4-FFF2-40B4-BE49-F238E27FC236}">
              <a16:creationId xmlns:a16="http://schemas.microsoft.com/office/drawing/2014/main" id="{00000000-0008-0000-02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3"/>
    <xdr:pic>
      <xdr:nvPicPr>
        <xdr:cNvPr id="138" name="Picture 10" descr=".">
          <a:extLst>
            <a:ext uri="{FF2B5EF4-FFF2-40B4-BE49-F238E27FC236}">
              <a16:creationId xmlns:a16="http://schemas.microsoft.com/office/drawing/2014/main" id="{00000000-0008-0000-02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6"/>
    <xdr:pic>
      <xdr:nvPicPr>
        <xdr:cNvPr id="139" name="Picture 11" descr=".">
          <a:extLst>
            <a:ext uri="{FF2B5EF4-FFF2-40B4-BE49-F238E27FC236}">
              <a16:creationId xmlns:a16="http://schemas.microsoft.com/office/drawing/2014/main" id="{00000000-0008-0000-02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4"/>
    <xdr:pic>
      <xdr:nvPicPr>
        <xdr:cNvPr id="140" name="Picture 6" descr=".">
          <a:extLst>
            <a:ext uri="{FF2B5EF4-FFF2-40B4-BE49-F238E27FC236}">
              <a16:creationId xmlns:a16="http://schemas.microsoft.com/office/drawing/2014/main" id="{00000000-0008-0000-02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5"/>
    <xdr:pic>
      <xdr:nvPicPr>
        <xdr:cNvPr id="141" name="Picture 7" descr=".">
          <a:extLst>
            <a:ext uri="{FF2B5EF4-FFF2-40B4-BE49-F238E27FC236}">
              <a16:creationId xmlns:a16="http://schemas.microsoft.com/office/drawing/2014/main" id="{00000000-0008-0000-02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4"/>
    <xdr:pic>
      <xdr:nvPicPr>
        <xdr:cNvPr id="142" name="Picture 8" descr=".">
          <a:extLst>
            <a:ext uri="{FF2B5EF4-FFF2-40B4-BE49-F238E27FC236}">
              <a16:creationId xmlns:a16="http://schemas.microsoft.com/office/drawing/2014/main" id="{00000000-0008-0000-02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5"/>
    <xdr:pic>
      <xdr:nvPicPr>
        <xdr:cNvPr id="143" name="Picture 9" descr=".">
          <a:extLst>
            <a:ext uri="{FF2B5EF4-FFF2-40B4-BE49-F238E27FC236}">
              <a16:creationId xmlns:a16="http://schemas.microsoft.com/office/drawing/2014/main" id="{00000000-0008-0000-02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3"/>
    <xdr:pic>
      <xdr:nvPicPr>
        <xdr:cNvPr id="144" name="Picture 10" descr=".">
          <a:extLst>
            <a:ext uri="{FF2B5EF4-FFF2-40B4-BE49-F238E27FC236}">
              <a16:creationId xmlns:a16="http://schemas.microsoft.com/office/drawing/2014/main" id="{00000000-0008-0000-02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6"/>
    <xdr:pic>
      <xdr:nvPicPr>
        <xdr:cNvPr id="145" name="Picture 11" descr=".">
          <a:extLst>
            <a:ext uri="{FF2B5EF4-FFF2-40B4-BE49-F238E27FC236}">
              <a16:creationId xmlns:a16="http://schemas.microsoft.com/office/drawing/2014/main" id="{00000000-0008-0000-02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20033673"/>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5875" cy="397439"/>
    <xdr:pic>
      <xdr:nvPicPr>
        <xdr:cNvPr id="146" name="Picture 6" descr=".">
          <a:extLst>
            <a:ext uri="{FF2B5EF4-FFF2-40B4-BE49-F238E27FC236}">
              <a16:creationId xmlns:a16="http://schemas.microsoft.com/office/drawing/2014/main" id="{00000000-0008-0000-02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7706109"/>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5875" cy="397440"/>
    <xdr:pic>
      <xdr:nvPicPr>
        <xdr:cNvPr id="147" name="Picture 7" descr=".">
          <a:extLst>
            <a:ext uri="{FF2B5EF4-FFF2-40B4-BE49-F238E27FC236}">
              <a16:creationId xmlns:a16="http://schemas.microsoft.com/office/drawing/2014/main" id="{00000000-0008-0000-02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7706109"/>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5875" cy="397439"/>
    <xdr:pic>
      <xdr:nvPicPr>
        <xdr:cNvPr id="148" name="Picture 8" descr=".">
          <a:extLst>
            <a:ext uri="{FF2B5EF4-FFF2-40B4-BE49-F238E27FC236}">
              <a16:creationId xmlns:a16="http://schemas.microsoft.com/office/drawing/2014/main" id="{00000000-0008-0000-02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7706109"/>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5875" cy="397440"/>
    <xdr:pic>
      <xdr:nvPicPr>
        <xdr:cNvPr id="149" name="Picture 9" descr=".">
          <a:extLst>
            <a:ext uri="{FF2B5EF4-FFF2-40B4-BE49-F238E27FC236}">
              <a16:creationId xmlns:a16="http://schemas.microsoft.com/office/drawing/2014/main" id="{00000000-0008-0000-02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7706109"/>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5875" cy="397438"/>
    <xdr:pic>
      <xdr:nvPicPr>
        <xdr:cNvPr id="150" name="Picture 10" descr=".">
          <a:extLst>
            <a:ext uri="{FF2B5EF4-FFF2-40B4-BE49-F238E27FC236}">
              <a16:creationId xmlns:a16="http://schemas.microsoft.com/office/drawing/2014/main" id="{00000000-0008-0000-02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7706109"/>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5875" cy="397441"/>
    <xdr:pic>
      <xdr:nvPicPr>
        <xdr:cNvPr id="151" name="Picture 11" descr=".">
          <a:extLst>
            <a:ext uri="{FF2B5EF4-FFF2-40B4-BE49-F238E27FC236}">
              <a16:creationId xmlns:a16="http://schemas.microsoft.com/office/drawing/2014/main" id="{00000000-0008-0000-02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7706109"/>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4"/>
    <xdr:pic>
      <xdr:nvPicPr>
        <xdr:cNvPr id="152" name="Picture 6" descr=".">
          <a:extLst>
            <a:ext uri="{FF2B5EF4-FFF2-40B4-BE49-F238E27FC236}">
              <a16:creationId xmlns:a16="http://schemas.microsoft.com/office/drawing/2014/main" id="{00000000-0008-0000-02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5"/>
    <xdr:pic>
      <xdr:nvPicPr>
        <xdr:cNvPr id="153" name="Picture 7" descr=".">
          <a:extLst>
            <a:ext uri="{FF2B5EF4-FFF2-40B4-BE49-F238E27FC236}">
              <a16:creationId xmlns:a16="http://schemas.microsoft.com/office/drawing/2014/main" id="{00000000-0008-0000-02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4"/>
    <xdr:pic>
      <xdr:nvPicPr>
        <xdr:cNvPr id="154" name="Picture 8" descr=".">
          <a:extLst>
            <a:ext uri="{FF2B5EF4-FFF2-40B4-BE49-F238E27FC236}">
              <a16:creationId xmlns:a16="http://schemas.microsoft.com/office/drawing/2014/main" id="{00000000-0008-0000-02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5"/>
    <xdr:pic>
      <xdr:nvPicPr>
        <xdr:cNvPr id="155" name="Picture 9" descr=".">
          <a:extLst>
            <a:ext uri="{FF2B5EF4-FFF2-40B4-BE49-F238E27FC236}">
              <a16:creationId xmlns:a16="http://schemas.microsoft.com/office/drawing/2014/main" id="{00000000-0008-0000-02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3"/>
    <xdr:pic>
      <xdr:nvPicPr>
        <xdr:cNvPr id="156" name="Picture 10" descr=".">
          <a:extLst>
            <a:ext uri="{FF2B5EF4-FFF2-40B4-BE49-F238E27FC236}">
              <a16:creationId xmlns:a16="http://schemas.microsoft.com/office/drawing/2014/main" id="{00000000-0008-0000-02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6"/>
    <xdr:pic>
      <xdr:nvPicPr>
        <xdr:cNvPr id="157" name="Picture 11" descr=".">
          <a:extLst>
            <a:ext uri="{FF2B5EF4-FFF2-40B4-BE49-F238E27FC236}">
              <a16:creationId xmlns:a16="http://schemas.microsoft.com/office/drawing/2014/main" id="{00000000-0008-0000-02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6510" cy="394899"/>
    <xdr:pic>
      <xdr:nvPicPr>
        <xdr:cNvPr id="158" name="Picture 6" descr=".">
          <a:extLst>
            <a:ext uri="{FF2B5EF4-FFF2-40B4-BE49-F238E27FC236}">
              <a16:creationId xmlns:a16="http://schemas.microsoft.com/office/drawing/2014/main" id="{00000000-0008-0000-02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6510" cy="394900"/>
    <xdr:pic>
      <xdr:nvPicPr>
        <xdr:cNvPr id="159" name="Picture 7" descr=".">
          <a:extLst>
            <a:ext uri="{FF2B5EF4-FFF2-40B4-BE49-F238E27FC236}">
              <a16:creationId xmlns:a16="http://schemas.microsoft.com/office/drawing/2014/main" id="{00000000-0008-0000-02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6510" cy="394899"/>
    <xdr:pic>
      <xdr:nvPicPr>
        <xdr:cNvPr id="160" name="Picture 8" descr=".">
          <a:extLst>
            <a:ext uri="{FF2B5EF4-FFF2-40B4-BE49-F238E27FC236}">
              <a16:creationId xmlns:a16="http://schemas.microsoft.com/office/drawing/2014/main" id="{00000000-0008-0000-02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6510" cy="394900"/>
    <xdr:pic>
      <xdr:nvPicPr>
        <xdr:cNvPr id="161" name="Picture 9" descr=".">
          <a:extLst>
            <a:ext uri="{FF2B5EF4-FFF2-40B4-BE49-F238E27FC236}">
              <a16:creationId xmlns:a16="http://schemas.microsoft.com/office/drawing/2014/main" id="{00000000-0008-0000-02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6510" cy="394898"/>
    <xdr:pic>
      <xdr:nvPicPr>
        <xdr:cNvPr id="162" name="Picture 10" descr=".">
          <a:extLst>
            <a:ext uri="{FF2B5EF4-FFF2-40B4-BE49-F238E27FC236}">
              <a16:creationId xmlns:a16="http://schemas.microsoft.com/office/drawing/2014/main" id="{00000000-0008-0000-02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6510" cy="394901"/>
    <xdr:pic>
      <xdr:nvPicPr>
        <xdr:cNvPr id="163" name="Picture 11" descr=".">
          <a:extLst>
            <a:ext uri="{FF2B5EF4-FFF2-40B4-BE49-F238E27FC236}">
              <a16:creationId xmlns:a16="http://schemas.microsoft.com/office/drawing/2014/main" id="{00000000-0008-0000-02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4605" cy="397439"/>
    <xdr:pic>
      <xdr:nvPicPr>
        <xdr:cNvPr id="164" name="Picture 6" descr=".">
          <a:extLst>
            <a:ext uri="{FF2B5EF4-FFF2-40B4-BE49-F238E27FC236}">
              <a16:creationId xmlns:a16="http://schemas.microsoft.com/office/drawing/2014/main" id="{00000000-0008-0000-02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7706109"/>
          <a:ext cx="1460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4605" cy="397440"/>
    <xdr:pic>
      <xdr:nvPicPr>
        <xdr:cNvPr id="165" name="Picture 7" descr=".">
          <a:extLst>
            <a:ext uri="{FF2B5EF4-FFF2-40B4-BE49-F238E27FC236}">
              <a16:creationId xmlns:a16="http://schemas.microsoft.com/office/drawing/2014/main" id="{00000000-0008-0000-02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7706109"/>
          <a:ext cx="1460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4605" cy="397439"/>
    <xdr:pic>
      <xdr:nvPicPr>
        <xdr:cNvPr id="166" name="Picture 8" descr=".">
          <a:extLst>
            <a:ext uri="{FF2B5EF4-FFF2-40B4-BE49-F238E27FC236}">
              <a16:creationId xmlns:a16="http://schemas.microsoft.com/office/drawing/2014/main" id="{00000000-0008-0000-02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7706109"/>
          <a:ext cx="1460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4605" cy="397440"/>
    <xdr:pic>
      <xdr:nvPicPr>
        <xdr:cNvPr id="167" name="Picture 9" descr=".">
          <a:extLst>
            <a:ext uri="{FF2B5EF4-FFF2-40B4-BE49-F238E27FC236}">
              <a16:creationId xmlns:a16="http://schemas.microsoft.com/office/drawing/2014/main" id="{00000000-0008-0000-02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7706109"/>
          <a:ext cx="1460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4605" cy="397438"/>
    <xdr:pic>
      <xdr:nvPicPr>
        <xdr:cNvPr id="168" name="Picture 10" descr=".">
          <a:extLst>
            <a:ext uri="{FF2B5EF4-FFF2-40B4-BE49-F238E27FC236}">
              <a16:creationId xmlns:a16="http://schemas.microsoft.com/office/drawing/2014/main" id="{00000000-0008-0000-02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7706109"/>
          <a:ext cx="1460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37</xdr:row>
      <xdr:rowOff>0</xdr:rowOff>
    </xdr:from>
    <xdr:ext cx="14605" cy="397441"/>
    <xdr:pic>
      <xdr:nvPicPr>
        <xdr:cNvPr id="169" name="Picture 11" descr=".">
          <a:extLst>
            <a:ext uri="{FF2B5EF4-FFF2-40B4-BE49-F238E27FC236}">
              <a16:creationId xmlns:a16="http://schemas.microsoft.com/office/drawing/2014/main" id="{00000000-0008-0000-02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7706109"/>
          <a:ext cx="1460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4"/>
    <xdr:pic>
      <xdr:nvPicPr>
        <xdr:cNvPr id="170" name="Picture 6" descr=".">
          <a:extLst>
            <a:ext uri="{FF2B5EF4-FFF2-40B4-BE49-F238E27FC236}">
              <a16:creationId xmlns:a16="http://schemas.microsoft.com/office/drawing/2014/main" id="{00000000-0008-0000-02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5"/>
    <xdr:pic>
      <xdr:nvPicPr>
        <xdr:cNvPr id="171" name="Picture 7" descr=".">
          <a:extLst>
            <a:ext uri="{FF2B5EF4-FFF2-40B4-BE49-F238E27FC236}">
              <a16:creationId xmlns:a16="http://schemas.microsoft.com/office/drawing/2014/main" id="{00000000-0008-0000-02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4"/>
    <xdr:pic>
      <xdr:nvPicPr>
        <xdr:cNvPr id="172" name="Picture 8" descr=".">
          <a:extLst>
            <a:ext uri="{FF2B5EF4-FFF2-40B4-BE49-F238E27FC236}">
              <a16:creationId xmlns:a16="http://schemas.microsoft.com/office/drawing/2014/main" id="{00000000-0008-0000-02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5"/>
    <xdr:pic>
      <xdr:nvPicPr>
        <xdr:cNvPr id="173" name="Picture 9" descr=".">
          <a:extLst>
            <a:ext uri="{FF2B5EF4-FFF2-40B4-BE49-F238E27FC236}">
              <a16:creationId xmlns:a16="http://schemas.microsoft.com/office/drawing/2014/main" id="{00000000-0008-0000-02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3"/>
    <xdr:pic>
      <xdr:nvPicPr>
        <xdr:cNvPr id="174" name="Picture 10" descr=".">
          <a:extLst>
            <a:ext uri="{FF2B5EF4-FFF2-40B4-BE49-F238E27FC236}">
              <a16:creationId xmlns:a16="http://schemas.microsoft.com/office/drawing/2014/main" id="{00000000-0008-0000-02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37</xdr:row>
      <xdr:rowOff>0</xdr:rowOff>
    </xdr:from>
    <xdr:ext cx="15875" cy="395536"/>
    <xdr:pic>
      <xdr:nvPicPr>
        <xdr:cNvPr id="175" name="Picture 11" descr=".">
          <a:extLst>
            <a:ext uri="{FF2B5EF4-FFF2-40B4-BE49-F238E27FC236}">
              <a16:creationId xmlns:a16="http://schemas.microsoft.com/office/drawing/2014/main" id="{00000000-0008-0000-02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7706109"/>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30</xdr:row>
      <xdr:rowOff>0</xdr:rowOff>
    </xdr:from>
    <xdr:ext cx="14605" cy="396169"/>
    <xdr:pic>
      <xdr:nvPicPr>
        <xdr:cNvPr id="176" name="Picture 6" descr=".">
          <a:extLst>
            <a:ext uri="{FF2B5EF4-FFF2-40B4-BE49-F238E27FC236}">
              <a16:creationId xmlns:a16="http://schemas.microsoft.com/office/drawing/2014/main" id="{00000000-0008-0000-02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1817927"/>
          <a:ext cx="14605"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30</xdr:row>
      <xdr:rowOff>0</xdr:rowOff>
    </xdr:from>
    <xdr:ext cx="14605" cy="396170"/>
    <xdr:pic>
      <xdr:nvPicPr>
        <xdr:cNvPr id="177" name="Picture 7" descr=".">
          <a:extLst>
            <a:ext uri="{FF2B5EF4-FFF2-40B4-BE49-F238E27FC236}">
              <a16:creationId xmlns:a16="http://schemas.microsoft.com/office/drawing/2014/main" id="{00000000-0008-0000-02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1817927"/>
          <a:ext cx="14605"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30</xdr:row>
      <xdr:rowOff>0</xdr:rowOff>
    </xdr:from>
    <xdr:ext cx="14605" cy="396169"/>
    <xdr:pic>
      <xdr:nvPicPr>
        <xdr:cNvPr id="178" name="Picture 8" descr=".">
          <a:extLst>
            <a:ext uri="{FF2B5EF4-FFF2-40B4-BE49-F238E27FC236}">
              <a16:creationId xmlns:a16="http://schemas.microsoft.com/office/drawing/2014/main" id="{00000000-0008-0000-02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1817927"/>
          <a:ext cx="14605"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30</xdr:row>
      <xdr:rowOff>0</xdr:rowOff>
    </xdr:from>
    <xdr:ext cx="14605" cy="396170"/>
    <xdr:pic>
      <xdr:nvPicPr>
        <xdr:cNvPr id="179" name="Picture 9" descr=".">
          <a:extLst>
            <a:ext uri="{FF2B5EF4-FFF2-40B4-BE49-F238E27FC236}">
              <a16:creationId xmlns:a16="http://schemas.microsoft.com/office/drawing/2014/main" id="{00000000-0008-0000-02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1817927"/>
          <a:ext cx="14605"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30</xdr:row>
      <xdr:rowOff>0</xdr:rowOff>
    </xdr:from>
    <xdr:ext cx="14605" cy="396168"/>
    <xdr:pic>
      <xdr:nvPicPr>
        <xdr:cNvPr id="180" name="Picture 10" descr=".">
          <a:extLst>
            <a:ext uri="{FF2B5EF4-FFF2-40B4-BE49-F238E27FC236}">
              <a16:creationId xmlns:a16="http://schemas.microsoft.com/office/drawing/2014/main" id="{00000000-0008-0000-02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1817927"/>
          <a:ext cx="14605" cy="39616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30</xdr:row>
      <xdr:rowOff>0</xdr:rowOff>
    </xdr:from>
    <xdr:ext cx="14605" cy="396171"/>
    <xdr:pic>
      <xdr:nvPicPr>
        <xdr:cNvPr id="181" name="Picture 11" descr=".">
          <a:extLst>
            <a:ext uri="{FF2B5EF4-FFF2-40B4-BE49-F238E27FC236}">
              <a16:creationId xmlns:a16="http://schemas.microsoft.com/office/drawing/2014/main" id="{00000000-0008-0000-02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1817927"/>
          <a:ext cx="14605" cy="396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182" name="Picture 6" descr=".">
          <a:extLst>
            <a:ext uri="{FF2B5EF4-FFF2-40B4-BE49-F238E27FC236}">
              <a16:creationId xmlns:a16="http://schemas.microsoft.com/office/drawing/2014/main" id="{00000000-0008-0000-02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183" name="Picture 7" descr=".">
          <a:extLst>
            <a:ext uri="{FF2B5EF4-FFF2-40B4-BE49-F238E27FC236}">
              <a16:creationId xmlns:a16="http://schemas.microsoft.com/office/drawing/2014/main" id="{00000000-0008-0000-02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184" name="Picture 8" descr=".">
          <a:extLst>
            <a:ext uri="{FF2B5EF4-FFF2-40B4-BE49-F238E27FC236}">
              <a16:creationId xmlns:a16="http://schemas.microsoft.com/office/drawing/2014/main" id="{00000000-0008-0000-02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185" name="Picture 9" descr=".">
          <a:extLst>
            <a:ext uri="{FF2B5EF4-FFF2-40B4-BE49-F238E27FC236}">
              <a16:creationId xmlns:a16="http://schemas.microsoft.com/office/drawing/2014/main" id="{00000000-0008-0000-02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186" name="Picture 10" descr=".">
          <a:extLst>
            <a:ext uri="{FF2B5EF4-FFF2-40B4-BE49-F238E27FC236}">
              <a16:creationId xmlns:a16="http://schemas.microsoft.com/office/drawing/2014/main" id="{00000000-0008-0000-02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187" name="Picture 11" descr=".">
          <a:extLst>
            <a:ext uri="{FF2B5EF4-FFF2-40B4-BE49-F238E27FC236}">
              <a16:creationId xmlns:a16="http://schemas.microsoft.com/office/drawing/2014/main" id="{00000000-0008-0000-02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6510" cy="394899"/>
    <xdr:pic>
      <xdr:nvPicPr>
        <xdr:cNvPr id="188" name="Picture 6" descr=".">
          <a:extLst>
            <a:ext uri="{FF2B5EF4-FFF2-40B4-BE49-F238E27FC236}">
              <a16:creationId xmlns:a16="http://schemas.microsoft.com/office/drawing/2014/main" id="{00000000-0008-0000-02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6510" cy="394900"/>
    <xdr:pic>
      <xdr:nvPicPr>
        <xdr:cNvPr id="189" name="Picture 7" descr=".">
          <a:extLst>
            <a:ext uri="{FF2B5EF4-FFF2-40B4-BE49-F238E27FC236}">
              <a16:creationId xmlns:a16="http://schemas.microsoft.com/office/drawing/2014/main" id="{00000000-0008-0000-02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6510" cy="394899"/>
    <xdr:pic>
      <xdr:nvPicPr>
        <xdr:cNvPr id="190" name="Picture 8" descr=".">
          <a:extLst>
            <a:ext uri="{FF2B5EF4-FFF2-40B4-BE49-F238E27FC236}">
              <a16:creationId xmlns:a16="http://schemas.microsoft.com/office/drawing/2014/main" id="{00000000-0008-0000-02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6510" cy="394900"/>
    <xdr:pic>
      <xdr:nvPicPr>
        <xdr:cNvPr id="191" name="Picture 9" descr=".">
          <a:extLst>
            <a:ext uri="{FF2B5EF4-FFF2-40B4-BE49-F238E27FC236}">
              <a16:creationId xmlns:a16="http://schemas.microsoft.com/office/drawing/2014/main" id="{00000000-0008-0000-02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6510" cy="394898"/>
    <xdr:pic>
      <xdr:nvPicPr>
        <xdr:cNvPr id="192" name="Picture 10" descr=".">
          <a:extLst>
            <a:ext uri="{FF2B5EF4-FFF2-40B4-BE49-F238E27FC236}">
              <a16:creationId xmlns:a16="http://schemas.microsoft.com/office/drawing/2014/main" id="{00000000-0008-0000-02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6510" cy="394901"/>
    <xdr:pic>
      <xdr:nvPicPr>
        <xdr:cNvPr id="193" name="Picture 11" descr=".">
          <a:extLst>
            <a:ext uri="{FF2B5EF4-FFF2-40B4-BE49-F238E27FC236}">
              <a16:creationId xmlns:a16="http://schemas.microsoft.com/office/drawing/2014/main" id="{00000000-0008-0000-02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30</xdr:row>
      <xdr:rowOff>0</xdr:rowOff>
    </xdr:from>
    <xdr:ext cx="16510" cy="396169"/>
    <xdr:pic>
      <xdr:nvPicPr>
        <xdr:cNvPr id="194" name="Picture 6" descr=".">
          <a:extLst>
            <a:ext uri="{FF2B5EF4-FFF2-40B4-BE49-F238E27FC236}">
              <a16:creationId xmlns:a16="http://schemas.microsoft.com/office/drawing/2014/main" id="{00000000-0008-0000-02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1817927"/>
          <a:ext cx="16510"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30</xdr:row>
      <xdr:rowOff>0</xdr:rowOff>
    </xdr:from>
    <xdr:ext cx="16510" cy="396170"/>
    <xdr:pic>
      <xdr:nvPicPr>
        <xdr:cNvPr id="195" name="Picture 7" descr=".">
          <a:extLst>
            <a:ext uri="{FF2B5EF4-FFF2-40B4-BE49-F238E27FC236}">
              <a16:creationId xmlns:a16="http://schemas.microsoft.com/office/drawing/2014/main" id="{00000000-0008-0000-02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1817927"/>
          <a:ext cx="16510"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30</xdr:row>
      <xdr:rowOff>0</xdr:rowOff>
    </xdr:from>
    <xdr:ext cx="16510" cy="396169"/>
    <xdr:pic>
      <xdr:nvPicPr>
        <xdr:cNvPr id="196" name="Picture 8" descr=".">
          <a:extLst>
            <a:ext uri="{FF2B5EF4-FFF2-40B4-BE49-F238E27FC236}">
              <a16:creationId xmlns:a16="http://schemas.microsoft.com/office/drawing/2014/main" id="{00000000-0008-0000-02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1817927"/>
          <a:ext cx="16510"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30</xdr:row>
      <xdr:rowOff>0</xdr:rowOff>
    </xdr:from>
    <xdr:ext cx="16510" cy="396170"/>
    <xdr:pic>
      <xdr:nvPicPr>
        <xdr:cNvPr id="197" name="Picture 9" descr=".">
          <a:extLst>
            <a:ext uri="{FF2B5EF4-FFF2-40B4-BE49-F238E27FC236}">
              <a16:creationId xmlns:a16="http://schemas.microsoft.com/office/drawing/2014/main" id="{00000000-0008-0000-02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1817927"/>
          <a:ext cx="16510"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30</xdr:row>
      <xdr:rowOff>0</xdr:rowOff>
    </xdr:from>
    <xdr:ext cx="16510" cy="396168"/>
    <xdr:pic>
      <xdr:nvPicPr>
        <xdr:cNvPr id="198" name="Picture 10" descr=".">
          <a:extLst>
            <a:ext uri="{FF2B5EF4-FFF2-40B4-BE49-F238E27FC236}">
              <a16:creationId xmlns:a16="http://schemas.microsoft.com/office/drawing/2014/main" id="{00000000-0008-0000-02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1817927"/>
          <a:ext cx="16510" cy="39616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30</xdr:row>
      <xdr:rowOff>0</xdr:rowOff>
    </xdr:from>
    <xdr:ext cx="16510" cy="396171"/>
    <xdr:pic>
      <xdr:nvPicPr>
        <xdr:cNvPr id="199" name="Picture 11" descr=".">
          <a:extLst>
            <a:ext uri="{FF2B5EF4-FFF2-40B4-BE49-F238E27FC236}">
              <a16:creationId xmlns:a16="http://schemas.microsoft.com/office/drawing/2014/main" id="{00000000-0008-0000-02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9491" y="11817927"/>
          <a:ext cx="16510" cy="396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200" name="Picture 6" descr=".">
          <a:extLst>
            <a:ext uri="{FF2B5EF4-FFF2-40B4-BE49-F238E27FC236}">
              <a16:creationId xmlns:a16="http://schemas.microsoft.com/office/drawing/2014/main" id="{00000000-0008-0000-02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201" name="Picture 7" descr=".">
          <a:extLst>
            <a:ext uri="{FF2B5EF4-FFF2-40B4-BE49-F238E27FC236}">
              <a16:creationId xmlns:a16="http://schemas.microsoft.com/office/drawing/2014/main" id="{00000000-0008-0000-02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202" name="Picture 8" descr=".">
          <a:extLst>
            <a:ext uri="{FF2B5EF4-FFF2-40B4-BE49-F238E27FC236}">
              <a16:creationId xmlns:a16="http://schemas.microsoft.com/office/drawing/2014/main" id="{00000000-0008-0000-02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203" name="Picture 9" descr=".">
          <a:extLst>
            <a:ext uri="{FF2B5EF4-FFF2-40B4-BE49-F238E27FC236}">
              <a16:creationId xmlns:a16="http://schemas.microsoft.com/office/drawing/2014/main" id="{00000000-0008-0000-02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204" name="Picture 10" descr=".">
          <a:extLst>
            <a:ext uri="{FF2B5EF4-FFF2-40B4-BE49-F238E27FC236}">
              <a16:creationId xmlns:a16="http://schemas.microsoft.com/office/drawing/2014/main" id="{00000000-0008-0000-02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205" name="Picture 11" descr=".">
          <a:extLst>
            <a:ext uri="{FF2B5EF4-FFF2-40B4-BE49-F238E27FC236}">
              <a16:creationId xmlns:a16="http://schemas.microsoft.com/office/drawing/2014/main" id="{00000000-0008-0000-02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6764" y="11817927"/>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4605" cy="396169"/>
    <xdr:pic>
      <xdr:nvPicPr>
        <xdr:cNvPr id="206" name="Picture 6" descr=".">
          <a:extLst>
            <a:ext uri="{FF2B5EF4-FFF2-40B4-BE49-F238E27FC236}">
              <a16:creationId xmlns:a16="http://schemas.microsoft.com/office/drawing/2014/main" id="{00000000-0008-0000-02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2050486"/>
          <a:ext cx="14605"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4605" cy="396170"/>
    <xdr:pic>
      <xdr:nvPicPr>
        <xdr:cNvPr id="207" name="Picture 7" descr=".">
          <a:extLst>
            <a:ext uri="{FF2B5EF4-FFF2-40B4-BE49-F238E27FC236}">
              <a16:creationId xmlns:a16="http://schemas.microsoft.com/office/drawing/2014/main" id="{00000000-0008-0000-02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2050486"/>
          <a:ext cx="14605"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4605" cy="396169"/>
    <xdr:pic>
      <xdr:nvPicPr>
        <xdr:cNvPr id="208" name="Picture 8" descr=".">
          <a:extLst>
            <a:ext uri="{FF2B5EF4-FFF2-40B4-BE49-F238E27FC236}">
              <a16:creationId xmlns:a16="http://schemas.microsoft.com/office/drawing/2014/main" id="{00000000-0008-0000-02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2050486"/>
          <a:ext cx="14605"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4605" cy="396170"/>
    <xdr:pic>
      <xdr:nvPicPr>
        <xdr:cNvPr id="209" name="Picture 9" descr=".">
          <a:extLst>
            <a:ext uri="{FF2B5EF4-FFF2-40B4-BE49-F238E27FC236}">
              <a16:creationId xmlns:a16="http://schemas.microsoft.com/office/drawing/2014/main" id="{00000000-0008-0000-02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2050486"/>
          <a:ext cx="14605"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4605" cy="396168"/>
    <xdr:pic>
      <xdr:nvPicPr>
        <xdr:cNvPr id="210" name="Picture 10" descr=".">
          <a:extLst>
            <a:ext uri="{FF2B5EF4-FFF2-40B4-BE49-F238E27FC236}">
              <a16:creationId xmlns:a16="http://schemas.microsoft.com/office/drawing/2014/main" id="{00000000-0008-0000-02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2050486"/>
          <a:ext cx="14605" cy="39616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4605" cy="396171"/>
    <xdr:pic>
      <xdr:nvPicPr>
        <xdr:cNvPr id="211" name="Picture 11" descr=".">
          <a:extLst>
            <a:ext uri="{FF2B5EF4-FFF2-40B4-BE49-F238E27FC236}">
              <a16:creationId xmlns:a16="http://schemas.microsoft.com/office/drawing/2014/main" id="{00000000-0008-0000-02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2050486"/>
          <a:ext cx="14605" cy="396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212" name="Picture 6" descr=".">
          <a:extLst>
            <a:ext uri="{FF2B5EF4-FFF2-40B4-BE49-F238E27FC236}">
              <a16:creationId xmlns:a16="http://schemas.microsoft.com/office/drawing/2014/main" id="{00000000-0008-0000-02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213" name="Picture 7" descr=".">
          <a:extLst>
            <a:ext uri="{FF2B5EF4-FFF2-40B4-BE49-F238E27FC236}">
              <a16:creationId xmlns:a16="http://schemas.microsoft.com/office/drawing/2014/main" id="{00000000-0008-0000-02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214" name="Picture 8" descr=".">
          <a:extLst>
            <a:ext uri="{FF2B5EF4-FFF2-40B4-BE49-F238E27FC236}">
              <a16:creationId xmlns:a16="http://schemas.microsoft.com/office/drawing/2014/main" id="{00000000-0008-0000-02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215" name="Picture 9" descr=".">
          <a:extLst>
            <a:ext uri="{FF2B5EF4-FFF2-40B4-BE49-F238E27FC236}">
              <a16:creationId xmlns:a16="http://schemas.microsoft.com/office/drawing/2014/main" id="{00000000-0008-0000-02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3"/>
    <xdr:pic>
      <xdr:nvPicPr>
        <xdr:cNvPr id="216" name="Picture 10" descr=".">
          <a:extLst>
            <a:ext uri="{FF2B5EF4-FFF2-40B4-BE49-F238E27FC236}">
              <a16:creationId xmlns:a16="http://schemas.microsoft.com/office/drawing/2014/main" id="{00000000-0008-0000-02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6"/>
    <xdr:pic>
      <xdr:nvPicPr>
        <xdr:cNvPr id="217" name="Picture 11" descr=".">
          <a:extLst>
            <a:ext uri="{FF2B5EF4-FFF2-40B4-BE49-F238E27FC236}">
              <a16:creationId xmlns:a16="http://schemas.microsoft.com/office/drawing/2014/main" id="{00000000-0008-0000-02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6510" cy="394899"/>
    <xdr:pic>
      <xdr:nvPicPr>
        <xdr:cNvPr id="218" name="Picture 6" descr=".">
          <a:extLst>
            <a:ext uri="{FF2B5EF4-FFF2-40B4-BE49-F238E27FC236}">
              <a16:creationId xmlns:a16="http://schemas.microsoft.com/office/drawing/2014/main" id="{00000000-0008-0000-02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6510" cy="394900"/>
    <xdr:pic>
      <xdr:nvPicPr>
        <xdr:cNvPr id="219" name="Picture 7" descr=".">
          <a:extLst>
            <a:ext uri="{FF2B5EF4-FFF2-40B4-BE49-F238E27FC236}">
              <a16:creationId xmlns:a16="http://schemas.microsoft.com/office/drawing/2014/main" id="{00000000-0008-0000-02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6510" cy="394899"/>
    <xdr:pic>
      <xdr:nvPicPr>
        <xdr:cNvPr id="220" name="Picture 8" descr=".">
          <a:extLst>
            <a:ext uri="{FF2B5EF4-FFF2-40B4-BE49-F238E27FC236}">
              <a16:creationId xmlns:a16="http://schemas.microsoft.com/office/drawing/2014/main" id="{00000000-0008-0000-02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6510" cy="394900"/>
    <xdr:pic>
      <xdr:nvPicPr>
        <xdr:cNvPr id="221" name="Picture 9" descr=".">
          <a:extLst>
            <a:ext uri="{FF2B5EF4-FFF2-40B4-BE49-F238E27FC236}">
              <a16:creationId xmlns:a16="http://schemas.microsoft.com/office/drawing/2014/main" id="{00000000-0008-0000-02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6510" cy="394898"/>
    <xdr:pic>
      <xdr:nvPicPr>
        <xdr:cNvPr id="222" name="Picture 10" descr=".">
          <a:extLst>
            <a:ext uri="{FF2B5EF4-FFF2-40B4-BE49-F238E27FC236}">
              <a16:creationId xmlns:a16="http://schemas.microsoft.com/office/drawing/2014/main" id="{00000000-0008-0000-02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6510" cy="394901"/>
    <xdr:pic>
      <xdr:nvPicPr>
        <xdr:cNvPr id="223" name="Picture 11" descr=".">
          <a:extLst>
            <a:ext uri="{FF2B5EF4-FFF2-40B4-BE49-F238E27FC236}">
              <a16:creationId xmlns:a16="http://schemas.microsoft.com/office/drawing/2014/main" id="{00000000-0008-0000-02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6510" cy="396169"/>
    <xdr:pic>
      <xdr:nvPicPr>
        <xdr:cNvPr id="224" name="Picture 6" descr=".">
          <a:extLst>
            <a:ext uri="{FF2B5EF4-FFF2-40B4-BE49-F238E27FC236}">
              <a16:creationId xmlns:a16="http://schemas.microsoft.com/office/drawing/2014/main" id="{00000000-0008-0000-02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2050486"/>
          <a:ext cx="16510"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6510" cy="396170"/>
    <xdr:pic>
      <xdr:nvPicPr>
        <xdr:cNvPr id="225" name="Picture 7" descr=".">
          <a:extLst>
            <a:ext uri="{FF2B5EF4-FFF2-40B4-BE49-F238E27FC236}">
              <a16:creationId xmlns:a16="http://schemas.microsoft.com/office/drawing/2014/main" id="{00000000-0008-0000-02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2050486"/>
          <a:ext cx="16510"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6510" cy="396169"/>
    <xdr:pic>
      <xdr:nvPicPr>
        <xdr:cNvPr id="226" name="Picture 8" descr=".">
          <a:extLst>
            <a:ext uri="{FF2B5EF4-FFF2-40B4-BE49-F238E27FC236}">
              <a16:creationId xmlns:a16="http://schemas.microsoft.com/office/drawing/2014/main" id="{00000000-0008-0000-02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2050486"/>
          <a:ext cx="16510"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6510" cy="396170"/>
    <xdr:pic>
      <xdr:nvPicPr>
        <xdr:cNvPr id="227" name="Picture 9" descr=".">
          <a:extLst>
            <a:ext uri="{FF2B5EF4-FFF2-40B4-BE49-F238E27FC236}">
              <a16:creationId xmlns:a16="http://schemas.microsoft.com/office/drawing/2014/main" id="{00000000-0008-0000-02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2050486"/>
          <a:ext cx="16510"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6510" cy="396168"/>
    <xdr:pic>
      <xdr:nvPicPr>
        <xdr:cNvPr id="228" name="Picture 10" descr=".">
          <a:extLst>
            <a:ext uri="{FF2B5EF4-FFF2-40B4-BE49-F238E27FC236}">
              <a16:creationId xmlns:a16="http://schemas.microsoft.com/office/drawing/2014/main" id="{00000000-0008-0000-02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2050486"/>
          <a:ext cx="16510" cy="39616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6510" cy="396171"/>
    <xdr:pic>
      <xdr:nvPicPr>
        <xdr:cNvPr id="229" name="Picture 11" descr=".">
          <a:extLst>
            <a:ext uri="{FF2B5EF4-FFF2-40B4-BE49-F238E27FC236}">
              <a16:creationId xmlns:a16="http://schemas.microsoft.com/office/drawing/2014/main" id="{00000000-0008-0000-02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2050486"/>
          <a:ext cx="16510" cy="396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230" name="Picture 6" descr=".">
          <a:extLst>
            <a:ext uri="{FF2B5EF4-FFF2-40B4-BE49-F238E27FC236}">
              <a16:creationId xmlns:a16="http://schemas.microsoft.com/office/drawing/2014/main" id="{00000000-0008-0000-02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231" name="Picture 7" descr=".">
          <a:extLst>
            <a:ext uri="{FF2B5EF4-FFF2-40B4-BE49-F238E27FC236}">
              <a16:creationId xmlns:a16="http://schemas.microsoft.com/office/drawing/2014/main" id="{00000000-0008-0000-02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232" name="Picture 8" descr=".">
          <a:extLst>
            <a:ext uri="{FF2B5EF4-FFF2-40B4-BE49-F238E27FC236}">
              <a16:creationId xmlns:a16="http://schemas.microsoft.com/office/drawing/2014/main" id="{00000000-0008-0000-02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233" name="Picture 9" descr=".">
          <a:extLst>
            <a:ext uri="{FF2B5EF4-FFF2-40B4-BE49-F238E27FC236}">
              <a16:creationId xmlns:a16="http://schemas.microsoft.com/office/drawing/2014/main" id="{00000000-0008-0000-02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3"/>
    <xdr:pic>
      <xdr:nvPicPr>
        <xdr:cNvPr id="234" name="Picture 10" descr=".">
          <a:extLst>
            <a:ext uri="{FF2B5EF4-FFF2-40B4-BE49-F238E27FC236}">
              <a16:creationId xmlns:a16="http://schemas.microsoft.com/office/drawing/2014/main" id="{00000000-0008-0000-02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6"/>
    <xdr:pic>
      <xdr:nvPicPr>
        <xdr:cNvPr id="235" name="Picture 11" descr=".">
          <a:extLst>
            <a:ext uri="{FF2B5EF4-FFF2-40B4-BE49-F238E27FC236}">
              <a16:creationId xmlns:a16="http://schemas.microsoft.com/office/drawing/2014/main" id="{00000000-0008-0000-02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2050486"/>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5875" cy="397439"/>
    <xdr:pic>
      <xdr:nvPicPr>
        <xdr:cNvPr id="236" name="Picture 6" descr=".">
          <a:extLst>
            <a:ext uri="{FF2B5EF4-FFF2-40B4-BE49-F238E27FC236}">
              <a16:creationId xmlns:a16="http://schemas.microsoft.com/office/drawing/2014/main" id="{00000000-0008-0000-02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5860486"/>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5875" cy="397440"/>
    <xdr:pic>
      <xdr:nvPicPr>
        <xdr:cNvPr id="237" name="Picture 7" descr=".">
          <a:extLst>
            <a:ext uri="{FF2B5EF4-FFF2-40B4-BE49-F238E27FC236}">
              <a16:creationId xmlns:a16="http://schemas.microsoft.com/office/drawing/2014/main" id="{00000000-0008-0000-02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5860486"/>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5875" cy="397439"/>
    <xdr:pic>
      <xdr:nvPicPr>
        <xdr:cNvPr id="238" name="Picture 8" descr=".">
          <a:extLst>
            <a:ext uri="{FF2B5EF4-FFF2-40B4-BE49-F238E27FC236}">
              <a16:creationId xmlns:a16="http://schemas.microsoft.com/office/drawing/2014/main" id="{00000000-0008-0000-02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5860486"/>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5875" cy="397440"/>
    <xdr:pic>
      <xdr:nvPicPr>
        <xdr:cNvPr id="239" name="Picture 9" descr=".">
          <a:extLst>
            <a:ext uri="{FF2B5EF4-FFF2-40B4-BE49-F238E27FC236}">
              <a16:creationId xmlns:a16="http://schemas.microsoft.com/office/drawing/2014/main" id="{00000000-0008-0000-02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5860486"/>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5875" cy="397438"/>
    <xdr:pic>
      <xdr:nvPicPr>
        <xdr:cNvPr id="240" name="Picture 10" descr=".">
          <a:extLst>
            <a:ext uri="{FF2B5EF4-FFF2-40B4-BE49-F238E27FC236}">
              <a16:creationId xmlns:a16="http://schemas.microsoft.com/office/drawing/2014/main" id="{00000000-0008-0000-02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5860486"/>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5875" cy="397441"/>
    <xdr:pic>
      <xdr:nvPicPr>
        <xdr:cNvPr id="241" name="Picture 11" descr=".">
          <a:extLst>
            <a:ext uri="{FF2B5EF4-FFF2-40B4-BE49-F238E27FC236}">
              <a16:creationId xmlns:a16="http://schemas.microsoft.com/office/drawing/2014/main" id="{00000000-0008-0000-02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5860486"/>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242" name="Picture 6" descr=".">
          <a:extLst>
            <a:ext uri="{FF2B5EF4-FFF2-40B4-BE49-F238E27FC236}">
              <a16:creationId xmlns:a16="http://schemas.microsoft.com/office/drawing/2014/main" id="{00000000-0008-0000-02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243" name="Picture 7" descr=".">
          <a:extLst>
            <a:ext uri="{FF2B5EF4-FFF2-40B4-BE49-F238E27FC236}">
              <a16:creationId xmlns:a16="http://schemas.microsoft.com/office/drawing/2014/main" id="{00000000-0008-0000-02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244" name="Picture 8" descr=".">
          <a:extLst>
            <a:ext uri="{FF2B5EF4-FFF2-40B4-BE49-F238E27FC236}">
              <a16:creationId xmlns:a16="http://schemas.microsoft.com/office/drawing/2014/main" id="{00000000-0008-0000-02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245" name="Picture 9" descr=".">
          <a:extLst>
            <a:ext uri="{FF2B5EF4-FFF2-40B4-BE49-F238E27FC236}">
              <a16:creationId xmlns:a16="http://schemas.microsoft.com/office/drawing/2014/main" id="{00000000-0008-0000-02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3"/>
    <xdr:pic>
      <xdr:nvPicPr>
        <xdr:cNvPr id="246" name="Picture 10" descr=".">
          <a:extLst>
            <a:ext uri="{FF2B5EF4-FFF2-40B4-BE49-F238E27FC236}">
              <a16:creationId xmlns:a16="http://schemas.microsoft.com/office/drawing/2014/main" id="{00000000-0008-0000-02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6"/>
    <xdr:pic>
      <xdr:nvPicPr>
        <xdr:cNvPr id="247" name="Picture 11" descr=".">
          <a:extLst>
            <a:ext uri="{FF2B5EF4-FFF2-40B4-BE49-F238E27FC236}">
              <a16:creationId xmlns:a16="http://schemas.microsoft.com/office/drawing/2014/main" id="{00000000-0008-0000-02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6510" cy="394899"/>
    <xdr:pic>
      <xdr:nvPicPr>
        <xdr:cNvPr id="248" name="Picture 6" descr=".">
          <a:extLst>
            <a:ext uri="{FF2B5EF4-FFF2-40B4-BE49-F238E27FC236}">
              <a16:creationId xmlns:a16="http://schemas.microsoft.com/office/drawing/2014/main" id="{00000000-0008-0000-02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6510" cy="394900"/>
    <xdr:pic>
      <xdr:nvPicPr>
        <xdr:cNvPr id="249" name="Picture 7" descr=".">
          <a:extLst>
            <a:ext uri="{FF2B5EF4-FFF2-40B4-BE49-F238E27FC236}">
              <a16:creationId xmlns:a16="http://schemas.microsoft.com/office/drawing/2014/main" id="{00000000-0008-0000-02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6510" cy="394899"/>
    <xdr:pic>
      <xdr:nvPicPr>
        <xdr:cNvPr id="250" name="Picture 8" descr=".">
          <a:extLst>
            <a:ext uri="{FF2B5EF4-FFF2-40B4-BE49-F238E27FC236}">
              <a16:creationId xmlns:a16="http://schemas.microsoft.com/office/drawing/2014/main" id="{00000000-0008-0000-02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6510" cy="394900"/>
    <xdr:pic>
      <xdr:nvPicPr>
        <xdr:cNvPr id="251" name="Picture 9" descr=".">
          <a:extLst>
            <a:ext uri="{FF2B5EF4-FFF2-40B4-BE49-F238E27FC236}">
              <a16:creationId xmlns:a16="http://schemas.microsoft.com/office/drawing/2014/main" id="{00000000-0008-0000-02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6510" cy="394898"/>
    <xdr:pic>
      <xdr:nvPicPr>
        <xdr:cNvPr id="252" name="Picture 10" descr=".">
          <a:extLst>
            <a:ext uri="{FF2B5EF4-FFF2-40B4-BE49-F238E27FC236}">
              <a16:creationId xmlns:a16="http://schemas.microsoft.com/office/drawing/2014/main" id="{00000000-0008-0000-02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6510" cy="394901"/>
    <xdr:pic>
      <xdr:nvPicPr>
        <xdr:cNvPr id="253" name="Picture 11" descr=".">
          <a:extLst>
            <a:ext uri="{FF2B5EF4-FFF2-40B4-BE49-F238E27FC236}">
              <a16:creationId xmlns:a16="http://schemas.microsoft.com/office/drawing/2014/main" id="{00000000-0008-0000-02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4605" cy="397439"/>
    <xdr:pic>
      <xdr:nvPicPr>
        <xdr:cNvPr id="254" name="Picture 6" descr=".">
          <a:extLst>
            <a:ext uri="{FF2B5EF4-FFF2-40B4-BE49-F238E27FC236}">
              <a16:creationId xmlns:a16="http://schemas.microsoft.com/office/drawing/2014/main" id="{00000000-0008-0000-02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5860486"/>
          <a:ext cx="1460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4605" cy="397440"/>
    <xdr:pic>
      <xdr:nvPicPr>
        <xdr:cNvPr id="255" name="Picture 7" descr=".">
          <a:extLst>
            <a:ext uri="{FF2B5EF4-FFF2-40B4-BE49-F238E27FC236}">
              <a16:creationId xmlns:a16="http://schemas.microsoft.com/office/drawing/2014/main" id="{00000000-0008-0000-02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5860486"/>
          <a:ext cx="1460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4605" cy="397439"/>
    <xdr:pic>
      <xdr:nvPicPr>
        <xdr:cNvPr id="256" name="Picture 8" descr=".">
          <a:extLst>
            <a:ext uri="{FF2B5EF4-FFF2-40B4-BE49-F238E27FC236}">
              <a16:creationId xmlns:a16="http://schemas.microsoft.com/office/drawing/2014/main" id="{00000000-0008-0000-02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5860486"/>
          <a:ext cx="1460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4605" cy="397440"/>
    <xdr:pic>
      <xdr:nvPicPr>
        <xdr:cNvPr id="257" name="Picture 9" descr=".">
          <a:extLst>
            <a:ext uri="{FF2B5EF4-FFF2-40B4-BE49-F238E27FC236}">
              <a16:creationId xmlns:a16="http://schemas.microsoft.com/office/drawing/2014/main" id="{00000000-0008-0000-02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5860486"/>
          <a:ext cx="1460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4605" cy="397438"/>
    <xdr:pic>
      <xdr:nvPicPr>
        <xdr:cNvPr id="258" name="Picture 10" descr=".">
          <a:extLst>
            <a:ext uri="{FF2B5EF4-FFF2-40B4-BE49-F238E27FC236}">
              <a16:creationId xmlns:a16="http://schemas.microsoft.com/office/drawing/2014/main" id="{00000000-0008-0000-02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5860486"/>
          <a:ext cx="1460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63</xdr:row>
      <xdr:rowOff>0</xdr:rowOff>
    </xdr:from>
    <xdr:ext cx="14605" cy="397441"/>
    <xdr:pic>
      <xdr:nvPicPr>
        <xdr:cNvPr id="259" name="Picture 11" descr=".">
          <a:extLst>
            <a:ext uri="{FF2B5EF4-FFF2-40B4-BE49-F238E27FC236}">
              <a16:creationId xmlns:a16="http://schemas.microsoft.com/office/drawing/2014/main" id="{00000000-0008-0000-02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15860486"/>
          <a:ext cx="1460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260" name="Picture 6" descr=".">
          <a:extLst>
            <a:ext uri="{FF2B5EF4-FFF2-40B4-BE49-F238E27FC236}">
              <a16:creationId xmlns:a16="http://schemas.microsoft.com/office/drawing/2014/main" id="{00000000-0008-0000-02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261" name="Picture 7" descr=".">
          <a:extLst>
            <a:ext uri="{FF2B5EF4-FFF2-40B4-BE49-F238E27FC236}">
              <a16:creationId xmlns:a16="http://schemas.microsoft.com/office/drawing/2014/main" id="{00000000-0008-0000-02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262" name="Picture 8" descr=".">
          <a:extLst>
            <a:ext uri="{FF2B5EF4-FFF2-40B4-BE49-F238E27FC236}">
              <a16:creationId xmlns:a16="http://schemas.microsoft.com/office/drawing/2014/main" id="{00000000-0008-0000-02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263" name="Picture 9" descr=".">
          <a:extLst>
            <a:ext uri="{FF2B5EF4-FFF2-40B4-BE49-F238E27FC236}">
              <a16:creationId xmlns:a16="http://schemas.microsoft.com/office/drawing/2014/main" id="{00000000-0008-0000-02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3"/>
    <xdr:pic>
      <xdr:nvPicPr>
        <xdr:cNvPr id="264" name="Picture 10" descr=".">
          <a:extLst>
            <a:ext uri="{FF2B5EF4-FFF2-40B4-BE49-F238E27FC236}">
              <a16:creationId xmlns:a16="http://schemas.microsoft.com/office/drawing/2014/main" id="{00000000-0008-0000-02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6"/>
    <xdr:pic>
      <xdr:nvPicPr>
        <xdr:cNvPr id="265" name="Picture 11" descr=".">
          <a:extLst>
            <a:ext uri="{FF2B5EF4-FFF2-40B4-BE49-F238E27FC236}">
              <a16:creationId xmlns:a16="http://schemas.microsoft.com/office/drawing/2014/main" id="{00000000-0008-0000-02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15860486"/>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56</xdr:row>
      <xdr:rowOff>0</xdr:rowOff>
    </xdr:from>
    <xdr:ext cx="14605" cy="396169"/>
    <xdr:pic>
      <xdr:nvPicPr>
        <xdr:cNvPr id="266" name="Picture 6" descr=".">
          <a:extLst>
            <a:ext uri="{FF2B5EF4-FFF2-40B4-BE49-F238E27FC236}">
              <a16:creationId xmlns:a16="http://schemas.microsoft.com/office/drawing/2014/main" id="{00000000-0008-0000-02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9927771"/>
          <a:ext cx="14605"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56</xdr:row>
      <xdr:rowOff>0</xdr:rowOff>
    </xdr:from>
    <xdr:ext cx="14605" cy="396170"/>
    <xdr:pic>
      <xdr:nvPicPr>
        <xdr:cNvPr id="267" name="Picture 7" descr=".">
          <a:extLst>
            <a:ext uri="{FF2B5EF4-FFF2-40B4-BE49-F238E27FC236}">
              <a16:creationId xmlns:a16="http://schemas.microsoft.com/office/drawing/2014/main" id="{00000000-0008-0000-02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9927771"/>
          <a:ext cx="14605"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56</xdr:row>
      <xdr:rowOff>0</xdr:rowOff>
    </xdr:from>
    <xdr:ext cx="14605" cy="396169"/>
    <xdr:pic>
      <xdr:nvPicPr>
        <xdr:cNvPr id="268" name="Picture 8" descr=".">
          <a:extLst>
            <a:ext uri="{FF2B5EF4-FFF2-40B4-BE49-F238E27FC236}">
              <a16:creationId xmlns:a16="http://schemas.microsoft.com/office/drawing/2014/main" id="{00000000-0008-0000-02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9927771"/>
          <a:ext cx="14605"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56</xdr:row>
      <xdr:rowOff>0</xdr:rowOff>
    </xdr:from>
    <xdr:ext cx="14605" cy="396170"/>
    <xdr:pic>
      <xdr:nvPicPr>
        <xdr:cNvPr id="269" name="Picture 9" descr=".">
          <a:extLst>
            <a:ext uri="{FF2B5EF4-FFF2-40B4-BE49-F238E27FC236}">
              <a16:creationId xmlns:a16="http://schemas.microsoft.com/office/drawing/2014/main" id="{00000000-0008-0000-02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9927771"/>
          <a:ext cx="14605"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56</xdr:row>
      <xdr:rowOff>0</xdr:rowOff>
    </xdr:from>
    <xdr:ext cx="14605" cy="396168"/>
    <xdr:pic>
      <xdr:nvPicPr>
        <xdr:cNvPr id="270" name="Picture 10" descr=".">
          <a:extLst>
            <a:ext uri="{FF2B5EF4-FFF2-40B4-BE49-F238E27FC236}">
              <a16:creationId xmlns:a16="http://schemas.microsoft.com/office/drawing/2014/main" id="{00000000-0008-0000-02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9927771"/>
          <a:ext cx="14605" cy="39616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56</xdr:row>
      <xdr:rowOff>0</xdr:rowOff>
    </xdr:from>
    <xdr:ext cx="14605" cy="396171"/>
    <xdr:pic>
      <xdr:nvPicPr>
        <xdr:cNvPr id="271" name="Picture 11" descr=".">
          <a:extLst>
            <a:ext uri="{FF2B5EF4-FFF2-40B4-BE49-F238E27FC236}">
              <a16:creationId xmlns:a16="http://schemas.microsoft.com/office/drawing/2014/main" id="{00000000-0008-0000-02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9927771"/>
          <a:ext cx="14605" cy="396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4"/>
    <xdr:pic>
      <xdr:nvPicPr>
        <xdr:cNvPr id="272" name="Picture 6" descr=".">
          <a:extLst>
            <a:ext uri="{FF2B5EF4-FFF2-40B4-BE49-F238E27FC236}">
              <a16:creationId xmlns:a16="http://schemas.microsoft.com/office/drawing/2014/main" id="{00000000-0008-0000-02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5"/>
    <xdr:pic>
      <xdr:nvPicPr>
        <xdr:cNvPr id="273" name="Picture 7" descr=".">
          <a:extLst>
            <a:ext uri="{FF2B5EF4-FFF2-40B4-BE49-F238E27FC236}">
              <a16:creationId xmlns:a16="http://schemas.microsoft.com/office/drawing/2014/main" id="{00000000-0008-0000-02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4"/>
    <xdr:pic>
      <xdr:nvPicPr>
        <xdr:cNvPr id="274" name="Picture 8" descr=".">
          <a:extLst>
            <a:ext uri="{FF2B5EF4-FFF2-40B4-BE49-F238E27FC236}">
              <a16:creationId xmlns:a16="http://schemas.microsoft.com/office/drawing/2014/main" id="{00000000-0008-0000-02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5"/>
    <xdr:pic>
      <xdr:nvPicPr>
        <xdr:cNvPr id="275" name="Picture 9" descr=".">
          <a:extLst>
            <a:ext uri="{FF2B5EF4-FFF2-40B4-BE49-F238E27FC236}">
              <a16:creationId xmlns:a16="http://schemas.microsoft.com/office/drawing/2014/main" id="{00000000-0008-0000-02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3"/>
    <xdr:pic>
      <xdr:nvPicPr>
        <xdr:cNvPr id="276" name="Picture 10" descr=".">
          <a:extLst>
            <a:ext uri="{FF2B5EF4-FFF2-40B4-BE49-F238E27FC236}">
              <a16:creationId xmlns:a16="http://schemas.microsoft.com/office/drawing/2014/main" id="{00000000-0008-0000-02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6"/>
    <xdr:pic>
      <xdr:nvPicPr>
        <xdr:cNvPr id="277" name="Picture 11" descr=".">
          <a:extLst>
            <a:ext uri="{FF2B5EF4-FFF2-40B4-BE49-F238E27FC236}">
              <a16:creationId xmlns:a16="http://schemas.microsoft.com/office/drawing/2014/main" id="{00000000-0008-0000-02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899"/>
    <xdr:pic>
      <xdr:nvPicPr>
        <xdr:cNvPr id="278" name="Picture 6" descr=".">
          <a:extLst>
            <a:ext uri="{FF2B5EF4-FFF2-40B4-BE49-F238E27FC236}">
              <a16:creationId xmlns:a16="http://schemas.microsoft.com/office/drawing/2014/main" id="{00000000-0008-0000-02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900"/>
    <xdr:pic>
      <xdr:nvPicPr>
        <xdr:cNvPr id="279" name="Picture 7" descr=".">
          <a:extLst>
            <a:ext uri="{FF2B5EF4-FFF2-40B4-BE49-F238E27FC236}">
              <a16:creationId xmlns:a16="http://schemas.microsoft.com/office/drawing/2014/main" id="{00000000-0008-0000-02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899"/>
    <xdr:pic>
      <xdr:nvPicPr>
        <xdr:cNvPr id="280" name="Picture 8" descr=".">
          <a:extLst>
            <a:ext uri="{FF2B5EF4-FFF2-40B4-BE49-F238E27FC236}">
              <a16:creationId xmlns:a16="http://schemas.microsoft.com/office/drawing/2014/main" id="{00000000-0008-0000-02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900"/>
    <xdr:pic>
      <xdr:nvPicPr>
        <xdr:cNvPr id="281" name="Picture 9" descr=".">
          <a:extLst>
            <a:ext uri="{FF2B5EF4-FFF2-40B4-BE49-F238E27FC236}">
              <a16:creationId xmlns:a16="http://schemas.microsoft.com/office/drawing/2014/main" id="{00000000-0008-0000-02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898"/>
    <xdr:pic>
      <xdr:nvPicPr>
        <xdr:cNvPr id="282" name="Picture 10" descr=".">
          <a:extLst>
            <a:ext uri="{FF2B5EF4-FFF2-40B4-BE49-F238E27FC236}">
              <a16:creationId xmlns:a16="http://schemas.microsoft.com/office/drawing/2014/main" id="{00000000-0008-0000-02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901"/>
    <xdr:pic>
      <xdr:nvPicPr>
        <xdr:cNvPr id="283" name="Picture 11" descr=".">
          <a:extLst>
            <a:ext uri="{FF2B5EF4-FFF2-40B4-BE49-F238E27FC236}">
              <a16:creationId xmlns:a16="http://schemas.microsoft.com/office/drawing/2014/main" id="{00000000-0008-0000-02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56</xdr:row>
      <xdr:rowOff>0</xdr:rowOff>
    </xdr:from>
    <xdr:ext cx="16510" cy="396169"/>
    <xdr:pic>
      <xdr:nvPicPr>
        <xdr:cNvPr id="284" name="Picture 6" descr=".">
          <a:extLst>
            <a:ext uri="{FF2B5EF4-FFF2-40B4-BE49-F238E27FC236}">
              <a16:creationId xmlns:a16="http://schemas.microsoft.com/office/drawing/2014/main" id="{00000000-0008-0000-02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9927771"/>
          <a:ext cx="16510"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56</xdr:row>
      <xdr:rowOff>0</xdr:rowOff>
    </xdr:from>
    <xdr:ext cx="16510" cy="396170"/>
    <xdr:pic>
      <xdr:nvPicPr>
        <xdr:cNvPr id="285" name="Picture 7" descr=".">
          <a:extLst>
            <a:ext uri="{FF2B5EF4-FFF2-40B4-BE49-F238E27FC236}">
              <a16:creationId xmlns:a16="http://schemas.microsoft.com/office/drawing/2014/main" id="{00000000-0008-0000-02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9927771"/>
          <a:ext cx="16510"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56</xdr:row>
      <xdr:rowOff>0</xdr:rowOff>
    </xdr:from>
    <xdr:ext cx="16510" cy="396169"/>
    <xdr:pic>
      <xdr:nvPicPr>
        <xdr:cNvPr id="286" name="Picture 8" descr=".">
          <a:extLst>
            <a:ext uri="{FF2B5EF4-FFF2-40B4-BE49-F238E27FC236}">
              <a16:creationId xmlns:a16="http://schemas.microsoft.com/office/drawing/2014/main" id="{00000000-0008-0000-02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9927771"/>
          <a:ext cx="16510" cy="3961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56</xdr:row>
      <xdr:rowOff>0</xdr:rowOff>
    </xdr:from>
    <xdr:ext cx="16510" cy="396170"/>
    <xdr:pic>
      <xdr:nvPicPr>
        <xdr:cNvPr id="287" name="Picture 9" descr=".">
          <a:extLst>
            <a:ext uri="{FF2B5EF4-FFF2-40B4-BE49-F238E27FC236}">
              <a16:creationId xmlns:a16="http://schemas.microsoft.com/office/drawing/2014/main" id="{00000000-0008-0000-02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9927771"/>
          <a:ext cx="16510" cy="3961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56</xdr:row>
      <xdr:rowOff>0</xdr:rowOff>
    </xdr:from>
    <xdr:ext cx="16510" cy="396168"/>
    <xdr:pic>
      <xdr:nvPicPr>
        <xdr:cNvPr id="288" name="Picture 10" descr=".">
          <a:extLst>
            <a:ext uri="{FF2B5EF4-FFF2-40B4-BE49-F238E27FC236}">
              <a16:creationId xmlns:a16="http://schemas.microsoft.com/office/drawing/2014/main" id="{00000000-0008-0000-02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9927771"/>
          <a:ext cx="16510" cy="39616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56</xdr:row>
      <xdr:rowOff>0</xdr:rowOff>
    </xdr:from>
    <xdr:ext cx="16510" cy="396171"/>
    <xdr:pic>
      <xdr:nvPicPr>
        <xdr:cNvPr id="289" name="Picture 11" descr=".">
          <a:extLst>
            <a:ext uri="{FF2B5EF4-FFF2-40B4-BE49-F238E27FC236}">
              <a16:creationId xmlns:a16="http://schemas.microsoft.com/office/drawing/2014/main" id="{00000000-0008-0000-02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5429" y="9927771"/>
          <a:ext cx="16510" cy="396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4"/>
    <xdr:pic>
      <xdr:nvPicPr>
        <xdr:cNvPr id="290" name="Picture 6" descr=".">
          <a:extLst>
            <a:ext uri="{FF2B5EF4-FFF2-40B4-BE49-F238E27FC236}">
              <a16:creationId xmlns:a16="http://schemas.microsoft.com/office/drawing/2014/main" id="{00000000-0008-0000-02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5"/>
    <xdr:pic>
      <xdr:nvPicPr>
        <xdr:cNvPr id="291" name="Picture 7" descr=".">
          <a:extLst>
            <a:ext uri="{FF2B5EF4-FFF2-40B4-BE49-F238E27FC236}">
              <a16:creationId xmlns:a16="http://schemas.microsoft.com/office/drawing/2014/main" id="{00000000-0008-0000-02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4"/>
    <xdr:pic>
      <xdr:nvPicPr>
        <xdr:cNvPr id="292" name="Picture 8" descr=".">
          <a:extLst>
            <a:ext uri="{FF2B5EF4-FFF2-40B4-BE49-F238E27FC236}">
              <a16:creationId xmlns:a16="http://schemas.microsoft.com/office/drawing/2014/main" id="{00000000-0008-0000-02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5"/>
    <xdr:pic>
      <xdr:nvPicPr>
        <xdr:cNvPr id="293" name="Picture 9" descr=".">
          <a:extLst>
            <a:ext uri="{FF2B5EF4-FFF2-40B4-BE49-F238E27FC236}">
              <a16:creationId xmlns:a16="http://schemas.microsoft.com/office/drawing/2014/main" id="{00000000-0008-0000-02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3"/>
    <xdr:pic>
      <xdr:nvPicPr>
        <xdr:cNvPr id="294" name="Picture 10" descr=".">
          <a:extLst>
            <a:ext uri="{FF2B5EF4-FFF2-40B4-BE49-F238E27FC236}">
              <a16:creationId xmlns:a16="http://schemas.microsoft.com/office/drawing/2014/main" id="{00000000-0008-0000-02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6"/>
    <xdr:pic>
      <xdr:nvPicPr>
        <xdr:cNvPr id="295" name="Picture 11" descr=".">
          <a:extLst>
            <a:ext uri="{FF2B5EF4-FFF2-40B4-BE49-F238E27FC236}">
              <a16:creationId xmlns:a16="http://schemas.microsoft.com/office/drawing/2014/main" id="{00000000-0008-0000-02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8743" y="9927771"/>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68</xdr:row>
      <xdr:rowOff>0</xdr:rowOff>
    </xdr:from>
    <xdr:ext cx="15875" cy="395534"/>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23723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875" cy="395535"/>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23723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875" cy="395534"/>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23723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875" cy="395535"/>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23723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875" cy="395533"/>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23723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875" cy="395536"/>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23723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3"/>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6"/>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67306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240" cy="394899"/>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237232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240" cy="394900"/>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237232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240" cy="394899"/>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237232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240" cy="394900"/>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237232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240" cy="394898"/>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237232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240" cy="394901"/>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237232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56</xdr:row>
      <xdr:rowOff>0</xdr:rowOff>
    </xdr:from>
    <xdr:to>
      <xdr:col>2</xdr:col>
      <xdr:colOff>15240</xdr:colOff>
      <xdr:row>56</xdr:row>
      <xdr:rowOff>396804</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310860"/>
          <a:ext cx="14605" cy="3961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15240</xdr:colOff>
      <xdr:row>56</xdr:row>
      <xdr:rowOff>396805</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310860"/>
          <a:ext cx="14605" cy="3961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15240</xdr:colOff>
      <xdr:row>56</xdr:row>
      <xdr:rowOff>396804</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310860"/>
          <a:ext cx="14605" cy="3961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15240</xdr:colOff>
      <xdr:row>56</xdr:row>
      <xdr:rowOff>396805</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310860"/>
          <a:ext cx="14605" cy="3961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15240</xdr:colOff>
      <xdr:row>56</xdr:row>
      <xdr:rowOff>396803</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310860"/>
          <a:ext cx="14605" cy="3961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15240</xdr:colOff>
      <xdr:row>56</xdr:row>
      <xdr:rowOff>396806</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310860"/>
          <a:ext cx="14605" cy="3961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56</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56</xdr:row>
      <xdr:rowOff>0</xdr:rowOff>
    </xdr:from>
    <xdr:to>
      <xdr:col>2</xdr:col>
      <xdr:colOff>13970</xdr:colOff>
      <xdr:row>56</xdr:row>
      <xdr:rowOff>396804</xdr:rowOff>
    </xdr:to>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310860"/>
          <a:ext cx="16510" cy="3961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13970</xdr:colOff>
      <xdr:row>56</xdr:row>
      <xdr:rowOff>396805</xdr:rowOff>
    </xdr:to>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310860"/>
          <a:ext cx="16510" cy="3961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13970</xdr:colOff>
      <xdr:row>56</xdr:row>
      <xdr:rowOff>396804</xdr:rowOff>
    </xdr:to>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310860"/>
          <a:ext cx="16510" cy="3961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13970</xdr:colOff>
      <xdr:row>56</xdr:row>
      <xdr:rowOff>396805</xdr:rowOff>
    </xdr:to>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310860"/>
          <a:ext cx="16510" cy="3961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13970</xdr:colOff>
      <xdr:row>56</xdr:row>
      <xdr:rowOff>396803</xdr:rowOff>
    </xdr:to>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310860"/>
          <a:ext cx="16510" cy="3961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13970</xdr:colOff>
      <xdr:row>56</xdr:row>
      <xdr:rowOff>396806</xdr:rowOff>
    </xdr:to>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310860"/>
          <a:ext cx="16510" cy="3961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56</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1831086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xdr:row>
      <xdr:rowOff>0</xdr:rowOff>
    </xdr:from>
    <xdr:ext cx="13970" cy="394899"/>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70688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xdr:row>
      <xdr:rowOff>0</xdr:rowOff>
    </xdr:from>
    <xdr:ext cx="13970" cy="394900"/>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70688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xdr:row>
      <xdr:rowOff>0</xdr:rowOff>
    </xdr:from>
    <xdr:ext cx="13970" cy="394899"/>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70688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xdr:row>
      <xdr:rowOff>0</xdr:rowOff>
    </xdr:from>
    <xdr:ext cx="13970" cy="394900"/>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70688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xdr:row>
      <xdr:rowOff>0</xdr:rowOff>
    </xdr:from>
    <xdr:ext cx="13970" cy="394898"/>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70688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xdr:row>
      <xdr:rowOff>0</xdr:rowOff>
    </xdr:from>
    <xdr:ext cx="13970" cy="394901"/>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70688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8</xdr:row>
      <xdr:rowOff>0</xdr:rowOff>
    </xdr:from>
    <xdr:ext cx="15240" cy="20630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9738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8</xdr:row>
      <xdr:rowOff>0</xdr:rowOff>
    </xdr:from>
    <xdr:ext cx="15240" cy="20630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9738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8</xdr:row>
      <xdr:rowOff>0</xdr:rowOff>
    </xdr:from>
    <xdr:ext cx="15240" cy="20630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9738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8</xdr:row>
      <xdr:rowOff>0</xdr:rowOff>
    </xdr:from>
    <xdr:ext cx="15240" cy="20630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9738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8</xdr:row>
      <xdr:rowOff>0</xdr:rowOff>
    </xdr:from>
    <xdr:ext cx="15240" cy="20630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9738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8</xdr:row>
      <xdr:rowOff>0</xdr:rowOff>
    </xdr:from>
    <xdr:ext cx="15240" cy="20630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189738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13</xdr:row>
      <xdr:rowOff>0</xdr:rowOff>
    </xdr:from>
    <xdr:to>
      <xdr:col>2</xdr:col>
      <xdr:colOff>15240</xdr:colOff>
      <xdr:row>15</xdr:row>
      <xdr:rowOff>15169</xdr:rowOff>
    </xdr:to>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7901940"/>
          <a:ext cx="1460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13</xdr:row>
      <xdr:rowOff>0</xdr:rowOff>
    </xdr:from>
    <xdr:to>
      <xdr:col>2</xdr:col>
      <xdr:colOff>15240</xdr:colOff>
      <xdr:row>15</xdr:row>
      <xdr:rowOff>15170</xdr:rowOff>
    </xdr:to>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7901940"/>
          <a:ext cx="1460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13</xdr:row>
      <xdr:rowOff>0</xdr:rowOff>
    </xdr:from>
    <xdr:to>
      <xdr:col>2</xdr:col>
      <xdr:colOff>15240</xdr:colOff>
      <xdr:row>15</xdr:row>
      <xdr:rowOff>15169</xdr:rowOff>
    </xdr:to>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7901940"/>
          <a:ext cx="1460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13</xdr:row>
      <xdr:rowOff>0</xdr:rowOff>
    </xdr:from>
    <xdr:to>
      <xdr:col>2</xdr:col>
      <xdr:colOff>15240</xdr:colOff>
      <xdr:row>15</xdr:row>
      <xdr:rowOff>15170</xdr:rowOff>
    </xdr:to>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7901940"/>
          <a:ext cx="1460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13</xdr:row>
      <xdr:rowOff>0</xdr:rowOff>
    </xdr:from>
    <xdr:to>
      <xdr:col>2</xdr:col>
      <xdr:colOff>15240</xdr:colOff>
      <xdr:row>15</xdr:row>
      <xdr:rowOff>15168</xdr:rowOff>
    </xdr:to>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7901940"/>
          <a:ext cx="1460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13</xdr:row>
      <xdr:rowOff>0</xdr:rowOff>
    </xdr:from>
    <xdr:to>
      <xdr:col>2</xdr:col>
      <xdr:colOff>15240</xdr:colOff>
      <xdr:row>15</xdr:row>
      <xdr:rowOff>15171</xdr:rowOff>
    </xdr:to>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7901940"/>
          <a:ext cx="1460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13</xdr:row>
      <xdr:rowOff>0</xdr:rowOff>
    </xdr:from>
    <xdr:ext cx="15875" cy="395534"/>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5"/>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4"/>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5"/>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3"/>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6"/>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899"/>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900"/>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899"/>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900"/>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898"/>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901"/>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90194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90194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90194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90194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90194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90194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460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460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460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460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460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901940"/>
          <a:ext cx="1460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3</xdr:col>
      <xdr:colOff>0</xdr:colOff>
      <xdr:row>68</xdr:row>
      <xdr:rowOff>0</xdr:rowOff>
    </xdr:from>
    <xdr:ext cx="15875" cy="395534"/>
    <xdr:pic>
      <xdr:nvPicPr>
        <xdr:cNvPr id="2" name="Picture 6" descr=".">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407158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875" cy="395535"/>
    <xdr:pic>
      <xdr:nvPicPr>
        <xdr:cNvPr id="3" name="Picture 7" descr=".">
          <a:extLst>
            <a:ext uri="{FF2B5EF4-FFF2-40B4-BE49-F238E27FC236}">
              <a16:creationId xmlns:a16="http://schemas.microsoft.com/office/drawing/2014/main" id="{00000000-0008-0000-0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407158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875" cy="395534"/>
    <xdr:pic>
      <xdr:nvPicPr>
        <xdr:cNvPr id="4" name="Picture 8" descr=".">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407158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875" cy="395535"/>
    <xdr:pic>
      <xdr:nvPicPr>
        <xdr:cNvPr id="5" name="Picture 9" descr=".">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407158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875" cy="395533"/>
    <xdr:pic>
      <xdr:nvPicPr>
        <xdr:cNvPr id="6" name="Picture 10" descr=".">
          <a:extLst>
            <a:ext uri="{FF2B5EF4-FFF2-40B4-BE49-F238E27FC236}">
              <a16:creationId xmlns:a16="http://schemas.microsoft.com/office/drawing/2014/main" id="{00000000-0008-0000-0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407158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875" cy="395536"/>
    <xdr:pic>
      <xdr:nvPicPr>
        <xdr:cNvPr id="7" name="Picture 11" descr=".">
          <a:extLst>
            <a:ext uri="{FF2B5EF4-FFF2-40B4-BE49-F238E27FC236}">
              <a16:creationId xmlns:a16="http://schemas.microsoft.com/office/drawing/2014/main" id="{00000000-0008-0000-0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407158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8" name="Picture 6" descr=".">
          <a:extLst>
            <a:ext uri="{FF2B5EF4-FFF2-40B4-BE49-F238E27FC236}">
              <a16:creationId xmlns:a16="http://schemas.microsoft.com/office/drawing/2014/main" id="{00000000-0008-0000-0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9" name="Picture 7" descr=".">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10" name="Picture 8" descr=".">
          <a:extLst>
            <a:ext uri="{FF2B5EF4-FFF2-40B4-BE49-F238E27FC236}">
              <a16:creationId xmlns:a16="http://schemas.microsoft.com/office/drawing/2014/main" id="{00000000-0008-0000-0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11" name="Picture 9" descr=".">
          <a:extLst>
            <a:ext uri="{FF2B5EF4-FFF2-40B4-BE49-F238E27FC236}">
              <a16:creationId xmlns:a16="http://schemas.microsoft.com/office/drawing/2014/main" id="{00000000-0008-0000-0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3"/>
    <xdr:pic>
      <xdr:nvPicPr>
        <xdr:cNvPr id="12" name="Picture 10" descr=".">
          <a:extLst>
            <a:ext uri="{FF2B5EF4-FFF2-40B4-BE49-F238E27FC236}">
              <a16:creationId xmlns:a16="http://schemas.microsoft.com/office/drawing/2014/main" id="{00000000-0008-0000-0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6"/>
    <xdr:pic>
      <xdr:nvPicPr>
        <xdr:cNvPr id="13" name="Picture 11" descr=".">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14" name="Picture 6" descr=".">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15" name="Picture 7" descr=".">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16" name="Picture 8" descr=".">
          <a:extLst>
            <a:ext uri="{FF2B5EF4-FFF2-40B4-BE49-F238E27FC236}">
              <a16:creationId xmlns:a16="http://schemas.microsoft.com/office/drawing/2014/main" id="{00000000-0008-0000-0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17" name="Picture 9" descr=".">
          <a:extLst>
            <a:ext uri="{FF2B5EF4-FFF2-40B4-BE49-F238E27FC236}">
              <a16:creationId xmlns:a16="http://schemas.microsoft.com/office/drawing/2014/main" id="{00000000-0008-0000-0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3"/>
    <xdr:pic>
      <xdr:nvPicPr>
        <xdr:cNvPr id="18" name="Picture 10" descr=".">
          <a:extLst>
            <a:ext uri="{FF2B5EF4-FFF2-40B4-BE49-F238E27FC236}">
              <a16:creationId xmlns:a16="http://schemas.microsoft.com/office/drawing/2014/main" id="{00000000-0008-0000-0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6"/>
    <xdr:pic>
      <xdr:nvPicPr>
        <xdr:cNvPr id="19" name="Picture 11" descr=".">
          <a:extLst>
            <a:ext uri="{FF2B5EF4-FFF2-40B4-BE49-F238E27FC236}">
              <a16:creationId xmlns:a16="http://schemas.microsoft.com/office/drawing/2014/main" id="{00000000-0008-0000-0C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20" name="Picture 6" descr=".">
          <a:extLst>
            <a:ext uri="{FF2B5EF4-FFF2-40B4-BE49-F238E27FC236}">
              <a16:creationId xmlns:a16="http://schemas.microsoft.com/office/drawing/2014/main" id="{00000000-0008-0000-0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21" name="Picture 7" descr=".">
          <a:extLst>
            <a:ext uri="{FF2B5EF4-FFF2-40B4-BE49-F238E27FC236}">
              <a16:creationId xmlns:a16="http://schemas.microsoft.com/office/drawing/2014/main" id="{00000000-0008-0000-0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4"/>
    <xdr:pic>
      <xdr:nvPicPr>
        <xdr:cNvPr id="22" name="Picture 8" descr=".">
          <a:extLst>
            <a:ext uri="{FF2B5EF4-FFF2-40B4-BE49-F238E27FC236}">
              <a16:creationId xmlns:a16="http://schemas.microsoft.com/office/drawing/2014/main" id="{00000000-0008-0000-0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5"/>
    <xdr:pic>
      <xdr:nvPicPr>
        <xdr:cNvPr id="23" name="Picture 9" descr=".">
          <a:extLst>
            <a:ext uri="{FF2B5EF4-FFF2-40B4-BE49-F238E27FC236}">
              <a16:creationId xmlns:a16="http://schemas.microsoft.com/office/drawing/2014/main" id="{00000000-0008-0000-0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3"/>
    <xdr:pic>
      <xdr:nvPicPr>
        <xdr:cNvPr id="24" name="Picture 10" descr=".">
          <a:extLst>
            <a:ext uri="{FF2B5EF4-FFF2-40B4-BE49-F238E27FC236}">
              <a16:creationId xmlns:a16="http://schemas.microsoft.com/office/drawing/2014/main" id="{00000000-0008-0000-0C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xdr:row>
      <xdr:rowOff>0</xdr:rowOff>
    </xdr:from>
    <xdr:ext cx="15875" cy="395536"/>
    <xdr:pic>
      <xdr:nvPicPr>
        <xdr:cNvPr id="25" name="Picture 11" descr=".">
          <a:extLst>
            <a:ext uri="{FF2B5EF4-FFF2-40B4-BE49-F238E27FC236}">
              <a16:creationId xmlns:a16="http://schemas.microsoft.com/office/drawing/2014/main" id="{00000000-0008-0000-0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311908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240" cy="394899"/>
    <xdr:pic>
      <xdr:nvPicPr>
        <xdr:cNvPr id="26" name="Picture 6" descr=".">
          <a:extLst>
            <a:ext uri="{FF2B5EF4-FFF2-40B4-BE49-F238E27FC236}">
              <a16:creationId xmlns:a16="http://schemas.microsoft.com/office/drawing/2014/main" id="{00000000-0008-0000-0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407158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240" cy="394900"/>
    <xdr:pic>
      <xdr:nvPicPr>
        <xdr:cNvPr id="27" name="Picture 7" descr=".">
          <a:extLst>
            <a:ext uri="{FF2B5EF4-FFF2-40B4-BE49-F238E27FC236}">
              <a16:creationId xmlns:a16="http://schemas.microsoft.com/office/drawing/2014/main" id="{00000000-0008-0000-0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407158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240" cy="394899"/>
    <xdr:pic>
      <xdr:nvPicPr>
        <xdr:cNvPr id="28" name="Picture 8" descr=".">
          <a:extLst>
            <a:ext uri="{FF2B5EF4-FFF2-40B4-BE49-F238E27FC236}">
              <a16:creationId xmlns:a16="http://schemas.microsoft.com/office/drawing/2014/main" id="{00000000-0008-0000-0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407158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240" cy="394900"/>
    <xdr:pic>
      <xdr:nvPicPr>
        <xdr:cNvPr id="29" name="Picture 9" descr=".">
          <a:extLst>
            <a:ext uri="{FF2B5EF4-FFF2-40B4-BE49-F238E27FC236}">
              <a16:creationId xmlns:a16="http://schemas.microsoft.com/office/drawing/2014/main" id="{00000000-0008-0000-0C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407158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240" cy="394898"/>
    <xdr:pic>
      <xdr:nvPicPr>
        <xdr:cNvPr id="30" name="Picture 10" descr=".">
          <a:extLst>
            <a:ext uri="{FF2B5EF4-FFF2-40B4-BE49-F238E27FC236}">
              <a16:creationId xmlns:a16="http://schemas.microsoft.com/office/drawing/2014/main" id="{00000000-0008-0000-0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407158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xdr:row>
      <xdr:rowOff>0</xdr:rowOff>
    </xdr:from>
    <xdr:ext cx="15240" cy="394901"/>
    <xdr:pic>
      <xdr:nvPicPr>
        <xdr:cNvPr id="31" name="Picture 11" descr=".">
          <a:extLst>
            <a:ext uri="{FF2B5EF4-FFF2-40B4-BE49-F238E27FC236}">
              <a16:creationId xmlns:a16="http://schemas.microsoft.com/office/drawing/2014/main" id="{00000000-0008-0000-0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407158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56</xdr:row>
      <xdr:rowOff>0</xdr:rowOff>
    </xdr:from>
    <xdr:to>
      <xdr:col>2</xdr:col>
      <xdr:colOff>15875</xdr:colOff>
      <xdr:row>56</xdr:row>
      <xdr:rowOff>397439</xdr:rowOff>
    </xdr:to>
    <xdr:pic>
      <xdr:nvPicPr>
        <xdr:cNvPr id="32" name="Picture 6" descr=".">
          <a:extLst>
            <a:ext uri="{FF2B5EF4-FFF2-40B4-BE49-F238E27FC236}">
              <a16:creationId xmlns:a16="http://schemas.microsoft.com/office/drawing/2014/main" id="{00000000-0008-0000-0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2075688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15875</xdr:colOff>
      <xdr:row>56</xdr:row>
      <xdr:rowOff>397440</xdr:rowOff>
    </xdr:to>
    <xdr:pic>
      <xdr:nvPicPr>
        <xdr:cNvPr id="33" name="Picture 7" descr=".">
          <a:extLst>
            <a:ext uri="{FF2B5EF4-FFF2-40B4-BE49-F238E27FC236}">
              <a16:creationId xmlns:a16="http://schemas.microsoft.com/office/drawing/2014/main" id="{00000000-0008-0000-0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2075688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15875</xdr:colOff>
      <xdr:row>56</xdr:row>
      <xdr:rowOff>397439</xdr:rowOff>
    </xdr:to>
    <xdr:pic>
      <xdr:nvPicPr>
        <xdr:cNvPr id="34" name="Picture 8" descr=".">
          <a:extLst>
            <a:ext uri="{FF2B5EF4-FFF2-40B4-BE49-F238E27FC236}">
              <a16:creationId xmlns:a16="http://schemas.microsoft.com/office/drawing/2014/main" id="{00000000-0008-0000-0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2075688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15875</xdr:colOff>
      <xdr:row>56</xdr:row>
      <xdr:rowOff>397440</xdr:rowOff>
    </xdr:to>
    <xdr:pic>
      <xdr:nvPicPr>
        <xdr:cNvPr id="35" name="Picture 9" descr=".">
          <a:extLst>
            <a:ext uri="{FF2B5EF4-FFF2-40B4-BE49-F238E27FC236}">
              <a16:creationId xmlns:a16="http://schemas.microsoft.com/office/drawing/2014/main" id="{00000000-0008-0000-0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2075688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15875</xdr:colOff>
      <xdr:row>56</xdr:row>
      <xdr:rowOff>397438</xdr:rowOff>
    </xdr:to>
    <xdr:pic>
      <xdr:nvPicPr>
        <xdr:cNvPr id="36" name="Picture 10" descr=".">
          <a:extLst>
            <a:ext uri="{FF2B5EF4-FFF2-40B4-BE49-F238E27FC236}">
              <a16:creationId xmlns:a16="http://schemas.microsoft.com/office/drawing/2014/main" id="{00000000-0008-0000-0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2075688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15875</xdr:colOff>
      <xdr:row>56</xdr:row>
      <xdr:rowOff>397441</xdr:rowOff>
    </xdr:to>
    <xdr:pic>
      <xdr:nvPicPr>
        <xdr:cNvPr id="37" name="Picture 11" descr=".">
          <a:extLst>
            <a:ext uri="{FF2B5EF4-FFF2-40B4-BE49-F238E27FC236}">
              <a16:creationId xmlns:a16="http://schemas.microsoft.com/office/drawing/2014/main" id="{00000000-0008-0000-0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2075688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56</xdr:row>
      <xdr:rowOff>0</xdr:rowOff>
    </xdr:from>
    <xdr:ext cx="15875" cy="395534"/>
    <xdr:pic>
      <xdr:nvPicPr>
        <xdr:cNvPr id="38" name="Picture 6" descr=".">
          <a:extLst>
            <a:ext uri="{FF2B5EF4-FFF2-40B4-BE49-F238E27FC236}">
              <a16:creationId xmlns:a16="http://schemas.microsoft.com/office/drawing/2014/main" id="{00000000-0008-0000-0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5"/>
    <xdr:pic>
      <xdr:nvPicPr>
        <xdr:cNvPr id="39" name="Picture 7" descr=".">
          <a:extLst>
            <a:ext uri="{FF2B5EF4-FFF2-40B4-BE49-F238E27FC236}">
              <a16:creationId xmlns:a16="http://schemas.microsoft.com/office/drawing/2014/main" id="{00000000-0008-0000-0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4"/>
    <xdr:pic>
      <xdr:nvPicPr>
        <xdr:cNvPr id="40" name="Picture 8" descr=".">
          <a:extLst>
            <a:ext uri="{FF2B5EF4-FFF2-40B4-BE49-F238E27FC236}">
              <a16:creationId xmlns:a16="http://schemas.microsoft.com/office/drawing/2014/main" id="{00000000-0008-0000-0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5"/>
    <xdr:pic>
      <xdr:nvPicPr>
        <xdr:cNvPr id="41" name="Picture 9" descr=".">
          <a:extLst>
            <a:ext uri="{FF2B5EF4-FFF2-40B4-BE49-F238E27FC236}">
              <a16:creationId xmlns:a16="http://schemas.microsoft.com/office/drawing/2014/main" id="{00000000-0008-0000-0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3"/>
    <xdr:pic>
      <xdr:nvPicPr>
        <xdr:cNvPr id="42" name="Picture 10" descr=".">
          <a:extLst>
            <a:ext uri="{FF2B5EF4-FFF2-40B4-BE49-F238E27FC236}">
              <a16:creationId xmlns:a16="http://schemas.microsoft.com/office/drawing/2014/main" id="{00000000-0008-0000-0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6"/>
    <xdr:pic>
      <xdr:nvPicPr>
        <xdr:cNvPr id="43" name="Picture 11" descr=".">
          <a:extLst>
            <a:ext uri="{FF2B5EF4-FFF2-40B4-BE49-F238E27FC236}">
              <a16:creationId xmlns:a16="http://schemas.microsoft.com/office/drawing/2014/main" id="{00000000-0008-0000-0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899"/>
    <xdr:pic>
      <xdr:nvPicPr>
        <xdr:cNvPr id="44" name="Picture 6" descr=".">
          <a:extLst>
            <a:ext uri="{FF2B5EF4-FFF2-40B4-BE49-F238E27FC236}">
              <a16:creationId xmlns:a16="http://schemas.microsoft.com/office/drawing/2014/main" id="{00000000-0008-0000-0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900"/>
    <xdr:pic>
      <xdr:nvPicPr>
        <xdr:cNvPr id="45" name="Picture 7" descr=".">
          <a:extLst>
            <a:ext uri="{FF2B5EF4-FFF2-40B4-BE49-F238E27FC236}">
              <a16:creationId xmlns:a16="http://schemas.microsoft.com/office/drawing/2014/main" id="{00000000-0008-0000-0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899"/>
    <xdr:pic>
      <xdr:nvPicPr>
        <xdr:cNvPr id="46" name="Picture 8" descr=".">
          <a:extLst>
            <a:ext uri="{FF2B5EF4-FFF2-40B4-BE49-F238E27FC236}">
              <a16:creationId xmlns:a16="http://schemas.microsoft.com/office/drawing/2014/main" id="{00000000-0008-0000-0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900"/>
    <xdr:pic>
      <xdr:nvPicPr>
        <xdr:cNvPr id="47" name="Picture 9" descr=".">
          <a:extLst>
            <a:ext uri="{FF2B5EF4-FFF2-40B4-BE49-F238E27FC236}">
              <a16:creationId xmlns:a16="http://schemas.microsoft.com/office/drawing/2014/main" id="{00000000-0008-0000-0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898"/>
    <xdr:pic>
      <xdr:nvPicPr>
        <xdr:cNvPr id="48" name="Picture 10" descr=".">
          <a:extLst>
            <a:ext uri="{FF2B5EF4-FFF2-40B4-BE49-F238E27FC236}">
              <a16:creationId xmlns:a16="http://schemas.microsoft.com/office/drawing/2014/main" id="{00000000-0008-0000-0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6510" cy="394901"/>
    <xdr:pic>
      <xdr:nvPicPr>
        <xdr:cNvPr id="49" name="Picture 11" descr=".">
          <a:extLst>
            <a:ext uri="{FF2B5EF4-FFF2-40B4-BE49-F238E27FC236}">
              <a16:creationId xmlns:a16="http://schemas.microsoft.com/office/drawing/2014/main" id="{00000000-0008-0000-0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56</xdr:row>
      <xdr:rowOff>0</xdr:rowOff>
    </xdr:from>
    <xdr:to>
      <xdr:col>2</xdr:col>
      <xdr:colOff>14605</xdr:colOff>
      <xdr:row>56</xdr:row>
      <xdr:rowOff>397439</xdr:rowOff>
    </xdr:to>
    <xdr:pic>
      <xdr:nvPicPr>
        <xdr:cNvPr id="50" name="Picture 6" descr=".">
          <a:extLst>
            <a:ext uri="{FF2B5EF4-FFF2-40B4-BE49-F238E27FC236}">
              <a16:creationId xmlns:a16="http://schemas.microsoft.com/office/drawing/2014/main" id="{00000000-0008-0000-0C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2075688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14605</xdr:colOff>
      <xdr:row>56</xdr:row>
      <xdr:rowOff>397440</xdr:rowOff>
    </xdr:to>
    <xdr:pic>
      <xdr:nvPicPr>
        <xdr:cNvPr id="51" name="Picture 7" descr=".">
          <a:extLst>
            <a:ext uri="{FF2B5EF4-FFF2-40B4-BE49-F238E27FC236}">
              <a16:creationId xmlns:a16="http://schemas.microsoft.com/office/drawing/2014/main" id="{00000000-0008-0000-0C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2075688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14605</xdr:colOff>
      <xdr:row>56</xdr:row>
      <xdr:rowOff>397439</xdr:rowOff>
    </xdr:to>
    <xdr:pic>
      <xdr:nvPicPr>
        <xdr:cNvPr id="52" name="Picture 8" descr=".">
          <a:extLst>
            <a:ext uri="{FF2B5EF4-FFF2-40B4-BE49-F238E27FC236}">
              <a16:creationId xmlns:a16="http://schemas.microsoft.com/office/drawing/2014/main" id="{00000000-0008-0000-0C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2075688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14605</xdr:colOff>
      <xdr:row>56</xdr:row>
      <xdr:rowOff>397440</xdr:rowOff>
    </xdr:to>
    <xdr:pic>
      <xdr:nvPicPr>
        <xdr:cNvPr id="53" name="Picture 9" descr=".">
          <a:extLst>
            <a:ext uri="{FF2B5EF4-FFF2-40B4-BE49-F238E27FC236}">
              <a16:creationId xmlns:a16="http://schemas.microsoft.com/office/drawing/2014/main" id="{00000000-0008-0000-0C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2075688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14605</xdr:colOff>
      <xdr:row>56</xdr:row>
      <xdr:rowOff>397438</xdr:rowOff>
    </xdr:to>
    <xdr:pic>
      <xdr:nvPicPr>
        <xdr:cNvPr id="54" name="Picture 10" descr=".">
          <a:extLst>
            <a:ext uri="{FF2B5EF4-FFF2-40B4-BE49-F238E27FC236}">
              <a16:creationId xmlns:a16="http://schemas.microsoft.com/office/drawing/2014/main" id="{00000000-0008-0000-0C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2075688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56</xdr:row>
      <xdr:rowOff>0</xdr:rowOff>
    </xdr:from>
    <xdr:to>
      <xdr:col>2</xdr:col>
      <xdr:colOff>14605</xdr:colOff>
      <xdr:row>56</xdr:row>
      <xdr:rowOff>397441</xdr:rowOff>
    </xdr:to>
    <xdr:pic>
      <xdr:nvPicPr>
        <xdr:cNvPr id="55" name="Picture 11" descr=".">
          <a:extLst>
            <a:ext uri="{FF2B5EF4-FFF2-40B4-BE49-F238E27FC236}">
              <a16:creationId xmlns:a16="http://schemas.microsoft.com/office/drawing/2014/main" id="{00000000-0008-0000-0C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4340" y="2075688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56</xdr:row>
      <xdr:rowOff>0</xdr:rowOff>
    </xdr:from>
    <xdr:ext cx="15875" cy="395534"/>
    <xdr:pic>
      <xdr:nvPicPr>
        <xdr:cNvPr id="56" name="Picture 6" descr=".">
          <a:extLst>
            <a:ext uri="{FF2B5EF4-FFF2-40B4-BE49-F238E27FC236}">
              <a16:creationId xmlns:a16="http://schemas.microsoft.com/office/drawing/2014/main" id="{00000000-0008-0000-0C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5"/>
    <xdr:pic>
      <xdr:nvPicPr>
        <xdr:cNvPr id="57" name="Picture 7" descr=".">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4"/>
    <xdr:pic>
      <xdr:nvPicPr>
        <xdr:cNvPr id="58" name="Picture 8" descr=".">
          <a:extLst>
            <a:ext uri="{FF2B5EF4-FFF2-40B4-BE49-F238E27FC236}">
              <a16:creationId xmlns:a16="http://schemas.microsoft.com/office/drawing/2014/main" id="{00000000-0008-0000-0C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5"/>
    <xdr:pic>
      <xdr:nvPicPr>
        <xdr:cNvPr id="59" name="Picture 9" descr=".">
          <a:extLst>
            <a:ext uri="{FF2B5EF4-FFF2-40B4-BE49-F238E27FC236}">
              <a16:creationId xmlns:a16="http://schemas.microsoft.com/office/drawing/2014/main" id="{00000000-0008-0000-0C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3"/>
    <xdr:pic>
      <xdr:nvPicPr>
        <xdr:cNvPr id="60" name="Picture 10" descr=".">
          <a:extLst>
            <a:ext uri="{FF2B5EF4-FFF2-40B4-BE49-F238E27FC236}">
              <a16:creationId xmlns:a16="http://schemas.microsoft.com/office/drawing/2014/main" id="{00000000-0008-0000-0C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xdr:row>
      <xdr:rowOff>0</xdr:rowOff>
    </xdr:from>
    <xdr:ext cx="15875" cy="395536"/>
    <xdr:pic>
      <xdr:nvPicPr>
        <xdr:cNvPr id="61" name="Picture 11" descr=".">
          <a:extLst>
            <a:ext uri="{FF2B5EF4-FFF2-40B4-BE49-F238E27FC236}">
              <a16:creationId xmlns:a16="http://schemas.microsoft.com/office/drawing/2014/main" id="{00000000-0008-0000-0C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2075688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4"/>
    <xdr:pic>
      <xdr:nvPicPr>
        <xdr:cNvPr id="80" name="Picture 6" descr=".">
          <a:extLst>
            <a:ext uri="{FF2B5EF4-FFF2-40B4-BE49-F238E27FC236}">
              <a16:creationId xmlns:a16="http://schemas.microsoft.com/office/drawing/2014/main" id="{00000000-0008-0000-0C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5"/>
    <xdr:pic>
      <xdr:nvPicPr>
        <xdr:cNvPr id="81" name="Picture 7" descr=".">
          <a:extLst>
            <a:ext uri="{FF2B5EF4-FFF2-40B4-BE49-F238E27FC236}">
              <a16:creationId xmlns:a16="http://schemas.microsoft.com/office/drawing/2014/main" id="{00000000-0008-0000-0C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4"/>
    <xdr:pic>
      <xdr:nvPicPr>
        <xdr:cNvPr id="82" name="Picture 8" descr=".">
          <a:extLst>
            <a:ext uri="{FF2B5EF4-FFF2-40B4-BE49-F238E27FC236}">
              <a16:creationId xmlns:a16="http://schemas.microsoft.com/office/drawing/2014/main" id="{00000000-0008-0000-0C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5"/>
    <xdr:pic>
      <xdr:nvPicPr>
        <xdr:cNvPr id="83" name="Picture 9" descr=".">
          <a:extLst>
            <a:ext uri="{FF2B5EF4-FFF2-40B4-BE49-F238E27FC236}">
              <a16:creationId xmlns:a16="http://schemas.microsoft.com/office/drawing/2014/main" id="{00000000-0008-0000-0C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3"/>
    <xdr:pic>
      <xdr:nvPicPr>
        <xdr:cNvPr id="84" name="Picture 10" descr=".">
          <a:extLst>
            <a:ext uri="{FF2B5EF4-FFF2-40B4-BE49-F238E27FC236}">
              <a16:creationId xmlns:a16="http://schemas.microsoft.com/office/drawing/2014/main" id="{00000000-0008-0000-0C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6"/>
    <xdr:pic>
      <xdr:nvPicPr>
        <xdr:cNvPr id="85" name="Picture 11" descr=".">
          <a:extLst>
            <a:ext uri="{FF2B5EF4-FFF2-40B4-BE49-F238E27FC236}">
              <a16:creationId xmlns:a16="http://schemas.microsoft.com/office/drawing/2014/main" id="{00000000-0008-0000-0C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899"/>
    <xdr:pic>
      <xdr:nvPicPr>
        <xdr:cNvPr id="86" name="Picture 6" descr=".">
          <a:extLst>
            <a:ext uri="{FF2B5EF4-FFF2-40B4-BE49-F238E27FC236}">
              <a16:creationId xmlns:a16="http://schemas.microsoft.com/office/drawing/2014/main" id="{00000000-0008-0000-0C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900"/>
    <xdr:pic>
      <xdr:nvPicPr>
        <xdr:cNvPr id="87" name="Picture 7" descr=".">
          <a:extLst>
            <a:ext uri="{FF2B5EF4-FFF2-40B4-BE49-F238E27FC236}">
              <a16:creationId xmlns:a16="http://schemas.microsoft.com/office/drawing/2014/main" id="{00000000-0008-0000-0C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899"/>
    <xdr:pic>
      <xdr:nvPicPr>
        <xdr:cNvPr id="88" name="Picture 8" descr=".">
          <a:extLst>
            <a:ext uri="{FF2B5EF4-FFF2-40B4-BE49-F238E27FC236}">
              <a16:creationId xmlns:a16="http://schemas.microsoft.com/office/drawing/2014/main" id="{00000000-0008-0000-0C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900"/>
    <xdr:pic>
      <xdr:nvPicPr>
        <xdr:cNvPr id="89" name="Picture 9" descr=".">
          <a:extLst>
            <a:ext uri="{FF2B5EF4-FFF2-40B4-BE49-F238E27FC236}">
              <a16:creationId xmlns:a16="http://schemas.microsoft.com/office/drawing/2014/main" id="{00000000-0008-0000-0C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898"/>
    <xdr:pic>
      <xdr:nvPicPr>
        <xdr:cNvPr id="90" name="Picture 10" descr=".">
          <a:extLst>
            <a:ext uri="{FF2B5EF4-FFF2-40B4-BE49-F238E27FC236}">
              <a16:creationId xmlns:a16="http://schemas.microsoft.com/office/drawing/2014/main" id="{00000000-0008-0000-0C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901"/>
    <xdr:pic>
      <xdr:nvPicPr>
        <xdr:cNvPr id="91" name="Picture 11" descr=".">
          <a:extLst>
            <a:ext uri="{FF2B5EF4-FFF2-40B4-BE49-F238E27FC236}">
              <a16:creationId xmlns:a16="http://schemas.microsoft.com/office/drawing/2014/main" id="{00000000-0008-0000-0C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92" name="Picture 6" descr=".">
          <a:extLst>
            <a:ext uri="{FF2B5EF4-FFF2-40B4-BE49-F238E27FC236}">
              <a16:creationId xmlns:a16="http://schemas.microsoft.com/office/drawing/2014/main" id="{00000000-0008-0000-0C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90194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93" name="Picture 7" descr=".">
          <a:extLst>
            <a:ext uri="{FF2B5EF4-FFF2-40B4-BE49-F238E27FC236}">
              <a16:creationId xmlns:a16="http://schemas.microsoft.com/office/drawing/2014/main" id="{00000000-0008-0000-0C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90194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94" name="Picture 8" descr=".">
          <a:extLst>
            <a:ext uri="{FF2B5EF4-FFF2-40B4-BE49-F238E27FC236}">
              <a16:creationId xmlns:a16="http://schemas.microsoft.com/office/drawing/2014/main" id="{00000000-0008-0000-0C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90194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95" name="Picture 9" descr=".">
          <a:extLst>
            <a:ext uri="{FF2B5EF4-FFF2-40B4-BE49-F238E27FC236}">
              <a16:creationId xmlns:a16="http://schemas.microsoft.com/office/drawing/2014/main" id="{00000000-0008-0000-0C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90194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96" name="Picture 10" descr=".">
          <a:extLst>
            <a:ext uri="{FF2B5EF4-FFF2-40B4-BE49-F238E27FC236}">
              <a16:creationId xmlns:a16="http://schemas.microsoft.com/office/drawing/2014/main" id="{00000000-0008-0000-0C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90194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97" name="Picture 11" descr=".">
          <a:extLst>
            <a:ext uri="{FF2B5EF4-FFF2-40B4-BE49-F238E27FC236}">
              <a16:creationId xmlns:a16="http://schemas.microsoft.com/office/drawing/2014/main" id="{00000000-0008-0000-0C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90194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4"/>
    <xdr:pic>
      <xdr:nvPicPr>
        <xdr:cNvPr id="98" name="Picture 6" descr=".">
          <a:extLst>
            <a:ext uri="{FF2B5EF4-FFF2-40B4-BE49-F238E27FC236}">
              <a16:creationId xmlns:a16="http://schemas.microsoft.com/office/drawing/2014/main" id="{00000000-0008-0000-0C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460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5"/>
    <xdr:pic>
      <xdr:nvPicPr>
        <xdr:cNvPr id="99" name="Picture 7" descr=".">
          <a:extLst>
            <a:ext uri="{FF2B5EF4-FFF2-40B4-BE49-F238E27FC236}">
              <a16:creationId xmlns:a16="http://schemas.microsoft.com/office/drawing/2014/main" id="{00000000-0008-0000-0C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460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4"/>
    <xdr:pic>
      <xdr:nvPicPr>
        <xdr:cNvPr id="100" name="Picture 8" descr=".">
          <a:extLst>
            <a:ext uri="{FF2B5EF4-FFF2-40B4-BE49-F238E27FC236}">
              <a16:creationId xmlns:a16="http://schemas.microsoft.com/office/drawing/2014/main" id="{00000000-0008-0000-0C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460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5"/>
    <xdr:pic>
      <xdr:nvPicPr>
        <xdr:cNvPr id="101" name="Picture 9" descr=".">
          <a:extLst>
            <a:ext uri="{FF2B5EF4-FFF2-40B4-BE49-F238E27FC236}">
              <a16:creationId xmlns:a16="http://schemas.microsoft.com/office/drawing/2014/main" id="{00000000-0008-0000-0C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460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3"/>
    <xdr:pic>
      <xdr:nvPicPr>
        <xdr:cNvPr id="102" name="Picture 10" descr=".">
          <a:extLst>
            <a:ext uri="{FF2B5EF4-FFF2-40B4-BE49-F238E27FC236}">
              <a16:creationId xmlns:a16="http://schemas.microsoft.com/office/drawing/2014/main" id="{00000000-0008-0000-0C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460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6"/>
    <xdr:pic>
      <xdr:nvPicPr>
        <xdr:cNvPr id="103" name="Picture 11" descr=".">
          <a:extLst>
            <a:ext uri="{FF2B5EF4-FFF2-40B4-BE49-F238E27FC236}">
              <a16:creationId xmlns:a16="http://schemas.microsoft.com/office/drawing/2014/main" id="{00000000-0008-0000-0C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0920" y="7901940"/>
          <a:ext cx="1460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2</xdr:col>
      <xdr:colOff>0</xdr:colOff>
      <xdr:row>13</xdr:row>
      <xdr:rowOff>0</xdr:rowOff>
    </xdr:from>
    <xdr:to>
      <xdr:col>2</xdr:col>
      <xdr:colOff>15240</xdr:colOff>
      <xdr:row>14</xdr:row>
      <xdr:rowOff>21519</xdr:rowOff>
    </xdr:to>
    <xdr:pic>
      <xdr:nvPicPr>
        <xdr:cNvPr id="2" name="Picture 6" descr=".">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13</xdr:row>
      <xdr:rowOff>0</xdr:rowOff>
    </xdr:from>
    <xdr:to>
      <xdr:col>2</xdr:col>
      <xdr:colOff>15240</xdr:colOff>
      <xdr:row>14</xdr:row>
      <xdr:rowOff>21520</xdr:rowOff>
    </xdr:to>
    <xdr:pic>
      <xdr:nvPicPr>
        <xdr:cNvPr id="3" name="Picture 7" descr=".">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13</xdr:row>
      <xdr:rowOff>0</xdr:rowOff>
    </xdr:from>
    <xdr:to>
      <xdr:col>2</xdr:col>
      <xdr:colOff>15240</xdr:colOff>
      <xdr:row>14</xdr:row>
      <xdr:rowOff>21519</xdr:rowOff>
    </xdr:to>
    <xdr:pic>
      <xdr:nvPicPr>
        <xdr:cNvPr id="4" name="Picture 8" descr=".">
          <a:extLst>
            <a:ext uri="{FF2B5EF4-FFF2-40B4-BE49-F238E27FC236}">
              <a16:creationId xmlns:a16="http://schemas.microsoft.com/office/drawing/2014/main" id="{00000000-0008-0000-1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13</xdr:row>
      <xdr:rowOff>0</xdr:rowOff>
    </xdr:from>
    <xdr:to>
      <xdr:col>2</xdr:col>
      <xdr:colOff>15240</xdr:colOff>
      <xdr:row>14</xdr:row>
      <xdr:rowOff>21520</xdr:rowOff>
    </xdr:to>
    <xdr:pic>
      <xdr:nvPicPr>
        <xdr:cNvPr id="5" name="Picture 9" descr=".">
          <a:extLst>
            <a:ext uri="{FF2B5EF4-FFF2-40B4-BE49-F238E27FC236}">
              <a16:creationId xmlns:a16="http://schemas.microsoft.com/office/drawing/2014/main" id="{00000000-0008-0000-1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13</xdr:row>
      <xdr:rowOff>0</xdr:rowOff>
    </xdr:from>
    <xdr:to>
      <xdr:col>2</xdr:col>
      <xdr:colOff>15240</xdr:colOff>
      <xdr:row>14</xdr:row>
      <xdr:rowOff>21518</xdr:rowOff>
    </xdr:to>
    <xdr:pic>
      <xdr:nvPicPr>
        <xdr:cNvPr id="6" name="Picture 10" descr=".">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13</xdr:row>
      <xdr:rowOff>0</xdr:rowOff>
    </xdr:from>
    <xdr:to>
      <xdr:col>2</xdr:col>
      <xdr:colOff>15240</xdr:colOff>
      <xdr:row>14</xdr:row>
      <xdr:rowOff>21521</xdr:rowOff>
    </xdr:to>
    <xdr:pic>
      <xdr:nvPicPr>
        <xdr:cNvPr id="7" name="Picture 11" descr=".">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13</xdr:row>
      <xdr:rowOff>0</xdr:rowOff>
    </xdr:from>
    <xdr:ext cx="15875" cy="395534"/>
    <xdr:pic>
      <xdr:nvPicPr>
        <xdr:cNvPr id="8" name="Picture 6" descr=".">
          <a:extLst>
            <a:ext uri="{FF2B5EF4-FFF2-40B4-BE49-F238E27FC236}">
              <a16:creationId xmlns:a16="http://schemas.microsoft.com/office/drawing/2014/main" id="{00000000-0008-0000-1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5"/>
    <xdr:pic>
      <xdr:nvPicPr>
        <xdr:cNvPr id="9" name="Picture 7" descr=".">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4"/>
    <xdr:pic>
      <xdr:nvPicPr>
        <xdr:cNvPr id="10" name="Picture 8" descr=".">
          <a:extLst>
            <a:ext uri="{FF2B5EF4-FFF2-40B4-BE49-F238E27FC236}">
              <a16:creationId xmlns:a16="http://schemas.microsoft.com/office/drawing/2014/main" id="{00000000-0008-0000-1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5"/>
    <xdr:pic>
      <xdr:nvPicPr>
        <xdr:cNvPr id="11" name="Picture 9" descr=".">
          <a:extLst>
            <a:ext uri="{FF2B5EF4-FFF2-40B4-BE49-F238E27FC236}">
              <a16:creationId xmlns:a16="http://schemas.microsoft.com/office/drawing/2014/main" id="{00000000-0008-0000-1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3"/>
    <xdr:pic>
      <xdr:nvPicPr>
        <xdr:cNvPr id="12" name="Picture 10" descr=".">
          <a:extLst>
            <a:ext uri="{FF2B5EF4-FFF2-40B4-BE49-F238E27FC236}">
              <a16:creationId xmlns:a16="http://schemas.microsoft.com/office/drawing/2014/main" id="{00000000-0008-0000-1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6"/>
    <xdr:pic>
      <xdr:nvPicPr>
        <xdr:cNvPr id="13" name="Picture 11" descr=".">
          <a:extLst>
            <a:ext uri="{FF2B5EF4-FFF2-40B4-BE49-F238E27FC236}">
              <a16:creationId xmlns:a16="http://schemas.microsoft.com/office/drawing/2014/main" id="{00000000-0008-0000-1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899"/>
    <xdr:pic>
      <xdr:nvPicPr>
        <xdr:cNvPr id="14" name="Picture 6" descr=".">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900"/>
    <xdr:pic>
      <xdr:nvPicPr>
        <xdr:cNvPr id="15" name="Picture 7" descr=".">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899"/>
    <xdr:pic>
      <xdr:nvPicPr>
        <xdr:cNvPr id="16" name="Picture 8" descr=".">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900"/>
    <xdr:pic>
      <xdr:nvPicPr>
        <xdr:cNvPr id="17" name="Picture 9" descr=".">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898"/>
    <xdr:pic>
      <xdr:nvPicPr>
        <xdr:cNvPr id="18" name="Picture 10" descr=".">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901"/>
    <xdr:pic>
      <xdr:nvPicPr>
        <xdr:cNvPr id="19" name="Picture 11" descr=".">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0" name="Picture 6" descr=".">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1" name="Picture 7" descr=".">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2" name="Picture 8" descr=".">
          <a:extLst>
            <a:ext uri="{FF2B5EF4-FFF2-40B4-BE49-F238E27FC236}">
              <a16:creationId xmlns:a16="http://schemas.microsoft.com/office/drawing/2014/main" id="{00000000-0008-0000-1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3" name="Picture 9" descr=".">
          <a:extLst>
            <a:ext uri="{FF2B5EF4-FFF2-40B4-BE49-F238E27FC236}">
              <a16:creationId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4" name="Picture 10" descr=".">
          <a:extLst>
            <a:ext uri="{FF2B5EF4-FFF2-40B4-BE49-F238E27FC236}">
              <a16:creationId xmlns:a16="http://schemas.microsoft.com/office/drawing/2014/main" id="{00000000-0008-0000-1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5" name="Picture 11" descr=".">
          <a:extLst>
            <a:ext uri="{FF2B5EF4-FFF2-40B4-BE49-F238E27FC236}">
              <a16:creationId xmlns:a16="http://schemas.microsoft.com/office/drawing/2014/main" id="{00000000-0008-0000-1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4"/>
    <xdr:pic>
      <xdr:nvPicPr>
        <xdr:cNvPr id="26" name="Picture 6" descr=".">
          <a:extLst>
            <a:ext uri="{FF2B5EF4-FFF2-40B4-BE49-F238E27FC236}">
              <a16:creationId xmlns:a16="http://schemas.microsoft.com/office/drawing/2014/main" id="{00000000-0008-0000-1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460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5"/>
    <xdr:pic>
      <xdr:nvPicPr>
        <xdr:cNvPr id="27" name="Picture 7" descr=".">
          <a:extLst>
            <a:ext uri="{FF2B5EF4-FFF2-40B4-BE49-F238E27FC236}">
              <a16:creationId xmlns:a16="http://schemas.microsoft.com/office/drawing/2014/main" id="{00000000-0008-0000-1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460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4"/>
    <xdr:pic>
      <xdr:nvPicPr>
        <xdr:cNvPr id="28" name="Picture 8" descr=".">
          <a:extLst>
            <a:ext uri="{FF2B5EF4-FFF2-40B4-BE49-F238E27FC236}">
              <a16:creationId xmlns:a16="http://schemas.microsoft.com/office/drawing/2014/main" id="{00000000-0008-0000-1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460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5"/>
    <xdr:pic>
      <xdr:nvPicPr>
        <xdr:cNvPr id="29" name="Picture 9" descr=".">
          <a:extLst>
            <a:ext uri="{FF2B5EF4-FFF2-40B4-BE49-F238E27FC236}">
              <a16:creationId xmlns:a16="http://schemas.microsoft.com/office/drawing/2014/main" id="{00000000-0008-0000-1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460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3"/>
    <xdr:pic>
      <xdr:nvPicPr>
        <xdr:cNvPr id="30" name="Picture 10" descr=".">
          <a:extLst>
            <a:ext uri="{FF2B5EF4-FFF2-40B4-BE49-F238E27FC236}">
              <a16:creationId xmlns:a16="http://schemas.microsoft.com/office/drawing/2014/main" id="{00000000-0008-0000-1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460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6"/>
    <xdr:pic>
      <xdr:nvPicPr>
        <xdr:cNvPr id="31" name="Picture 11" descr=".">
          <a:extLst>
            <a:ext uri="{FF2B5EF4-FFF2-40B4-BE49-F238E27FC236}">
              <a16:creationId xmlns:a16="http://schemas.microsoft.com/office/drawing/2014/main" id="{00000000-0008-0000-1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460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2</xdr:col>
      <xdr:colOff>0</xdr:colOff>
      <xdr:row>13</xdr:row>
      <xdr:rowOff>0</xdr:rowOff>
    </xdr:from>
    <xdr:to>
      <xdr:col>2</xdr:col>
      <xdr:colOff>15875</xdr:colOff>
      <xdr:row>15</xdr:row>
      <xdr:rowOff>15804</xdr:rowOff>
    </xdr:to>
    <xdr:pic>
      <xdr:nvPicPr>
        <xdr:cNvPr id="2" name="Picture 6" descr=".">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6510"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13</xdr:row>
      <xdr:rowOff>0</xdr:rowOff>
    </xdr:from>
    <xdr:to>
      <xdr:col>2</xdr:col>
      <xdr:colOff>15875</xdr:colOff>
      <xdr:row>15</xdr:row>
      <xdr:rowOff>15805</xdr:rowOff>
    </xdr:to>
    <xdr:pic>
      <xdr:nvPicPr>
        <xdr:cNvPr id="3" name="Picture 7" descr=".">
          <a:extLst>
            <a:ext uri="{FF2B5EF4-FFF2-40B4-BE49-F238E27FC236}">
              <a16:creationId xmlns:a16="http://schemas.microsoft.com/office/drawing/2014/main" id="{00000000-0008-0000-1B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6510"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13</xdr:row>
      <xdr:rowOff>0</xdr:rowOff>
    </xdr:from>
    <xdr:to>
      <xdr:col>2</xdr:col>
      <xdr:colOff>15875</xdr:colOff>
      <xdr:row>15</xdr:row>
      <xdr:rowOff>15804</xdr:rowOff>
    </xdr:to>
    <xdr:pic>
      <xdr:nvPicPr>
        <xdr:cNvPr id="4" name="Picture 8" descr=".">
          <a:extLst>
            <a:ext uri="{FF2B5EF4-FFF2-40B4-BE49-F238E27FC236}">
              <a16:creationId xmlns:a16="http://schemas.microsoft.com/office/drawing/2014/main" id="{00000000-0008-0000-1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6510"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13</xdr:row>
      <xdr:rowOff>0</xdr:rowOff>
    </xdr:from>
    <xdr:to>
      <xdr:col>2</xdr:col>
      <xdr:colOff>15875</xdr:colOff>
      <xdr:row>15</xdr:row>
      <xdr:rowOff>15805</xdr:rowOff>
    </xdr:to>
    <xdr:pic>
      <xdr:nvPicPr>
        <xdr:cNvPr id="5" name="Picture 9" descr=".">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6510"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13</xdr:row>
      <xdr:rowOff>0</xdr:rowOff>
    </xdr:from>
    <xdr:to>
      <xdr:col>2</xdr:col>
      <xdr:colOff>15875</xdr:colOff>
      <xdr:row>15</xdr:row>
      <xdr:rowOff>15803</xdr:rowOff>
    </xdr:to>
    <xdr:pic>
      <xdr:nvPicPr>
        <xdr:cNvPr id="6" name="Picture 10" descr=".">
          <a:extLst>
            <a:ext uri="{FF2B5EF4-FFF2-40B4-BE49-F238E27FC236}">
              <a16:creationId xmlns:a16="http://schemas.microsoft.com/office/drawing/2014/main" id="{00000000-0008-0000-1B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6510"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13</xdr:row>
      <xdr:rowOff>0</xdr:rowOff>
    </xdr:from>
    <xdr:to>
      <xdr:col>2</xdr:col>
      <xdr:colOff>15875</xdr:colOff>
      <xdr:row>15</xdr:row>
      <xdr:rowOff>15806</xdr:rowOff>
    </xdr:to>
    <xdr:pic>
      <xdr:nvPicPr>
        <xdr:cNvPr id="7" name="Picture 11" descr=".">
          <a:extLst>
            <a:ext uri="{FF2B5EF4-FFF2-40B4-BE49-F238E27FC236}">
              <a16:creationId xmlns:a16="http://schemas.microsoft.com/office/drawing/2014/main" id="{00000000-0008-0000-1B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6510"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13</xdr:row>
      <xdr:rowOff>0</xdr:rowOff>
    </xdr:from>
    <xdr:ext cx="15875" cy="395534"/>
    <xdr:pic>
      <xdr:nvPicPr>
        <xdr:cNvPr id="8" name="Picture 6" descr=".">
          <a:extLst>
            <a:ext uri="{FF2B5EF4-FFF2-40B4-BE49-F238E27FC236}">
              <a16:creationId xmlns:a16="http://schemas.microsoft.com/office/drawing/2014/main" id="{00000000-0008-0000-1B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5"/>
    <xdr:pic>
      <xdr:nvPicPr>
        <xdr:cNvPr id="9" name="Picture 7" descr=".">
          <a:extLst>
            <a:ext uri="{FF2B5EF4-FFF2-40B4-BE49-F238E27FC236}">
              <a16:creationId xmlns:a16="http://schemas.microsoft.com/office/drawing/2014/main" id="{00000000-0008-0000-1B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4"/>
    <xdr:pic>
      <xdr:nvPicPr>
        <xdr:cNvPr id="10" name="Picture 8" descr=".">
          <a:extLst>
            <a:ext uri="{FF2B5EF4-FFF2-40B4-BE49-F238E27FC236}">
              <a16:creationId xmlns:a16="http://schemas.microsoft.com/office/drawing/2014/main" id="{00000000-0008-0000-1B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5"/>
    <xdr:pic>
      <xdr:nvPicPr>
        <xdr:cNvPr id="11" name="Picture 9" descr=".">
          <a:extLst>
            <a:ext uri="{FF2B5EF4-FFF2-40B4-BE49-F238E27FC236}">
              <a16:creationId xmlns:a16="http://schemas.microsoft.com/office/drawing/2014/main" id="{00000000-0008-0000-1B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3"/>
    <xdr:pic>
      <xdr:nvPicPr>
        <xdr:cNvPr id="12" name="Picture 10" descr=".">
          <a:extLst>
            <a:ext uri="{FF2B5EF4-FFF2-40B4-BE49-F238E27FC236}">
              <a16:creationId xmlns:a16="http://schemas.microsoft.com/office/drawing/2014/main" id="{00000000-0008-0000-1B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5875" cy="395536"/>
    <xdr:pic>
      <xdr:nvPicPr>
        <xdr:cNvPr id="13" name="Picture 11" descr=".">
          <a:extLst>
            <a:ext uri="{FF2B5EF4-FFF2-40B4-BE49-F238E27FC236}">
              <a16:creationId xmlns:a16="http://schemas.microsoft.com/office/drawing/2014/main" id="{00000000-0008-0000-1B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899"/>
    <xdr:pic>
      <xdr:nvPicPr>
        <xdr:cNvPr id="14" name="Picture 6" descr=".">
          <a:extLst>
            <a:ext uri="{FF2B5EF4-FFF2-40B4-BE49-F238E27FC236}">
              <a16:creationId xmlns:a16="http://schemas.microsoft.com/office/drawing/2014/main" id="{00000000-0008-0000-1B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900"/>
    <xdr:pic>
      <xdr:nvPicPr>
        <xdr:cNvPr id="15" name="Picture 7" descr=".">
          <a:extLst>
            <a:ext uri="{FF2B5EF4-FFF2-40B4-BE49-F238E27FC236}">
              <a16:creationId xmlns:a16="http://schemas.microsoft.com/office/drawing/2014/main" id="{00000000-0008-0000-1B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899"/>
    <xdr:pic>
      <xdr:nvPicPr>
        <xdr:cNvPr id="16" name="Picture 8" descr=".">
          <a:extLst>
            <a:ext uri="{FF2B5EF4-FFF2-40B4-BE49-F238E27FC236}">
              <a16:creationId xmlns:a16="http://schemas.microsoft.com/office/drawing/2014/main" id="{00000000-0008-0000-1B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900"/>
    <xdr:pic>
      <xdr:nvPicPr>
        <xdr:cNvPr id="17" name="Picture 9" descr=".">
          <a:extLst>
            <a:ext uri="{FF2B5EF4-FFF2-40B4-BE49-F238E27FC236}">
              <a16:creationId xmlns:a16="http://schemas.microsoft.com/office/drawing/2014/main" id="{00000000-0008-0000-1B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898"/>
    <xdr:pic>
      <xdr:nvPicPr>
        <xdr:cNvPr id="18" name="Picture 10" descr=".">
          <a:extLst>
            <a:ext uri="{FF2B5EF4-FFF2-40B4-BE49-F238E27FC236}">
              <a16:creationId xmlns:a16="http://schemas.microsoft.com/office/drawing/2014/main" id="{00000000-0008-0000-1B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6510" cy="394901"/>
    <xdr:pic>
      <xdr:nvPicPr>
        <xdr:cNvPr id="19" name="Picture 11" descr=".">
          <a:extLst>
            <a:ext uri="{FF2B5EF4-FFF2-40B4-BE49-F238E27FC236}">
              <a16:creationId xmlns:a16="http://schemas.microsoft.com/office/drawing/2014/main" id="{00000000-0008-0000-1B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0" name="Picture 6" descr=".">
          <a:extLst>
            <a:ext uri="{FF2B5EF4-FFF2-40B4-BE49-F238E27FC236}">
              <a16:creationId xmlns:a16="http://schemas.microsoft.com/office/drawing/2014/main" id="{00000000-0008-0000-1B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1" name="Picture 7" descr=".">
          <a:extLst>
            <a:ext uri="{FF2B5EF4-FFF2-40B4-BE49-F238E27FC236}">
              <a16:creationId xmlns:a16="http://schemas.microsoft.com/office/drawing/2014/main" id="{00000000-0008-0000-1B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2" name="Picture 8" descr=".">
          <a:extLst>
            <a:ext uri="{FF2B5EF4-FFF2-40B4-BE49-F238E27FC236}">
              <a16:creationId xmlns:a16="http://schemas.microsoft.com/office/drawing/2014/main" id="{00000000-0008-0000-1B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3" name="Picture 9" descr=".">
          <a:extLst>
            <a:ext uri="{FF2B5EF4-FFF2-40B4-BE49-F238E27FC236}">
              <a16:creationId xmlns:a16="http://schemas.microsoft.com/office/drawing/2014/main" id="{00000000-0008-0000-1B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4" name="Picture 10" descr=".">
          <a:extLst>
            <a:ext uri="{FF2B5EF4-FFF2-40B4-BE49-F238E27FC236}">
              <a16:creationId xmlns:a16="http://schemas.microsoft.com/office/drawing/2014/main" id="{00000000-0008-0000-1B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5" name="Picture 11" descr=".">
          <a:extLst>
            <a:ext uri="{FF2B5EF4-FFF2-40B4-BE49-F238E27FC236}">
              <a16:creationId xmlns:a16="http://schemas.microsoft.com/office/drawing/2014/main" id="{00000000-0008-0000-1B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4"/>
    <xdr:pic>
      <xdr:nvPicPr>
        <xdr:cNvPr id="26" name="Picture 6" descr=".">
          <a:extLst>
            <a:ext uri="{FF2B5EF4-FFF2-40B4-BE49-F238E27FC236}">
              <a16:creationId xmlns:a16="http://schemas.microsoft.com/office/drawing/2014/main" id="{00000000-0008-0000-1B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460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5"/>
    <xdr:pic>
      <xdr:nvPicPr>
        <xdr:cNvPr id="27" name="Picture 7" descr=".">
          <a:extLst>
            <a:ext uri="{FF2B5EF4-FFF2-40B4-BE49-F238E27FC236}">
              <a16:creationId xmlns:a16="http://schemas.microsoft.com/office/drawing/2014/main" id="{00000000-0008-0000-1B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460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4"/>
    <xdr:pic>
      <xdr:nvPicPr>
        <xdr:cNvPr id="28" name="Picture 8" descr=".">
          <a:extLst>
            <a:ext uri="{FF2B5EF4-FFF2-40B4-BE49-F238E27FC236}">
              <a16:creationId xmlns:a16="http://schemas.microsoft.com/office/drawing/2014/main" id="{00000000-0008-0000-1B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460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5"/>
    <xdr:pic>
      <xdr:nvPicPr>
        <xdr:cNvPr id="29" name="Picture 9" descr=".">
          <a:extLst>
            <a:ext uri="{FF2B5EF4-FFF2-40B4-BE49-F238E27FC236}">
              <a16:creationId xmlns:a16="http://schemas.microsoft.com/office/drawing/2014/main" id="{00000000-0008-0000-1B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460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3"/>
    <xdr:pic>
      <xdr:nvPicPr>
        <xdr:cNvPr id="30" name="Picture 10" descr=".">
          <a:extLst>
            <a:ext uri="{FF2B5EF4-FFF2-40B4-BE49-F238E27FC236}">
              <a16:creationId xmlns:a16="http://schemas.microsoft.com/office/drawing/2014/main" id="{00000000-0008-0000-1B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460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13</xdr:row>
      <xdr:rowOff>0</xdr:rowOff>
    </xdr:from>
    <xdr:ext cx="14605" cy="395536"/>
    <xdr:pic>
      <xdr:nvPicPr>
        <xdr:cNvPr id="31" name="Picture 11" descr=".">
          <a:extLst>
            <a:ext uri="{FF2B5EF4-FFF2-40B4-BE49-F238E27FC236}">
              <a16:creationId xmlns:a16="http://schemas.microsoft.com/office/drawing/2014/main" id="{00000000-0008-0000-1B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460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A3BDD683-0CC2-4AF0-B79A-866FDF440E7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4" dT="2021-05-27T15:35:17.31" personId="{A3BDD683-0CC2-4AF0-B79A-866FDF440E7C}" id="{DFEEB6D1-F1E9-42F6-820F-99C510296DCC}">
    <text>Is an independent assertion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4"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iso.org/fhir/ts-5384/StructureDefinition/Immunization"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3" Type="http://schemas.openxmlformats.org/officeDocument/2006/relationships/hyperlink" Target="http://iso.org/fhir/ts-5384/StructureDefinition/Immunization" TargetMode="External"/><Relationship Id="rId2" Type="http://schemas.openxmlformats.org/officeDocument/2006/relationships/hyperlink" Target="http://hl7.org/fhir/StructureDefinition/Immunization" TargetMode="External"/><Relationship Id="rId1" Type="http://schemas.openxmlformats.org/officeDocument/2006/relationships/hyperlink" Target="http://iso.org/fhir/ts-5384" TargetMode="External"/><Relationship Id="rId5" Type="http://schemas.openxmlformats.org/officeDocument/2006/relationships/printerSettings" Target="../printerSettings/printerSettings14.bin"/><Relationship Id="rId4" Type="http://schemas.openxmlformats.org/officeDocument/2006/relationships/hyperlink" Target="http://iso.org/fhir/ts-5384/StructureDefinition/Immunization"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ig/pcsp/ValueSet/vs-radiotherapy-pcsp" TargetMode="External"/><Relationship Id="rId2" Type="http://schemas.openxmlformats.org/officeDocument/2006/relationships/hyperlink" Target="http://hl7.eu/fhir/ig/pcsp/ValueSet/vs-radiotherapy-pcsp" TargetMode="External"/><Relationship Id="rId1" Type="http://schemas.openxmlformats.org/officeDocument/2006/relationships/hyperlink" Target="http://iso.org/fhir/ts-5384" TargetMode="External"/><Relationship Id="rId5" Type="http://schemas.openxmlformats.org/officeDocument/2006/relationships/drawing" Target="../drawings/drawing5.xml"/><Relationship Id="rId4"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7.bin"/><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iso.org/fhir/ts-5384/StructureDefinition/SimpleOrganization" TargetMode="External"/><Relationship Id="rId1" Type="http://schemas.openxmlformats.org/officeDocument/2006/relationships/hyperlink" Target="http://iso.org/fhir/ts-5384" TargetMode="External"/></Relationships>
</file>

<file path=xl/worksheets/_rels/sheet34.xml.rels><?xml version="1.0" encoding="UTF-8" standalone="yes"?>
<Relationships xmlns="http://schemas.openxmlformats.org/package/2006/relationships"><Relationship Id="rId3" Type="http://schemas.openxmlformats.org/officeDocument/2006/relationships/hyperlink" Target="http://iso.org/fhir/ts-5384/StructureDefinition/Immunization" TargetMode="External"/><Relationship Id="rId2" Type="http://schemas.openxmlformats.org/officeDocument/2006/relationships/hyperlink" Target="http://hl7.org/fhir/StructureDefinition/Immunization" TargetMode="External"/><Relationship Id="rId1" Type="http://schemas.openxmlformats.org/officeDocument/2006/relationships/hyperlink" Target="http://iso.org/fhir/ts-5384" TargetMode="External"/><Relationship Id="rId5" Type="http://schemas.openxmlformats.org/officeDocument/2006/relationships/printerSettings" Target="../printerSettings/printerSettings19.bin"/><Relationship Id="rId4" Type="http://schemas.openxmlformats.org/officeDocument/2006/relationships/hyperlink" Target="http://iso.org/fhir/ts-5384/StructureDefinition/Immunization" TargetMode="Externa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3" Type="http://schemas.openxmlformats.org/officeDocument/2006/relationships/hyperlink" Target="http://iso.org/fhir/ts-5384/StructureDefinition/Immunization" TargetMode="External"/><Relationship Id="rId2" Type="http://schemas.openxmlformats.org/officeDocument/2006/relationships/hyperlink" Target="http://hl7.org/fhir/StructureDefinition/Immunization" TargetMode="External"/><Relationship Id="rId1" Type="http://schemas.openxmlformats.org/officeDocument/2006/relationships/hyperlink" Target="http://iso.org/fhir/ts-5384" TargetMode="External"/><Relationship Id="rId5" Type="http://schemas.openxmlformats.org/officeDocument/2006/relationships/printerSettings" Target="../printerSettings/printerSettings21.bin"/><Relationship Id="rId4" Type="http://schemas.openxmlformats.org/officeDocument/2006/relationships/hyperlink" Target="http://iso.org/fhir/ts-5384/StructureDefinition/Immunization"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3" zoomScale="70" zoomScaleNormal="70" workbookViewId="0">
      <selection activeCell="H24" sqref="H24"/>
    </sheetView>
  </sheetViews>
  <sheetFormatPr defaultColWidth="23" defaultRowHeight="40.5" customHeight="1" x14ac:dyDescent="0.75"/>
  <cols>
    <col min="1" max="1" width="33.1328125" style="99" customWidth="1"/>
    <col min="2" max="2" width="45.90625" style="132" customWidth="1"/>
    <col min="3" max="3" width="72" style="99" bestFit="1" customWidth="1"/>
    <col min="4" max="4" width="26.86328125" style="99" customWidth="1"/>
    <col min="5" max="5" width="21.1328125" style="99" customWidth="1"/>
    <col min="6" max="6" width="21.54296875" style="99" customWidth="1"/>
    <col min="7" max="7" width="17.1328125" style="119" customWidth="1"/>
    <col min="8" max="8" width="54.86328125" style="119" customWidth="1"/>
    <col min="9" max="9" width="23.7265625" style="132" customWidth="1"/>
    <col min="10" max="10" width="63.1328125" style="135" customWidth="1"/>
    <col min="11" max="11" width="54.86328125" style="99" customWidth="1"/>
    <col min="12" max="16384" width="23" style="99"/>
  </cols>
  <sheetData>
    <row r="1" spans="1:11" ht="60" customHeight="1" thickBot="1" x14ac:dyDescent="0.9">
      <c r="B1" s="100" t="s">
        <v>187</v>
      </c>
      <c r="C1" s="101" t="s">
        <v>188</v>
      </c>
      <c r="D1" s="101" t="s">
        <v>189</v>
      </c>
      <c r="E1" s="101" t="s">
        <v>190</v>
      </c>
      <c r="F1" s="101" t="s">
        <v>191</v>
      </c>
      <c r="G1" s="101" t="s">
        <v>192</v>
      </c>
      <c r="H1" s="101" t="s">
        <v>193</v>
      </c>
      <c r="I1" s="101" t="s">
        <v>194</v>
      </c>
      <c r="J1" s="101" t="s">
        <v>195</v>
      </c>
      <c r="K1" s="101" t="s">
        <v>196</v>
      </c>
    </row>
    <row r="2" spans="1:11" ht="40.5" customHeight="1" x14ac:dyDescent="0.75">
      <c r="A2" s="178" t="s">
        <v>197</v>
      </c>
      <c r="B2" s="102"/>
      <c r="C2" s="103" t="s">
        <v>198</v>
      </c>
      <c r="D2" s="104"/>
      <c r="E2" s="104"/>
      <c r="F2" s="104"/>
      <c r="G2" s="104"/>
      <c r="H2" s="104"/>
      <c r="I2" s="104"/>
      <c r="J2" s="105"/>
      <c r="K2" s="104"/>
    </row>
    <row r="3" spans="1:11" ht="40.5" customHeight="1" x14ac:dyDescent="0.75">
      <c r="A3" s="179"/>
      <c r="B3" s="106"/>
      <c r="C3" s="107" t="s">
        <v>20</v>
      </c>
      <c r="D3" s="108" t="s">
        <v>20</v>
      </c>
      <c r="E3" s="108" t="s">
        <v>199</v>
      </c>
      <c r="F3" s="108"/>
      <c r="G3" s="108" t="s">
        <v>200</v>
      </c>
      <c r="H3" s="108"/>
      <c r="I3" s="108" t="s">
        <v>201</v>
      </c>
      <c r="J3" s="108" t="s">
        <v>202</v>
      </c>
      <c r="K3" s="109" t="s">
        <v>201</v>
      </c>
    </row>
    <row r="4" spans="1:11" ht="40.5" customHeight="1" x14ac:dyDescent="0.75">
      <c r="A4" s="179"/>
      <c r="B4" s="106"/>
      <c r="C4" s="110" t="s">
        <v>167</v>
      </c>
      <c r="D4" s="111" t="s">
        <v>203</v>
      </c>
      <c r="E4" s="111" t="s">
        <v>199</v>
      </c>
      <c r="F4" s="111"/>
      <c r="G4" s="108" t="s">
        <v>204</v>
      </c>
      <c r="H4" s="108"/>
      <c r="I4" s="111" t="s">
        <v>205</v>
      </c>
      <c r="J4" s="108" t="s">
        <v>206</v>
      </c>
      <c r="K4" s="109" t="s">
        <v>207</v>
      </c>
    </row>
    <row r="5" spans="1:11" ht="40.5" customHeight="1" x14ac:dyDescent="0.75">
      <c r="A5" s="179"/>
      <c r="B5" s="106"/>
      <c r="C5" s="110" t="s">
        <v>170</v>
      </c>
      <c r="D5" s="111" t="s">
        <v>208</v>
      </c>
      <c r="E5" s="111" t="s">
        <v>199</v>
      </c>
      <c r="F5" s="111"/>
      <c r="G5" s="108" t="s">
        <v>204</v>
      </c>
      <c r="H5" s="108"/>
      <c r="I5" s="111" t="s">
        <v>209</v>
      </c>
      <c r="J5" s="108" t="s">
        <v>210</v>
      </c>
      <c r="K5" s="109" t="s">
        <v>207</v>
      </c>
    </row>
    <row r="6" spans="1:11" ht="40.5" customHeight="1" x14ac:dyDescent="0.75">
      <c r="A6" s="179"/>
      <c r="B6" s="106"/>
      <c r="C6" s="110" t="s">
        <v>168</v>
      </c>
      <c r="D6" s="111" t="s">
        <v>211</v>
      </c>
      <c r="E6" s="111" t="s">
        <v>199</v>
      </c>
      <c r="F6" s="111"/>
      <c r="G6" s="108" t="s">
        <v>204</v>
      </c>
      <c r="H6" s="108"/>
      <c r="I6" s="111" t="s">
        <v>209</v>
      </c>
      <c r="J6" s="108" t="s">
        <v>212</v>
      </c>
      <c r="K6" s="109" t="s">
        <v>207</v>
      </c>
    </row>
    <row r="7" spans="1:11" ht="40.5" customHeight="1" x14ac:dyDescent="0.75">
      <c r="A7" s="179"/>
      <c r="B7" s="106"/>
      <c r="C7" s="110" t="s">
        <v>169</v>
      </c>
      <c r="D7" s="111" t="s">
        <v>213</v>
      </c>
      <c r="E7" s="111" t="s">
        <v>199</v>
      </c>
      <c r="F7" s="111"/>
      <c r="G7" s="108" t="s">
        <v>204</v>
      </c>
      <c r="H7" s="108"/>
      <c r="I7" s="111" t="s">
        <v>205</v>
      </c>
      <c r="J7" s="108" t="s">
        <v>214</v>
      </c>
      <c r="K7" s="109" t="s">
        <v>207</v>
      </c>
    </row>
    <row r="8" spans="1:11" ht="55.5" x14ac:dyDescent="0.75">
      <c r="A8" s="179"/>
      <c r="B8" s="181" t="s">
        <v>215</v>
      </c>
      <c r="C8" s="110" t="s">
        <v>171</v>
      </c>
      <c r="D8" s="111" t="s">
        <v>216</v>
      </c>
      <c r="E8" s="111" t="s">
        <v>217</v>
      </c>
      <c r="F8" s="111"/>
      <c r="G8" s="112" t="s">
        <v>200</v>
      </c>
      <c r="H8" s="108" t="s">
        <v>218</v>
      </c>
      <c r="I8" s="111" t="s">
        <v>205</v>
      </c>
      <c r="J8" s="108" t="s">
        <v>219</v>
      </c>
      <c r="K8" s="109" t="s">
        <v>201</v>
      </c>
    </row>
    <row r="9" spans="1:11" ht="40.5" customHeight="1" x14ac:dyDescent="0.75">
      <c r="A9" s="179"/>
      <c r="B9" s="181"/>
      <c r="C9" s="107" t="s">
        <v>220</v>
      </c>
      <c r="D9" s="108" t="s">
        <v>221</v>
      </c>
      <c r="E9" s="111" t="s">
        <v>199</v>
      </c>
      <c r="F9" s="111"/>
      <c r="G9" s="112" t="s">
        <v>204</v>
      </c>
      <c r="H9" s="108"/>
      <c r="I9" s="108" t="s">
        <v>222</v>
      </c>
      <c r="J9" s="108" t="s">
        <v>223</v>
      </c>
      <c r="K9" s="109" t="s">
        <v>201</v>
      </c>
    </row>
    <row r="10" spans="1:11" ht="40.5" customHeight="1" x14ac:dyDescent="0.75">
      <c r="A10" s="179"/>
      <c r="B10" s="181" t="s">
        <v>224</v>
      </c>
      <c r="C10" s="110" t="s">
        <v>172</v>
      </c>
      <c r="D10" s="111" t="s">
        <v>225</v>
      </c>
      <c r="E10" s="111" t="s">
        <v>4</v>
      </c>
      <c r="F10" s="111"/>
      <c r="G10" s="108" t="s">
        <v>4</v>
      </c>
      <c r="H10" s="108" t="s">
        <v>226</v>
      </c>
      <c r="I10" s="111" t="s">
        <v>205</v>
      </c>
      <c r="J10" s="108" t="s">
        <v>227</v>
      </c>
      <c r="K10" s="109" t="s">
        <v>207</v>
      </c>
    </row>
    <row r="11" spans="1:11" ht="40.5" customHeight="1" x14ac:dyDescent="0.75">
      <c r="A11" s="179"/>
      <c r="B11" s="181"/>
      <c r="C11" s="110" t="s">
        <v>228</v>
      </c>
      <c r="D11" s="111" t="s">
        <v>229</v>
      </c>
      <c r="E11" s="111" t="s">
        <v>200</v>
      </c>
      <c r="F11" s="111" t="s">
        <v>201</v>
      </c>
      <c r="G11" s="108" t="s">
        <v>200</v>
      </c>
      <c r="H11" s="108"/>
      <c r="I11" s="111" t="s">
        <v>201</v>
      </c>
      <c r="J11" s="108" t="s">
        <v>230</v>
      </c>
      <c r="K11" s="109" t="s">
        <v>201</v>
      </c>
    </row>
    <row r="12" spans="1:11" ht="40.5" customHeight="1" x14ac:dyDescent="0.75">
      <c r="A12" s="179"/>
      <c r="B12" s="106"/>
      <c r="C12" s="110" t="s">
        <v>173</v>
      </c>
      <c r="D12" s="111" t="s">
        <v>231</v>
      </c>
      <c r="E12" s="111" t="s">
        <v>199</v>
      </c>
      <c r="F12" s="111"/>
      <c r="G12" s="108" t="s">
        <v>204</v>
      </c>
      <c r="H12" s="108"/>
      <c r="I12" s="111" t="s">
        <v>209</v>
      </c>
      <c r="J12" s="108" t="s">
        <v>232</v>
      </c>
      <c r="K12" s="109" t="s">
        <v>207</v>
      </c>
    </row>
    <row r="13" spans="1:11" ht="40.5" customHeight="1" x14ac:dyDescent="0.75">
      <c r="A13" s="179"/>
      <c r="B13" s="182" t="s">
        <v>233</v>
      </c>
      <c r="C13" s="110" t="s">
        <v>234</v>
      </c>
      <c r="D13" s="111" t="s">
        <v>235</v>
      </c>
      <c r="E13" s="111" t="s">
        <v>217</v>
      </c>
      <c r="F13" s="111"/>
      <c r="G13" s="108" t="s">
        <v>200</v>
      </c>
      <c r="H13" s="108" t="s">
        <v>236</v>
      </c>
      <c r="I13" s="111" t="s">
        <v>205</v>
      </c>
      <c r="J13" s="108" t="s">
        <v>237</v>
      </c>
      <c r="K13" s="109" t="s">
        <v>207</v>
      </c>
    </row>
    <row r="14" spans="1:11" ht="40.5" customHeight="1" x14ac:dyDescent="0.75">
      <c r="A14" s="179"/>
      <c r="B14" s="183"/>
      <c r="C14" s="110" t="s">
        <v>174</v>
      </c>
      <c r="D14" s="111" t="s">
        <v>238</v>
      </c>
      <c r="E14" s="111" t="s">
        <v>199</v>
      </c>
      <c r="F14" s="111"/>
      <c r="G14" s="108" t="s">
        <v>204</v>
      </c>
      <c r="H14" s="108"/>
      <c r="I14" s="111" t="s">
        <v>239</v>
      </c>
      <c r="J14" s="108" t="s">
        <v>240</v>
      </c>
      <c r="K14" s="111" t="s">
        <v>207</v>
      </c>
    </row>
    <row r="15" spans="1:11" ht="40.5" customHeight="1" thickBot="1" x14ac:dyDescent="0.9">
      <c r="A15" s="180"/>
      <c r="B15" s="184"/>
      <c r="C15" s="110" t="s">
        <v>175</v>
      </c>
      <c r="D15" s="111" t="s">
        <v>241</v>
      </c>
      <c r="E15" s="111" t="s">
        <v>199</v>
      </c>
      <c r="F15" s="111"/>
      <c r="G15" s="108" t="s">
        <v>204</v>
      </c>
      <c r="H15" s="108"/>
      <c r="I15" s="111" t="s">
        <v>242</v>
      </c>
      <c r="J15" s="108" t="s">
        <v>243</v>
      </c>
      <c r="K15" s="111" t="s">
        <v>207</v>
      </c>
    </row>
    <row r="16" spans="1:11" ht="40.5" customHeight="1" thickBot="1" x14ac:dyDescent="0.9">
      <c r="B16" s="100" t="s">
        <v>244</v>
      </c>
      <c r="C16" s="113" t="s">
        <v>177</v>
      </c>
      <c r="D16" s="113"/>
      <c r="E16" s="113"/>
      <c r="F16" s="113"/>
      <c r="G16" s="104"/>
      <c r="H16" s="104"/>
      <c r="I16" s="113"/>
      <c r="J16" s="105"/>
      <c r="K16" s="113"/>
    </row>
    <row r="17" spans="1:14" ht="40.5" customHeight="1" x14ac:dyDescent="0.75">
      <c r="A17" s="185" t="s">
        <v>245</v>
      </c>
      <c r="B17" s="102"/>
      <c r="C17" s="107" t="s">
        <v>246</v>
      </c>
      <c r="D17" s="108" t="s">
        <v>247</v>
      </c>
      <c r="E17" s="108" t="s">
        <v>200</v>
      </c>
      <c r="F17" s="108" t="s">
        <v>201</v>
      </c>
      <c r="G17" s="108" t="s">
        <v>200</v>
      </c>
      <c r="H17" s="108"/>
      <c r="I17" s="108" t="s">
        <v>201</v>
      </c>
      <c r="J17" s="108" t="s">
        <v>248</v>
      </c>
      <c r="K17" s="109" t="s">
        <v>201</v>
      </c>
    </row>
    <row r="18" spans="1:14" ht="40.5" customHeight="1" x14ac:dyDescent="0.75">
      <c r="A18" s="186"/>
      <c r="B18" s="106"/>
      <c r="C18" s="110" t="s">
        <v>249</v>
      </c>
      <c r="D18" s="111" t="s">
        <v>250</v>
      </c>
      <c r="E18" s="111" t="s">
        <v>4</v>
      </c>
      <c r="F18" s="111"/>
      <c r="G18" s="108" t="s">
        <v>4</v>
      </c>
      <c r="H18" s="108" t="s">
        <v>226</v>
      </c>
      <c r="I18" s="111" t="s">
        <v>205</v>
      </c>
      <c r="J18" s="108" t="s">
        <v>251</v>
      </c>
      <c r="K18" s="109" t="s">
        <v>201</v>
      </c>
    </row>
    <row r="19" spans="1:14" s="115" customFormat="1" ht="40.5" customHeight="1" x14ac:dyDescent="0.75">
      <c r="A19" s="186"/>
      <c r="B19" s="114"/>
      <c r="C19" s="107" t="s">
        <v>252</v>
      </c>
      <c r="D19" s="108" t="s">
        <v>253</v>
      </c>
      <c r="E19" s="111" t="s">
        <v>217</v>
      </c>
      <c r="F19" s="111" t="s">
        <v>201</v>
      </c>
      <c r="G19" s="108" t="s">
        <v>200</v>
      </c>
      <c r="H19" s="111" t="s">
        <v>254</v>
      </c>
      <c r="I19" s="108" t="s">
        <v>201</v>
      </c>
      <c r="J19" s="108" t="s">
        <v>255</v>
      </c>
      <c r="K19" s="109" t="s">
        <v>256</v>
      </c>
      <c r="L19" s="99"/>
      <c r="M19" s="99"/>
      <c r="N19" s="99"/>
    </row>
    <row r="20" spans="1:14" ht="40.5" customHeight="1" x14ac:dyDescent="0.75">
      <c r="A20" s="186"/>
      <c r="B20" s="106"/>
      <c r="C20" s="110" t="s">
        <v>257</v>
      </c>
      <c r="D20" s="111" t="s">
        <v>258</v>
      </c>
      <c r="E20" s="111" t="s">
        <v>199</v>
      </c>
      <c r="F20" s="111" t="s">
        <v>201</v>
      </c>
      <c r="G20" s="111" t="s">
        <v>204</v>
      </c>
      <c r="H20" s="111"/>
      <c r="I20" s="111" t="s">
        <v>201</v>
      </c>
      <c r="J20" s="108" t="s">
        <v>259</v>
      </c>
      <c r="K20" s="116" t="s">
        <v>201</v>
      </c>
    </row>
    <row r="21" spans="1:14" ht="40.5" customHeight="1" x14ac:dyDescent="0.75">
      <c r="A21" s="186"/>
      <c r="B21" s="106"/>
      <c r="C21" s="110" t="s">
        <v>260</v>
      </c>
      <c r="D21" s="111" t="s">
        <v>261</v>
      </c>
      <c r="E21" s="111" t="s">
        <v>217</v>
      </c>
      <c r="F21" s="111"/>
      <c r="G21" s="108" t="s">
        <v>200</v>
      </c>
      <c r="H21" s="108" t="s">
        <v>262</v>
      </c>
      <c r="I21" s="111" t="s">
        <v>205</v>
      </c>
      <c r="J21" s="108" t="s">
        <v>263</v>
      </c>
      <c r="K21" s="109" t="s">
        <v>201</v>
      </c>
    </row>
    <row r="22" spans="1:14" s="119" customFormat="1" ht="40.5" customHeight="1" x14ac:dyDescent="0.75">
      <c r="A22" s="186"/>
      <c r="B22" s="117"/>
      <c r="C22" s="107" t="s">
        <v>264</v>
      </c>
      <c r="D22" s="108" t="s">
        <v>265</v>
      </c>
      <c r="E22" s="111" t="s">
        <v>199</v>
      </c>
      <c r="F22" s="111"/>
      <c r="G22" s="108" t="s">
        <v>204</v>
      </c>
      <c r="H22" s="108"/>
      <c r="I22" s="108" t="s">
        <v>266</v>
      </c>
      <c r="J22" s="108" t="s">
        <v>267</v>
      </c>
      <c r="K22" s="118" t="s">
        <v>201</v>
      </c>
    </row>
    <row r="23" spans="1:14" ht="40.5" customHeight="1" x14ac:dyDescent="0.75">
      <c r="A23" s="186"/>
      <c r="B23" s="106"/>
      <c r="C23" s="110" t="s">
        <v>268</v>
      </c>
      <c r="D23" s="111" t="s">
        <v>269</v>
      </c>
      <c r="E23" s="111" t="s">
        <v>4</v>
      </c>
      <c r="F23" s="111"/>
      <c r="G23" s="108" t="s">
        <v>4</v>
      </c>
      <c r="H23" s="108" t="s">
        <v>226</v>
      </c>
      <c r="I23" s="111" t="s">
        <v>270</v>
      </c>
      <c r="J23" s="108" t="s">
        <v>271</v>
      </c>
      <c r="K23" s="111" t="s">
        <v>207</v>
      </c>
    </row>
    <row r="24" spans="1:14" ht="40.5" customHeight="1" x14ac:dyDescent="0.75">
      <c r="A24" s="186"/>
      <c r="B24" s="106"/>
      <c r="C24" s="110" t="s">
        <v>272</v>
      </c>
      <c r="D24" s="111" t="s">
        <v>273</v>
      </c>
      <c r="E24" s="111" t="s">
        <v>217</v>
      </c>
      <c r="F24" s="111" t="s">
        <v>201</v>
      </c>
      <c r="G24" s="108" t="s">
        <v>204</v>
      </c>
      <c r="H24" s="108" t="s">
        <v>274</v>
      </c>
      <c r="I24" s="111" t="s">
        <v>201</v>
      </c>
      <c r="J24" s="108" t="s">
        <v>275</v>
      </c>
      <c r="K24" s="109" t="s">
        <v>201</v>
      </c>
    </row>
    <row r="25" spans="1:14" ht="40.5" customHeight="1" x14ac:dyDescent="0.75">
      <c r="A25" s="186"/>
      <c r="B25" s="106"/>
      <c r="C25" s="110" t="s">
        <v>177</v>
      </c>
      <c r="D25" s="111" t="s">
        <v>276</v>
      </c>
      <c r="E25" s="111" t="s">
        <v>217</v>
      </c>
      <c r="F25" s="111"/>
      <c r="G25" s="108" t="s">
        <v>204</v>
      </c>
      <c r="H25" s="108" t="s">
        <v>277</v>
      </c>
      <c r="I25" s="111" t="s">
        <v>205</v>
      </c>
      <c r="J25" s="108" t="s">
        <v>278</v>
      </c>
      <c r="K25" s="109" t="s">
        <v>201</v>
      </c>
    </row>
    <row r="26" spans="1:14" ht="40.5" customHeight="1" x14ac:dyDescent="0.75">
      <c r="A26" s="186"/>
      <c r="B26" s="106"/>
      <c r="C26" s="110" t="s">
        <v>279</v>
      </c>
      <c r="D26" s="111" t="s">
        <v>280</v>
      </c>
      <c r="E26" s="111" t="s">
        <v>217</v>
      </c>
      <c r="F26" s="111" t="s">
        <v>201</v>
      </c>
      <c r="G26" s="108" t="s">
        <v>200</v>
      </c>
      <c r="H26" s="108"/>
      <c r="I26" s="111" t="s">
        <v>201</v>
      </c>
      <c r="J26" s="108" t="s">
        <v>281</v>
      </c>
      <c r="K26" s="109" t="s">
        <v>207</v>
      </c>
    </row>
    <row r="27" spans="1:14" ht="40.5" customHeight="1" x14ac:dyDescent="0.75">
      <c r="A27" s="186"/>
      <c r="B27" s="106"/>
      <c r="C27" s="110" t="s">
        <v>282</v>
      </c>
      <c r="D27" s="111" t="s">
        <v>283</v>
      </c>
      <c r="E27" s="111" t="s">
        <v>199</v>
      </c>
      <c r="F27" s="111"/>
      <c r="G27" s="108" t="s">
        <v>204</v>
      </c>
      <c r="H27" s="108"/>
      <c r="I27" s="111" t="s">
        <v>209</v>
      </c>
      <c r="J27" s="108" t="s">
        <v>284</v>
      </c>
      <c r="K27" s="109" t="s">
        <v>201</v>
      </c>
    </row>
    <row r="28" spans="1:14" ht="40.5" customHeight="1" x14ac:dyDescent="0.75">
      <c r="A28" s="186"/>
      <c r="B28" s="106"/>
      <c r="C28" s="110" t="s">
        <v>285</v>
      </c>
      <c r="D28" s="108" t="s">
        <v>286</v>
      </c>
      <c r="E28" s="111" t="s">
        <v>217</v>
      </c>
      <c r="F28" s="111"/>
      <c r="G28" s="108" t="s">
        <v>204</v>
      </c>
      <c r="H28" s="108" t="s">
        <v>287</v>
      </c>
      <c r="I28" s="111" t="s">
        <v>205</v>
      </c>
      <c r="J28" s="108" t="s">
        <v>288</v>
      </c>
      <c r="K28" s="109" t="s">
        <v>201</v>
      </c>
    </row>
    <row r="29" spans="1:14" ht="40.5" customHeight="1" x14ac:dyDescent="0.75">
      <c r="A29" s="186"/>
      <c r="B29" s="106"/>
      <c r="C29" s="110" t="s">
        <v>289</v>
      </c>
      <c r="D29" s="111" t="s">
        <v>290</v>
      </c>
      <c r="E29" s="111" t="s">
        <v>199</v>
      </c>
      <c r="F29" s="111"/>
      <c r="G29" s="108" t="s">
        <v>204</v>
      </c>
      <c r="H29" s="108"/>
      <c r="I29" s="111" t="s">
        <v>209</v>
      </c>
      <c r="J29" s="108" t="s">
        <v>291</v>
      </c>
      <c r="K29" s="109" t="s">
        <v>201</v>
      </c>
    </row>
    <row r="30" spans="1:14" ht="40.5" customHeight="1" x14ac:dyDescent="0.75">
      <c r="A30" s="186"/>
      <c r="B30" s="106"/>
      <c r="C30" s="110" t="s">
        <v>292</v>
      </c>
      <c r="D30" s="111" t="s">
        <v>293</v>
      </c>
      <c r="E30" s="111" t="s">
        <v>217</v>
      </c>
      <c r="F30" s="111"/>
      <c r="G30" s="108" t="s">
        <v>200</v>
      </c>
      <c r="H30" s="108" t="s">
        <v>294</v>
      </c>
      <c r="I30" s="108" t="s">
        <v>201</v>
      </c>
      <c r="J30" s="108" t="s">
        <v>295</v>
      </c>
      <c r="K30" s="109" t="s">
        <v>201</v>
      </c>
    </row>
    <row r="31" spans="1:14" ht="40.5" customHeight="1" x14ac:dyDescent="0.75">
      <c r="A31" s="186"/>
      <c r="B31" s="106"/>
      <c r="C31" s="110" t="s">
        <v>296</v>
      </c>
      <c r="D31" s="111" t="s">
        <v>297</v>
      </c>
      <c r="E31" s="111" t="s">
        <v>217</v>
      </c>
      <c r="F31" s="111"/>
      <c r="G31" s="108" t="s">
        <v>200</v>
      </c>
      <c r="H31" s="108" t="s">
        <v>298</v>
      </c>
      <c r="I31" s="108" t="s">
        <v>201</v>
      </c>
      <c r="J31" s="108" t="s">
        <v>299</v>
      </c>
      <c r="K31" s="109" t="s">
        <v>201</v>
      </c>
    </row>
    <row r="32" spans="1:14" ht="40.5" customHeight="1" x14ac:dyDescent="0.75">
      <c r="A32" s="186"/>
      <c r="B32" s="106"/>
      <c r="C32" s="110" t="s">
        <v>300</v>
      </c>
      <c r="D32" s="111" t="s">
        <v>301</v>
      </c>
      <c r="E32" s="111" t="s">
        <v>217</v>
      </c>
      <c r="F32" s="111"/>
      <c r="G32" s="108" t="s">
        <v>200</v>
      </c>
      <c r="H32" s="108" t="s">
        <v>302</v>
      </c>
      <c r="I32" s="108" t="s">
        <v>303</v>
      </c>
      <c r="J32" s="108"/>
      <c r="K32" s="109" t="s">
        <v>207</v>
      </c>
    </row>
    <row r="33" spans="1:11" ht="40.5" customHeight="1" x14ac:dyDescent="0.75">
      <c r="A33" s="186"/>
      <c r="B33" s="106"/>
      <c r="C33" s="110" t="s">
        <v>304</v>
      </c>
      <c r="D33" s="111" t="s">
        <v>305</v>
      </c>
      <c r="E33" s="111" t="s">
        <v>217</v>
      </c>
      <c r="F33" s="111"/>
      <c r="G33" s="108" t="s">
        <v>204</v>
      </c>
      <c r="H33" s="108"/>
      <c r="I33" s="111" t="s">
        <v>306</v>
      </c>
      <c r="J33" s="108" t="s">
        <v>307</v>
      </c>
      <c r="K33" s="109" t="s">
        <v>201</v>
      </c>
    </row>
    <row r="34" spans="1:11" ht="40.5" customHeight="1" x14ac:dyDescent="0.75">
      <c r="A34" s="186"/>
      <c r="B34" s="106"/>
      <c r="C34" s="110" t="s">
        <v>308</v>
      </c>
      <c r="D34" s="111" t="s">
        <v>309</v>
      </c>
      <c r="E34" s="111" t="s">
        <v>199</v>
      </c>
      <c r="F34" s="111"/>
      <c r="G34" s="108" t="s">
        <v>204</v>
      </c>
      <c r="H34" s="108"/>
      <c r="I34" s="111" t="s">
        <v>310</v>
      </c>
      <c r="J34" s="108" t="s">
        <v>311</v>
      </c>
      <c r="K34" s="109" t="s">
        <v>201</v>
      </c>
    </row>
    <row r="35" spans="1:11" ht="40.5" customHeight="1" x14ac:dyDescent="0.75">
      <c r="A35" s="186"/>
      <c r="B35" s="106"/>
      <c r="C35" s="110" t="s">
        <v>312</v>
      </c>
      <c r="D35" s="111" t="s">
        <v>313</v>
      </c>
      <c r="E35" s="111" t="s">
        <v>199</v>
      </c>
      <c r="F35" s="111"/>
      <c r="G35" s="108" t="s">
        <v>204</v>
      </c>
      <c r="H35" s="108"/>
      <c r="I35" s="111" t="s">
        <v>209</v>
      </c>
      <c r="J35" s="108" t="s">
        <v>314</v>
      </c>
      <c r="K35" s="109" t="s">
        <v>201</v>
      </c>
    </row>
    <row r="36" spans="1:11" ht="40.5" customHeight="1" x14ac:dyDescent="0.75">
      <c r="A36" s="186"/>
      <c r="B36" s="106"/>
      <c r="C36" s="110" t="s">
        <v>315</v>
      </c>
      <c r="D36" s="111" t="s">
        <v>316</v>
      </c>
      <c r="E36" s="111" t="s">
        <v>199</v>
      </c>
      <c r="F36" s="111"/>
      <c r="G36" s="108" t="s">
        <v>204</v>
      </c>
      <c r="H36" s="108"/>
      <c r="I36" s="111" t="s">
        <v>209</v>
      </c>
      <c r="J36" s="108" t="s">
        <v>317</v>
      </c>
      <c r="K36" s="109" t="s">
        <v>201</v>
      </c>
    </row>
    <row r="37" spans="1:11" ht="40.5" customHeight="1" x14ac:dyDescent="0.75">
      <c r="A37" s="186"/>
      <c r="B37" s="106"/>
      <c r="C37" s="110" t="s">
        <v>318</v>
      </c>
      <c r="D37" s="111" t="s">
        <v>319</v>
      </c>
      <c r="E37" s="111" t="s">
        <v>199</v>
      </c>
      <c r="F37" s="111"/>
      <c r="G37" s="108" t="s">
        <v>204</v>
      </c>
      <c r="H37" s="108"/>
      <c r="I37" s="111" t="s">
        <v>209</v>
      </c>
      <c r="J37" s="108" t="s">
        <v>320</v>
      </c>
      <c r="K37" s="109" t="s">
        <v>201</v>
      </c>
    </row>
    <row r="38" spans="1:11" ht="40.5" customHeight="1" x14ac:dyDescent="0.75">
      <c r="A38" s="186"/>
      <c r="B38" s="106"/>
      <c r="C38" s="110" t="s">
        <v>321</v>
      </c>
      <c r="D38" s="111" t="s">
        <v>322</v>
      </c>
      <c r="E38" s="111" t="s">
        <v>217</v>
      </c>
      <c r="F38" s="111"/>
      <c r="G38" s="108" t="s">
        <v>200</v>
      </c>
      <c r="H38" s="120" t="s">
        <v>323</v>
      </c>
      <c r="I38" s="111" t="s">
        <v>205</v>
      </c>
      <c r="J38" s="108" t="s">
        <v>324</v>
      </c>
      <c r="K38" s="109" t="s">
        <v>201</v>
      </c>
    </row>
    <row r="39" spans="1:11" ht="40.5" customHeight="1" x14ac:dyDescent="0.75">
      <c r="A39" s="186"/>
      <c r="B39" s="106"/>
      <c r="C39" s="110" t="s">
        <v>325</v>
      </c>
      <c r="D39" s="108" t="s">
        <v>326</v>
      </c>
      <c r="E39" s="111" t="s">
        <v>217</v>
      </c>
      <c r="F39" s="111"/>
      <c r="G39" s="108" t="s">
        <v>204</v>
      </c>
      <c r="H39" s="108" t="s">
        <v>327</v>
      </c>
      <c r="I39" s="108" t="s">
        <v>328</v>
      </c>
      <c r="J39" s="108" t="s">
        <v>329</v>
      </c>
      <c r="K39" s="109" t="s">
        <v>201</v>
      </c>
    </row>
    <row r="40" spans="1:11" ht="40.5" customHeight="1" x14ac:dyDescent="0.75">
      <c r="A40" s="186"/>
      <c r="B40" s="106"/>
      <c r="C40" s="110" t="s">
        <v>330</v>
      </c>
      <c r="D40" s="108" t="s">
        <v>331</v>
      </c>
      <c r="E40" s="111" t="s">
        <v>199</v>
      </c>
      <c r="F40" s="111"/>
      <c r="G40" s="108" t="s">
        <v>204</v>
      </c>
      <c r="H40" s="108"/>
      <c r="I40" s="108" t="s">
        <v>332</v>
      </c>
      <c r="J40" s="108" t="s">
        <v>333</v>
      </c>
      <c r="K40" s="109" t="s">
        <v>201</v>
      </c>
    </row>
    <row r="41" spans="1:11" ht="40.5" customHeight="1" x14ac:dyDescent="0.75">
      <c r="A41" s="186"/>
      <c r="B41" s="121" t="s">
        <v>334</v>
      </c>
      <c r="C41" s="110" t="s">
        <v>335</v>
      </c>
      <c r="D41" s="111" t="s">
        <v>336</v>
      </c>
      <c r="E41" s="111" t="s">
        <v>217</v>
      </c>
      <c r="F41" s="111"/>
      <c r="G41" s="108" t="s">
        <v>200</v>
      </c>
      <c r="H41" s="108" t="s">
        <v>323</v>
      </c>
      <c r="I41" s="111" t="s">
        <v>205</v>
      </c>
      <c r="J41" s="108" t="s">
        <v>337</v>
      </c>
      <c r="K41" s="109" t="s">
        <v>201</v>
      </c>
    </row>
    <row r="42" spans="1:11" ht="40.5" customHeight="1" x14ac:dyDescent="0.75">
      <c r="A42" s="186"/>
      <c r="B42" s="121" t="s">
        <v>338</v>
      </c>
      <c r="C42" s="122" t="s">
        <v>339</v>
      </c>
      <c r="D42" s="120" t="s">
        <v>340</v>
      </c>
      <c r="E42" s="108" t="s">
        <v>341</v>
      </c>
      <c r="F42" s="108"/>
      <c r="G42" s="108" t="s">
        <v>204</v>
      </c>
      <c r="H42" s="118"/>
      <c r="I42" s="108" t="s">
        <v>342</v>
      </c>
      <c r="J42" s="120" t="s">
        <v>343</v>
      </c>
      <c r="K42" s="109" t="s">
        <v>201</v>
      </c>
    </row>
    <row r="43" spans="1:11" ht="40.5" customHeight="1" thickBot="1" x14ac:dyDescent="0.9">
      <c r="A43" s="187"/>
      <c r="B43" s="123"/>
      <c r="C43" s="110" t="s">
        <v>344</v>
      </c>
      <c r="D43" s="111" t="s">
        <v>345</v>
      </c>
      <c r="E43" s="108" t="s">
        <v>341</v>
      </c>
      <c r="F43" s="108"/>
      <c r="G43" s="108" t="s">
        <v>204</v>
      </c>
      <c r="H43" s="108" t="s">
        <v>346</v>
      </c>
      <c r="I43" s="111" t="s">
        <v>209</v>
      </c>
      <c r="J43" s="108" t="s">
        <v>347</v>
      </c>
      <c r="K43" s="111" t="s">
        <v>201</v>
      </c>
    </row>
    <row r="44" spans="1:11" ht="130.25" thickBot="1" x14ac:dyDescent="0.9">
      <c r="B44" s="100" t="s">
        <v>348</v>
      </c>
      <c r="C44" s="124" t="s">
        <v>178</v>
      </c>
      <c r="D44" s="125"/>
      <c r="E44" s="125"/>
      <c r="F44" s="125"/>
      <c r="G44" s="126"/>
      <c r="H44" s="126"/>
      <c r="I44" s="127"/>
      <c r="J44" s="105"/>
      <c r="K44" s="125"/>
    </row>
    <row r="45" spans="1:11" ht="40.5" customHeight="1" x14ac:dyDescent="0.75">
      <c r="A45" s="128"/>
      <c r="B45" s="129" t="s">
        <v>349</v>
      </c>
      <c r="C45" s="107" t="s">
        <v>246</v>
      </c>
      <c r="D45" s="108" t="s">
        <v>247</v>
      </c>
      <c r="E45" s="108" t="s">
        <v>200</v>
      </c>
      <c r="F45" s="108" t="s">
        <v>201</v>
      </c>
      <c r="G45" s="108" t="s">
        <v>200</v>
      </c>
      <c r="H45" s="108"/>
      <c r="I45" s="108" t="s">
        <v>201</v>
      </c>
      <c r="J45" s="108" t="s">
        <v>350</v>
      </c>
      <c r="K45" s="118" t="s">
        <v>207</v>
      </c>
    </row>
    <row r="46" spans="1:11" ht="40.5" customHeight="1" x14ac:dyDescent="0.75">
      <c r="A46" s="130"/>
      <c r="B46" s="182" t="s">
        <v>351</v>
      </c>
      <c r="C46" s="110" t="s">
        <v>352</v>
      </c>
      <c r="D46" s="111" t="s">
        <v>353</v>
      </c>
      <c r="E46" s="111" t="s">
        <v>217</v>
      </c>
      <c r="F46" s="111"/>
      <c r="G46" s="108" t="s">
        <v>200</v>
      </c>
      <c r="H46" s="108" t="s">
        <v>354</v>
      </c>
      <c r="I46" s="111" t="s">
        <v>205</v>
      </c>
      <c r="J46" s="108" t="s">
        <v>355</v>
      </c>
      <c r="K46" s="109" t="s">
        <v>201</v>
      </c>
    </row>
    <row r="47" spans="1:11" ht="40.5" customHeight="1" x14ac:dyDescent="0.75">
      <c r="A47" s="130"/>
      <c r="B47" s="183"/>
      <c r="C47" s="110" t="s">
        <v>356</v>
      </c>
      <c r="D47" s="111" t="s">
        <v>357</v>
      </c>
      <c r="E47" s="111" t="s">
        <v>199</v>
      </c>
      <c r="F47" s="111"/>
      <c r="G47" s="108" t="s">
        <v>204</v>
      </c>
      <c r="H47" s="108"/>
      <c r="I47" s="108" t="s">
        <v>358</v>
      </c>
      <c r="J47" s="108" t="s">
        <v>359</v>
      </c>
      <c r="K47" s="109" t="s">
        <v>201</v>
      </c>
    </row>
    <row r="48" spans="1:11" ht="40.5" customHeight="1" x14ac:dyDescent="0.75">
      <c r="A48" s="130"/>
      <c r="B48" s="184"/>
      <c r="C48" s="110" t="s">
        <v>360</v>
      </c>
      <c r="D48" s="111" t="s">
        <v>361</v>
      </c>
      <c r="E48" s="111" t="s">
        <v>199</v>
      </c>
      <c r="F48" s="111"/>
      <c r="G48" s="108" t="s">
        <v>204</v>
      </c>
      <c r="H48" s="108"/>
      <c r="I48" s="108" t="s">
        <v>362</v>
      </c>
      <c r="J48" s="108" t="s">
        <v>363</v>
      </c>
      <c r="K48" s="109" t="s">
        <v>201</v>
      </c>
    </row>
    <row r="49" spans="1:11" ht="40.5" customHeight="1" x14ac:dyDescent="0.75">
      <c r="A49" s="130"/>
      <c r="B49" s="106"/>
      <c r="C49" s="110" t="s">
        <v>364</v>
      </c>
      <c r="D49" s="111" t="s">
        <v>365</v>
      </c>
      <c r="E49" s="111" t="s">
        <v>199</v>
      </c>
      <c r="F49" s="111"/>
      <c r="G49" s="108" t="s">
        <v>204</v>
      </c>
      <c r="H49" s="108"/>
      <c r="I49" s="108" t="s">
        <v>366</v>
      </c>
      <c r="J49" s="108" t="s">
        <v>367</v>
      </c>
      <c r="K49" s="109" t="s">
        <v>201</v>
      </c>
    </row>
    <row r="50" spans="1:11" ht="40.5" customHeight="1" x14ac:dyDescent="0.75">
      <c r="A50" s="130"/>
      <c r="B50" s="121"/>
      <c r="C50" s="110" t="s">
        <v>368</v>
      </c>
      <c r="D50" s="111" t="s">
        <v>369</v>
      </c>
      <c r="E50" s="111" t="s">
        <v>217</v>
      </c>
      <c r="F50" s="111"/>
      <c r="G50" s="108" t="s">
        <v>200</v>
      </c>
      <c r="H50" s="108" t="s">
        <v>298</v>
      </c>
      <c r="I50" s="111" t="s">
        <v>205</v>
      </c>
      <c r="J50" s="108" t="s">
        <v>370</v>
      </c>
      <c r="K50" s="109" t="s">
        <v>201</v>
      </c>
    </row>
    <row r="51" spans="1:11" ht="40.5" customHeight="1" x14ac:dyDescent="0.75">
      <c r="A51" s="130"/>
      <c r="B51" s="121"/>
      <c r="C51" s="110" t="s">
        <v>371</v>
      </c>
      <c r="D51" s="111" t="s">
        <v>180</v>
      </c>
      <c r="E51" s="111" t="s">
        <v>217</v>
      </c>
      <c r="F51" s="111"/>
      <c r="G51" s="108" t="s">
        <v>200</v>
      </c>
      <c r="H51" s="108" t="s">
        <v>323</v>
      </c>
      <c r="I51" s="111" t="s">
        <v>205</v>
      </c>
      <c r="J51" s="108" t="s">
        <v>372</v>
      </c>
      <c r="K51" s="109" t="s">
        <v>201</v>
      </c>
    </row>
    <row r="52" spans="1:11" ht="40.5" customHeight="1" x14ac:dyDescent="0.75">
      <c r="A52" s="130"/>
      <c r="B52" s="121"/>
      <c r="C52" s="110" t="s">
        <v>373</v>
      </c>
      <c r="D52" s="111" t="s">
        <v>374</v>
      </c>
      <c r="E52" s="111" t="s">
        <v>217</v>
      </c>
      <c r="F52" s="111"/>
      <c r="G52" s="108" t="s">
        <v>200</v>
      </c>
      <c r="H52" s="108" t="s">
        <v>298</v>
      </c>
      <c r="I52" s="111" t="s">
        <v>205</v>
      </c>
      <c r="J52" s="108" t="s">
        <v>375</v>
      </c>
      <c r="K52" s="109" t="s">
        <v>201</v>
      </c>
    </row>
    <row r="53" spans="1:11" ht="40.5" customHeight="1" x14ac:dyDescent="0.75">
      <c r="A53" s="130"/>
      <c r="B53" s="121"/>
      <c r="C53" s="110" t="s">
        <v>376</v>
      </c>
      <c r="D53" s="111" t="s">
        <v>377</v>
      </c>
      <c r="E53" s="111" t="s">
        <v>217</v>
      </c>
      <c r="F53" s="111"/>
      <c r="G53" s="108" t="s">
        <v>200</v>
      </c>
      <c r="H53" s="108" t="s">
        <v>378</v>
      </c>
      <c r="I53" s="111" t="s">
        <v>205</v>
      </c>
      <c r="J53" s="108" t="s">
        <v>379</v>
      </c>
      <c r="K53" s="109" t="s">
        <v>201</v>
      </c>
    </row>
    <row r="54" spans="1:11" ht="40.5" customHeight="1" x14ac:dyDescent="0.75">
      <c r="A54" s="130"/>
      <c r="B54" s="121"/>
      <c r="C54" s="110" t="s">
        <v>380</v>
      </c>
      <c r="D54" s="111" t="s">
        <v>381</v>
      </c>
      <c r="E54" s="111" t="s">
        <v>217</v>
      </c>
      <c r="F54" s="111"/>
      <c r="G54" s="108" t="s">
        <v>200</v>
      </c>
      <c r="H54" s="108" t="s">
        <v>378</v>
      </c>
      <c r="I54" s="111" t="s">
        <v>205</v>
      </c>
      <c r="J54" s="108" t="s">
        <v>382</v>
      </c>
      <c r="K54" s="109" t="s">
        <v>201</v>
      </c>
    </row>
    <row r="55" spans="1:11" ht="40.5" customHeight="1" x14ac:dyDescent="0.75">
      <c r="A55" s="130"/>
      <c r="B55" s="106"/>
      <c r="C55" s="110" t="s">
        <v>383</v>
      </c>
      <c r="D55" s="111" t="s">
        <v>384</v>
      </c>
      <c r="E55" s="111" t="s">
        <v>4</v>
      </c>
      <c r="F55" s="111"/>
      <c r="G55" s="108" t="s">
        <v>4</v>
      </c>
      <c r="H55" s="108" t="s">
        <v>226</v>
      </c>
      <c r="I55" s="111" t="s">
        <v>205</v>
      </c>
      <c r="J55" s="108" t="s">
        <v>385</v>
      </c>
      <c r="K55" s="109" t="s">
        <v>201</v>
      </c>
    </row>
    <row r="56" spans="1:11" ht="40.5" customHeight="1" x14ac:dyDescent="0.75">
      <c r="A56" s="130"/>
      <c r="B56" s="106"/>
      <c r="C56" s="107" t="s">
        <v>386</v>
      </c>
      <c r="D56" s="108" t="s">
        <v>387</v>
      </c>
      <c r="E56" s="111" t="s">
        <v>217</v>
      </c>
      <c r="F56" s="111"/>
      <c r="G56" s="108" t="s">
        <v>200</v>
      </c>
      <c r="H56" s="108" t="s">
        <v>388</v>
      </c>
      <c r="I56" s="108" t="s">
        <v>201</v>
      </c>
      <c r="J56" s="108" t="s">
        <v>389</v>
      </c>
      <c r="K56" s="109" t="s">
        <v>201</v>
      </c>
    </row>
    <row r="57" spans="1:11" ht="40.5" customHeight="1" x14ac:dyDescent="0.75">
      <c r="A57" s="130"/>
      <c r="B57" s="106"/>
      <c r="C57" s="107" t="s">
        <v>390</v>
      </c>
      <c r="D57" s="108" t="s">
        <v>391</v>
      </c>
      <c r="E57" s="111" t="s">
        <v>199</v>
      </c>
      <c r="F57" s="111"/>
      <c r="G57" s="108" t="s">
        <v>204</v>
      </c>
      <c r="H57" s="108"/>
      <c r="I57" s="108" t="s">
        <v>392</v>
      </c>
      <c r="J57" s="108" t="s">
        <v>393</v>
      </c>
      <c r="K57" s="109" t="s">
        <v>201</v>
      </c>
    </row>
    <row r="58" spans="1:11" ht="40.5" customHeight="1" thickBot="1" x14ac:dyDescent="0.9">
      <c r="A58" s="131"/>
      <c r="B58" s="123"/>
      <c r="C58" s="107" t="s">
        <v>394</v>
      </c>
      <c r="D58" s="108" t="s">
        <v>395</v>
      </c>
      <c r="E58" s="111" t="s">
        <v>217</v>
      </c>
      <c r="F58" s="111"/>
      <c r="G58" s="108" t="s">
        <v>200</v>
      </c>
      <c r="H58" s="108" t="s">
        <v>388</v>
      </c>
      <c r="I58" s="108" t="s">
        <v>201</v>
      </c>
      <c r="J58" s="108" t="s">
        <v>396</v>
      </c>
      <c r="K58" s="118" t="s">
        <v>201</v>
      </c>
    </row>
    <row r="59" spans="1:11" ht="40.5" customHeight="1" thickBot="1" x14ac:dyDescent="0.9">
      <c r="B59" s="132" t="s">
        <v>397</v>
      </c>
      <c r="C59" s="124" t="s">
        <v>368</v>
      </c>
      <c r="D59" s="125"/>
      <c r="E59" s="125"/>
      <c r="F59" s="125"/>
      <c r="G59" s="126"/>
      <c r="H59" s="126"/>
      <c r="I59" s="127"/>
      <c r="J59" s="105"/>
      <c r="K59" s="125"/>
    </row>
    <row r="60" spans="1:11" ht="40.5" customHeight="1" x14ac:dyDescent="0.75">
      <c r="A60" s="128"/>
      <c r="B60" s="129" t="s">
        <v>349</v>
      </c>
      <c r="C60" s="107" t="s">
        <v>246</v>
      </c>
      <c r="D60" s="108" t="s">
        <v>247</v>
      </c>
      <c r="E60" s="108" t="s">
        <v>200</v>
      </c>
      <c r="F60" s="108" t="s">
        <v>201</v>
      </c>
      <c r="G60" s="108" t="s">
        <v>200</v>
      </c>
      <c r="H60" s="108"/>
      <c r="I60" s="108" t="s">
        <v>201</v>
      </c>
      <c r="J60" s="108" t="s">
        <v>398</v>
      </c>
      <c r="K60" s="118" t="s">
        <v>207</v>
      </c>
    </row>
    <row r="61" spans="1:11" ht="40.5" customHeight="1" x14ac:dyDescent="0.75">
      <c r="A61" s="130"/>
      <c r="B61" s="106"/>
      <c r="C61" s="107" t="s">
        <v>399</v>
      </c>
      <c r="D61" s="108" t="s">
        <v>400</v>
      </c>
      <c r="E61" s="108" t="s">
        <v>200</v>
      </c>
      <c r="F61" s="108" t="s">
        <v>201</v>
      </c>
      <c r="G61" s="108" t="s">
        <v>200</v>
      </c>
      <c r="H61" s="108"/>
      <c r="I61" s="108" t="s">
        <v>201</v>
      </c>
      <c r="J61" s="108"/>
      <c r="K61" s="118" t="s">
        <v>207</v>
      </c>
    </row>
    <row r="62" spans="1:11" ht="40.5" customHeight="1" x14ac:dyDescent="0.75">
      <c r="A62" s="130"/>
      <c r="B62" s="106"/>
      <c r="C62" s="110" t="s">
        <v>401</v>
      </c>
      <c r="D62" s="111" t="s">
        <v>261</v>
      </c>
      <c r="E62" s="111" t="s">
        <v>217</v>
      </c>
      <c r="F62" s="111"/>
      <c r="G62" s="108" t="s">
        <v>200</v>
      </c>
      <c r="H62" s="108" t="s">
        <v>402</v>
      </c>
      <c r="I62" s="111" t="s">
        <v>205</v>
      </c>
      <c r="J62" s="108" t="s">
        <v>403</v>
      </c>
      <c r="K62" s="109" t="s">
        <v>201</v>
      </c>
    </row>
    <row r="63" spans="1:11" ht="40.5" customHeight="1" x14ac:dyDescent="0.75">
      <c r="A63" s="130"/>
      <c r="B63" s="106"/>
      <c r="C63" s="110" t="s">
        <v>264</v>
      </c>
      <c r="D63" s="111" t="s">
        <v>265</v>
      </c>
      <c r="E63" s="111" t="s">
        <v>199</v>
      </c>
      <c r="F63" s="111"/>
      <c r="G63" s="108" t="s">
        <v>204</v>
      </c>
      <c r="H63" s="108"/>
      <c r="I63" s="108" t="s">
        <v>404</v>
      </c>
      <c r="J63" s="108" t="s">
        <v>405</v>
      </c>
      <c r="K63" s="109" t="s">
        <v>201</v>
      </c>
    </row>
    <row r="64" spans="1:11" ht="40.5" customHeight="1" x14ac:dyDescent="0.75">
      <c r="A64" s="130"/>
      <c r="B64" s="106"/>
      <c r="C64" s="110" t="s">
        <v>406</v>
      </c>
      <c r="D64" s="111" t="s">
        <v>407</v>
      </c>
      <c r="E64" s="111" t="s">
        <v>4</v>
      </c>
      <c r="F64" s="111"/>
      <c r="G64" s="108" t="s">
        <v>4</v>
      </c>
      <c r="H64" s="108" t="s">
        <v>226</v>
      </c>
      <c r="I64" s="111" t="s">
        <v>205</v>
      </c>
      <c r="J64" s="108" t="s">
        <v>408</v>
      </c>
      <c r="K64" s="109" t="s">
        <v>201</v>
      </c>
    </row>
    <row r="65" spans="1:11" ht="40.5" customHeight="1" x14ac:dyDescent="0.75">
      <c r="A65" s="130"/>
      <c r="B65" s="106"/>
      <c r="C65" s="110" t="s">
        <v>409</v>
      </c>
      <c r="D65" s="111" t="s">
        <v>410</v>
      </c>
      <c r="E65" s="111" t="s">
        <v>4</v>
      </c>
      <c r="F65" s="111"/>
      <c r="G65" s="108" t="s">
        <v>4</v>
      </c>
      <c r="H65" s="108" t="s">
        <v>226</v>
      </c>
      <c r="I65" s="111" t="s">
        <v>205</v>
      </c>
      <c r="J65" s="108" t="s">
        <v>411</v>
      </c>
      <c r="K65" s="109" t="s">
        <v>201</v>
      </c>
    </row>
    <row r="66" spans="1:11" ht="40.5" customHeight="1" x14ac:dyDescent="0.75">
      <c r="A66" s="130"/>
      <c r="B66" s="106"/>
      <c r="C66" s="110" t="s">
        <v>412</v>
      </c>
      <c r="D66" s="111" t="s">
        <v>413</v>
      </c>
      <c r="E66" s="111" t="s">
        <v>217</v>
      </c>
      <c r="F66" s="111"/>
      <c r="G66" s="108" t="s">
        <v>204</v>
      </c>
      <c r="H66" s="108"/>
      <c r="I66" s="111" t="s">
        <v>205</v>
      </c>
      <c r="J66" s="108" t="s">
        <v>414</v>
      </c>
      <c r="K66" s="109" t="s">
        <v>201</v>
      </c>
    </row>
    <row r="67" spans="1:11" ht="40.5" customHeight="1" x14ac:dyDescent="0.75">
      <c r="A67" s="130"/>
      <c r="B67" s="106"/>
      <c r="C67" s="110" t="s">
        <v>415</v>
      </c>
      <c r="D67" s="111" t="s">
        <v>416</v>
      </c>
      <c r="E67" s="111" t="s">
        <v>199</v>
      </c>
      <c r="F67" s="111"/>
      <c r="G67" s="108" t="s">
        <v>204</v>
      </c>
      <c r="H67" s="108"/>
      <c r="I67" s="111" t="s">
        <v>205</v>
      </c>
      <c r="J67" s="108" t="s">
        <v>417</v>
      </c>
      <c r="K67" s="109" t="s">
        <v>201</v>
      </c>
    </row>
    <row r="68" spans="1:11" ht="40.5" customHeight="1" x14ac:dyDescent="0.75">
      <c r="A68" s="130"/>
      <c r="B68" s="106"/>
      <c r="C68" s="110" t="s">
        <v>418</v>
      </c>
      <c r="D68" s="111" t="s">
        <v>419</v>
      </c>
      <c r="E68" s="111" t="s">
        <v>217</v>
      </c>
      <c r="F68" s="111"/>
      <c r="G68" s="108" t="s">
        <v>200</v>
      </c>
      <c r="H68" s="108" t="s">
        <v>420</v>
      </c>
      <c r="I68" s="133" t="s">
        <v>205</v>
      </c>
      <c r="J68" s="108" t="s">
        <v>421</v>
      </c>
      <c r="K68" s="109" t="s">
        <v>201</v>
      </c>
    </row>
    <row r="69" spans="1:11" ht="40.5" customHeight="1" x14ac:dyDescent="0.75">
      <c r="A69" s="130"/>
      <c r="B69" s="106"/>
      <c r="C69" s="110" t="s">
        <v>422</v>
      </c>
      <c r="D69" s="111" t="s">
        <v>423</v>
      </c>
      <c r="E69" s="111" t="s">
        <v>217</v>
      </c>
      <c r="F69" s="111"/>
      <c r="G69" s="108" t="s">
        <v>200</v>
      </c>
      <c r="H69" s="108" t="s">
        <v>424</v>
      </c>
      <c r="I69" s="111" t="s">
        <v>205</v>
      </c>
      <c r="J69" s="108" t="s">
        <v>425</v>
      </c>
      <c r="K69" s="109" t="s">
        <v>201</v>
      </c>
    </row>
    <row r="70" spans="1:11" ht="40.5" customHeight="1" x14ac:dyDescent="0.75">
      <c r="A70" s="130"/>
      <c r="B70" s="121"/>
      <c r="C70" s="107" t="s">
        <v>426</v>
      </c>
      <c r="D70" s="108" t="s">
        <v>427</v>
      </c>
      <c r="E70" s="111" t="s">
        <v>217</v>
      </c>
      <c r="F70" s="111"/>
      <c r="G70" s="108" t="s">
        <v>200</v>
      </c>
      <c r="H70" s="108" t="s">
        <v>298</v>
      </c>
      <c r="I70" s="108" t="s">
        <v>201</v>
      </c>
      <c r="J70" s="108" t="s">
        <v>428</v>
      </c>
      <c r="K70" s="118" t="s">
        <v>201</v>
      </c>
    </row>
    <row r="71" spans="1:11" s="119" customFormat="1" ht="40.5" customHeight="1" x14ac:dyDescent="0.75">
      <c r="A71" s="134"/>
      <c r="B71" s="117"/>
      <c r="C71" s="107" t="s">
        <v>429</v>
      </c>
      <c r="D71" s="108" t="s">
        <v>430</v>
      </c>
      <c r="E71" s="108" t="s">
        <v>431</v>
      </c>
      <c r="F71" s="108"/>
      <c r="G71" s="108" t="s">
        <v>200</v>
      </c>
      <c r="H71" s="111" t="s">
        <v>432</v>
      </c>
      <c r="I71" s="108" t="s">
        <v>207</v>
      </c>
      <c r="J71" s="108" t="s">
        <v>433</v>
      </c>
      <c r="K71" s="118" t="s">
        <v>207</v>
      </c>
    </row>
    <row r="72" spans="1:11" s="119" customFormat="1" ht="40.5" customHeight="1" x14ac:dyDescent="0.75">
      <c r="A72" s="134"/>
      <c r="B72" s="117"/>
      <c r="C72" s="107" t="s">
        <v>434</v>
      </c>
      <c r="D72" s="108" t="s">
        <v>435</v>
      </c>
      <c r="E72" s="111" t="s">
        <v>199</v>
      </c>
      <c r="F72" s="111"/>
      <c r="G72" s="108" t="s">
        <v>204</v>
      </c>
      <c r="H72" s="108"/>
      <c r="I72" s="111" t="s">
        <v>436</v>
      </c>
      <c r="J72" s="108" t="s">
        <v>437</v>
      </c>
      <c r="K72" s="118" t="s">
        <v>207</v>
      </c>
    </row>
    <row r="73" spans="1:11" ht="40.5" customHeight="1" x14ac:dyDescent="0.75">
      <c r="A73" s="130"/>
      <c r="B73" s="106"/>
      <c r="C73" s="110" t="s">
        <v>438</v>
      </c>
      <c r="D73" s="111" t="s">
        <v>439</v>
      </c>
      <c r="E73" s="111" t="s">
        <v>217</v>
      </c>
      <c r="F73" s="111"/>
      <c r="G73" s="108" t="s">
        <v>200</v>
      </c>
      <c r="H73" s="108" t="s">
        <v>323</v>
      </c>
      <c r="I73" s="111" t="s">
        <v>205</v>
      </c>
      <c r="J73" s="108" t="s">
        <v>440</v>
      </c>
      <c r="K73" s="109" t="s">
        <v>201</v>
      </c>
    </row>
    <row r="74" spans="1:11" ht="40.5" customHeight="1" x14ac:dyDescent="0.75">
      <c r="A74" s="130"/>
      <c r="B74" s="106"/>
      <c r="C74" s="110" t="s">
        <v>441</v>
      </c>
      <c r="D74" s="111" t="s">
        <v>442</v>
      </c>
      <c r="E74" s="111" t="s">
        <v>199</v>
      </c>
      <c r="F74" s="111"/>
      <c r="G74" s="108" t="s">
        <v>204</v>
      </c>
      <c r="H74" s="108"/>
      <c r="I74" s="108" t="s">
        <v>443</v>
      </c>
      <c r="J74" s="108" t="s">
        <v>444</v>
      </c>
      <c r="K74" s="111" t="s">
        <v>445</v>
      </c>
    </row>
    <row r="75" spans="1:11" ht="40.5" customHeight="1" x14ac:dyDescent="0.75">
      <c r="A75" s="130"/>
      <c r="B75" s="106"/>
      <c r="C75" s="107" t="s">
        <v>446</v>
      </c>
      <c r="D75" s="108" t="s">
        <v>447</v>
      </c>
      <c r="E75" s="111" t="s">
        <v>199</v>
      </c>
      <c r="F75" s="111"/>
      <c r="G75" s="108" t="s">
        <v>204</v>
      </c>
      <c r="H75" s="108"/>
      <c r="I75" s="108" t="s">
        <v>443</v>
      </c>
      <c r="J75" s="108" t="s">
        <v>448</v>
      </c>
      <c r="K75" s="109" t="s">
        <v>201</v>
      </c>
    </row>
    <row r="76" spans="1:11" ht="40.5" customHeight="1" x14ac:dyDescent="0.75">
      <c r="A76" s="130"/>
      <c r="B76" s="106"/>
      <c r="C76" s="110" t="s">
        <v>449</v>
      </c>
      <c r="D76" s="111" t="s">
        <v>450</v>
      </c>
      <c r="E76" s="111" t="s">
        <v>217</v>
      </c>
      <c r="F76" s="111"/>
      <c r="G76" s="108" t="s">
        <v>200</v>
      </c>
      <c r="H76" s="108" t="s">
        <v>451</v>
      </c>
      <c r="I76" s="111" t="s">
        <v>205</v>
      </c>
      <c r="J76" s="108" t="s">
        <v>452</v>
      </c>
      <c r="K76" s="109" t="s">
        <v>201</v>
      </c>
    </row>
    <row r="77" spans="1:11" ht="40.5" customHeight="1" thickBot="1" x14ac:dyDescent="0.9">
      <c r="A77" s="131"/>
      <c r="B77" s="123"/>
      <c r="C77" s="110" t="s">
        <v>453</v>
      </c>
      <c r="D77" s="111" t="s">
        <v>454</v>
      </c>
      <c r="E77" s="108" t="s">
        <v>341</v>
      </c>
      <c r="F77" s="108"/>
      <c r="G77" s="108" t="s">
        <v>204</v>
      </c>
      <c r="H77" s="108"/>
      <c r="I77" s="108" t="s">
        <v>455</v>
      </c>
      <c r="J77" s="108" t="s">
        <v>456</v>
      </c>
      <c r="K77" s="109" t="s">
        <v>201</v>
      </c>
    </row>
    <row r="78" spans="1:11" ht="40.5" customHeight="1" x14ac:dyDescent="0.75">
      <c r="B78" s="100" t="s">
        <v>457</v>
      </c>
      <c r="C78" s="124" t="s">
        <v>180</v>
      </c>
      <c r="D78" s="125"/>
      <c r="E78" s="125"/>
      <c r="F78" s="125"/>
      <c r="G78" s="126"/>
      <c r="H78" s="126"/>
      <c r="I78" s="127"/>
      <c r="J78" s="105"/>
      <c r="K78" s="125"/>
    </row>
    <row r="79" spans="1:11" ht="40.5" customHeight="1" x14ac:dyDescent="0.75">
      <c r="B79" s="100" t="s">
        <v>458</v>
      </c>
      <c r="C79" s="108" t="s">
        <v>246</v>
      </c>
      <c r="D79" s="108" t="s">
        <v>247</v>
      </c>
      <c r="E79" s="108" t="s">
        <v>200</v>
      </c>
      <c r="F79" s="108" t="s">
        <v>201</v>
      </c>
      <c r="G79" s="108" t="s">
        <v>200</v>
      </c>
      <c r="H79" s="108"/>
      <c r="I79" s="108" t="s">
        <v>201</v>
      </c>
      <c r="J79" s="108" t="s">
        <v>459</v>
      </c>
      <c r="K79" s="118" t="s">
        <v>207</v>
      </c>
    </row>
    <row r="80" spans="1:11" ht="40.5" customHeight="1" x14ac:dyDescent="0.75">
      <c r="C80" s="108" t="s">
        <v>399</v>
      </c>
      <c r="D80" s="108" t="s">
        <v>400</v>
      </c>
      <c r="E80" s="108" t="s">
        <v>200</v>
      </c>
      <c r="F80" s="108" t="s">
        <v>201</v>
      </c>
      <c r="G80" s="108" t="s">
        <v>200</v>
      </c>
      <c r="H80" s="108"/>
      <c r="I80" s="108" t="s">
        <v>201</v>
      </c>
      <c r="J80" s="108"/>
      <c r="K80" s="118" t="s">
        <v>207</v>
      </c>
    </row>
    <row r="81" spans="2:11" ht="40.5" customHeight="1" x14ac:dyDescent="0.75">
      <c r="C81" s="108" t="s">
        <v>460</v>
      </c>
      <c r="D81" s="108" t="s">
        <v>461</v>
      </c>
      <c r="E81" s="108" t="s">
        <v>200</v>
      </c>
      <c r="F81" s="108" t="s">
        <v>201</v>
      </c>
      <c r="G81" s="108" t="s">
        <v>200</v>
      </c>
      <c r="H81" s="108"/>
      <c r="I81" s="108" t="s">
        <v>201</v>
      </c>
      <c r="J81" s="108" t="s">
        <v>462</v>
      </c>
      <c r="K81" s="118" t="s">
        <v>207</v>
      </c>
    </row>
    <row r="82" spans="2:11" ht="40.5" customHeight="1" x14ac:dyDescent="0.75">
      <c r="C82" s="111" t="s">
        <v>401</v>
      </c>
      <c r="D82" s="111" t="s">
        <v>261</v>
      </c>
      <c r="E82" s="111" t="s">
        <v>217</v>
      </c>
      <c r="F82" s="111"/>
      <c r="G82" s="108" t="s">
        <v>200</v>
      </c>
      <c r="H82" s="108" t="s">
        <v>463</v>
      </c>
      <c r="I82" s="111" t="s">
        <v>205</v>
      </c>
      <c r="J82" s="108" t="s">
        <v>464</v>
      </c>
      <c r="K82" s="109" t="s">
        <v>201</v>
      </c>
    </row>
    <row r="83" spans="2:11" ht="40.5" customHeight="1" x14ac:dyDescent="0.75">
      <c r="C83" s="111" t="s">
        <v>264</v>
      </c>
      <c r="D83" s="111" t="s">
        <v>265</v>
      </c>
      <c r="E83" s="111" t="s">
        <v>199</v>
      </c>
      <c r="F83" s="111"/>
      <c r="G83" s="108" t="s">
        <v>204</v>
      </c>
      <c r="H83" s="108"/>
      <c r="I83" s="108" t="s">
        <v>465</v>
      </c>
      <c r="J83" s="108" t="s">
        <v>405</v>
      </c>
      <c r="K83" s="109" t="s">
        <v>201</v>
      </c>
    </row>
    <row r="84" spans="2:11" ht="40.5" customHeight="1" x14ac:dyDescent="0.75">
      <c r="C84" s="111" t="s">
        <v>466</v>
      </c>
      <c r="D84" s="111" t="s">
        <v>467</v>
      </c>
      <c r="E84" s="111" t="s">
        <v>4</v>
      </c>
      <c r="F84" s="111"/>
      <c r="G84" s="108" t="s">
        <v>4</v>
      </c>
      <c r="H84" s="108" t="s">
        <v>226</v>
      </c>
      <c r="I84" s="111" t="s">
        <v>205</v>
      </c>
      <c r="J84" s="108" t="s">
        <v>468</v>
      </c>
      <c r="K84" s="109" t="s">
        <v>201</v>
      </c>
    </row>
    <row r="85" spans="2:11" s="119" customFormat="1" ht="40.5" customHeight="1" x14ac:dyDescent="0.75">
      <c r="B85" s="135"/>
      <c r="C85" s="108" t="s">
        <v>469</v>
      </c>
      <c r="D85" s="108" t="s">
        <v>470</v>
      </c>
      <c r="E85" s="111" t="s">
        <v>217</v>
      </c>
      <c r="F85" s="111"/>
      <c r="G85" s="108" t="s">
        <v>200</v>
      </c>
      <c r="H85" s="108" t="s">
        <v>471</v>
      </c>
      <c r="I85" s="111" t="s">
        <v>205</v>
      </c>
      <c r="J85" s="108" t="s">
        <v>472</v>
      </c>
      <c r="K85" s="118" t="s">
        <v>201</v>
      </c>
    </row>
    <row r="86" spans="2:11" ht="40.5" customHeight="1" x14ac:dyDescent="0.75">
      <c r="C86" s="136" t="s">
        <v>473</v>
      </c>
      <c r="D86" s="136" t="s">
        <v>474</v>
      </c>
      <c r="E86" s="108" t="s">
        <v>217</v>
      </c>
      <c r="F86" s="108"/>
      <c r="G86" s="108" t="s">
        <v>200</v>
      </c>
      <c r="H86" s="108" t="s">
        <v>475</v>
      </c>
      <c r="I86" s="136" t="s">
        <v>476</v>
      </c>
      <c r="J86" s="136" t="s">
        <v>477</v>
      </c>
      <c r="K86" s="137" t="s">
        <v>201</v>
      </c>
    </row>
    <row r="87" spans="2:11" ht="40.5" customHeight="1" x14ac:dyDescent="0.75">
      <c r="C87" s="136" t="s">
        <v>478</v>
      </c>
      <c r="D87" s="136" t="s">
        <v>479</v>
      </c>
      <c r="E87" s="108" t="s">
        <v>217</v>
      </c>
      <c r="F87" s="108"/>
      <c r="G87" s="108" t="s">
        <v>200</v>
      </c>
      <c r="H87" s="108" t="s">
        <v>480</v>
      </c>
      <c r="I87" s="136" t="s">
        <v>481</v>
      </c>
      <c r="J87" s="136" t="s">
        <v>482</v>
      </c>
      <c r="K87" s="137" t="s">
        <v>201</v>
      </c>
    </row>
    <row r="88" spans="2:11" ht="40.5" customHeight="1" x14ac:dyDescent="0.75">
      <c r="C88" s="108" t="s">
        <v>483</v>
      </c>
      <c r="D88" s="108" t="s">
        <v>484</v>
      </c>
      <c r="E88" s="111" t="s">
        <v>217</v>
      </c>
      <c r="F88" s="111"/>
      <c r="G88" s="108" t="s">
        <v>200</v>
      </c>
      <c r="H88" s="108" t="s">
        <v>485</v>
      </c>
      <c r="I88" s="108" t="s">
        <v>486</v>
      </c>
      <c r="J88" s="108" t="s">
        <v>487</v>
      </c>
      <c r="K88" s="109" t="s">
        <v>201</v>
      </c>
    </row>
    <row r="89" spans="2:11" ht="40.5" customHeight="1" x14ac:dyDescent="0.75">
      <c r="C89" s="111" t="s">
        <v>488</v>
      </c>
      <c r="D89" s="111" t="s">
        <v>489</v>
      </c>
      <c r="E89" s="111" t="s">
        <v>199</v>
      </c>
      <c r="F89" s="111"/>
      <c r="G89" s="108" t="s">
        <v>204</v>
      </c>
      <c r="H89" s="108"/>
      <c r="I89" s="111" t="s">
        <v>205</v>
      </c>
      <c r="J89" s="108" t="s">
        <v>490</v>
      </c>
      <c r="K89" s="109" t="s">
        <v>201</v>
      </c>
    </row>
    <row r="90" spans="2:11" ht="40.5" customHeight="1" x14ac:dyDescent="0.75">
      <c r="C90" s="133" t="s">
        <v>491</v>
      </c>
      <c r="D90" s="133" t="s">
        <v>492</v>
      </c>
      <c r="E90" s="111" t="s">
        <v>217</v>
      </c>
      <c r="F90" s="111"/>
      <c r="G90" s="108" t="s">
        <v>200</v>
      </c>
      <c r="H90" s="108" t="s">
        <v>493</v>
      </c>
      <c r="I90" s="136" t="s">
        <v>494</v>
      </c>
      <c r="J90" s="136" t="s">
        <v>495</v>
      </c>
      <c r="K90" s="116" t="s">
        <v>201</v>
      </c>
    </row>
    <row r="91" spans="2:11" ht="40.5" customHeight="1" x14ac:dyDescent="0.75">
      <c r="C91" s="111" t="s">
        <v>496</v>
      </c>
      <c r="D91" s="111" t="s">
        <v>497</v>
      </c>
      <c r="E91" s="111" t="s">
        <v>217</v>
      </c>
      <c r="F91" s="111"/>
      <c r="G91" s="108" t="s">
        <v>200</v>
      </c>
      <c r="H91" s="108" t="s">
        <v>378</v>
      </c>
      <c r="I91" s="108" t="s">
        <v>494</v>
      </c>
      <c r="J91" s="108" t="s">
        <v>498</v>
      </c>
      <c r="K91" s="109" t="s">
        <v>201</v>
      </c>
    </row>
    <row r="92" spans="2:11" ht="40.5" customHeight="1" x14ac:dyDescent="0.75">
      <c r="C92" s="111" t="s">
        <v>499</v>
      </c>
      <c r="D92" s="111" t="s">
        <v>500</v>
      </c>
      <c r="E92" s="111" t="s">
        <v>217</v>
      </c>
      <c r="F92" s="111"/>
      <c r="G92" s="108" t="s">
        <v>200</v>
      </c>
      <c r="H92" s="108" t="s">
        <v>501</v>
      </c>
      <c r="I92" s="108" t="s">
        <v>502</v>
      </c>
      <c r="J92" s="108" t="s">
        <v>503</v>
      </c>
      <c r="K92" s="109" t="s">
        <v>201</v>
      </c>
    </row>
    <row r="93" spans="2:11" ht="40.5" customHeight="1" x14ac:dyDescent="0.75">
      <c r="C93" s="111" t="s">
        <v>406</v>
      </c>
      <c r="D93" s="111" t="s">
        <v>504</v>
      </c>
      <c r="E93" s="111" t="s">
        <v>4</v>
      </c>
      <c r="F93" s="111"/>
      <c r="G93" s="108" t="s">
        <v>4</v>
      </c>
      <c r="H93" s="108" t="s">
        <v>226</v>
      </c>
      <c r="I93" s="111" t="s">
        <v>505</v>
      </c>
      <c r="J93" s="108" t="s">
        <v>506</v>
      </c>
      <c r="K93" s="111" t="s">
        <v>207</v>
      </c>
    </row>
    <row r="94" spans="2:11" ht="40.5" customHeight="1" x14ac:dyDescent="0.75">
      <c r="C94" s="111" t="s">
        <v>409</v>
      </c>
      <c r="D94" s="111" t="s">
        <v>507</v>
      </c>
      <c r="E94" s="111" t="s">
        <v>4</v>
      </c>
      <c r="F94" s="111"/>
      <c r="G94" s="108" t="s">
        <v>4</v>
      </c>
      <c r="H94" s="108" t="s">
        <v>226</v>
      </c>
      <c r="I94" s="111" t="s">
        <v>508</v>
      </c>
      <c r="J94" s="108" t="s">
        <v>509</v>
      </c>
      <c r="K94" s="111" t="s">
        <v>207</v>
      </c>
    </row>
    <row r="95" spans="2:11" ht="40.5" customHeight="1" x14ac:dyDescent="0.75">
      <c r="C95" s="133" t="s">
        <v>510</v>
      </c>
      <c r="D95" s="133" t="s">
        <v>511</v>
      </c>
      <c r="E95" s="111" t="s">
        <v>217</v>
      </c>
      <c r="F95" s="111"/>
      <c r="G95" s="108" t="s">
        <v>200</v>
      </c>
      <c r="H95" s="108" t="s">
        <v>378</v>
      </c>
      <c r="I95" s="136" t="s">
        <v>494</v>
      </c>
      <c r="J95" s="136" t="s">
        <v>512</v>
      </c>
      <c r="K95" s="116" t="s">
        <v>201</v>
      </c>
    </row>
    <row r="96" spans="2:11" ht="40.5" customHeight="1" x14ac:dyDescent="0.75">
      <c r="C96" s="111" t="s">
        <v>499</v>
      </c>
      <c r="D96" s="111" t="s">
        <v>513</v>
      </c>
      <c r="E96" s="111" t="s">
        <v>217</v>
      </c>
      <c r="F96" s="111"/>
      <c r="G96" s="108" t="s">
        <v>200</v>
      </c>
      <c r="H96" s="108" t="s">
        <v>514</v>
      </c>
      <c r="I96" s="108" t="s">
        <v>515</v>
      </c>
      <c r="J96" s="108" t="s">
        <v>516</v>
      </c>
      <c r="K96" s="109" t="s">
        <v>201</v>
      </c>
    </row>
    <row r="97" spans="1:11" ht="40.5" customHeight="1" x14ac:dyDescent="0.75">
      <c r="C97" s="111" t="s">
        <v>406</v>
      </c>
      <c r="D97" s="111" t="s">
        <v>517</v>
      </c>
      <c r="E97" s="111" t="s">
        <v>4</v>
      </c>
      <c r="F97" s="111"/>
      <c r="G97" s="108" t="s">
        <v>4</v>
      </c>
      <c r="H97" s="108" t="s">
        <v>226</v>
      </c>
      <c r="I97" s="108" t="s">
        <v>207</v>
      </c>
      <c r="J97" s="108" t="s">
        <v>518</v>
      </c>
      <c r="K97" s="109" t="s">
        <v>201</v>
      </c>
    </row>
    <row r="98" spans="1:11" ht="40.5" customHeight="1" x14ac:dyDescent="0.75">
      <c r="C98" s="111" t="s">
        <v>409</v>
      </c>
      <c r="D98" s="111" t="s">
        <v>519</v>
      </c>
      <c r="E98" s="111" t="s">
        <v>4</v>
      </c>
      <c r="F98" s="111"/>
      <c r="G98" s="108" t="s">
        <v>4</v>
      </c>
      <c r="H98" s="108" t="s">
        <v>226</v>
      </c>
      <c r="I98" s="111" t="s">
        <v>508</v>
      </c>
      <c r="J98" s="108" t="s">
        <v>520</v>
      </c>
      <c r="K98" s="111" t="s">
        <v>207</v>
      </c>
    </row>
    <row r="99" spans="1:11" ht="40.5" customHeight="1" x14ac:dyDescent="0.75">
      <c r="C99" s="111" t="s">
        <v>521</v>
      </c>
      <c r="D99" s="111" t="s">
        <v>522</v>
      </c>
      <c r="E99" s="111" t="s">
        <v>199</v>
      </c>
      <c r="F99" s="111"/>
      <c r="G99" s="108" t="s">
        <v>204</v>
      </c>
      <c r="H99" s="108"/>
      <c r="I99" s="108" t="s">
        <v>523</v>
      </c>
      <c r="J99" s="108" t="s">
        <v>524</v>
      </c>
      <c r="K99" s="109" t="s">
        <v>201</v>
      </c>
    </row>
    <row r="100" spans="1:11" ht="40.5" customHeight="1" x14ac:dyDescent="0.75">
      <c r="A100" s="109"/>
      <c r="B100" s="175" t="s">
        <v>525</v>
      </c>
      <c r="C100" s="111" t="s">
        <v>526</v>
      </c>
      <c r="D100" s="111" t="s">
        <v>527</v>
      </c>
      <c r="E100" s="111" t="s">
        <v>217</v>
      </c>
      <c r="F100" s="111"/>
      <c r="G100" s="108" t="s">
        <v>200</v>
      </c>
      <c r="H100" s="111" t="s">
        <v>528</v>
      </c>
      <c r="I100" s="111" t="s">
        <v>209</v>
      </c>
      <c r="J100" s="108" t="s">
        <v>526</v>
      </c>
      <c r="K100" s="109" t="s">
        <v>207</v>
      </c>
    </row>
    <row r="101" spans="1:11" ht="40.5" customHeight="1" x14ac:dyDescent="0.75">
      <c r="A101" s="109"/>
      <c r="B101" s="176"/>
      <c r="C101" s="108" t="s">
        <v>529</v>
      </c>
      <c r="D101" s="108" t="s">
        <v>530</v>
      </c>
      <c r="E101" s="111" t="s">
        <v>217</v>
      </c>
      <c r="F101" s="111"/>
      <c r="G101" s="108" t="s">
        <v>200</v>
      </c>
      <c r="H101" s="108" t="s">
        <v>531</v>
      </c>
      <c r="I101" s="111" t="s">
        <v>209</v>
      </c>
      <c r="J101" s="108" t="s">
        <v>532</v>
      </c>
      <c r="K101" s="109" t="s">
        <v>207</v>
      </c>
    </row>
    <row r="102" spans="1:11" ht="40.5" customHeight="1" x14ac:dyDescent="0.75">
      <c r="A102" s="109"/>
      <c r="B102" s="176"/>
      <c r="C102" s="111" t="s">
        <v>533</v>
      </c>
      <c r="D102" s="111" t="s">
        <v>534</v>
      </c>
      <c r="E102" s="111" t="s">
        <v>217</v>
      </c>
      <c r="F102" s="111"/>
      <c r="G102" s="108" t="s">
        <v>200</v>
      </c>
      <c r="H102" s="111" t="s">
        <v>535</v>
      </c>
      <c r="I102" s="111" t="s">
        <v>536</v>
      </c>
      <c r="J102" s="108" t="s">
        <v>533</v>
      </c>
      <c r="K102" s="109" t="s">
        <v>207</v>
      </c>
    </row>
    <row r="103" spans="1:11" ht="40.5" customHeight="1" x14ac:dyDescent="0.75">
      <c r="A103" s="109"/>
      <c r="B103" s="177"/>
      <c r="C103" s="136" t="s">
        <v>529</v>
      </c>
      <c r="D103" s="136" t="s">
        <v>537</v>
      </c>
      <c r="E103" s="111" t="s">
        <v>217</v>
      </c>
      <c r="F103" s="111"/>
      <c r="G103" s="108" t="s">
        <v>200</v>
      </c>
      <c r="H103" s="108" t="s">
        <v>531</v>
      </c>
      <c r="I103" s="133" t="s">
        <v>209</v>
      </c>
      <c r="J103" s="136" t="s">
        <v>538</v>
      </c>
      <c r="K103" s="116" t="s">
        <v>207</v>
      </c>
    </row>
    <row r="104" spans="1:11" ht="40.5" customHeight="1" x14ac:dyDescent="0.75">
      <c r="C104" s="111" t="s">
        <v>539</v>
      </c>
      <c r="D104" s="111" t="s">
        <v>540</v>
      </c>
      <c r="E104" s="111" t="s">
        <v>4</v>
      </c>
      <c r="F104" s="111"/>
      <c r="G104" s="108" t="s">
        <v>4</v>
      </c>
      <c r="H104" s="108" t="s">
        <v>226</v>
      </c>
      <c r="I104" s="108" t="s">
        <v>541</v>
      </c>
      <c r="J104" s="108" t="s">
        <v>542</v>
      </c>
      <c r="K104" s="109" t="s">
        <v>201</v>
      </c>
    </row>
    <row r="105" spans="1:11" ht="40.5" customHeight="1" x14ac:dyDescent="0.75">
      <c r="C105" s="124" t="s">
        <v>373</v>
      </c>
      <c r="D105" s="125"/>
      <c r="E105" s="125"/>
      <c r="F105" s="125"/>
      <c r="G105" s="126"/>
      <c r="H105" s="126"/>
      <c r="I105" s="127"/>
      <c r="J105" s="105"/>
      <c r="K105" s="125"/>
    </row>
    <row r="106" spans="1:11" ht="40.5" customHeight="1" x14ac:dyDescent="0.75">
      <c r="B106" s="100"/>
      <c r="C106" s="108" t="s">
        <v>246</v>
      </c>
      <c r="D106" s="108" t="s">
        <v>247</v>
      </c>
      <c r="E106" s="108" t="s">
        <v>200</v>
      </c>
      <c r="F106" s="108" t="s">
        <v>201</v>
      </c>
      <c r="G106" s="108" t="s">
        <v>200</v>
      </c>
      <c r="H106" s="108"/>
      <c r="I106" s="108" t="s">
        <v>201</v>
      </c>
      <c r="J106" s="108" t="s">
        <v>543</v>
      </c>
      <c r="K106" s="118" t="s">
        <v>207</v>
      </c>
    </row>
    <row r="107" spans="1:11" ht="40.5" customHeight="1" x14ac:dyDescent="0.75">
      <c r="C107" s="108" t="s">
        <v>399</v>
      </c>
      <c r="D107" s="108" t="s">
        <v>400</v>
      </c>
      <c r="E107" s="108" t="s">
        <v>200</v>
      </c>
      <c r="F107" s="108" t="s">
        <v>201</v>
      </c>
      <c r="G107" s="108" t="s">
        <v>200</v>
      </c>
      <c r="H107" s="108"/>
      <c r="I107" s="108" t="s">
        <v>201</v>
      </c>
      <c r="J107" s="108"/>
      <c r="K107" s="118" t="s">
        <v>207</v>
      </c>
    </row>
    <row r="108" spans="1:11" ht="40.5" customHeight="1" x14ac:dyDescent="0.75">
      <c r="C108" s="108" t="s">
        <v>544</v>
      </c>
      <c r="D108" s="108" t="s">
        <v>545</v>
      </c>
      <c r="E108" s="108" t="s">
        <v>200</v>
      </c>
      <c r="F108" s="108" t="s">
        <v>201</v>
      </c>
      <c r="G108" s="108" t="s">
        <v>200</v>
      </c>
      <c r="H108" s="108"/>
      <c r="I108" s="108" t="s">
        <v>201</v>
      </c>
      <c r="J108" s="108" t="s">
        <v>546</v>
      </c>
      <c r="K108" s="118" t="s">
        <v>207</v>
      </c>
    </row>
    <row r="109" spans="1:11" ht="40.5" customHeight="1" x14ac:dyDescent="0.75">
      <c r="C109" s="111" t="s">
        <v>401</v>
      </c>
      <c r="D109" s="111" t="s">
        <v>261</v>
      </c>
      <c r="E109" s="111" t="s">
        <v>217</v>
      </c>
      <c r="F109" s="111"/>
      <c r="G109" s="108" t="s">
        <v>200</v>
      </c>
      <c r="H109" s="108" t="s">
        <v>402</v>
      </c>
      <c r="I109" s="111" t="s">
        <v>201</v>
      </c>
      <c r="J109" s="108" t="s">
        <v>547</v>
      </c>
      <c r="K109" s="109" t="s">
        <v>201</v>
      </c>
    </row>
    <row r="110" spans="1:11" ht="40.5" customHeight="1" x14ac:dyDescent="0.75">
      <c r="C110" s="111" t="s">
        <v>264</v>
      </c>
      <c r="D110" s="111" t="s">
        <v>265</v>
      </c>
      <c r="E110" s="111" t="s">
        <v>199</v>
      </c>
      <c r="F110" s="111"/>
      <c r="G110" s="108" t="s">
        <v>204</v>
      </c>
      <c r="H110" s="108"/>
      <c r="I110" s="108" t="s">
        <v>548</v>
      </c>
      <c r="J110" s="108" t="s">
        <v>405</v>
      </c>
      <c r="K110" s="109" t="s">
        <v>201</v>
      </c>
    </row>
    <row r="111" spans="1:11" ht="40.5" customHeight="1" x14ac:dyDescent="0.75">
      <c r="C111" s="111" t="s">
        <v>549</v>
      </c>
      <c r="D111" s="111" t="s">
        <v>550</v>
      </c>
      <c r="E111" s="111" t="s">
        <v>217</v>
      </c>
      <c r="F111" s="111"/>
      <c r="G111" s="108" t="s">
        <v>200</v>
      </c>
      <c r="H111" s="108" t="s">
        <v>551</v>
      </c>
      <c r="I111" s="111" t="s">
        <v>201</v>
      </c>
      <c r="J111" s="108" t="s">
        <v>552</v>
      </c>
      <c r="K111" s="109" t="s">
        <v>201</v>
      </c>
    </row>
    <row r="112" spans="1:11" ht="40.5" customHeight="1" x14ac:dyDescent="0.75">
      <c r="C112" s="136" t="s">
        <v>553</v>
      </c>
      <c r="D112" s="133" t="s">
        <v>554</v>
      </c>
      <c r="E112" s="111" t="s">
        <v>217</v>
      </c>
      <c r="F112" s="111"/>
      <c r="G112" s="108" t="s">
        <v>200</v>
      </c>
      <c r="H112" s="108" t="s">
        <v>555</v>
      </c>
      <c r="I112" s="108" t="s">
        <v>556</v>
      </c>
      <c r="J112" s="136" t="s">
        <v>557</v>
      </c>
      <c r="K112" s="116" t="s">
        <v>201</v>
      </c>
    </row>
    <row r="113" spans="2:14" ht="40.5" customHeight="1" x14ac:dyDescent="0.75">
      <c r="C113" s="111" t="s">
        <v>558</v>
      </c>
      <c r="D113" s="111" t="s">
        <v>559</v>
      </c>
      <c r="E113" s="111" t="s">
        <v>199</v>
      </c>
      <c r="F113" s="111"/>
      <c r="G113" s="108" t="s">
        <v>204</v>
      </c>
      <c r="H113" s="108"/>
      <c r="I113" s="108" t="s">
        <v>560</v>
      </c>
      <c r="J113" s="108" t="s">
        <v>561</v>
      </c>
      <c r="K113" s="109" t="s">
        <v>201</v>
      </c>
    </row>
    <row r="114" spans="2:14" ht="40.5" customHeight="1" x14ac:dyDescent="0.75">
      <c r="C114" s="111" t="s">
        <v>562</v>
      </c>
      <c r="D114" s="111" t="s">
        <v>563</v>
      </c>
      <c r="E114" s="111" t="s">
        <v>217</v>
      </c>
      <c r="F114" s="111"/>
      <c r="G114" s="108" t="s">
        <v>200</v>
      </c>
      <c r="H114" s="108" t="s">
        <v>564</v>
      </c>
      <c r="I114" s="108" t="s">
        <v>565</v>
      </c>
      <c r="J114" s="138" t="s">
        <v>566</v>
      </c>
      <c r="K114" s="109" t="s">
        <v>201</v>
      </c>
    </row>
    <row r="115" spans="2:14" ht="40.5" customHeight="1" x14ac:dyDescent="0.75">
      <c r="C115" s="111" t="s">
        <v>567</v>
      </c>
      <c r="D115" s="111" t="s">
        <v>568</v>
      </c>
      <c r="E115" s="111" t="s">
        <v>217</v>
      </c>
      <c r="F115" s="111"/>
      <c r="G115" s="108" t="s">
        <v>200</v>
      </c>
      <c r="H115" s="108" t="s">
        <v>569</v>
      </c>
      <c r="I115" s="108" t="s">
        <v>570</v>
      </c>
      <c r="J115" s="108" t="s">
        <v>571</v>
      </c>
      <c r="K115" s="109" t="s">
        <v>201</v>
      </c>
    </row>
    <row r="116" spans="2:14" ht="40.5" customHeight="1" x14ac:dyDescent="0.75">
      <c r="C116" s="111" t="s">
        <v>558</v>
      </c>
      <c r="D116" s="111" t="s">
        <v>572</v>
      </c>
      <c r="E116" s="111" t="s">
        <v>199</v>
      </c>
      <c r="F116" s="111"/>
      <c r="G116" s="108" t="s">
        <v>204</v>
      </c>
      <c r="H116" s="108"/>
      <c r="I116" s="108" t="s">
        <v>573</v>
      </c>
      <c r="J116" s="108" t="s">
        <v>574</v>
      </c>
      <c r="K116" s="109" t="s">
        <v>201</v>
      </c>
    </row>
    <row r="117" spans="2:14" ht="40.5" customHeight="1" x14ac:dyDescent="0.75">
      <c r="C117" s="133" t="s">
        <v>575</v>
      </c>
      <c r="D117" s="133" t="s">
        <v>576</v>
      </c>
      <c r="E117" s="111" t="s">
        <v>217</v>
      </c>
      <c r="F117" s="111"/>
      <c r="G117" s="108" t="s">
        <v>200</v>
      </c>
      <c r="H117" s="108" t="s">
        <v>577</v>
      </c>
      <c r="I117" s="136" t="s">
        <v>578</v>
      </c>
      <c r="J117" s="136" t="s">
        <v>579</v>
      </c>
      <c r="K117" s="116" t="s">
        <v>201</v>
      </c>
    </row>
    <row r="118" spans="2:14" ht="40.5" customHeight="1" x14ac:dyDescent="0.75">
      <c r="C118" s="111" t="s">
        <v>558</v>
      </c>
      <c r="D118" s="111" t="s">
        <v>580</v>
      </c>
      <c r="E118" s="111" t="s">
        <v>199</v>
      </c>
      <c r="F118" s="111"/>
      <c r="G118" s="108" t="s">
        <v>204</v>
      </c>
      <c r="H118" s="108"/>
      <c r="I118" s="108" t="s">
        <v>581</v>
      </c>
      <c r="J118" s="108" t="s">
        <v>582</v>
      </c>
      <c r="K118" s="109" t="s">
        <v>201</v>
      </c>
    </row>
    <row r="119" spans="2:14" ht="40.5" customHeight="1" x14ac:dyDescent="0.75">
      <c r="C119" s="111" t="s">
        <v>583</v>
      </c>
      <c r="D119" s="111" t="s">
        <v>584</v>
      </c>
      <c r="E119" s="111" t="s">
        <v>200</v>
      </c>
      <c r="F119" s="111"/>
      <c r="G119" s="108" t="s">
        <v>200</v>
      </c>
      <c r="H119" s="108"/>
      <c r="I119" s="108" t="s">
        <v>585</v>
      </c>
      <c r="J119" s="108" t="s">
        <v>586</v>
      </c>
      <c r="K119" s="109" t="s">
        <v>201</v>
      </c>
    </row>
    <row r="120" spans="2:14" ht="40.5" customHeight="1" x14ac:dyDescent="0.75">
      <c r="C120" s="111" t="s">
        <v>406</v>
      </c>
      <c r="D120" s="111" t="s">
        <v>587</v>
      </c>
      <c r="E120" s="111" t="s">
        <v>4</v>
      </c>
      <c r="F120" s="111"/>
      <c r="G120" s="108" t="s">
        <v>4</v>
      </c>
      <c r="H120" s="108" t="s">
        <v>226</v>
      </c>
      <c r="I120" s="108" t="s">
        <v>201</v>
      </c>
      <c r="J120" s="108" t="s">
        <v>588</v>
      </c>
      <c r="K120" s="109" t="s">
        <v>201</v>
      </c>
    </row>
    <row r="121" spans="2:14" ht="40.5" customHeight="1" x14ac:dyDescent="0.75">
      <c r="C121" s="111" t="s">
        <v>409</v>
      </c>
      <c r="D121" s="111" t="s">
        <v>589</v>
      </c>
      <c r="E121" s="111" t="s">
        <v>4</v>
      </c>
      <c r="F121" s="111"/>
      <c r="G121" s="108" t="s">
        <v>4</v>
      </c>
      <c r="H121" s="108" t="s">
        <v>226</v>
      </c>
      <c r="I121" s="108" t="s">
        <v>201</v>
      </c>
      <c r="J121" s="108" t="s">
        <v>590</v>
      </c>
      <c r="K121" s="109" t="s">
        <v>201</v>
      </c>
    </row>
    <row r="122" spans="2:14" ht="40.5" customHeight="1" x14ac:dyDescent="0.75">
      <c r="C122" s="111" t="s">
        <v>591</v>
      </c>
      <c r="D122" s="111" t="s">
        <v>592</v>
      </c>
      <c r="E122" s="111" t="s">
        <v>217</v>
      </c>
      <c r="F122" s="111"/>
      <c r="G122" s="108" t="s">
        <v>204</v>
      </c>
      <c r="H122" s="108" t="s">
        <v>593</v>
      </c>
      <c r="I122" s="111" t="s">
        <v>594</v>
      </c>
      <c r="J122" s="108" t="s">
        <v>595</v>
      </c>
      <c r="K122" s="109" t="s">
        <v>201</v>
      </c>
    </row>
    <row r="123" spans="2:14" ht="40.5" customHeight="1" x14ac:dyDescent="0.75">
      <c r="C123" s="111" t="s">
        <v>596</v>
      </c>
      <c r="D123" s="111" t="s">
        <v>597</v>
      </c>
      <c r="E123" s="111" t="s">
        <v>200</v>
      </c>
      <c r="F123" s="111" t="s">
        <v>201</v>
      </c>
      <c r="G123" s="108" t="s">
        <v>200</v>
      </c>
      <c r="H123" s="108"/>
      <c r="I123" s="111" t="s">
        <v>594</v>
      </c>
      <c r="J123" s="108" t="s">
        <v>598</v>
      </c>
      <c r="K123" s="109" t="s">
        <v>207</v>
      </c>
    </row>
    <row r="124" spans="2:14" ht="40.5" customHeight="1" x14ac:dyDescent="0.75">
      <c r="C124" s="111" t="s">
        <v>599</v>
      </c>
      <c r="D124" s="111" t="s">
        <v>600</v>
      </c>
      <c r="E124" s="111" t="s">
        <v>200</v>
      </c>
      <c r="F124" s="111" t="s">
        <v>201</v>
      </c>
      <c r="G124" s="108" t="s">
        <v>200</v>
      </c>
      <c r="H124" s="108"/>
      <c r="I124" s="111" t="s">
        <v>594</v>
      </c>
      <c r="J124" s="108" t="s">
        <v>601</v>
      </c>
      <c r="K124" s="109" t="s">
        <v>207</v>
      </c>
    </row>
    <row r="125" spans="2:14" ht="40.5" customHeight="1" x14ac:dyDescent="0.75">
      <c r="C125" s="111" t="s">
        <v>602</v>
      </c>
      <c r="D125" s="111" t="s">
        <v>603</v>
      </c>
      <c r="E125" s="111" t="s">
        <v>200</v>
      </c>
      <c r="F125" s="111" t="s">
        <v>201</v>
      </c>
      <c r="G125" s="108" t="s">
        <v>200</v>
      </c>
      <c r="H125" s="108"/>
      <c r="I125" s="111" t="s">
        <v>594</v>
      </c>
      <c r="J125" s="108" t="s">
        <v>604</v>
      </c>
      <c r="K125" s="109" t="s">
        <v>207</v>
      </c>
    </row>
    <row r="126" spans="2:14" s="115" customFormat="1" ht="40.5" customHeight="1" x14ac:dyDescent="0.75">
      <c r="B126" s="139"/>
      <c r="C126" s="136" t="s">
        <v>605</v>
      </c>
      <c r="D126" s="136" t="s">
        <v>606</v>
      </c>
      <c r="E126" s="111" t="s">
        <v>217</v>
      </c>
      <c r="F126" s="111" t="s">
        <v>201</v>
      </c>
      <c r="G126" s="108" t="s">
        <v>204</v>
      </c>
      <c r="H126" s="108" t="s">
        <v>607</v>
      </c>
      <c r="I126" s="111" t="s">
        <v>207</v>
      </c>
      <c r="J126" s="136" t="s">
        <v>608</v>
      </c>
      <c r="K126" s="116" t="s">
        <v>201</v>
      </c>
      <c r="L126" s="99"/>
      <c r="M126" s="99"/>
      <c r="N126" s="99"/>
    </row>
    <row r="127" spans="2:14" s="115" customFormat="1" ht="40.5" customHeight="1" x14ac:dyDescent="0.75">
      <c r="B127" s="139"/>
      <c r="C127" s="108" t="s">
        <v>609</v>
      </c>
      <c r="D127" s="108" t="s">
        <v>610</v>
      </c>
      <c r="E127" s="111" t="s">
        <v>199</v>
      </c>
      <c r="F127" s="111"/>
      <c r="G127" s="108" t="s">
        <v>204</v>
      </c>
      <c r="H127" s="108"/>
      <c r="I127" s="108" t="s">
        <v>611</v>
      </c>
      <c r="J127" s="108" t="s">
        <v>612</v>
      </c>
      <c r="K127" s="109" t="s">
        <v>201</v>
      </c>
      <c r="L127" s="99"/>
      <c r="M127" s="99"/>
      <c r="N127" s="99"/>
    </row>
    <row r="128" spans="2:14" s="115" customFormat="1" ht="40.5" customHeight="1" x14ac:dyDescent="0.75">
      <c r="B128" s="139"/>
      <c r="C128" s="108" t="s">
        <v>613</v>
      </c>
      <c r="D128" s="108" t="s">
        <v>614</v>
      </c>
      <c r="E128" s="111" t="s">
        <v>199</v>
      </c>
      <c r="F128" s="111"/>
      <c r="G128" s="108" t="s">
        <v>204</v>
      </c>
      <c r="H128" s="108"/>
      <c r="I128" s="108" t="s">
        <v>207</v>
      </c>
      <c r="J128" s="108" t="s">
        <v>615</v>
      </c>
      <c r="K128" s="109" t="s">
        <v>207</v>
      </c>
      <c r="L128" s="99"/>
      <c r="M128" s="99"/>
      <c r="N128" s="99"/>
    </row>
    <row r="129" spans="2:14" ht="40.5" customHeight="1" x14ac:dyDescent="0.75">
      <c r="C129" s="111" t="s">
        <v>616</v>
      </c>
      <c r="D129" s="111" t="s">
        <v>617</v>
      </c>
      <c r="E129" s="111" t="s">
        <v>217</v>
      </c>
      <c r="F129" s="111"/>
      <c r="G129" s="108" t="s">
        <v>204</v>
      </c>
      <c r="H129" s="108"/>
      <c r="I129" s="108" t="s">
        <v>618</v>
      </c>
      <c r="J129" s="108" t="s">
        <v>619</v>
      </c>
      <c r="K129" s="109" t="s">
        <v>201</v>
      </c>
    </row>
    <row r="130" spans="2:14" ht="40.5" customHeight="1" x14ac:dyDescent="0.75">
      <c r="C130" s="111" t="s">
        <v>609</v>
      </c>
      <c r="D130" s="111" t="s">
        <v>620</v>
      </c>
      <c r="E130" s="111" t="s">
        <v>199</v>
      </c>
      <c r="F130" s="111"/>
      <c r="G130" s="108" t="s">
        <v>204</v>
      </c>
      <c r="H130" s="108"/>
      <c r="I130" s="111" t="s">
        <v>621</v>
      </c>
      <c r="J130" s="108"/>
      <c r="K130" s="109" t="s">
        <v>207</v>
      </c>
    </row>
    <row r="131" spans="2:14" ht="40.5" customHeight="1" x14ac:dyDescent="0.75">
      <c r="C131" s="111" t="s">
        <v>622</v>
      </c>
      <c r="D131" s="111" t="s">
        <v>623</v>
      </c>
      <c r="E131" s="111" t="s">
        <v>217</v>
      </c>
      <c r="F131" s="111"/>
      <c r="G131" s="108" t="s">
        <v>204</v>
      </c>
      <c r="H131" s="108"/>
      <c r="I131" s="108" t="s">
        <v>618</v>
      </c>
      <c r="J131" s="108" t="s">
        <v>624</v>
      </c>
      <c r="K131" s="109" t="s">
        <v>201</v>
      </c>
    </row>
    <row r="132" spans="2:14" ht="40.5" customHeight="1" x14ac:dyDescent="0.75">
      <c r="C132" s="111" t="s">
        <v>609</v>
      </c>
      <c r="D132" s="111" t="s">
        <v>625</v>
      </c>
      <c r="E132" s="111" t="s">
        <v>199</v>
      </c>
      <c r="F132" s="111"/>
      <c r="G132" s="108" t="s">
        <v>204</v>
      </c>
      <c r="H132" s="108"/>
      <c r="I132" s="111" t="s">
        <v>621</v>
      </c>
      <c r="J132" s="108"/>
      <c r="K132" s="109" t="s">
        <v>207</v>
      </c>
    </row>
    <row r="133" spans="2:14" ht="40.5" customHeight="1" x14ac:dyDescent="0.75">
      <c r="C133" s="111" t="s">
        <v>626</v>
      </c>
      <c r="D133" s="111" t="s">
        <v>627</v>
      </c>
      <c r="E133" s="111" t="s">
        <v>217</v>
      </c>
      <c r="F133" s="111"/>
      <c r="G133" s="108" t="s">
        <v>200</v>
      </c>
      <c r="H133" s="108" t="s">
        <v>628</v>
      </c>
      <c r="I133" s="111" t="s">
        <v>629</v>
      </c>
      <c r="J133" s="108" t="s">
        <v>630</v>
      </c>
      <c r="K133" s="109" t="s">
        <v>201</v>
      </c>
    </row>
    <row r="134" spans="2:14" ht="40.5" customHeight="1" x14ac:dyDescent="0.75">
      <c r="C134" s="111" t="s">
        <v>631</v>
      </c>
      <c r="D134" s="111" t="s">
        <v>632</v>
      </c>
      <c r="E134" s="111" t="s">
        <v>200</v>
      </c>
      <c r="F134" s="111"/>
      <c r="G134" s="108" t="s">
        <v>200</v>
      </c>
      <c r="H134" s="111" t="s">
        <v>633</v>
      </c>
      <c r="I134" s="111" t="s">
        <v>201</v>
      </c>
      <c r="J134" s="108" t="s">
        <v>634</v>
      </c>
      <c r="K134" s="109" t="s">
        <v>201</v>
      </c>
    </row>
    <row r="135" spans="2:14" ht="40.5" customHeight="1" x14ac:dyDescent="0.75">
      <c r="C135" s="111" t="s">
        <v>635</v>
      </c>
      <c r="D135" s="111" t="s">
        <v>636</v>
      </c>
      <c r="E135" s="111" t="s">
        <v>637</v>
      </c>
      <c r="F135" s="111"/>
      <c r="G135" s="108" t="s">
        <v>200</v>
      </c>
      <c r="H135" s="111" t="s">
        <v>638</v>
      </c>
      <c r="I135" s="111" t="s">
        <v>629</v>
      </c>
      <c r="J135" s="108" t="s">
        <v>639</v>
      </c>
      <c r="K135" s="109" t="s">
        <v>201</v>
      </c>
    </row>
    <row r="136" spans="2:14" ht="40.5" customHeight="1" x14ac:dyDescent="0.75">
      <c r="C136" s="111" t="s">
        <v>635</v>
      </c>
      <c r="D136" s="111" t="s">
        <v>640</v>
      </c>
      <c r="E136" s="111" t="s">
        <v>217</v>
      </c>
      <c r="F136" s="111"/>
      <c r="G136" s="108" t="s">
        <v>200</v>
      </c>
      <c r="H136" s="111" t="s">
        <v>641</v>
      </c>
      <c r="I136" s="108" t="s">
        <v>642</v>
      </c>
      <c r="J136" s="108" t="s">
        <v>643</v>
      </c>
      <c r="K136" s="109" t="s">
        <v>201</v>
      </c>
    </row>
    <row r="137" spans="2:14" ht="40.5" customHeight="1" x14ac:dyDescent="0.75">
      <c r="C137" s="111" t="s">
        <v>644</v>
      </c>
      <c r="D137" s="111" t="s">
        <v>645</v>
      </c>
      <c r="E137" s="111" t="s">
        <v>200</v>
      </c>
      <c r="F137" s="111"/>
      <c r="G137" s="108" t="s">
        <v>200</v>
      </c>
      <c r="H137" s="111" t="s">
        <v>633</v>
      </c>
      <c r="I137" s="108" t="s">
        <v>646</v>
      </c>
      <c r="J137" s="108" t="s">
        <v>647</v>
      </c>
      <c r="K137" s="109" t="s">
        <v>201</v>
      </c>
    </row>
    <row r="138" spans="2:14" ht="40.5" customHeight="1" x14ac:dyDescent="0.75">
      <c r="C138" s="111" t="s">
        <v>648</v>
      </c>
      <c r="D138" s="111" t="s">
        <v>649</v>
      </c>
      <c r="E138" s="111" t="s">
        <v>217</v>
      </c>
      <c r="F138" s="111"/>
      <c r="G138" s="108" t="s">
        <v>200</v>
      </c>
      <c r="H138" s="108" t="s">
        <v>650</v>
      </c>
      <c r="I138" s="108" t="s">
        <v>646</v>
      </c>
      <c r="J138" s="108" t="s">
        <v>651</v>
      </c>
      <c r="K138" s="109" t="s">
        <v>201</v>
      </c>
    </row>
    <row r="139" spans="2:14" ht="40.5" customHeight="1" x14ac:dyDescent="0.75">
      <c r="C139" s="111" t="s">
        <v>652</v>
      </c>
      <c r="D139" s="111" t="s">
        <v>653</v>
      </c>
      <c r="E139" s="111" t="s">
        <v>217</v>
      </c>
      <c r="F139" s="111"/>
      <c r="G139" s="108" t="s">
        <v>204</v>
      </c>
      <c r="H139" s="108"/>
      <c r="I139" s="111" t="s">
        <v>654</v>
      </c>
      <c r="J139" s="108" t="s">
        <v>655</v>
      </c>
      <c r="K139" s="109" t="s">
        <v>201</v>
      </c>
    </row>
    <row r="140" spans="2:14" ht="40.5" customHeight="1" x14ac:dyDescent="0.75">
      <c r="C140" s="111" t="s">
        <v>609</v>
      </c>
      <c r="D140" s="111" t="s">
        <v>656</v>
      </c>
      <c r="E140" s="111" t="s">
        <v>199</v>
      </c>
      <c r="F140" s="111"/>
      <c r="G140" s="108" t="s">
        <v>204</v>
      </c>
      <c r="H140" s="108"/>
      <c r="I140" s="111" t="s">
        <v>657</v>
      </c>
      <c r="J140" s="108"/>
      <c r="K140" s="109" t="s">
        <v>201</v>
      </c>
    </row>
    <row r="141" spans="2:14" s="115" customFormat="1" ht="40.5" customHeight="1" x14ac:dyDescent="0.75">
      <c r="B141" s="139"/>
      <c r="C141" s="108" t="s">
        <v>658</v>
      </c>
      <c r="D141" s="108" t="s">
        <v>659</v>
      </c>
      <c r="E141" s="111" t="s">
        <v>199</v>
      </c>
      <c r="F141" s="111"/>
      <c r="G141" s="108" t="s">
        <v>204</v>
      </c>
      <c r="H141" s="108"/>
      <c r="I141" s="108" t="s">
        <v>660</v>
      </c>
      <c r="J141" s="108"/>
      <c r="K141" s="109" t="s">
        <v>207</v>
      </c>
      <c r="L141" s="99"/>
      <c r="M141" s="99"/>
      <c r="N141" s="99"/>
    </row>
    <row r="142" spans="2:14" ht="40.5" customHeight="1" x14ac:dyDescent="0.75">
      <c r="C142" s="111" t="s">
        <v>616</v>
      </c>
      <c r="D142" s="111" t="s">
        <v>661</v>
      </c>
      <c r="E142" s="111" t="s">
        <v>217</v>
      </c>
      <c r="F142" s="111"/>
      <c r="G142" s="108" t="s">
        <v>204</v>
      </c>
      <c r="H142" s="108"/>
      <c r="I142" s="111" t="s">
        <v>662</v>
      </c>
      <c r="J142" s="108" t="s">
        <v>619</v>
      </c>
      <c r="K142" s="109" t="s">
        <v>207</v>
      </c>
    </row>
    <row r="143" spans="2:14" ht="40.5" customHeight="1" x14ac:dyDescent="0.75">
      <c r="C143" s="111" t="s">
        <v>609</v>
      </c>
      <c r="D143" s="111" t="s">
        <v>663</v>
      </c>
      <c r="E143" s="111" t="s">
        <v>199</v>
      </c>
      <c r="F143" s="111"/>
      <c r="G143" s="108" t="s">
        <v>204</v>
      </c>
      <c r="H143" s="108"/>
      <c r="I143" s="111" t="s">
        <v>657</v>
      </c>
      <c r="J143" s="108"/>
      <c r="K143" s="109" t="s">
        <v>207</v>
      </c>
    </row>
    <row r="144" spans="2:14" ht="40.5" customHeight="1" x14ac:dyDescent="0.75">
      <c r="C144" s="111" t="s">
        <v>622</v>
      </c>
      <c r="D144" s="111" t="s">
        <v>664</v>
      </c>
      <c r="E144" s="111" t="s">
        <v>217</v>
      </c>
      <c r="F144" s="111"/>
      <c r="G144" s="108" t="s">
        <v>204</v>
      </c>
      <c r="H144" s="108"/>
      <c r="I144" s="111" t="s">
        <v>662</v>
      </c>
      <c r="J144" s="108" t="s">
        <v>624</v>
      </c>
      <c r="K144" s="109" t="s">
        <v>207</v>
      </c>
    </row>
    <row r="145" spans="2:14" ht="40.5" customHeight="1" x14ac:dyDescent="0.75">
      <c r="C145" s="111" t="s">
        <v>609</v>
      </c>
      <c r="D145" s="111" t="s">
        <v>665</v>
      </c>
      <c r="E145" s="111" t="s">
        <v>199</v>
      </c>
      <c r="F145" s="111"/>
      <c r="G145" s="108" t="s">
        <v>204</v>
      </c>
      <c r="H145" s="108"/>
      <c r="I145" s="111" t="s">
        <v>657</v>
      </c>
      <c r="J145" s="108"/>
      <c r="K145" s="109" t="s">
        <v>207</v>
      </c>
    </row>
    <row r="146" spans="2:14" ht="40.5" customHeight="1" x14ac:dyDescent="0.75">
      <c r="C146" s="136" t="s">
        <v>626</v>
      </c>
      <c r="D146" s="136" t="s">
        <v>666</v>
      </c>
      <c r="E146" s="136" t="s">
        <v>217</v>
      </c>
      <c r="F146" s="136"/>
      <c r="G146" s="108" t="s">
        <v>200</v>
      </c>
      <c r="H146" s="108" t="s">
        <v>667</v>
      </c>
      <c r="I146" s="136" t="s">
        <v>668</v>
      </c>
      <c r="J146" s="136" t="s">
        <v>630</v>
      </c>
      <c r="K146" s="116" t="s">
        <v>201</v>
      </c>
    </row>
    <row r="147" spans="2:14" s="115" customFormat="1" ht="40.5" customHeight="1" x14ac:dyDescent="0.75">
      <c r="B147" s="139"/>
      <c r="C147" s="136" t="s">
        <v>669</v>
      </c>
      <c r="D147" s="136" t="s">
        <v>670</v>
      </c>
      <c r="E147" s="108" t="s">
        <v>217</v>
      </c>
      <c r="F147" s="108" t="s">
        <v>201</v>
      </c>
      <c r="G147" s="108" t="s">
        <v>200</v>
      </c>
      <c r="H147" s="108" t="s">
        <v>607</v>
      </c>
      <c r="I147" s="136" t="s">
        <v>207</v>
      </c>
      <c r="J147" s="136" t="s">
        <v>671</v>
      </c>
      <c r="K147" s="116" t="s">
        <v>201</v>
      </c>
      <c r="L147" s="99"/>
      <c r="M147" s="99"/>
      <c r="N147" s="99"/>
    </row>
    <row r="148" spans="2:14" ht="40.5" customHeight="1" x14ac:dyDescent="0.75">
      <c r="C148" s="111" t="s">
        <v>672</v>
      </c>
      <c r="D148" s="111" t="s">
        <v>673</v>
      </c>
      <c r="E148" s="111" t="s">
        <v>217</v>
      </c>
      <c r="F148" s="111"/>
      <c r="G148" s="108" t="s">
        <v>200</v>
      </c>
      <c r="H148" s="108" t="s">
        <v>674</v>
      </c>
      <c r="I148" s="111" t="s">
        <v>675</v>
      </c>
      <c r="J148" s="136" t="s">
        <v>676</v>
      </c>
      <c r="K148" s="109" t="s">
        <v>201</v>
      </c>
    </row>
    <row r="149" spans="2:14" ht="40.5" customHeight="1" x14ac:dyDescent="0.75">
      <c r="C149" s="111" t="s">
        <v>631</v>
      </c>
      <c r="D149" s="111" t="s">
        <v>677</v>
      </c>
      <c r="E149" s="111" t="s">
        <v>200</v>
      </c>
      <c r="F149" s="111"/>
      <c r="G149" s="108" t="s">
        <v>200</v>
      </c>
      <c r="H149" s="111" t="s">
        <v>633</v>
      </c>
      <c r="I149" s="111" t="s">
        <v>678</v>
      </c>
      <c r="J149" s="108" t="s">
        <v>679</v>
      </c>
      <c r="K149" s="109" t="s">
        <v>201</v>
      </c>
    </row>
    <row r="150" spans="2:14" ht="40.5" customHeight="1" x14ac:dyDescent="0.75">
      <c r="C150" s="108" t="s">
        <v>680</v>
      </c>
      <c r="D150" s="108" t="s">
        <v>681</v>
      </c>
      <c r="E150" s="108" t="s">
        <v>682</v>
      </c>
      <c r="F150" s="108"/>
      <c r="G150" s="108" t="s">
        <v>200</v>
      </c>
      <c r="H150" s="111" t="s">
        <v>683</v>
      </c>
      <c r="I150" s="111" t="s">
        <v>684</v>
      </c>
      <c r="J150" s="108" t="s">
        <v>685</v>
      </c>
      <c r="K150" s="109" t="s">
        <v>201</v>
      </c>
    </row>
    <row r="151" spans="2:14" ht="40.5" customHeight="1" x14ac:dyDescent="0.75">
      <c r="C151" s="108" t="s">
        <v>686</v>
      </c>
      <c r="D151" s="108" t="s">
        <v>687</v>
      </c>
      <c r="E151" s="108" t="s">
        <v>217</v>
      </c>
      <c r="F151" s="108"/>
      <c r="G151" s="108" t="s">
        <v>200</v>
      </c>
      <c r="H151" s="108" t="s">
        <v>688</v>
      </c>
      <c r="I151" s="111" t="s">
        <v>678</v>
      </c>
      <c r="J151" s="108"/>
      <c r="K151" s="109" t="s">
        <v>201</v>
      </c>
    </row>
    <row r="152" spans="2:14" ht="40.5" customHeight="1" x14ac:dyDescent="0.75">
      <c r="C152" s="111" t="s">
        <v>644</v>
      </c>
      <c r="D152" s="111" t="s">
        <v>689</v>
      </c>
      <c r="E152" s="111" t="s">
        <v>200</v>
      </c>
      <c r="F152" s="111"/>
      <c r="G152" s="108" t="s">
        <v>200</v>
      </c>
      <c r="H152" s="111" t="s">
        <v>633</v>
      </c>
      <c r="I152" s="108" t="s">
        <v>690</v>
      </c>
      <c r="J152" s="108" t="s">
        <v>691</v>
      </c>
      <c r="K152" s="109" t="s">
        <v>201</v>
      </c>
    </row>
    <row r="153" spans="2:14" ht="40.5" customHeight="1" x14ac:dyDescent="0.75">
      <c r="C153" s="111" t="s">
        <v>692</v>
      </c>
      <c r="D153" s="111" t="s">
        <v>693</v>
      </c>
      <c r="E153" s="111" t="s">
        <v>217</v>
      </c>
      <c r="F153" s="111"/>
      <c r="G153" s="108" t="s">
        <v>200</v>
      </c>
      <c r="H153" s="108" t="s">
        <v>378</v>
      </c>
      <c r="I153" s="108" t="s">
        <v>694</v>
      </c>
      <c r="J153" s="108" t="s">
        <v>695</v>
      </c>
      <c r="K153" s="109" t="s">
        <v>201</v>
      </c>
    </row>
    <row r="154" spans="2:14" ht="40.5" customHeight="1" x14ac:dyDescent="0.75">
      <c r="C154" s="111" t="s">
        <v>696</v>
      </c>
      <c r="D154" s="111" t="s">
        <v>697</v>
      </c>
      <c r="E154" s="111" t="s">
        <v>199</v>
      </c>
      <c r="F154" s="111"/>
      <c r="G154" s="108" t="s">
        <v>204</v>
      </c>
      <c r="H154" s="108"/>
      <c r="I154" s="108" t="s">
        <v>698</v>
      </c>
      <c r="J154" s="108" t="s">
        <v>699</v>
      </c>
      <c r="K154" s="109" t="s">
        <v>201</v>
      </c>
    </row>
    <row r="155" spans="2:14" ht="40.5" customHeight="1" x14ac:dyDescent="0.75">
      <c r="C155" s="111" t="s">
        <v>700</v>
      </c>
      <c r="D155" s="111" t="s">
        <v>701</v>
      </c>
      <c r="E155" s="111" t="s">
        <v>341</v>
      </c>
      <c r="F155" s="111"/>
      <c r="G155" s="108" t="s">
        <v>204</v>
      </c>
      <c r="H155" s="108"/>
      <c r="I155" s="111" t="s">
        <v>209</v>
      </c>
      <c r="J155" s="108" t="s">
        <v>702</v>
      </c>
      <c r="K155" s="109" t="s">
        <v>201</v>
      </c>
    </row>
    <row r="156" spans="2:14" ht="40.5" customHeight="1" x14ac:dyDescent="0.75">
      <c r="C156" s="111" t="s">
        <v>703</v>
      </c>
      <c r="D156" s="111" t="s">
        <v>704</v>
      </c>
      <c r="E156" s="111" t="s">
        <v>217</v>
      </c>
      <c r="F156" s="111"/>
      <c r="G156" s="108" t="s">
        <v>200</v>
      </c>
      <c r="H156" s="108" t="s">
        <v>378</v>
      </c>
      <c r="I156" s="111" t="s">
        <v>207</v>
      </c>
      <c r="J156" s="108" t="s">
        <v>705</v>
      </c>
      <c r="K156" s="109" t="s">
        <v>207</v>
      </c>
    </row>
    <row r="157" spans="2:14" ht="40.5" customHeight="1" x14ac:dyDescent="0.75">
      <c r="C157" s="111" t="s">
        <v>429</v>
      </c>
      <c r="D157" s="111" t="s">
        <v>430</v>
      </c>
      <c r="E157" s="111" t="s">
        <v>431</v>
      </c>
      <c r="F157" s="111"/>
      <c r="G157" s="108" t="s">
        <v>200</v>
      </c>
      <c r="H157" s="111" t="s">
        <v>706</v>
      </c>
      <c r="I157" s="108" t="s">
        <v>207</v>
      </c>
      <c r="J157" s="108"/>
      <c r="K157" s="109" t="s">
        <v>207</v>
      </c>
    </row>
    <row r="158" spans="2:14" ht="40.5" customHeight="1" x14ac:dyDescent="0.75">
      <c r="C158" s="111" t="s">
        <v>434</v>
      </c>
      <c r="D158" s="111" t="s">
        <v>435</v>
      </c>
      <c r="E158" s="111" t="s">
        <v>199</v>
      </c>
      <c r="F158" s="111"/>
      <c r="G158" s="108" t="s">
        <v>204</v>
      </c>
      <c r="H158" s="108"/>
      <c r="I158" s="108" t="s">
        <v>436</v>
      </c>
      <c r="J158" s="108"/>
      <c r="K158" s="109" t="s">
        <v>207</v>
      </c>
    </row>
    <row r="159" spans="2:14" ht="40.5" customHeight="1" x14ac:dyDescent="0.75">
      <c r="C159" s="111" t="s">
        <v>707</v>
      </c>
      <c r="D159" s="111" t="s">
        <v>708</v>
      </c>
      <c r="E159" s="111" t="s">
        <v>217</v>
      </c>
      <c r="F159" s="111"/>
      <c r="G159" s="108" t="s">
        <v>200</v>
      </c>
      <c r="H159" s="108" t="s">
        <v>709</v>
      </c>
      <c r="I159" s="111" t="s">
        <v>209</v>
      </c>
      <c r="J159" s="108" t="s">
        <v>710</v>
      </c>
      <c r="K159" s="109" t="s">
        <v>207</v>
      </c>
    </row>
    <row r="160" spans="2:14" ht="40.5" customHeight="1" x14ac:dyDescent="0.75">
      <c r="C160" s="111" t="s">
        <v>711</v>
      </c>
      <c r="D160" s="111" t="s">
        <v>712</v>
      </c>
      <c r="E160" s="111" t="s">
        <v>713</v>
      </c>
      <c r="F160" s="111"/>
      <c r="G160" s="108" t="s">
        <v>713</v>
      </c>
      <c r="H160" s="108"/>
      <c r="I160" s="111" t="s">
        <v>209</v>
      </c>
      <c r="J160" s="108" t="s">
        <v>714</v>
      </c>
      <c r="K160" s="109" t="s">
        <v>207</v>
      </c>
    </row>
    <row r="161" spans="3:11" ht="40.5" customHeight="1" x14ac:dyDescent="0.75">
      <c r="C161" s="111" t="s">
        <v>715</v>
      </c>
      <c r="D161" s="111" t="s">
        <v>716</v>
      </c>
      <c r="E161" s="111" t="s">
        <v>713</v>
      </c>
      <c r="F161" s="111"/>
      <c r="G161" s="108" t="s">
        <v>713</v>
      </c>
      <c r="H161" s="108"/>
      <c r="I161" s="111" t="s">
        <v>209</v>
      </c>
      <c r="J161" s="108" t="s">
        <v>714</v>
      </c>
      <c r="K161" s="109" t="s">
        <v>207</v>
      </c>
    </row>
    <row r="162" spans="3:11" ht="40.5" customHeight="1" x14ac:dyDescent="0.75">
      <c r="C162" s="111" t="s">
        <v>717</v>
      </c>
      <c r="D162" s="111" t="s">
        <v>718</v>
      </c>
      <c r="E162" s="111" t="s">
        <v>713</v>
      </c>
      <c r="F162" s="111"/>
      <c r="G162" s="108" t="s">
        <v>713</v>
      </c>
      <c r="H162" s="108"/>
      <c r="I162" s="111" t="s">
        <v>209</v>
      </c>
      <c r="J162" s="108" t="s">
        <v>719</v>
      </c>
      <c r="K162" s="109" t="s">
        <v>207</v>
      </c>
    </row>
    <row r="163" spans="3:11" ht="40.5" customHeight="1" x14ac:dyDescent="0.75">
      <c r="C163" s="111" t="s">
        <v>720</v>
      </c>
      <c r="D163" s="111" t="s">
        <v>721</v>
      </c>
      <c r="E163" s="111" t="s">
        <v>713</v>
      </c>
      <c r="F163" s="111"/>
      <c r="G163" s="108" t="s">
        <v>713</v>
      </c>
      <c r="H163" s="108"/>
      <c r="I163" s="111" t="s">
        <v>209</v>
      </c>
      <c r="J163" s="108" t="s">
        <v>719</v>
      </c>
      <c r="K163" s="109" t="s">
        <v>207</v>
      </c>
    </row>
    <row r="164" spans="3:11" ht="40.5" customHeight="1" x14ac:dyDescent="0.75">
      <c r="C164" s="111" t="s">
        <v>722</v>
      </c>
      <c r="D164" s="111" t="s">
        <v>723</v>
      </c>
      <c r="E164" s="111" t="s">
        <v>722</v>
      </c>
      <c r="F164" s="111" t="s">
        <v>201</v>
      </c>
      <c r="G164" s="111" t="s">
        <v>722</v>
      </c>
      <c r="H164" s="111" t="s">
        <v>722</v>
      </c>
      <c r="I164" s="111" t="s">
        <v>722</v>
      </c>
      <c r="J164" s="108" t="s">
        <v>724</v>
      </c>
      <c r="K164" s="118" t="s">
        <v>207</v>
      </c>
    </row>
    <row r="165" spans="3:11" ht="40.5" customHeight="1" x14ac:dyDescent="0.75">
      <c r="C165" s="111" t="s">
        <v>344</v>
      </c>
      <c r="D165" s="111" t="s">
        <v>345</v>
      </c>
      <c r="E165" s="111" t="s">
        <v>341</v>
      </c>
      <c r="F165" s="111"/>
      <c r="G165" s="108" t="s">
        <v>204</v>
      </c>
      <c r="H165" s="108"/>
      <c r="I165" s="111" t="s">
        <v>209</v>
      </c>
      <c r="J165" s="108" t="s">
        <v>347</v>
      </c>
      <c r="K165" s="109" t="s">
        <v>207</v>
      </c>
    </row>
    <row r="166" spans="3:11" ht="40.5" customHeight="1" x14ac:dyDescent="0.75">
      <c r="C166" s="124" t="s">
        <v>376</v>
      </c>
      <c r="D166" s="125"/>
      <c r="E166" s="125"/>
      <c r="F166" s="125"/>
      <c r="G166" s="126"/>
      <c r="H166" s="126"/>
      <c r="I166" s="127"/>
      <c r="J166" s="105"/>
      <c r="K166" s="125"/>
    </row>
    <row r="167" spans="3:11" ht="40.5" customHeight="1" x14ac:dyDescent="0.75">
      <c r="C167" s="108" t="s">
        <v>246</v>
      </c>
      <c r="D167" s="108" t="s">
        <v>247</v>
      </c>
      <c r="E167" s="108" t="s">
        <v>200</v>
      </c>
      <c r="F167" s="108" t="s">
        <v>201</v>
      </c>
      <c r="G167" s="108" t="s">
        <v>200</v>
      </c>
      <c r="H167" s="108"/>
      <c r="I167" s="108" t="s">
        <v>201</v>
      </c>
      <c r="J167" s="108" t="s">
        <v>725</v>
      </c>
      <c r="K167" s="118" t="s">
        <v>207</v>
      </c>
    </row>
    <row r="168" spans="3:11" ht="40.5" customHeight="1" x14ac:dyDescent="0.75">
      <c r="C168" s="108" t="s">
        <v>399</v>
      </c>
      <c r="D168" s="108" t="s">
        <v>400</v>
      </c>
      <c r="E168" s="108" t="s">
        <v>200</v>
      </c>
      <c r="F168" s="108" t="s">
        <v>201</v>
      </c>
      <c r="G168" s="108" t="s">
        <v>200</v>
      </c>
      <c r="H168" s="108"/>
      <c r="I168" s="108" t="s">
        <v>201</v>
      </c>
      <c r="J168" s="108"/>
      <c r="K168" s="118" t="s">
        <v>207</v>
      </c>
    </row>
    <row r="169" spans="3:11" ht="40.5" customHeight="1" x14ac:dyDescent="0.75">
      <c r="C169" s="108" t="s">
        <v>726</v>
      </c>
      <c r="D169" s="108" t="s">
        <v>727</v>
      </c>
      <c r="E169" s="108" t="s">
        <v>200</v>
      </c>
      <c r="F169" s="108" t="s">
        <v>201</v>
      </c>
      <c r="G169" s="108" t="s">
        <v>200</v>
      </c>
      <c r="H169" s="108"/>
      <c r="I169" s="108" t="s">
        <v>201</v>
      </c>
      <c r="J169" s="108" t="s">
        <v>728</v>
      </c>
      <c r="K169" s="118" t="s">
        <v>207</v>
      </c>
    </row>
    <row r="170" spans="3:11" ht="40.5" customHeight="1" x14ac:dyDescent="0.75">
      <c r="C170" s="111" t="s">
        <v>401</v>
      </c>
      <c r="D170" s="111" t="s">
        <v>261</v>
      </c>
      <c r="E170" s="111" t="s">
        <v>217</v>
      </c>
      <c r="F170" s="111"/>
      <c r="G170" s="108" t="s">
        <v>200</v>
      </c>
      <c r="H170" s="108" t="s">
        <v>262</v>
      </c>
      <c r="I170" s="111" t="s">
        <v>729</v>
      </c>
      <c r="J170" s="108" t="s">
        <v>730</v>
      </c>
      <c r="K170" s="109" t="s">
        <v>201</v>
      </c>
    </row>
    <row r="171" spans="3:11" ht="40.5" customHeight="1" x14ac:dyDescent="0.75">
      <c r="C171" s="111" t="s">
        <v>264</v>
      </c>
      <c r="D171" s="111" t="s">
        <v>265</v>
      </c>
      <c r="E171" s="111" t="s">
        <v>199</v>
      </c>
      <c r="F171" s="111"/>
      <c r="G171" s="108" t="s">
        <v>204</v>
      </c>
      <c r="H171" s="108"/>
      <c r="I171" s="111" t="s">
        <v>731</v>
      </c>
      <c r="J171" s="108" t="s">
        <v>405</v>
      </c>
      <c r="K171" s="109" t="s">
        <v>201</v>
      </c>
    </row>
    <row r="172" spans="3:11" ht="40.5" customHeight="1" x14ac:dyDescent="0.75">
      <c r="C172" s="111" t="s">
        <v>732</v>
      </c>
      <c r="D172" s="111" t="s">
        <v>733</v>
      </c>
      <c r="E172" s="111" t="s">
        <v>4</v>
      </c>
      <c r="F172" s="111"/>
      <c r="G172" s="108" t="s">
        <v>4</v>
      </c>
      <c r="H172" s="108" t="s">
        <v>226</v>
      </c>
      <c r="I172" s="111" t="s">
        <v>729</v>
      </c>
      <c r="J172" s="108" t="s">
        <v>734</v>
      </c>
      <c r="K172" s="109" t="s">
        <v>201</v>
      </c>
    </row>
    <row r="173" spans="3:11" ht="40.5" customHeight="1" x14ac:dyDescent="0.75">
      <c r="C173" s="111" t="s">
        <v>735</v>
      </c>
      <c r="D173" s="111" t="s">
        <v>736</v>
      </c>
      <c r="E173" s="111" t="s">
        <v>341</v>
      </c>
      <c r="F173" s="111"/>
      <c r="G173" s="108" t="s">
        <v>204</v>
      </c>
      <c r="H173" s="108"/>
      <c r="I173" s="111" t="s">
        <v>729</v>
      </c>
      <c r="J173" s="108" t="s">
        <v>737</v>
      </c>
      <c r="K173" s="118" t="s">
        <v>201</v>
      </c>
    </row>
    <row r="174" spans="3:11" ht="40.5" customHeight="1" x14ac:dyDescent="0.75">
      <c r="C174" s="108" t="s">
        <v>738</v>
      </c>
      <c r="D174" s="108" t="s">
        <v>739</v>
      </c>
      <c r="E174" s="111" t="s">
        <v>217</v>
      </c>
      <c r="F174" s="111"/>
      <c r="G174" s="108" t="s">
        <v>200</v>
      </c>
      <c r="H174" s="108" t="s">
        <v>388</v>
      </c>
      <c r="I174" s="111" t="s">
        <v>729</v>
      </c>
      <c r="J174" s="108" t="s">
        <v>740</v>
      </c>
      <c r="K174" s="118" t="s">
        <v>201</v>
      </c>
    </row>
    <row r="175" spans="3:11" ht="40.5" customHeight="1" x14ac:dyDescent="0.75">
      <c r="C175" s="136" t="s">
        <v>741</v>
      </c>
      <c r="D175" s="136" t="s">
        <v>742</v>
      </c>
      <c r="E175" s="111" t="s">
        <v>217</v>
      </c>
      <c r="F175" s="111"/>
      <c r="G175" s="108" t="s">
        <v>200</v>
      </c>
      <c r="H175" s="108" t="s">
        <v>388</v>
      </c>
      <c r="I175" s="111" t="s">
        <v>729</v>
      </c>
      <c r="J175" s="136" t="s">
        <v>743</v>
      </c>
      <c r="K175" s="118" t="s">
        <v>201</v>
      </c>
    </row>
    <row r="176" spans="3:11" ht="40.5" customHeight="1" x14ac:dyDescent="0.75">
      <c r="C176" s="108" t="s">
        <v>744</v>
      </c>
      <c r="D176" s="108" t="s">
        <v>745</v>
      </c>
      <c r="E176" s="111" t="s">
        <v>217</v>
      </c>
      <c r="F176" s="111"/>
      <c r="G176" s="108" t="s">
        <v>200</v>
      </c>
      <c r="H176" s="108" t="s">
        <v>388</v>
      </c>
      <c r="I176" s="111" t="s">
        <v>729</v>
      </c>
      <c r="J176" s="108" t="s">
        <v>746</v>
      </c>
      <c r="K176" s="118" t="s">
        <v>201</v>
      </c>
    </row>
    <row r="177" spans="2:14" ht="40.5" customHeight="1" x14ac:dyDescent="0.75">
      <c r="C177" s="136" t="s">
        <v>747</v>
      </c>
      <c r="D177" s="136" t="s">
        <v>748</v>
      </c>
      <c r="E177" s="111" t="s">
        <v>217</v>
      </c>
      <c r="F177" s="111"/>
      <c r="G177" s="108" t="s">
        <v>200</v>
      </c>
      <c r="H177" s="108" t="s">
        <v>388</v>
      </c>
      <c r="I177" s="111" t="s">
        <v>729</v>
      </c>
      <c r="J177" s="136" t="s">
        <v>749</v>
      </c>
      <c r="K177" s="118" t="s">
        <v>201</v>
      </c>
    </row>
    <row r="178" spans="2:14" ht="40.5" customHeight="1" x14ac:dyDescent="0.75">
      <c r="C178" s="136" t="s">
        <v>750</v>
      </c>
      <c r="D178" s="136" t="s">
        <v>751</v>
      </c>
      <c r="E178" s="111" t="s">
        <v>217</v>
      </c>
      <c r="F178" s="111"/>
      <c r="G178" s="108" t="s">
        <v>200</v>
      </c>
      <c r="H178" s="108" t="s">
        <v>388</v>
      </c>
      <c r="I178" s="111" t="s">
        <v>729</v>
      </c>
      <c r="J178" s="136" t="s">
        <v>752</v>
      </c>
      <c r="K178" s="118" t="s">
        <v>201</v>
      </c>
    </row>
    <row r="179" spans="2:14" ht="40.5" customHeight="1" x14ac:dyDescent="0.75">
      <c r="C179" s="136" t="s">
        <v>753</v>
      </c>
      <c r="D179" s="136" t="s">
        <v>754</v>
      </c>
      <c r="E179" s="111" t="s">
        <v>217</v>
      </c>
      <c r="F179" s="111"/>
      <c r="G179" s="108" t="s">
        <v>200</v>
      </c>
      <c r="H179" s="108" t="s">
        <v>388</v>
      </c>
      <c r="I179" s="111" t="s">
        <v>729</v>
      </c>
      <c r="J179" s="136" t="s">
        <v>755</v>
      </c>
      <c r="K179" s="118" t="s">
        <v>201</v>
      </c>
    </row>
    <row r="180" spans="2:14" ht="40.5" customHeight="1" x14ac:dyDescent="0.75">
      <c r="C180" s="133" t="s">
        <v>756</v>
      </c>
      <c r="D180" s="133" t="s">
        <v>757</v>
      </c>
      <c r="E180" s="133" t="s">
        <v>217</v>
      </c>
      <c r="F180" s="133"/>
      <c r="G180" s="108" t="s">
        <v>200</v>
      </c>
      <c r="H180" s="108" t="s">
        <v>388</v>
      </c>
      <c r="I180" s="111" t="s">
        <v>729</v>
      </c>
      <c r="J180" s="136" t="s">
        <v>758</v>
      </c>
      <c r="K180" s="118" t="s">
        <v>201</v>
      </c>
    </row>
    <row r="181" spans="2:14" ht="40.5" customHeight="1" x14ac:dyDescent="0.75">
      <c r="C181" s="133" t="s">
        <v>759</v>
      </c>
      <c r="D181" s="133" t="s">
        <v>760</v>
      </c>
      <c r="E181" s="133" t="s">
        <v>217</v>
      </c>
      <c r="F181" s="133"/>
      <c r="G181" s="108" t="s">
        <v>200</v>
      </c>
      <c r="H181" s="108" t="s">
        <v>388</v>
      </c>
      <c r="I181" s="111" t="s">
        <v>729</v>
      </c>
      <c r="J181" s="136" t="s">
        <v>761</v>
      </c>
      <c r="K181" s="118" t="s">
        <v>201</v>
      </c>
    </row>
    <row r="182" spans="2:14" ht="40.5" customHeight="1" x14ac:dyDescent="0.75">
      <c r="C182" s="136" t="s">
        <v>762</v>
      </c>
      <c r="D182" s="136" t="s">
        <v>763</v>
      </c>
      <c r="E182" s="111" t="s">
        <v>217</v>
      </c>
      <c r="F182" s="111"/>
      <c r="G182" s="108" t="s">
        <v>200</v>
      </c>
      <c r="H182" s="108" t="s">
        <v>388</v>
      </c>
      <c r="I182" s="111" t="s">
        <v>729</v>
      </c>
      <c r="J182" s="136" t="s">
        <v>764</v>
      </c>
      <c r="K182" s="118" t="s">
        <v>201</v>
      </c>
    </row>
    <row r="183" spans="2:14" ht="40.5" customHeight="1" x14ac:dyDescent="0.75">
      <c r="C183" s="133" t="s">
        <v>765</v>
      </c>
      <c r="D183" s="133" t="s">
        <v>766</v>
      </c>
      <c r="E183" s="133" t="s">
        <v>217</v>
      </c>
      <c r="F183" s="133"/>
      <c r="G183" s="108" t="s">
        <v>200</v>
      </c>
      <c r="H183" s="108" t="s">
        <v>388</v>
      </c>
      <c r="I183" s="111" t="s">
        <v>729</v>
      </c>
      <c r="J183" s="136" t="s">
        <v>767</v>
      </c>
      <c r="K183" s="118" t="s">
        <v>201</v>
      </c>
    </row>
    <row r="184" spans="2:14" ht="40.5" customHeight="1" x14ac:dyDescent="0.75">
      <c r="C184" s="133" t="s">
        <v>768</v>
      </c>
      <c r="D184" s="133" t="s">
        <v>769</v>
      </c>
      <c r="E184" s="133" t="s">
        <v>217</v>
      </c>
      <c r="F184" s="133"/>
      <c r="G184" s="108" t="s">
        <v>200</v>
      </c>
      <c r="H184" s="108" t="s">
        <v>388</v>
      </c>
      <c r="I184" s="111" t="s">
        <v>729</v>
      </c>
      <c r="J184" s="108" t="s">
        <v>770</v>
      </c>
      <c r="K184" s="118" t="s">
        <v>201</v>
      </c>
    </row>
    <row r="185" spans="2:14" ht="40.5" customHeight="1" x14ac:dyDescent="0.75">
      <c r="C185" s="133" t="s">
        <v>771</v>
      </c>
      <c r="D185" s="133" t="s">
        <v>772</v>
      </c>
      <c r="E185" s="133" t="s">
        <v>217</v>
      </c>
      <c r="F185" s="133"/>
      <c r="G185" s="108" t="s">
        <v>200</v>
      </c>
      <c r="H185" s="108" t="s">
        <v>773</v>
      </c>
      <c r="I185" s="111" t="s">
        <v>774</v>
      </c>
      <c r="J185" s="108" t="s">
        <v>775</v>
      </c>
      <c r="K185" s="109" t="s">
        <v>201</v>
      </c>
    </row>
    <row r="186" spans="2:14" ht="40.5" customHeight="1" x14ac:dyDescent="0.75">
      <c r="C186" s="111" t="s">
        <v>776</v>
      </c>
      <c r="D186" s="111" t="s">
        <v>777</v>
      </c>
      <c r="E186" s="111" t="s">
        <v>199</v>
      </c>
      <c r="F186" s="111"/>
      <c r="G186" s="108" t="s">
        <v>204</v>
      </c>
      <c r="H186" s="108"/>
      <c r="I186" s="111" t="s">
        <v>778</v>
      </c>
      <c r="J186" s="108" t="s">
        <v>779</v>
      </c>
      <c r="K186" s="109" t="s">
        <v>201</v>
      </c>
    </row>
    <row r="187" spans="2:14" s="115" customFormat="1" ht="40.5" customHeight="1" x14ac:dyDescent="0.75">
      <c r="B187" s="139"/>
      <c r="C187" s="108" t="s">
        <v>780</v>
      </c>
      <c r="D187" s="108" t="s">
        <v>781</v>
      </c>
      <c r="E187" s="108" t="s">
        <v>637</v>
      </c>
      <c r="F187" s="108"/>
      <c r="G187" s="108" t="s">
        <v>200</v>
      </c>
      <c r="H187" s="108" t="s">
        <v>782</v>
      </c>
      <c r="I187" s="108" t="s">
        <v>201</v>
      </c>
      <c r="J187" s="108" t="s">
        <v>783</v>
      </c>
      <c r="K187" s="109" t="s">
        <v>201</v>
      </c>
      <c r="L187" s="99"/>
      <c r="M187" s="99"/>
      <c r="N187" s="99"/>
    </row>
    <row r="188" spans="2:14" ht="40.5" customHeight="1" x14ac:dyDescent="0.75">
      <c r="C188" s="140" t="s">
        <v>784</v>
      </c>
      <c r="D188" s="140" t="s">
        <v>785</v>
      </c>
      <c r="E188" s="111" t="s">
        <v>217</v>
      </c>
      <c r="F188" s="133"/>
      <c r="G188" s="136" t="s">
        <v>200</v>
      </c>
      <c r="H188" s="108" t="s">
        <v>786</v>
      </c>
      <c r="I188" s="136" t="s">
        <v>787</v>
      </c>
      <c r="J188" s="136" t="s">
        <v>788</v>
      </c>
      <c r="K188" s="116" t="s">
        <v>201</v>
      </c>
    </row>
    <row r="189" spans="2:14" ht="40.5" customHeight="1" x14ac:dyDescent="0.75">
      <c r="C189" s="136" t="s">
        <v>789</v>
      </c>
      <c r="D189" s="136" t="s">
        <v>790</v>
      </c>
      <c r="E189" s="136" t="s">
        <v>682</v>
      </c>
      <c r="F189" s="136"/>
      <c r="G189" s="108" t="s">
        <v>200</v>
      </c>
      <c r="H189" s="108" t="s">
        <v>791</v>
      </c>
      <c r="I189" s="136" t="s">
        <v>787</v>
      </c>
      <c r="J189" s="108" t="s">
        <v>792</v>
      </c>
      <c r="K189" s="109" t="s">
        <v>201</v>
      </c>
    </row>
    <row r="190" spans="2:14" ht="40.5" customHeight="1" x14ac:dyDescent="0.75">
      <c r="C190" s="140" t="s">
        <v>793</v>
      </c>
      <c r="D190" s="140" t="s">
        <v>794</v>
      </c>
      <c r="E190" s="140" t="s">
        <v>637</v>
      </c>
      <c r="F190" s="140"/>
      <c r="G190" s="108" t="s">
        <v>200</v>
      </c>
      <c r="H190" s="108" t="s">
        <v>795</v>
      </c>
      <c r="I190" s="136" t="s">
        <v>787</v>
      </c>
      <c r="J190" s="108" t="s">
        <v>796</v>
      </c>
      <c r="K190" s="109" t="s">
        <v>201</v>
      </c>
    </row>
    <row r="191" spans="2:14" ht="40.5" customHeight="1" x14ac:dyDescent="0.75">
      <c r="C191" s="140" t="s">
        <v>797</v>
      </c>
      <c r="D191" s="140" t="s">
        <v>798</v>
      </c>
      <c r="E191" s="140" t="s">
        <v>637</v>
      </c>
      <c r="F191" s="140"/>
      <c r="G191" s="108" t="s">
        <v>200</v>
      </c>
      <c r="H191" s="108" t="s">
        <v>799</v>
      </c>
      <c r="I191" s="108" t="s">
        <v>201</v>
      </c>
      <c r="J191" s="108" t="s">
        <v>800</v>
      </c>
      <c r="K191" s="109" t="s">
        <v>201</v>
      </c>
    </row>
    <row r="192" spans="2:14" ht="40.5" customHeight="1" x14ac:dyDescent="0.75">
      <c r="C192" s="140" t="s">
        <v>801</v>
      </c>
      <c r="D192" s="140" t="s">
        <v>802</v>
      </c>
      <c r="E192" s="140" t="s">
        <v>637</v>
      </c>
      <c r="F192" s="140"/>
      <c r="G192" s="108" t="s">
        <v>200</v>
      </c>
      <c r="H192" s="108" t="s">
        <v>803</v>
      </c>
      <c r="I192" s="111" t="s">
        <v>804</v>
      </c>
      <c r="J192" s="108" t="s">
        <v>805</v>
      </c>
      <c r="K192" s="109" t="s">
        <v>201</v>
      </c>
    </row>
    <row r="193" spans="2:14" ht="40.5" customHeight="1" x14ac:dyDescent="0.75">
      <c r="C193" s="140" t="s">
        <v>806</v>
      </c>
      <c r="D193" s="140" t="s">
        <v>807</v>
      </c>
      <c r="E193" s="140" t="s">
        <v>637</v>
      </c>
      <c r="F193" s="140"/>
      <c r="G193" s="108" t="s">
        <v>200</v>
      </c>
      <c r="H193" s="108" t="s">
        <v>808</v>
      </c>
      <c r="I193" s="108" t="s">
        <v>809</v>
      </c>
      <c r="J193" s="108" t="s">
        <v>810</v>
      </c>
      <c r="K193" s="109" t="s">
        <v>201</v>
      </c>
    </row>
    <row r="194" spans="2:14" ht="40.5" customHeight="1" x14ac:dyDescent="0.75">
      <c r="C194" s="140" t="s">
        <v>811</v>
      </c>
      <c r="D194" s="140" t="s">
        <v>812</v>
      </c>
      <c r="E194" s="140" t="s">
        <v>637</v>
      </c>
      <c r="F194" s="140"/>
      <c r="G194" s="108" t="s">
        <v>200</v>
      </c>
      <c r="H194" s="108" t="s">
        <v>813</v>
      </c>
      <c r="I194" s="108" t="s">
        <v>201</v>
      </c>
      <c r="J194" s="108" t="s">
        <v>814</v>
      </c>
      <c r="K194" s="109" t="s">
        <v>201</v>
      </c>
    </row>
    <row r="195" spans="2:14" ht="40.5" customHeight="1" x14ac:dyDescent="0.75">
      <c r="C195" s="140" t="s">
        <v>806</v>
      </c>
      <c r="D195" s="140" t="s">
        <v>815</v>
      </c>
      <c r="E195" s="140" t="s">
        <v>637</v>
      </c>
      <c r="F195" s="140"/>
      <c r="G195" s="108" t="s">
        <v>200</v>
      </c>
      <c r="H195" s="108" t="s">
        <v>816</v>
      </c>
      <c r="I195" s="141" t="s">
        <v>817</v>
      </c>
      <c r="J195" s="108" t="s">
        <v>818</v>
      </c>
      <c r="K195" s="109" t="s">
        <v>201</v>
      </c>
    </row>
    <row r="196" spans="2:14" ht="40.5" customHeight="1" x14ac:dyDescent="0.75">
      <c r="C196" s="140" t="s">
        <v>819</v>
      </c>
      <c r="D196" s="140" t="s">
        <v>820</v>
      </c>
      <c r="E196" s="140" t="s">
        <v>637</v>
      </c>
      <c r="F196" s="140"/>
      <c r="G196" s="108" t="s">
        <v>200</v>
      </c>
      <c r="H196" s="108" t="s">
        <v>821</v>
      </c>
      <c r="I196" s="108" t="s">
        <v>201</v>
      </c>
      <c r="J196" s="108" t="s">
        <v>822</v>
      </c>
      <c r="K196" s="109" t="s">
        <v>201</v>
      </c>
    </row>
    <row r="197" spans="2:14" ht="40.5" customHeight="1" x14ac:dyDescent="0.75">
      <c r="C197" s="124" t="s">
        <v>183</v>
      </c>
      <c r="D197" s="125"/>
      <c r="E197" s="125"/>
      <c r="F197" s="125"/>
      <c r="G197" s="126"/>
      <c r="H197" s="126"/>
      <c r="I197" s="127"/>
      <c r="J197" s="105"/>
      <c r="K197" s="125"/>
    </row>
    <row r="198" spans="2:14" ht="40.5" customHeight="1" x14ac:dyDescent="0.75">
      <c r="C198" s="108" t="s">
        <v>246</v>
      </c>
      <c r="D198" s="108" t="s">
        <v>247</v>
      </c>
      <c r="E198" s="108" t="s">
        <v>200</v>
      </c>
      <c r="F198" s="108" t="s">
        <v>201</v>
      </c>
      <c r="G198" s="108" t="s">
        <v>200</v>
      </c>
      <c r="H198" s="108"/>
      <c r="I198" s="108" t="s">
        <v>201</v>
      </c>
      <c r="J198" s="108" t="s">
        <v>823</v>
      </c>
      <c r="K198" s="118" t="s">
        <v>207</v>
      </c>
    </row>
    <row r="199" spans="2:14" ht="40.5" customHeight="1" x14ac:dyDescent="0.75">
      <c r="C199" s="108" t="s">
        <v>824</v>
      </c>
      <c r="D199" s="108" t="s">
        <v>825</v>
      </c>
      <c r="E199" s="108" t="s">
        <v>200</v>
      </c>
      <c r="F199" s="108" t="s">
        <v>201</v>
      </c>
      <c r="G199" s="108" t="s">
        <v>200</v>
      </c>
      <c r="H199" s="108"/>
      <c r="I199" s="108" t="s">
        <v>201</v>
      </c>
      <c r="J199" s="108" t="s">
        <v>826</v>
      </c>
      <c r="K199" s="118" t="s">
        <v>201</v>
      </c>
    </row>
    <row r="200" spans="2:14" ht="40.5" customHeight="1" x14ac:dyDescent="0.75">
      <c r="C200" s="133" t="s">
        <v>827</v>
      </c>
      <c r="D200" s="133" t="s">
        <v>21</v>
      </c>
      <c r="E200" s="133" t="s">
        <v>217</v>
      </c>
      <c r="F200" s="133"/>
      <c r="G200" s="108" t="s">
        <v>200</v>
      </c>
      <c r="H200" s="108" t="s">
        <v>828</v>
      </c>
      <c r="I200" s="111" t="s">
        <v>201</v>
      </c>
      <c r="J200" s="108" t="s">
        <v>829</v>
      </c>
      <c r="K200" s="109" t="s">
        <v>201</v>
      </c>
    </row>
    <row r="201" spans="2:14" ht="40.5" customHeight="1" x14ac:dyDescent="0.75">
      <c r="C201" s="111" t="s">
        <v>830</v>
      </c>
      <c r="D201" s="111" t="s">
        <v>831</v>
      </c>
      <c r="E201" s="111" t="s">
        <v>4</v>
      </c>
      <c r="F201" s="111"/>
      <c r="G201" s="108" t="s">
        <v>4</v>
      </c>
      <c r="H201" s="108" t="s">
        <v>226</v>
      </c>
      <c r="I201" s="111" t="s">
        <v>201</v>
      </c>
      <c r="J201" s="108" t="s">
        <v>832</v>
      </c>
      <c r="K201" s="109" t="s">
        <v>201</v>
      </c>
    </row>
    <row r="202" spans="2:14" ht="40.5" customHeight="1" x14ac:dyDescent="0.75">
      <c r="C202" s="133" t="s">
        <v>833</v>
      </c>
      <c r="D202" s="133" t="s">
        <v>834</v>
      </c>
      <c r="E202" s="133" t="s">
        <v>217</v>
      </c>
      <c r="F202" s="133"/>
      <c r="G202" s="108" t="s">
        <v>200</v>
      </c>
      <c r="H202" s="108" t="s">
        <v>835</v>
      </c>
      <c r="I202" s="111" t="s">
        <v>836</v>
      </c>
      <c r="J202" s="108" t="s">
        <v>837</v>
      </c>
      <c r="K202" s="109" t="s">
        <v>201</v>
      </c>
    </row>
    <row r="203" spans="2:14" ht="40.5" customHeight="1" x14ac:dyDescent="0.75">
      <c r="C203" s="111" t="s">
        <v>838</v>
      </c>
      <c r="D203" s="111" t="s">
        <v>839</v>
      </c>
      <c r="E203" s="111" t="s">
        <v>199</v>
      </c>
      <c r="F203" s="111"/>
      <c r="G203" s="108" t="s">
        <v>204</v>
      </c>
      <c r="H203" s="108"/>
      <c r="I203" s="111" t="s">
        <v>840</v>
      </c>
      <c r="J203" s="108" t="s">
        <v>841</v>
      </c>
      <c r="K203" s="109" t="s">
        <v>201</v>
      </c>
    </row>
    <row r="204" spans="2:14" ht="40.5" customHeight="1" x14ac:dyDescent="0.75">
      <c r="C204" s="124" t="s">
        <v>184</v>
      </c>
      <c r="D204" s="125"/>
      <c r="E204" s="125"/>
      <c r="F204" s="125"/>
      <c r="G204" s="126"/>
      <c r="H204" s="126"/>
      <c r="I204" s="127"/>
      <c r="J204" s="105"/>
      <c r="K204" s="125"/>
    </row>
    <row r="205" spans="2:14" ht="40.5" customHeight="1" x14ac:dyDescent="0.75">
      <c r="C205" s="108" t="s">
        <v>246</v>
      </c>
      <c r="D205" s="108" t="s">
        <v>247</v>
      </c>
      <c r="E205" s="108" t="s">
        <v>200</v>
      </c>
      <c r="F205" s="108" t="s">
        <v>201</v>
      </c>
      <c r="G205" s="108" t="s">
        <v>200</v>
      </c>
      <c r="H205" s="108"/>
      <c r="I205" s="108" t="s">
        <v>201</v>
      </c>
      <c r="J205" s="108" t="s">
        <v>842</v>
      </c>
      <c r="K205" s="118" t="s">
        <v>207</v>
      </c>
    </row>
    <row r="206" spans="2:14" s="143" customFormat="1" ht="40.5" customHeight="1" x14ac:dyDescent="0.75">
      <c r="B206" s="142"/>
      <c r="C206" s="108" t="s">
        <v>399</v>
      </c>
      <c r="D206" s="108" t="s">
        <v>400</v>
      </c>
      <c r="E206" s="108" t="s">
        <v>200</v>
      </c>
      <c r="F206" s="108" t="s">
        <v>201</v>
      </c>
      <c r="G206" s="108" t="s">
        <v>200</v>
      </c>
      <c r="H206" s="108"/>
      <c r="I206" s="108" t="s">
        <v>201</v>
      </c>
      <c r="J206" s="108"/>
      <c r="K206" s="118" t="s">
        <v>207</v>
      </c>
      <c r="L206" s="99"/>
      <c r="M206" s="99"/>
      <c r="N206" s="99"/>
    </row>
    <row r="207" spans="2:14" ht="40.5" customHeight="1" x14ac:dyDescent="0.75">
      <c r="C207" s="108" t="s">
        <v>843</v>
      </c>
      <c r="D207" s="108" t="s">
        <v>844</v>
      </c>
      <c r="E207" s="108" t="s">
        <v>200</v>
      </c>
      <c r="F207" s="108" t="s">
        <v>201</v>
      </c>
      <c r="G207" s="108" t="s">
        <v>200</v>
      </c>
      <c r="H207" s="108"/>
      <c r="I207" s="108" t="s">
        <v>201</v>
      </c>
      <c r="J207" s="108" t="s">
        <v>845</v>
      </c>
      <c r="K207" s="118" t="s">
        <v>201</v>
      </c>
    </row>
    <row r="208" spans="2:14" ht="40.5" customHeight="1" x14ac:dyDescent="0.75">
      <c r="B208" s="144"/>
      <c r="C208" s="133" t="s">
        <v>846</v>
      </c>
      <c r="D208" s="133" t="s">
        <v>847</v>
      </c>
      <c r="E208" s="133" t="s">
        <v>217</v>
      </c>
      <c r="F208" s="133"/>
      <c r="G208" s="108" t="s">
        <v>200</v>
      </c>
      <c r="H208" s="108" t="s">
        <v>323</v>
      </c>
      <c r="I208" s="111" t="s">
        <v>205</v>
      </c>
      <c r="J208" s="108" t="s">
        <v>848</v>
      </c>
      <c r="K208" s="109" t="s">
        <v>201</v>
      </c>
    </row>
    <row r="209" spans="2:11" ht="40.5" customHeight="1" x14ac:dyDescent="0.75">
      <c r="B209" s="144"/>
      <c r="C209" s="133" t="s">
        <v>849</v>
      </c>
      <c r="D209" s="133" t="s">
        <v>850</v>
      </c>
      <c r="E209" s="133" t="s">
        <v>217</v>
      </c>
      <c r="F209" s="133"/>
      <c r="G209" s="108" t="s">
        <v>200</v>
      </c>
      <c r="H209" s="108" t="s">
        <v>851</v>
      </c>
      <c r="I209" s="108" t="s">
        <v>852</v>
      </c>
      <c r="J209" s="108"/>
      <c r="K209" s="109" t="s">
        <v>207</v>
      </c>
    </row>
    <row r="210" spans="2:11" ht="40.5" customHeight="1" x14ac:dyDescent="0.75">
      <c r="B210" s="144"/>
      <c r="C210" s="111" t="s">
        <v>853</v>
      </c>
      <c r="D210" s="111" t="s">
        <v>854</v>
      </c>
      <c r="E210" s="111" t="s">
        <v>4</v>
      </c>
      <c r="F210" s="111"/>
      <c r="G210" s="108" t="s">
        <v>4</v>
      </c>
      <c r="H210" s="108" t="s">
        <v>226</v>
      </c>
      <c r="I210" s="108" t="s">
        <v>855</v>
      </c>
      <c r="J210" s="108" t="s">
        <v>856</v>
      </c>
      <c r="K210" s="109" t="s">
        <v>201</v>
      </c>
    </row>
    <row r="211" spans="2:11" ht="40.5" customHeight="1" x14ac:dyDescent="0.75">
      <c r="B211" s="144"/>
      <c r="C211" s="111" t="s">
        <v>857</v>
      </c>
      <c r="D211" s="111" t="s">
        <v>858</v>
      </c>
      <c r="E211" s="111" t="s">
        <v>341</v>
      </c>
      <c r="F211" s="111"/>
      <c r="G211" s="108" t="s">
        <v>204</v>
      </c>
      <c r="H211" s="108"/>
      <c r="I211" s="108" t="s">
        <v>855</v>
      </c>
      <c r="J211" s="108" t="s">
        <v>859</v>
      </c>
      <c r="K211" s="109" t="s">
        <v>201</v>
      </c>
    </row>
    <row r="212" spans="2:11" ht="40.5" customHeight="1" x14ac:dyDescent="0.75">
      <c r="B212" s="144"/>
      <c r="C212" s="133" t="s">
        <v>860</v>
      </c>
      <c r="D212" s="133" t="s">
        <v>861</v>
      </c>
      <c r="E212" s="133" t="s">
        <v>217</v>
      </c>
      <c r="F212" s="133"/>
      <c r="G212" s="108" t="s">
        <v>200</v>
      </c>
      <c r="H212" s="108" t="s">
        <v>862</v>
      </c>
      <c r="I212" s="108" t="s">
        <v>855</v>
      </c>
      <c r="J212" s="108" t="s">
        <v>863</v>
      </c>
      <c r="K212" s="109" t="s">
        <v>201</v>
      </c>
    </row>
    <row r="213" spans="2:11" ht="40.5" customHeight="1" x14ac:dyDescent="0.75">
      <c r="B213" s="144"/>
      <c r="C213" s="108" t="s">
        <v>864</v>
      </c>
      <c r="D213" s="133" t="s">
        <v>865</v>
      </c>
      <c r="E213" s="108" t="s">
        <v>217</v>
      </c>
      <c r="F213" s="108"/>
      <c r="G213" s="108" t="s">
        <v>200</v>
      </c>
      <c r="H213" s="108" t="s">
        <v>378</v>
      </c>
      <c r="I213" s="108" t="s">
        <v>201</v>
      </c>
      <c r="J213" s="108" t="s">
        <v>866</v>
      </c>
      <c r="K213" s="118" t="s">
        <v>207</v>
      </c>
    </row>
    <row r="214" spans="2:11" ht="40.5" customHeight="1" x14ac:dyDescent="0.75">
      <c r="B214" s="144"/>
      <c r="C214" s="108" t="s">
        <v>867</v>
      </c>
      <c r="D214" s="133" t="s">
        <v>868</v>
      </c>
      <c r="E214" s="108" t="s">
        <v>217</v>
      </c>
      <c r="F214" s="108"/>
      <c r="G214" s="108" t="s">
        <v>200</v>
      </c>
      <c r="H214" s="108" t="s">
        <v>378</v>
      </c>
      <c r="I214" s="108" t="s">
        <v>201</v>
      </c>
      <c r="J214" s="108" t="s">
        <v>869</v>
      </c>
      <c r="K214" s="118" t="s">
        <v>207</v>
      </c>
    </row>
    <row r="215" spans="2:11" ht="40.5" customHeight="1" x14ac:dyDescent="0.75">
      <c r="B215" s="144"/>
      <c r="C215" s="108" t="s">
        <v>870</v>
      </c>
      <c r="D215" s="108" t="s">
        <v>871</v>
      </c>
      <c r="E215" s="108" t="s">
        <v>217</v>
      </c>
      <c r="F215" s="108"/>
      <c r="G215" s="108" t="s">
        <v>200</v>
      </c>
      <c r="H215" s="108" t="s">
        <v>378</v>
      </c>
      <c r="I215" s="108" t="s">
        <v>201</v>
      </c>
      <c r="J215" s="108" t="s">
        <v>872</v>
      </c>
      <c r="K215" s="118" t="s">
        <v>207</v>
      </c>
    </row>
    <row r="216" spans="2:11" ht="40.5" customHeight="1" x14ac:dyDescent="0.75">
      <c r="B216" s="144"/>
      <c r="C216" s="108" t="s">
        <v>873</v>
      </c>
      <c r="D216" s="108" t="s">
        <v>874</v>
      </c>
      <c r="E216" s="108" t="s">
        <v>217</v>
      </c>
      <c r="F216" s="108"/>
      <c r="G216" s="108" t="s">
        <v>200</v>
      </c>
      <c r="H216" s="108" t="s">
        <v>378</v>
      </c>
      <c r="I216" s="108" t="s">
        <v>201</v>
      </c>
      <c r="J216" s="108" t="s">
        <v>875</v>
      </c>
      <c r="K216" s="118" t="s">
        <v>207</v>
      </c>
    </row>
    <row r="217" spans="2:11" ht="40.5" customHeight="1" x14ac:dyDescent="0.75">
      <c r="B217" s="144"/>
      <c r="C217" s="108" t="s">
        <v>876</v>
      </c>
      <c r="D217" s="108" t="s">
        <v>877</v>
      </c>
      <c r="E217" s="108" t="s">
        <v>217</v>
      </c>
      <c r="F217" s="108"/>
      <c r="G217" s="108" t="s">
        <v>200</v>
      </c>
      <c r="H217" s="108" t="s">
        <v>378</v>
      </c>
      <c r="I217" s="108" t="s">
        <v>201</v>
      </c>
      <c r="J217" s="108" t="s">
        <v>878</v>
      </c>
      <c r="K217" s="118" t="s">
        <v>207</v>
      </c>
    </row>
    <row r="218" spans="2:11" ht="40.5" customHeight="1" x14ac:dyDescent="0.75">
      <c r="B218" s="144"/>
      <c r="C218" s="133" t="s">
        <v>879</v>
      </c>
      <c r="D218" s="133" t="s">
        <v>880</v>
      </c>
      <c r="E218" s="133" t="s">
        <v>217</v>
      </c>
      <c r="F218" s="133"/>
      <c r="G218" s="108" t="s">
        <v>200</v>
      </c>
      <c r="H218" s="108" t="s">
        <v>881</v>
      </c>
      <c r="I218" s="108" t="s">
        <v>201</v>
      </c>
      <c r="J218" s="108" t="s">
        <v>882</v>
      </c>
      <c r="K218" s="109" t="s">
        <v>201</v>
      </c>
    </row>
    <row r="219" spans="2:11" ht="40.5" customHeight="1" x14ac:dyDescent="0.75">
      <c r="B219" s="144"/>
      <c r="C219" s="133" t="s">
        <v>883</v>
      </c>
      <c r="D219" s="133" t="s">
        <v>884</v>
      </c>
      <c r="E219" s="133" t="s">
        <v>217</v>
      </c>
      <c r="F219" s="133"/>
      <c r="G219" s="108" t="s">
        <v>200</v>
      </c>
      <c r="H219" s="108" t="s">
        <v>885</v>
      </c>
      <c r="I219" s="111" t="s">
        <v>886</v>
      </c>
      <c r="J219" s="108" t="s">
        <v>887</v>
      </c>
      <c r="K219" s="109" t="s">
        <v>207</v>
      </c>
    </row>
    <row r="220" spans="2:11" ht="40.5" customHeight="1" x14ac:dyDescent="0.75">
      <c r="B220" s="144"/>
      <c r="C220" s="111" t="s">
        <v>888</v>
      </c>
      <c r="D220" s="111" t="s">
        <v>889</v>
      </c>
      <c r="E220" s="111" t="s">
        <v>199</v>
      </c>
      <c r="F220" s="111"/>
      <c r="G220" s="108" t="s">
        <v>204</v>
      </c>
      <c r="H220" s="108"/>
      <c r="I220" s="111" t="s">
        <v>886</v>
      </c>
      <c r="J220" s="108" t="s">
        <v>890</v>
      </c>
      <c r="K220" s="109" t="s">
        <v>201</v>
      </c>
    </row>
    <row r="221" spans="2:11" ht="40.5" customHeight="1" x14ac:dyDescent="0.75">
      <c r="B221" s="144"/>
      <c r="C221" s="136" t="s">
        <v>891</v>
      </c>
      <c r="D221" s="136" t="s">
        <v>892</v>
      </c>
      <c r="E221" s="136" t="s">
        <v>682</v>
      </c>
      <c r="F221" s="136"/>
      <c r="G221" s="108" t="s">
        <v>200</v>
      </c>
      <c r="H221" s="108" t="s">
        <v>388</v>
      </c>
      <c r="I221" s="111" t="s">
        <v>886</v>
      </c>
      <c r="J221" s="108" t="s">
        <v>893</v>
      </c>
      <c r="K221" s="109" t="s">
        <v>201</v>
      </c>
    </row>
    <row r="222" spans="2:11" ht="40.5" customHeight="1" x14ac:dyDescent="0.75">
      <c r="B222" s="144"/>
      <c r="C222" s="108" t="s">
        <v>894</v>
      </c>
      <c r="D222" s="108" t="s">
        <v>895</v>
      </c>
      <c r="E222" s="111" t="s">
        <v>199</v>
      </c>
      <c r="F222" s="111"/>
      <c r="G222" s="108" t="s">
        <v>204</v>
      </c>
      <c r="H222" s="108"/>
      <c r="I222" s="108" t="s">
        <v>896</v>
      </c>
      <c r="J222" s="108" t="s">
        <v>897</v>
      </c>
      <c r="K222" s="109" t="s">
        <v>201</v>
      </c>
    </row>
    <row r="223" spans="2:11" ht="40.5" customHeight="1" x14ac:dyDescent="0.75">
      <c r="B223" s="144"/>
      <c r="C223" s="133" t="s">
        <v>898</v>
      </c>
      <c r="D223" s="133" t="s">
        <v>899</v>
      </c>
      <c r="E223" s="133" t="s">
        <v>217</v>
      </c>
      <c r="F223" s="133"/>
      <c r="G223" s="108" t="s">
        <v>200</v>
      </c>
      <c r="H223" s="108" t="s">
        <v>900</v>
      </c>
      <c r="I223" s="108" t="s">
        <v>201</v>
      </c>
      <c r="J223" s="108" t="s">
        <v>901</v>
      </c>
      <c r="K223" s="109" t="s">
        <v>207</v>
      </c>
    </row>
    <row r="224" spans="2:11" ht="40.5" customHeight="1" x14ac:dyDescent="0.75">
      <c r="B224" s="144"/>
      <c r="C224" s="111" t="s">
        <v>902</v>
      </c>
      <c r="D224" s="111" t="s">
        <v>903</v>
      </c>
      <c r="E224" s="111" t="s">
        <v>4</v>
      </c>
      <c r="F224" s="111"/>
      <c r="G224" s="108" t="s">
        <v>4</v>
      </c>
      <c r="H224" s="108" t="s">
        <v>226</v>
      </c>
      <c r="I224" s="111" t="s">
        <v>904</v>
      </c>
      <c r="J224" s="108" t="s">
        <v>905</v>
      </c>
      <c r="K224" s="109" t="s">
        <v>207</v>
      </c>
    </row>
    <row r="225" spans="2:11" ht="40.5" customHeight="1" x14ac:dyDescent="0.75">
      <c r="B225" s="144"/>
      <c r="C225" s="136" t="s">
        <v>906</v>
      </c>
      <c r="D225" s="136" t="s">
        <v>907</v>
      </c>
      <c r="E225" s="136" t="s">
        <v>217</v>
      </c>
      <c r="F225" s="136"/>
      <c r="G225" s="108" t="s">
        <v>200</v>
      </c>
      <c r="H225" s="108" t="s">
        <v>388</v>
      </c>
      <c r="I225" s="108" t="s">
        <v>904</v>
      </c>
      <c r="J225" s="108" t="s">
        <v>908</v>
      </c>
      <c r="K225" s="118" t="s">
        <v>207</v>
      </c>
    </row>
    <row r="226" spans="2:11" ht="40.5" customHeight="1" x14ac:dyDescent="0.75">
      <c r="B226" s="144"/>
      <c r="C226" s="133" t="s">
        <v>909</v>
      </c>
      <c r="D226" s="133" t="s">
        <v>910</v>
      </c>
      <c r="E226" s="133" t="s">
        <v>217</v>
      </c>
      <c r="F226" s="133"/>
      <c r="G226" s="108" t="s">
        <v>200</v>
      </c>
      <c r="H226" s="108" t="s">
        <v>388</v>
      </c>
      <c r="I226" s="111" t="s">
        <v>205</v>
      </c>
      <c r="J226" s="108" t="s">
        <v>911</v>
      </c>
      <c r="K226" s="109" t="s">
        <v>201</v>
      </c>
    </row>
    <row r="227" spans="2:11" ht="40.5" customHeight="1" x14ac:dyDescent="0.75">
      <c r="B227" s="144"/>
      <c r="C227" s="111" t="s">
        <v>912</v>
      </c>
      <c r="D227" s="111" t="s">
        <v>913</v>
      </c>
      <c r="E227" s="111" t="s">
        <v>341</v>
      </c>
      <c r="F227" s="111"/>
      <c r="G227" s="108" t="s">
        <v>204</v>
      </c>
      <c r="H227" s="108"/>
      <c r="I227" s="108" t="s">
        <v>914</v>
      </c>
      <c r="J227" s="108" t="s">
        <v>915</v>
      </c>
      <c r="K227" s="109" t="s">
        <v>201</v>
      </c>
    </row>
    <row r="228" spans="2:11" ht="40.5" customHeight="1" x14ac:dyDescent="0.75">
      <c r="B228" s="144"/>
      <c r="C228" s="111" t="s">
        <v>916</v>
      </c>
      <c r="D228" s="111" t="s">
        <v>917</v>
      </c>
      <c r="E228" s="111" t="s">
        <v>341</v>
      </c>
      <c r="F228" s="111"/>
      <c r="G228" s="108" t="s">
        <v>204</v>
      </c>
      <c r="H228" s="108"/>
      <c r="I228" s="111" t="s">
        <v>209</v>
      </c>
      <c r="J228" s="108" t="s">
        <v>918</v>
      </c>
      <c r="K228" s="109" t="s">
        <v>207</v>
      </c>
    </row>
    <row r="229" spans="2:11" ht="40.5" customHeight="1" x14ac:dyDescent="0.75">
      <c r="B229" s="144"/>
      <c r="C229" s="111" t="s">
        <v>919</v>
      </c>
      <c r="D229" s="111" t="s">
        <v>920</v>
      </c>
      <c r="E229" s="111" t="s">
        <v>341</v>
      </c>
      <c r="F229" s="111"/>
      <c r="G229" s="108" t="s">
        <v>204</v>
      </c>
      <c r="H229" s="108"/>
      <c r="I229" s="111" t="s">
        <v>209</v>
      </c>
      <c r="J229" s="108" t="s">
        <v>921</v>
      </c>
      <c r="K229" s="109" t="s">
        <v>201</v>
      </c>
    </row>
    <row r="230" spans="2:11" ht="40.5" customHeight="1" x14ac:dyDescent="0.75">
      <c r="B230" s="144"/>
      <c r="C230" s="111" t="s">
        <v>922</v>
      </c>
      <c r="D230" s="111" t="s">
        <v>923</v>
      </c>
      <c r="E230" s="111" t="s">
        <v>713</v>
      </c>
      <c r="F230" s="111"/>
      <c r="G230" s="108" t="s">
        <v>924</v>
      </c>
      <c r="H230" s="108"/>
      <c r="I230" s="111" t="s">
        <v>207</v>
      </c>
      <c r="J230" s="108"/>
      <c r="K230" s="109" t="s">
        <v>207</v>
      </c>
    </row>
    <row r="231" spans="2:11" ht="40.5" customHeight="1" x14ac:dyDescent="0.75">
      <c r="C231" s="124" t="s">
        <v>185</v>
      </c>
      <c r="D231" s="125"/>
      <c r="E231" s="125"/>
      <c r="F231" s="125"/>
      <c r="G231" s="126"/>
      <c r="H231" s="126"/>
      <c r="I231" s="127"/>
      <c r="J231" s="105"/>
      <c r="K231" s="125"/>
    </row>
    <row r="232" spans="2:11" s="119" customFormat="1" ht="40.5" customHeight="1" x14ac:dyDescent="0.75">
      <c r="B232" s="135"/>
      <c r="C232" s="108" t="s">
        <v>246</v>
      </c>
      <c r="D232" s="108" t="s">
        <v>247</v>
      </c>
      <c r="E232" s="108" t="s">
        <v>200</v>
      </c>
      <c r="F232" s="108" t="s">
        <v>201</v>
      </c>
      <c r="G232" s="108" t="s">
        <v>200</v>
      </c>
      <c r="H232" s="108"/>
      <c r="I232" s="108" t="s">
        <v>201</v>
      </c>
      <c r="J232" s="108" t="s">
        <v>842</v>
      </c>
      <c r="K232" s="118" t="s">
        <v>207</v>
      </c>
    </row>
    <row r="233" spans="2:11" ht="40.5" customHeight="1" x14ac:dyDescent="0.75">
      <c r="C233" s="108" t="s">
        <v>399</v>
      </c>
      <c r="D233" s="108" t="s">
        <v>400</v>
      </c>
      <c r="E233" s="108" t="s">
        <v>200</v>
      </c>
      <c r="F233" s="108" t="s">
        <v>201</v>
      </c>
      <c r="G233" s="108" t="s">
        <v>200</v>
      </c>
      <c r="H233" s="108"/>
      <c r="I233" s="108" t="s">
        <v>201</v>
      </c>
      <c r="J233" s="108"/>
      <c r="K233" s="118" t="s">
        <v>207</v>
      </c>
    </row>
    <row r="234" spans="2:11" ht="40.5" customHeight="1" x14ac:dyDescent="0.75">
      <c r="C234" s="108" t="s">
        <v>925</v>
      </c>
      <c r="D234" s="108" t="s">
        <v>926</v>
      </c>
      <c r="E234" s="108" t="s">
        <v>200</v>
      </c>
      <c r="F234" s="108" t="s">
        <v>201</v>
      </c>
      <c r="G234" s="108" t="s">
        <v>200</v>
      </c>
      <c r="H234" s="108"/>
      <c r="I234" s="108" t="s">
        <v>201</v>
      </c>
      <c r="J234" s="108" t="s">
        <v>927</v>
      </c>
      <c r="K234" s="118" t="s">
        <v>207</v>
      </c>
    </row>
    <row r="235" spans="2:11" ht="40.5" customHeight="1" x14ac:dyDescent="0.75">
      <c r="C235" s="111" t="s">
        <v>928</v>
      </c>
      <c r="D235" s="111" t="s">
        <v>929</v>
      </c>
      <c r="E235" s="111" t="s">
        <v>341</v>
      </c>
      <c r="F235" s="111"/>
      <c r="G235" s="108" t="s">
        <v>204</v>
      </c>
      <c r="H235" s="108"/>
      <c r="I235" s="111" t="s">
        <v>209</v>
      </c>
      <c r="J235" s="108" t="s">
        <v>930</v>
      </c>
      <c r="K235" s="109" t="s">
        <v>207</v>
      </c>
    </row>
    <row r="236" spans="2:11" ht="40.5" customHeight="1" x14ac:dyDescent="0.75">
      <c r="C236" s="111" t="s">
        <v>931</v>
      </c>
      <c r="D236" s="111" t="s">
        <v>932</v>
      </c>
      <c r="E236" s="111" t="s">
        <v>4</v>
      </c>
      <c r="F236" s="111"/>
      <c r="G236" s="108" t="s">
        <v>4</v>
      </c>
      <c r="H236" s="108" t="s">
        <v>226</v>
      </c>
      <c r="I236" s="111" t="s">
        <v>209</v>
      </c>
      <c r="J236" s="108" t="s">
        <v>933</v>
      </c>
      <c r="K236" s="109" t="s">
        <v>207</v>
      </c>
    </row>
    <row r="237" spans="2:11" ht="40.5" customHeight="1" x14ac:dyDescent="0.75">
      <c r="C237" s="111" t="s">
        <v>934</v>
      </c>
      <c r="D237" s="111" t="s">
        <v>935</v>
      </c>
      <c r="E237" s="111" t="s">
        <v>341</v>
      </c>
      <c r="F237" s="111"/>
      <c r="G237" s="108" t="s">
        <v>204</v>
      </c>
      <c r="H237" s="108"/>
      <c r="I237" s="111" t="s">
        <v>209</v>
      </c>
      <c r="J237" s="108" t="s">
        <v>936</v>
      </c>
      <c r="K237" s="109" t="s">
        <v>207</v>
      </c>
    </row>
    <row r="238" spans="2:11" ht="40.5" customHeight="1" x14ac:dyDescent="0.75">
      <c r="C238" s="124" t="s">
        <v>186</v>
      </c>
      <c r="D238" s="125"/>
      <c r="E238" s="125"/>
      <c r="F238" s="125"/>
      <c r="G238" s="126"/>
      <c r="H238" s="126"/>
      <c r="I238" s="127"/>
      <c r="J238" s="105"/>
      <c r="K238" s="125"/>
    </row>
    <row r="239" spans="2:11" ht="40.5" customHeight="1" x14ac:dyDescent="0.75">
      <c r="C239" s="108" t="s">
        <v>246</v>
      </c>
      <c r="D239" s="108" t="s">
        <v>247</v>
      </c>
      <c r="E239" s="108" t="s">
        <v>200</v>
      </c>
      <c r="F239" s="108" t="s">
        <v>201</v>
      </c>
      <c r="G239" s="108" t="s">
        <v>200</v>
      </c>
      <c r="H239" s="108"/>
      <c r="I239" s="108" t="s">
        <v>201</v>
      </c>
      <c r="J239" s="108" t="s">
        <v>823</v>
      </c>
      <c r="K239" s="118" t="s">
        <v>207</v>
      </c>
    </row>
    <row r="240" spans="2:11" ht="40.5" customHeight="1" x14ac:dyDescent="0.75">
      <c r="C240" s="108" t="s">
        <v>937</v>
      </c>
      <c r="D240" s="108" t="s">
        <v>938</v>
      </c>
      <c r="E240" s="108" t="s">
        <v>200</v>
      </c>
      <c r="F240" s="108" t="s">
        <v>201</v>
      </c>
      <c r="G240" s="108" t="s">
        <v>200</v>
      </c>
      <c r="H240" s="108"/>
      <c r="I240" s="108" t="s">
        <v>201</v>
      </c>
      <c r="J240" s="108" t="s">
        <v>939</v>
      </c>
      <c r="K240" s="118" t="s">
        <v>201</v>
      </c>
    </row>
    <row r="241" spans="3:11" ht="40.5" customHeight="1" x14ac:dyDescent="0.75">
      <c r="C241" s="111" t="s">
        <v>827</v>
      </c>
      <c r="D241" s="111" t="s">
        <v>21</v>
      </c>
      <c r="E241" s="133" t="s">
        <v>217</v>
      </c>
      <c r="F241" s="133"/>
      <c r="G241" s="108" t="s">
        <v>200</v>
      </c>
      <c r="H241" s="108" t="s">
        <v>940</v>
      </c>
      <c r="I241" s="111" t="s">
        <v>205</v>
      </c>
      <c r="J241" s="108" t="s">
        <v>941</v>
      </c>
      <c r="K241" s="109" t="s">
        <v>201</v>
      </c>
    </row>
    <row r="242" spans="3:11" ht="40.5" customHeight="1" x14ac:dyDescent="0.75">
      <c r="C242" s="111" t="s">
        <v>830</v>
      </c>
      <c r="D242" s="111" t="s">
        <v>831</v>
      </c>
      <c r="E242" s="111" t="s">
        <v>4</v>
      </c>
      <c r="F242" s="111"/>
      <c r="G242" s="108" t="s">
        <v>4</v>
      </c>
      <c r="H242" s="108" t="s">
        <v>226</v>
      </c>
      <c r="I242" s="111" t="s">
        <v>205</v>
      </c>
      <c r="J242" s="108" t="s">
        <v>942</v>
      </c>
      <c r="K242" s="109" t="s">
        <v>201</v>
      </c>
    </row>
    <row r="243" spans="3:11" ht="40.5" customHeight="1" x14ac:dyDescent="0.75">
      <c r="C243" s="133" t="s">
        <v>833</v>
      </c>
      <c r="D243" s="133" t="s">
        <v>834</v>
      </c>
      <c r="E243" s="133" t="s">
        <v>217</v>
      </c>
      <c r="F243" s="133"/>
      <c r="G243" s="108" t="s">
        <v>200</v>
      </c>
      <c r="H243" s="108" t="s">
        <v>943</v>
      </c>
      <c r="I243" s="111" t="s">
        <v>205</v>
      </c>
      <c r="J243" s="108" t="s">
        <v>944</v>
      </c>
      <c r="K243" s="109" t="s">
        <v>201</v>
      </c>
    </row>
    <row r="244" spans="3:11" ht="40.5" customHeight="1" x14ac:dyDescent="0.75">
      <c r="C244" s="111" t="s">
        <v>838</v>
      </c>
      <c r="D244" s="111" t="s">
        <v>839</v>
      </c>
      <c r="E244" s="111" t="s">
        <v>199</v>
      </c>
      <c r="F244" s="111"/>
      <c r="G244" s="108" t="s">
        <v>204</v>
      </c>
      <c r="H244" s="108"/>
      <c r="I244" s="108" t="s">
        <v>840</v>
      </c>
      <c r="J244" s="108" t="s">
        <v>945</v>
      </c>
      <c r="K244" s="109" t="s">
        <v>201</v>
      </c>
    </row>
    <row r="245" spans="3:11" ht="40.5" customHeight="1" x14ac:dyDescent="0.75">
      <c r="C245" s="133" t="s">
        <v>946</v>
      </c>
      <c r="D245" s="133" t="s">
        <v>947</v>
      </c>
      <c r="E245" s="133" t="s">
        <v>217</v>
      </c>
      <c r="F245" s="133"/>
      <c r="G245" s="108" t="s">
        <v>200</v>
      </c>
      <c r="H245" s="108" t="s">
        <v>948</v>
      </c>
      <c r="I245" s="111" t="s">
        <v>205</v>
      </c>
      <c r="J245" s="108" t="s">
        <v>949</v>
      </c>
      <c r="K245" s="109" t="s">
        <v>201</v>
      </c>
    </row>
    <row r="246" spans="3:11" ht="40.5" customHeight="1" x14ac:dyDescent="0.75">
      <c r="C246" s="111" t="s">
        <v>950</v>
      </c>
      <c r="D246" s="111" t="s">
        <v>951</v>
      </c>
      <c r="E246" s="111" t="s">
        <v>199</v>
      </c>
      <c r="F246" s="111"/>
      <c r="G246" s="108" t="s">
        <v>204</v>
      </c>
      <c r="H246" s="108"/>
      <c r="I246" s="111" t="s">
        <v>445</v>
      </c>
      <c r="J246" s="108" t="s">
        <v>952</v>
      </c>
      <c r="K246" s="109" t="s">
        <v>445</v>
      </c>
    </row>
    <row r="247" spans="3:11" ht="40.5" customHeight="1" x14ac:dyDescent="0.75">
      <c r="C247" s="111" t="s">
        <v>356</v>
      </c>
      <c r="D247" s="111" t="s">
        <v>357</v>
      </c>
      <c r="E247" s="111" t="s">
        <v>199</v>
      </c>
      <c r="F247" s="111"/>
      <c r="G247" s="108" t="s">
        <v>204</v>
      </c>
      <c r="H247" s="108"/>
      <c r="I247" s="108" t="s">
        <v>953</v>
      </c>
      <c r="J247" s="108" t="s">
        <v>954</v>
      </c>
      <c r="K247" s="109" t="s">
        <v>201</v>
      </c>
    </row>
    <row r="248" spans="3:11" ht="40.5" customHeight="1" x14ac:dyDescent="0.75">
      <c r="C248" s="111" t="s">
        <v>364</v>
      </c>
      <c r="D248" s="111" t="s">
        <v>365</v>
      </c>
      <c r="E248" s="111" t="s">
        <v>199</v>
      </c>
      <c r="F248" s="111"/>
      <c r="G248" s="108" t="s">
        <v>204</v>
      </c>
      <c r="H248" s="108"/>
      <c r="I248" s="108" t="s">
        <v>953</v>
      </c>
      <c r="J248" s="108" t="s">
        <v>367</v>
      </c>
      <c r="K248" s="109" t="s">
        <v>201</v>
      </c>
    </row>
    <row r="249" spans="3:11" ht="40.5" customHeight="1" x14ac:dyDescent="0.75">
      <c r="C249" s="108" t="s">
        <v>955</v>
      </c>
      <c r="D249" s="108" t="s">
        <v>361</v>
      </c>
      <c r="E249" s="111" t="s">
        <v>199</v>
      </c>
      <c r="F249" s="111"/>
      <c r="G249" s="108" t="s">
        <v>204</v>
      </c>
      <c r="H249" s="108"/>
      <c r="I249" s="108" t="s">
        <v>956</v>
      </c>
      <c r="J249" s="108" t="s">
        <v>957</v>
      </c>
      <c r="K249" s="109" t="s">
        <v>201</v>
      </c>
    </row>
    <row r="250" spans="3:11" ht="40.5" customHeight="1" x14ac:dyDescent="0.75">
      <c r="C250" s="133" t="s">
        <v>368</v>
      </c>
      <c r="D250" s="133" t="s">
        <v>369</v>
      </c>
      <c r="E250" s="133" t="s">
        <v>217</v>
      </c>
      <c r="F250" s="133"/>
      <c r="G250" s="108" t="s">
        <v>200</v>
      </c>
      <c r="H250" s="108" t="s">
        <v>378</v>
      </c>
      <c r="I250" s="111" t="s">
        <v>205</v>
      </c>
      <c r="J250" s="108" t="s">
        <v>958</v>
      </c>
      <c r="K250" s="109" t="s">
        <v>201</v>
      </c>
    </row>
    <row r="251" spans="3:11" ht="40.5" customHeight="1" x14ac:dyDescent="0.75">
      <c r="C251" s="111" t="s">
        <v>371</v>
      </c>
      <c r="D251" s="111" t="s">
        <v>180</v>
      </c>
      <c r="E251" s="111" t="s">
        <v>217</v>
      </c>
      <c r="F251" s="111"/>
      <c r="G251" s="108" t="s">
        <v>200</v>
      </c>
      <c r="H251" s="108" t="s">
        <v>323</v>
      </c>
      <c r="I251" s="111" t="s">
        <v>205</v>
      </c>
      <c r="J251" s="108" t="s">
        <v>959</v>
      </c>
      <c r="K251" s="109" t="s">
        <v>201</v>
      </c>
    </row>
    <row r="252" spans="3:11" ht="40.5" customHeight="1" x14ac:dyDescent="0.75">
      <c r="C252" s="111" t="s">
        <v>960</v>
      </c>
      <c r="D252" s="111" t="s">
        <v>374</v>
      </c>
      <c r="E252" s="111" t="s">
        <v>217</v>
      </c>
      <c r="F252" s="111"/>
      <c r="G252" s="108" t="s">
        <v>200</v>
      </c>
      <c r="H252" s="108" t="s">
        <v>323</v>
      </c>
      <c r="I252" s="111" t="s">
        <v>205</v>
      </c>
      <c r="J252" s="108" t="s">
        <v>961</v>
      </c>
      <c r="K252" s="109" t="s">
        <v>201</v>
      </c>
    </row>
    <row r="253" spans="3:11" ht="40.5" customHeight="1" x14ac:dyDescent="0.75">
      <c r="C253" s="111" t="s">
        <v>376</v>
      </c>
      <c r="D253" s="111" t="s">
        <v>377</v>
      </c>
      <c r="E253" s="111" t="s">
        <v>217</v>
      </c>
      <c r="F253" s="111"/>
      <c r="G253" s="108" t="s">
        <v>200</v>
      </c>
      <c r="H253" s="108" t="s">
        <v>323</v>
      </c>
      <c r="I253" s="111" t="s">
        <v>205</v>
      </c>
      <c r="J253" s="108" t="s">
        <v>379</v>
      </c>
      <c r="K253" s="109" t="s">
        <v>201</v>
      </c>
    </row>
    <row r="254" spans="3:11" ht="40.5" customHeight="1" x14ac:dyDescent="0.75">
      <c r="C254" s="111" t="s">
        <v>962</v>
      </c>
      <c r="D254" s="111" t="s">
        <v>384</v>
      </c>
      <c r="E254" s="111" t="s">
        <v>4</v>
      </c>
      <c r="F254" s="111"/>
      <c r="G254" s="108" t="s">
        <v>4</v>
      </c>
      <c r="H254" s="108" t="s">
        <v>226</v>
      </c>
      <c r="I254" s="111" t="s">
        <v>205</v>
      </c>
      <c r="J254" s="108" t="s">
        <v>963</v>
      </c>
      <c r="K254" s="109" t="s">
        <v>201</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72"/>
  <sheetViews>
    <sheetView workbookViewId="0">
      <selection activeCell="E1" sqref="E1:E761"/>
    </sheetView>
  </sheetViews>
  <sheetFormatPr defaultRowHeight="14.75" x14ac:dyDescent="0.75"/>
  <cols>
    <col min="5" max="5" width="96.86328125" customWidth="1"/>
  </cols>
  <sheetData>
    <row r="1" spans="5:5" x14ac:dyDescent="0.75">
      <c r="E1" s="31" t="str">
        <f>'Rad-3'!D2</f>
        <v>Instance: Radiotherapy</v>
      </c>
    </row>
    <row r="2" spans="5:5" x14ac:dyDescent="0.75">
      <c r="E2" s="31" t="str">
        <f>'Rad-3'!D3</f>
        <v>InstanceOf: StructureDefinition</v>
      </c>
    </row>
    <row r="3" spans="5:5" x14ac:dyDescent="0.75">
      <c r="E3" s="31" t="str">
        <f>'Rad-3'!D4</f>
        <v>Description: "Radiotherapy"</v>
      </c>
    </row>
    <row r="4" spans="5:5" x14ac:dyDescent="0.75">
      <c r="E4" s="31" t="str">
        <f>'Rad-3'!D5</f>
        <v>Title: "Radiotherapy"</v>
      </c>
    </row>
    <row r="5" spans="5:5" x14ac:dyDescent="0.75">
      <c r="E5" s="31" t="str">
        <f>'Rad-3'!D6</f>
        <v>Usage: #definition</v>
      </c>
    </row>
    <row r="6" spans="5:5" x14ac:dyDescent="0.75">
      <c r="E6" s="31" t="str">
        <f>'Rad-3'!D8</f>
        <v>* publisher = "PanCareSurPass project"</v>
      </c>
    </row>
    <row r="7" spans="5:5" x14ac:dyDescent="0.75">
      <c r="E7" s="31" t="str">
        <f>'Rad-3'!D9</f>
        <v>* status = #draft</v>
      </c>
    </row>
    <row r="8" spans="5:5" x14ac:dyDescent="0.75">
      <c r="E8" s="31" t="str">
        <f>'Rad-3'!D10</f>
        <v>* url = "http://hl7.eu/fhir/ig/pcsp/StructureDefinition/Radiotherapy"</v>
      </c>
    </row>
    <row r="9" spans="5:5" x14ac:dyDescent="0.75">
      <c r="E9" s="31" t="str">
        <f>'Rad-3'!D11</f>
        <v>* name = "Radiotherapy"</v>
      </c>
    </row>
    <row r="10" spans="5:5" x14ac:dyDescent="0.75">
      <c r="E10" s="31" t="str">
        <f>'Rad-3'!D12</f>
        <v>* title = "Radiotherapy"</v>
      </c>
    </row>
    <row r="11" spans="5:5" x14ac:dyDescent="0.75">
      <c r="E11" s="31" t="str">
        <f>'Rad-3'!D13</f>
        <v>* status = #draft</v>
      </c>
    </row>
    <row r="12" spans="5:5" x14ac:dyDescent="0.75">
      <c r="E12" s="31" t="str">
        <f>'Rad-3'!D14</f>
        <v>* experimental = true</v>
      </c>
    </row>
    <row r="13" spans="5:5" x14ac:dyDescent="0.75">
      <c r="E13" s="31" t="str">
        <f>'Rad-3'!D15</f>
        <v>* description = "Radiotherapy"</v>
      </c>
    </row>
    <row r="14" spans="5:5" x14ac:dyDescent="0.75">
      <c r="E14" s="31" t="str">
        <f>'Rad-3'!D16</f>
        <v>* version = "0.0.1"</v>
      </c>
    </row>
    <row r="15" spans="5:5" x14ac:dyDescent="0.75">
      <c r="E15" s="31" t="str">
        <f>'Rad-3'!D18</f>
        <v>* mapping[0].identity = "fhir"</v>
      </c>
    </row>
    <row r="16" spans="5:5" x14ac:dyDescent="0.75">
      <c r="E16" s="31" t="str">
        <f>'Rad-3'!D19</f>
        <v>* mapping[0].uri = "hl7.org/fhir/r4"</v>
      </c>
    </row>
    <row r="17" spans="5:5" x14ac:dyDescent="0.75">
      <c r="E17" s="31" t="str">
        <f>'Rad-3'!D20</f>
        <v>* mapping[0].name = "FHIR"</v>
      </c>
    </row>
    <row r="18" spans="5:5" x14ac:dyDescent="0.75">
      <c r="E18" s="31" t="str">
        <f>'Rad-3'!D22</f>
        <v>* kind = #logical</v>
      </c>
    </row>
    <row r="19" spans="5:5" x14ac:dyDescent="0.75">
      <c r="E19" s="31" t="str">
        <f>'Rad-3'!D23</f>
        <v>* abstract = true</v>
      </c>
    </row>
    <row r="20" spans="5:5" x14ac:dyDescent="0.75">
      <c r="E20" s="31" t="str">
        <f>'Rad-3'!D24</f>
        <v>* type = "Radiotherapy"</v>
      </c>
    </row>
    <row r="21" spans="5:5" x14ac:dyDescent="0.75">
      <c r="E21" s="31" t="str">
        <f>'Rad-3'!D25</f>
        <v>* baseDefinition = "http://hl7.org/fhir/StructureDefinition/Element"</v>
      </c>
    </row>
    <row r="22" spans="5:5" x14ac:dyDescent="0.75">
      <c r="E22" s="31" t="str">
        <f>'Rad-3'!D26</f>
        <v>* derivation = #specialization</v>
      </c>
    </row>
    <row r="23" spans="5:5" x14ac:dyDescent="0.75">
      <c r="E23" s="31" t="str">
        <f>'Rad-3'!D28</f>
        <v>* differential.element[0].id = "Radiotherapy"</v>
      </c>
    </row>
    <row r="24" spans="5:5" x14ac:dyDescent="0.75">
      <c r="E24" s="31" t="str">
        <f>'Rad-3'!D29</f>
        <v>* differential.element[0].path = "Radiotherapy"</v>
      </c>
    </row>
    <row r="25" spans="5:5" x14ac:dyDescent="0.75">
      <c r="E25" s="31" t="str">
        <f>'Rad-3'!D30</f>
        <v>* differential.element[0].short = "Radiotherapy"</v>
      </c>
    </row>
    <row r="26" spans="5:5" x14ac:dyDescent="0.75">
      <c r="E26" s="31" t="str">
        <f>'Rad-3'!D31</f>
        <v>* differential.element[0].definition = "Radiotherapy"</v>
      </c>
    </row>
    <row r="27" spans="5:5" x14ac:dyDescent="0.75">
      <c r="E27" s="31" t="str">
        <f>'Rad-3'!D32</f>
        <v>* differential.element[0].min = 1</v>
      </c>
    </row>
    <row r="28" spans="5:5" x14ac:dyDescent="0.75">
      <c r="E28" s="31" t="str">
        <f>'Rad-3'!D33</f>
        <v>* differential.element[0].max = "1"</v>
      </c>
    </row>
    <row r="29" spans="5:5" x14ac:dyDescent="0.75">
      <c r="E29" s="31" t="str">
        <f>'Rad-3'!D35</f>
        <v>* differential.element[1].id = "Radiotherapy.type"</v>
      </c>
    </row>
    <row r="30" spans="5:5" x14ac:dyDescent="0.75">
      <c r="E30" s="31" t="str">
        <f>'Rad-3'!D36</f>
        <v>* differential.element[1].path = "Radiotherapy.type"</v>
      </c>
    </row>
    <row r="31" spans="5:5" x14ac:dyDescent="0.75">
      <c r="E31" s="31" t="str">
        <f>'Rad-3'!D37</f>
        <v>* differential.element[1].short = "Type of radiotherapy"</v>
      </c>
    </row>
    <row r="32" spans="5:5" x14ac:dyDescent="0.75">
      <c r="E32" s="31" t="str">
        <f>'Rad-3'!D38</f>
        <v>* differential.element[1].definition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33" spans="5:5" x14ac:dyDescent="0.75">
      <c r="E33" s="31" t="str">
        <f>'Rad-3'!D39</f>
        <v>* differential.element[1].min = 1</v>
      </c>
    </row>
    <row r="34" spans="5:5" x14ac:dyDescent="0.75">
      <c r="E34" s="31" t="str">
        <f>'Rad-3'!D40</f>
        <v>* differential.element[1].max = "1"</v>
      </c>
    </row>
    <row r="35" spans="5:5" x14ac:dyDescent="0.75">
      <c r="E35" s="31" t="str">
        <f>'Rad-3'!D41</f>
        <v>* differential.element[1].type.code = #CodeableConcept</v>
      </c>
    </row>
    <row r="36" spans="5:5" x14ac:dyDescent="0.75">
      <c r="E36" s="31" t="str">
        <f>'Rad-3'!D42</f>
        <v/>
      </c>
    </row>
    <row r="37" spans="5:5" x14ac:dyDescent="0.75">
      <c r="E37" s="31" t="str">
        <f>'Rad-3'!D43</f>
        <v/>
      </c>
    </row>
    <row r="38" spans="5:5" x14ac:dyDescent="0.75">
      <c r="E38" s="31" t="str">
        <f>'Rad-3'!D44</f>
        <v>* differential.element[2].id = "Radiotherapy.startDate"</v>
      </c>
    </row>
    <row r="39" spans="5:5" x14ac:dyDescent="0.75">
      <c r="E39" s="31" t="str">
        <f>'Rad-3'!D45</f>
        <v>* differential.element[2].path = "Radiotherapy.startDate"</v>
      </c>
    </row>
    <row r="40" spans="5:5" x14ac:dyDescent="0.75">
      <c r="E40" s="31" t="str">
        <f>'Rad-3'!D46</f>
        <v>* differential.element[2].short = "Start date"</v>
      </c>
    </row>
    <row r="41" spans="5:5" x14ac:dyDescent="0.75">
      <c r="E41" s="31" t="str">
        <f>'Rad-3'!D47</f>
        <v>* differential.element[2].definition = "Enter the date on which the first treatment (fraction) of radiotherapy was given, in a DD/MM/YYYY format. If the date is unkown or partially missed insert the year at the best of your knowledge."</v>
      </c>
    </row>
    <row r="42" spans="5:5" x14ac:dyDescent="0.75">
      <c r="E42" s="31" t="str">
        <f>'Rad-3'!D48</f>
        <v>* differential.element[2].min = 1</v>
      </c>
    </row>
    <row r="43" spans="5:5" x14ac:dyDescent="0.75">
      <c r="E43" s="31" t="str">
        <f>'Rad-3'!D49</f>
        <v>* differential.element[2].max = "1"</v>
      </c>
    </row>
    <row r="44" spans="5:5" x14ac:dyDescent="0.75">
      <c r="E44" s="31" t="str">
        <f>'Rad-3'!D50</f>
        <v>* differential.element[2].type.code = #dateTime</v>
      </c>
    </row>
    <row r="45" spans="5:5" x14ac:dyDescent="0.75">
      <c r="E45" s="31" t="str">
        <f>'Rad-3'!D51</f>
        <v/>
      </c>
    </row>
    <row r="46" spans="5:5" x14ac:dyDescent="0.75">
      <c r="E46" s="31" t="str">
        <f>'Rad-3'!D52</f>
        <v/>
      </c>
    </row>
    <row r="47" spans="5:5" x14ac:dyDescent="0.75">
      <c r="E47" s="31" t="str">
        <f>'Rad-3'!D53</f>
        <v>* differential.element[3].id = "Radiotherapy.target"</v>
      </c>
    </row>
    <row r="48" spans="5:5" x14ac:dyDescent="0.75">
      <c r="E48" s="31" t="str">
        <f>'Rad-3'!D54</f>
        <v>* differential.element[3].path = "Radiotherapy.target"</v>
      </c>
    </row>
    <row r="49" spans="5:5" x14ac:dyDescent="0.75">
      <c r="E49" s="31" t="str">
        <f>'Rad-3'!D55</f>
        <v>* differential.element[3].short = "Target Body Site"</v>
      </c>
    </row>
    <row r="50" spans="5:5" x14ac:dyDescent="0.75">
      <c r="E50" s="31" t="str">
        <f>'Rad-3'!D56</f>
        <v>* differential.element[3].definition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51" spans="5:5" x14ac:dyDescent="0.75">
      <c r="E51" s="31" t="str">
        <f>'Rad-3'!D57</f>
        <v>* differential.element[3].min = 0</v>
      </c>
    </row>
    <row r="52" spans="5:5" x14ac:dyDescent="0.75">
      <c r="E52" s="31" t="str">
        <f>'Rad-3'!D58</f>
        <v>* differential.element[3].max = "5"</v>
      </c>
    </row>
    <row r="53" spans="5:5" x14ac:dyDescent="0.75">
      <c r="E53" s="31" t="str">
        <f>'Rad-3'!D59</f>
        <v>* differential.element[3].type.code = #BackboneElement</v>
      </c>
    </row>
    <row r="54" spans="5:5" x14ac:dyDescent="0.75">
      <c r="E54" s="31" t="str">
        <f>'Rad-3'!D60</f>
        <v/>
      </c>
    </row>
    <row r="55" spans="5:5" x14ac:dyDescent="0.75">
      <c r="E55" s="31" t="str">
        <f>'Rad-3'!D61</f>
        <v/>
      </c>
    </row>
    <row r="56" spans="5:5" x14ac:dyDescent="0.75">
      <c r="E56" s="31" t="str">
        <f>'Rad-3'!D62</f>
        <v>* differential.element[4].id = "Radiotherapy.target.site"</v>
      </c>
    </row>
    <row r="57" spans="5:5" x14ac:dyDescent="0.75">
      <c r="E57" s="31" t="str">
        <f>'Rad-3'!D63</f>
        <v>* differential.element[4].path = "Radiotherapy.target.site"</v>
      </c>
    </row>
    <row r="58" spans="5:5" x14ac:dyDescent="0.75">
      <c r="E58" s="31" t="str">
        <f>'Rad-3'!D64</f>
        <v>* differential.element[4].short = "Body Site"</v>
      </c>
    </row>
    <row r="59" spans="5:5" x14ac:dyDescent="0.75">
      <c r="E59" s="31" t="str">
        <f>'Rad-3'!D65</f>
        <v>* differential.element[4].definition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60" spans="5:5" x14ac:dyDescent="0.75">
      <c r="E60" s="31" t="str">
        <f>'Rad-3'!D66</f>
        <v>* differential.element[4].min = 1</v>
      </c>
    </row>
    <row r="61" spans="5:5" x14ac:dyDescent="0.75">
      <c r="E61" s="31" t="str">
        <f>'Rad-3'!D67</f>
        <v>* differential.element[4].max = "1"</v>
      </c>
    </row>
    <row r="62" spans="5:5" x14ac:dyDescent="0.75">
      <c r="E62" s="31" t="str">
        <f>'Rad-3'!D68</f>
        <v>* differential.element[4].type.code = #CodeableConcept</v>
      </c>
    </row>
    <row r="63" spans="5:5" x14ac:dyDescent="0.75">
      <c r="E63" s="31" t="str">
        <f>'Rad-3'!D69</f>
        <v>* differential.element[4].binding.valueSet = "http://hl7.eu/fhir/ig/pcsp/ValueSet/vs-radiotherapy-pcsp</v>
      </c>
    </row>
    <row r="64" spans="5:5" x14ac:dyDescent="0.75">
      <c r="E64" s="31" t="str">
        <f>'Rad-3'!D70</f>
        <v>* differential.element[4].binding.strength = #required</v>
      </c>
    </row>
    <row r="65" spans="5:5" x14ac:dyDescent="0.75">
      <c r="E65" s="31" t="str">
        <f>'Rad-3'!D71</f>
        <v>* differential.element[5].id = "Radiotherapy.target.comulativeDose"</v>
      </c>
    </row>
    <row r="66" spans="5:5" x14ac:dyDescent="0.75">
      <c r="E66" s="31" t="str">
        <f>'Rad-3'!D72</f>
        <v>* differential.element[5].path = "Radiotherapy.target.comulativeDose"</v>
      </c>
    </row>
    <row r="67" spans="5:5" x14ac:dyDescent="0.75">
      <c r="E67" s="31" t="str">
        <f>'Rad-3'!D73</f>
        <v>* differential.element[5].short = "Comulative dose"</v>
      </c>
    </row>
    <row r="68" spans="5:5" x14ac:dyDescent="0.75">
      <c r="E68" s="31" t="str">
        <f>'Rad-3'!D74</f>
        <v>* differential.element[5].definition = "Specify the cumulative / total dose given to the primary radiation therapy site.
If the dose is not known, write NK."</v>
      </c>
    </row>
    <row r="69" spans="5:5" x14ac:dyDescent="0.75">
      <c r="E69" s="31" t="str">
        <f>'Rad-3'!D75</f>
        <v>* differential.element[5].min = 0</v>
      </c>
    </row>
    <row r="70" spans="5:5" x14ac:dyDescent="0.75">
      <c r="E70" s="31" t="str">
        <f>'Rad-3'!D76</f>
        <v>* differential.element[5].max = "1"</v>
      </c>
    </row>
    <row r="71" spans="5:5" x14ac:dyDescent="0.75">
      <c r="E71" s="31" t="str">
        <f>'Rad-3'!D77</f>
        <v>* differential.element[5].type.code = #BackboneElement</v>
      </c>
    </row>
    <row r="72" spans="5:5" x14ac:dyDescent="0.75">
      <c r="E72" s="31" t="str">
        <f>'Rad-3'!D78</f>
        <v/>
      </c>
    </row>
    <row r="73" spans="5:5" x14ac:dyDescent="0.75">
      <c r="E73" s="31" t="str">
        <f>'Rad-3'!D79</f>
        <v/>
      </c>
    </row>
    <row r="74" spans="5:5" x14ac:dyDescent="0.75">
      <c r="E74" s="31" t="str">
        <f>'Rad-3'!D80</f>
        <v>* differential.element[6].id = "Radiotherapy.target.comulativeDose.notKnown"</v>
      </c>
    </row>
    <row r="75" spans="5:5" x14ac:dyDescent="0.75">
      <c r="E75" s="31" t="str">
        <f>'Rad-3'!D81</f>
        <v>* differential.element[6].path = "Radiotherapy.target.comulativeDose.notKnown"</v>
      </c>
    </row>
    <row r="76" spans="5:5" x14ac:dyDescent="0.75">
      <c r="E76" s="31" t="str">
        <f>'Rad-3'!D82</f>
        <v>* differential.element[6].short = "Not known dose"</v>
      </c>
    </row>
    <row r="77" spans="5:5" x14ac:dyDescent="0.75">
      <c r="E77" s="31" t="str">
        <f>'Rad-3'!D83</f>
        <v>* differential.element[6].definition = "Not known dose"</v>
      </c>
    </row>
    <row r="78" spans="5:5" x14ac:dyDescent="0.75">
      <c r="E78" s="31" t="str">
        <f>'Rad-3'!D84</f>
        <v>* differential.element[6].min = 0</v>
      </c>
    </row>
    <row r="79" spans="5:5" x14ac:dyDescent="0.75">
      <c r="E79" s="31" t="str">
        <f>'Rad-3'!D85</f>
        <v>* differential.element[6].max = "1"</v>
      </c>
    </row>
    <row r="80" spans="5:5" x14ac:dyDescent="0.75">
      <c r="E80" s="31" t="str">
        <f>'Rad-3'!D86</f>
        <v>* differential.element[6].type.code = #CodeableConcept</v>
      </c>
    </row>
    <row r="81" spans="5:5" x14ac:dyDescent="0.75">
      <c r="E81" s="31" t="str">
        <f>'Rad-3'!D87</f>
        <v/>
      </c>
    </row>
    <row r="82" spans="5:5" x14ac:dyDescent="0.75">
      <c r="E82" s="31" t="str">
        <f>'Rad-3'!D88</f>
        <v/>
      </c>
    </row>
    <row r="83" spans="5:5" x14ac:dyDescent="0.75">
      <c r="E83" s="31" t="str">
        <f>'Rad-3'!D89</f>
        <v>* differential.element[7].id = "Radiotherapy.target.comulativeDose.dose"</v>
      </c>
    </row>
    <row r="84" spans="5:5" x14ac:dyDescent="0.75">
      <c r="E84" s="31" t="str">
        <f>'Rad-3'!D90</f>
        <v>* differential.element[7].path = "Radiotherapy.target.comulativeDose.dose"</v>
      </c>
    </row>
    <row r="85" spans="5:5" x14ac:dyDescent="0.75">
      <c r="E85" s="31" t="str">
        <f>'Rad-3'!D91</f>
        <v>* differential.element[7].short = "Dose"</v>
      </c>
    </row>
    <row r="86" spans="5:5" x14ac:dyDescent="0.75">
      <c r="E86" s="31" t="str">
        <f>'Rad-3'!D92</f>
        <v>* differential.element[7].definition = "Specify the cumulative / total dose given to the primary radiation therapy site."</v>
      </c>
    </row>
    <row r="87" spans="5:5" x14ac:dyDescent="0.75">
      <c r="E87" s="31" t="str">
        <f>'Rad-3'!D93</f>
        <v>* differential.element[7].min = 0</v>
      </c>
    </row>
    <row r="88" spans="5:5" x14ac:dyDescent="0.75">
      <c r="E88" s="31" t="str">
        <f>'Rad-3'!D94</f>
        <v>* differential.element[7].max = "1"</v>
      </c>
    </row>
    <row r="89" spans="5:5" x14ac:dyDescent="0.75">
      <c r="E89" s="31" t="str">
        <f>'Rad-3'!D95</f>
        <v>* differential.element[7].type.code = #decimal</v>
      </c>
    </row>
    <row r="90" spans="5:5" x14ac:dyDescent="0.75">
      <c r="E90" s="31" t="str">
        <f>'Rad-3'!D96</f>
        <v/>
      </c>
    </row>
    <row r="91" spans="5:5" x14ac:dyDescent="0.75">
      <c r="E91" s="31" t="str">
        <f>'Rad-3'!D97</f>
        <v/>
      </c>
    </row>
    <row r="92" spans="5:5" x14ac:dyDescent="0.75">
      <c r="E92" s="31" t="str">
        <f>'Rad-3'!D98</f>
        <v>* differential.element[8].id = "Radiotherapy.target.comulativeDose.unit"</v>
      </c>
    </row>
    <row r="93" spans="5:5" x14ac:dyDescent="0.75">
      <c r="E93" s="31" t="str">
        <f>'Rad-3'!D99</f>
        <v>* differential.element[8].path = "Radiotherapy.target.comulativeDose.unit"</v>
      </c>
    </row>
    <row r="94" spans="5:5" x14ac:dyDescent="0.75">
      <c r="E94" s="31" t="str">
        <f>'Rad-3'!D100</f>
        <v>* differential.element[8].short = "Measure unit"</v>
      </c>
    </row>
    <row r="95" spans="5:5" x14ac:dyDescent="0.75">
      <c r="E95" s="31" t="str">
        <f>'Rad-3'!D101</f>
        <v>* differential.element[8].definition = "External Beam Radiation Therapy (EBRT) and Brachytherapy doses are in Gy. If doses are reported in cGY, roughly two zeroes need to be deleted (e.g. 100 cGy = 1 Gy)."</v>
      </c>
    </row>
    <row r="96" spans="5:5" x14ac:dyDescent="0.75">
      <c r="E96" s="31" t="str">
        <f>'Rad-3'!D102</f>
        <v>* differential.element[8].min = 0</v>
      </c>
    </row>
    <row r="97" spans="5:5" x14ac:dyDescent="0.75">
      <c r="E97" s="31" t="str">
        <f>'Rad-3'!D103</f>
        <v>* differential.element[8].max = "1"</v>
      </c>
    </row>
    <row r="98" spans="5:5" x14ac:dyDescent="0.75">
      <c r="E98" s="31" t="str">
        <f>'Rad-3'!D104</f>
        <v>* differential.element[8].type.code = #CodeableConcept</v>
      </c>
    </row>
    <row r="99" spans="5:5" x14ac:dyDescent="0.75">
      <c r="E99" s="31" t="str">
        <f>'Rad-3'!D105</f>
        <v/>
      </c>
    </row>
    <row r="100" spans="5:5" x14ac:dyDescent="0.75">
      <c r="E100" s="31" t="str">
        <f>'Rad-3'!D106</f>
        <v/>
      </c>
    </row>
    <row r="101" spans="5:5" x14ac:dyDescent="0.75">
      <c r="E101" s="31" t="str">
        <f>'Rad-3'!D107</f>
        <v>* differential.element[9].id = "Radiotherapy.target.boost"</v>
      </c>
    </row>
    <row r="102" spans="5:5" x14ac:dyDescent="0.75">
      <c r="E102" s="31" t="str">
        <f>'Rad-3'!D108</f>
        <v>* differential.element[9].path = "Radiotherapy.target.boost"</v>
      </c>
    </row>
    <row r="103" spans="5:5" x14ac:dyDescent="0.75">
      <c r="E103" s="31" t="str">
        <f>'Rad-3'!D109</f>
        <v>* differential.element[9].short = "Boost"</v>
      </c>
    </row>
    <row r="104" spans="5:5" x14ac:dyDescent="0.75">
      <c r="E104" s="31" t="str">
        <f>'Rad-3'!D110</f>
        <v>* differential.element[9].definition = "A boost is an extra dose of radiotherapy directed to a smaller area inside the primary radiation field.
"</v>
      </c>
    </row>
    <row r="105" spans="5:5" x14ac:dyDescent="0.75">
      <c r="E105" s="31" t="str">
        <f>'Rad-3'!D111</f>
        <v>* differential.element[9].min = 1</v>
      </c>
    </row>
    <row r="106" spans="5:5" x14ac:dyDescent="0.75">
      <c r="E106" s="31" t="str">
        <f>'Rad-3'!D112</f>
        <v>* differential.element[9].max = "1"</v>
      </c>
    </row>
    <row r="107" spans="5:5" x14ac:dyDescent="0.75">
      <c r="E107" s="31" t="str">
        <f>'Rad-3'!D113</f>
        <v>* differential.element[9].type.code = #BackboneElement</v>
      </c>
    </row>
    <row r="108" spans="5:5" x14ac:dyDescent="0.75">
      <c r="E108" s="31" t="str">
        <f>'Rad-3'!D114</f>
        <v/>
      </c>
    </row>
    <row r="109" spans="5:5" x14ac:dyDescent="0.75">
      <c r="E109" s="31" t="str">
        <f>'Rad-3'!D115</f>
        <v/>
      </c>
    </row>
    <row r="110" spans="5:5" x14ac:dyDescent="0.75">
      <c r="E110" s="31" t="str">
        <f>'Rad-3'!D116</f>
        <v>* differential.element[10].id = "Radiotherapy.target.boost.given"</v>
      </c>
    </row>
    <row r="111" spans="5:5" x14ac:dyDescent="0.75">
      <c r="E111" s="31" t="str">
        <f>'Rad-3'!D117</f>
        <v>* differential.element[10].path = "Radiotherapy.target.boost.given"</v>
      </c>
    </row>
    <row r="112" spans="5:5" x14ac:dyDescent="0.75">
      <c r="E112" s="31" t="str">
        <f>'Rad-3'!D118</f>
        <v>* differential.element[10].short = "Boost given"</v>
      </c>
    </row>
    <row r="113" spans="5:5" x14ac:dyDescent="0.75">
      <c r="E113" s="31" t="str">
        <f>'Rad-3'!D119</f>
        <v>* differential.element[10].definition = "Flag indicating if a boost was given, not given or unknown
"</v>
      </c>
    </row>
    <row r="114" spans="5:5" x14ac:dyDescent="0.75">
      <c r="E114" s="31" t="str">
        <f>'Rad-3'!D120</f>
        <v>* differential.element[10].min = 0</v>
      </c>
    </row>
    <row r="115" spans="5:5" x14ac:dyDescent="0.75">
      <c r="E115" s="31" t="str">
        <f>'Rad-3'!D121</f>
        <v>* differential.element[10].max = "1"</v>
      </c>
    </row>
    <row r="116" spans="5:5" x14ac:dyDescent="0.75">
      <c r="E116" s="31" t="str">
        <f>'Rad-3'!D122</f>
        <v>* differential.element[10].type.code = #CodeableConcept</v>
      </c>
    </row>
    <row r="117" spans="5:5" x14ac:dyDescent="0.75">
      <c r="E117" s="31" t="str">
        <f>'Rad-3'!D123</f>
        <v/>
      </c>
    </row>
    <row r="118" spans="5:5" x14ac:dyDescent="0.75">
      <c r="E118" s="31" t="str">
        <f>'Rad-3'!D124</f>
        <v/>
      </c>
    </row>
    <row r="119" spans="5:5" x14ac:dyDescent="0.75">
      <c r="E119" s="31" t="str">
        <f>'Rad-3'!D125</f>
        <v>* differential.element[11].id = "Radiotherapy.target.boost.site"</v>
      </c>
    </row>
    <row r="120" spans="5:5" x14ac:dyDescent="0.75">
      <c r="E120" s="31" t="str">
        <f>'Rad-3'!D126</f>
        <v>* differential.element[11].path = "Radiotherapy.target.boost.site"</v>
      </c>
    </row>
    <row r="121" spans="5:5" x14ac:dyDescent="0.75">
      <c r="E121" s="31" t="str">
        <f>'Rad-3'!D127</f>
        <v>* differential.element[11].short = "Boost site"</v>
      </c>
    </row>
    <row r="122" spans="5:5" x14ac:dyDescent="0.75">
      <c r="E122" s="31" t="str">
        <f>'Rad-3'!D128</f>
        <v>* differential.element[11].definition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123" spans="5:5" x14ac:dyDescent="0.75">
      <c r="E123" s="31" t="str">
        <f>'Rad-3'!D129</f>
        <v>* differential.element[11].min = 0</v>
      </c>
    </row>
    <row r="124" spans="5:5" x14ac:dyDescent="0.75">
      <c r="E124" s="31" t="str">
        <f>'Rad-3'!D130</f>
        <v>* differential.element[11].max = "1"</v>
      </c>
    </row>
    <row r="125" spans="5:5" x14ac:dyDescent="0.75">
      <c r="E125" s="31" t="str">
        <f>'Rad-3'!D131</f>
        <v>* differential.element[11].type.code = #CodeableConcept</v>
      </c>
    </row>
    <row r="126" spans="5:5" x14ac:dyDescent="0.75">
      <c r="E126" s="31" t="str">
        <f>'Rad-3'!D132</f>
        <v>* differential.element[11].binding.valueSet = "http://hl7.eu/fhir/ig/pcsp/ValueSet/vs-radiotherapy-pcsp</v>
      </c>
    </row>
    <row r="127" spans="5:5" x14ac:dyDescent="0.75">
      <c r="E127" s="31" t="str">
        <f>'Rad-3'!D133</f>
        <v>* differential.element[11].binding.strength = #required</v>
      </c>
    </row>
    <row r="128" spans="5:5" x14ac:dyDescent="0.75">
      <c r="E128" s="31" t="str">
        <f>'Rad-3'!D134</f>
        <v>* differential.element[12].id = "Radiotherapy.target.boost.comulativeDose"</v>
      </c>
    </row>
    <row r="129" spans="5:5" x14ac:dyDescent="0.75">
      <c r="E129" s="31" t="str">
        <f>'Rad-3'!D135</f>
        <v>* differential.element[12].path = "Radiotherapy.target.boost.comulativeDose"</v>
      </c>
    </row>
    <row r="130" spans="5:5" x14ac:dyDescent="0.75">
      <c r="E130" s="31" t="str">
        <f>'Rad-3'!D136</f>
        <v>* differential.element[12].short = "Comulative dose"</v>
      </c>
    </row>
    <row r="131" spans="5:5" x14ac:dyDescent="0.75">
      <c r="E131" s="31" t="str">
        <f>'Rad-3'!D137</f>
        <v>* differential.element[12].definition = "Specify the cumulative / total dose given to the boost site."</v>
      </c>
    </row>
    <row r="132" spans="5:5" x14ac:dyDescent="0.75">
      <c r="E132" s="31" t="str">
        <f>'Rad-3'!D138</f>
        <v>* differential.element[12].min = 1</v>
      </c>
    </row>
    <row r="133" spans="5:5" x14ac:dyDescent="0.75">
      <c r="E133" s="31" t="str">
        <f>'Rad-3'!D139</f>
        <v>* differential.element[12].max = "1"</v>
      </c>
    </row>
    <row r="134" spans="5:5" x14ac:dyDescent="0.75">
      <c r="E134" s="31" t="str">
        <f>'Rad-3'!D140</f>
        <v>* differential.element[12].type.code = #BackboneElement</v>
      </c>
    </row>
    <row r="135" spans="5:5" x14ac:dyDescent="0.75">
      <c r="E135" s="31" t="str">
        <f>'Rad-3'!D141</f>
        <v/>
      </c>
    </row>
    <row r="136" spans="5:5" x14ac:dyDescent="0.75">
      <c r="E136" s="31" t="str">
        <f>'Rad-3'!D142</f>
        <v/>
      </c>
    </row>
    <row r="137" spans="5:5" x14ac:dyDescent="0.75">
      <c r="E137" s="31" t="str">
        <f>'Rad-3'!D143</f>
        <v>* differential.element[13].id = "Radiotherapy.target.boost.comulativeDose.notKnown"</v>
      </c>
    </row>
    <row r="138" spans="5:5" x14ac:dyDescent="0.75">
      <c r="E138" s="31" t="str">
        <f>'Rad-3'!D144</f>
        <v>* differential.element[13].path = "Radiotherapy.target.boost.comulativeDose.notKnown"</v>
      </c>
    </row>
    <row r="139" spans="5:5" x14ac:dyDescent="0.75">
      <c r="E139" s="31" t="str">
        <f>'Rad-3'!D145</f>
        <v>* differential.element[13].short = "Not known dose"</v>
      </c>
    </row>
    <row r="140" spans="5:5" x14ac:dyDescent="0.75">
      <c r="E140" s="31" t="str">
        <f>'Rad-3'!D146</f>
        <v>* differential.element[13].definition = "Not known dose"</v>
      </c>
    </row>
    <row r="141" spans="5:5" x14ac:dyDescent="0.75">
      <c r="E141" s="31" t="str">
        <f>'Rad-3'!D147</f>
        <v>* differential.element[13].min = 0</v>
      </c>
    </row>
    <row r="142" spans="5:5" x14ac:dyDescent="0.75">
      <c r="E142" s="31" t="str">
        <f>'Rad-3'!D148</f>
        <v>* differential.element[13].max = "1"</v>
      </c>
    </row>
    <row r="143" spans="5:5" x14ac:dyDescent="0.75">
      <c r="E143" s="31" t="str">
        <f>'Rad-3'!D149</f>
        <v>* differential.element[13].type.code = #CodeableConcept</v>
      </c>
    </row>
    <row r="144" spans="5:5" x14ac:dyDescent="0.75">
      <c r="E144" s="31" t="str">
        <f>'Rad-3'!D150</f>
        <v/>
      </c>
    </row>
    <row r="145" spans="5:5" x14ac:dyDescent="0.75">
      <c r="E145" s="31" t="str">
        <f>'Rad-3'!D151</f>
        <v/>
      </c>
    </row>
    <row r="146" spans="5:5" x14ac:dyDescent="0.75">
      <c r="E146" s="31" t="str">
        <f>'Rad-3'!D152</f>
        <v>* differential.element[14].id = "Radiotherapy.target.boost.comulativeDose.dose"</v>
      </c>
    </row>
    <row r="147" spans="5:5" x14ac:dyDescent="0.75">
      <c r="E147" s="31" t="str">
        <f>'Rad-3'!D153</f>
        <v>* differential.element[14].path = "Radiotherapy.target.boost.comulativeDose.dose"</v>
      </c>
    </row>
    <row r="148" spans="5:5" x14ac:dyDescent="0.75">
      <c r="E148" s="31" t="str">
        <f>'Rad-3'!D154</f>
        <v>* differential.element[14].short = "Dose"</v>
      </c>
    </row>
    <row r="149" spans="5:5" x14ac:dyDescent="0.75">
      <c r="E149" s="31" t="str">
        <f>'Rad-3'!D155</f>
        <v>* differential.element[14].definition = "Specify the cumulative / total dose given to the boost site."</v>
      </c>
    </row>
    <row r="150" spans="5:5" x14ac:dyDescent="0.75">
      <c r="E150" s="31" t="str">
        <f>'Rad-3'!D156</f>
        <v>* differential.element[14].min = 0</v>
      </c>
    </row>
    <row r="151" spans="5:5" x14ac:dyDescent="0.75">
      <c r="E151" s="31" t="str">
        <f>'Rad-3'!D157</f>
        <v>* differential.element[14].max = "1"</v>
      </c>
    </row>
    <row r="152" spans="5:5" x14ac:dyDescent="0.75">
      <c r="E152" s="31" t="str">
        <f>'Rad-3'!D158</f>
        <v>* differential.element[14].type.code = #decimal</v>
      </c>
    </row>
    <row r="153" spans="5:5" x14ac:dyDescent="0.75">
      <c r="E153" s="31" t="str">
        <f>'Rad-3'!D159</f>
        <v/>
      </c>
    </row>
    <row r="154" spans="5:5" x14ac:dyDescent="0.75">
      <c r="E154" s="31" t="str">
        <f>'Rad-3'!D160</f>
        <v/>
      </c>
    </row>
    <row r="155" spans="5:5" x14ac:dyDescent="0.75">
      <c r="E155" s="31" t="str">
        <f>'Rad-3'!D161</f>
        <v>* differential.element[15].id = "Radiotherapy.target.boost.comulativeDose.unit"</v>
      </c>
    </row>
    <row r="156" spans="5:5" x14ac:dyDescent="0.75">
      <c r="E156" s="31" t="str">
        <f>'Rad-3'!D162</f>
        <v>* differential.element[15].path = "Radiotherapy.target.boost.comulativeDose.unit"</v>
      </c>
    </row>
    <row r="157" spans="5:5" x14ac:dyDescent="0.75">
      <c r="E157" s="31" t="str">
        <f>'Rad-3'!D163</f>
        <v>* differential.element[15].short = "Unit (of external beam boost)"</v>
      </c>
    </row>
    <row r="158" spans="5:5" x14ac:dyDescent="0.75">
      <c r="E158" s="31" t="str">
        <f>'Rad-3'!D164</f>
        <v>* differential.element[15].definition = "Specify the unit of the boost in case of external beam radiotherapy.
1 = Gy"</v>
      </c>
    </row>
    <row r="159" spans="5:5" x14ac:dyDescent="0.75">
      <c r="E159" s="31" t="str">
        <f>'Rad-3'!D165</f>
        <v>* differential.element[15].min = 0</v>
      </c>
    </row>
    <row r="160" spans="5:5" x14ac:dyDescent="0.75">
      <c r="E160" s="31" t="str">
        <f>'Rad-3'!D166</f>
        <v>* differential.element[15].max = "1"</v>
      </c>
    </row>
    <row r="161" spans="5:5" x14ac:dyDescent="0.75">
      <c r="E161" s="31" t="str">
        <f>'Rad-3'!D167</f>
        <v>* differential.element[15].type.code = #CodeableConcept</v>
      </c>
    </row>
    <row r="162" spans="5:5" x14ac:dyDescent="0.75">
      <c r="E162" s="31" t="str">
        <f>'Rad-3'!D168</f>
        <v/>
      </c>
    </row>
    <row r="163" spans="5:5" x14ac:dyDescent="0.75">
      <c r="E163" s="31" t="str">
        <f>'Rad-3'!D169</f>
        <v/>
      </c>
    </row>
    <row r="164" spans="5:5" x14ac:dyDescent="0.75">
      <c r="E164" s="31" t="str">
        <f>'Rad-3'!D170</f>
        <v>* differential.element[16].id = "Radiotherapy.radionuclides"</v>
      </c>
    </row>
    <row r="165" spans="5:5" x14ac:dyDescent="0.75">
      <c r="E165" s="31" t="str">
        <f>'Rad-3'!D171</f>
        <v>* differential.element[16].path = "Radiotherapy.radionuclides"</v>
      </c>
    </row>
    <row r="166" spans="5:5" x14ac:dyDescent="0.75">
      <c r="E166" s="31" t="str">
        <f>'Rad-3'!D172</f>
        <v>* differential.element[16].short = "Radionuclides"</v>
      </c>
    </row>
    <row r="167" spans="5:5" x14ac:dyDescent="0.75">
      <c r="E167" s="31" t="str">
        <f>'Rad-3'!D173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Required if Metabolic/radionuclide therapy
1 =&gt; Iodine-131
2 =&gt; MIBG
3 =&gt;Yttrium 90
4 =&gt; Other
-9922 =&gt; Unknown"</v>
      </c>
    </row>
    <row r="168" spans="5:5" x14ac:dyDescent="0.75">
      <c r="E168" s="31" t="str">
        <f>'Rad-3'!D174</f>
        <v>* differential.element[16].min = 1</v>
      </c>
    </row>
    <row r="169" spans="5:5" x14ac:dyDescent="0.75">
      <c r="E169" s="31" t="str">
        <f>'Rad-3'!D175</f>
        <v>* differential.element[16].max = "1"</v>
      </c>
    </row>
    <row r="170" spans="5:5" x14ac:dyDescent="0.75">
      <c r="E170" s="31" t="str">
        <f>'Rad-3'!D176</f>
        <v>* differential.element[16].type.code = #CodeableConcept</v>
      </c>
    </row>
    <row r="171" spans="5:5" x14ac:dyDescent="0.75">
      <c r="E171" s="31" t="str">
        <f>'Rad-3'!D177</f>
        <v/>
      </c>
    </row>
    <row r="172" spans="5:5" x14ac:dyDescent="0.75">
      <c r="E172" s="31" t="str">
        <f>'Rad-3'!D178</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98425</xdr:rowOff>
                  </to>
                </anchor>
              </controlPr>
            </control>
          </mc:Choice>
        </mc:AlternateContent>
        <mc:AlternateContent xmlns:mc="http://schemas.openxmlformats.org/markup-compatibility/2006">
          <mc:Choice Requires="x14">
            <control shapeId="6146" r:id="rId5" name="Button 2">
              <controlPr defaultSize="0" print="0" autoFill="0" autoPict="0" macro="[0]!common.salvaFore">
                <anchor moveWithCells="1">
                  <from>
                    <xdr:col>10</xdr:col>
                    <xdr:colOff>266700</xdr:colOff>
                    <xdr:row>0</xdr:row>
                    <xdr:rowOff>0</xdr:rowOff>
                  </from>
                  <to>
                    <xdr:col>11</xdr:col>
                    <xdr:colOff>327025</xdr:colOff>
                    <xdr:row>1</xdr:row>
                    <xdr:rowOff>98425</xdr:rowOff>
                  </to>
                </anchor>
              </controlPr>
            </control>
          </mc:Choice>
        </mc:AlternateContent>
        <mc:AlternateContent xmlns:mc="http://schemas.openxmlformats.org/markup-compatibility/2006">
          <mc:Choice Requires="x14">
            <control shapeId="6152" r:id="rId6" name="Button 8">
              <controlPr defaultSize="0" print="0" autoFill="0" autoPict="0" macro="[0]!salvaChemio">
                <anchor moveWithCells="1">
                  <from>
                    <xdr:col>1</xdr:col>
                    <xdr:colOff>273050</xdr:colOff>
                    <xdr:row>0</xdr:row>
                    <xdr:rowOff>0</xdr:rowOff>
                  </from>
                  <to>
                    <xdr:col>2</xdr:col>
                    <xdr:colOff>336550</xdr:colOff>
                    <xdr:row>1</xdr:row>
                    <xdr:rowOff>98425</xdr:rowOff>
                  </to>
                </anchor>
              </controlPr>
            </control>
          </mc:Choice>
        </mc:AlternateContent>
        <mc:AlternateContent xmlns:mc="http://schemas.openxmlformats.org/markup-compatibility/2006">
          <mc:Choice Requires="x14">
            <control shapeId="6153" r:id="rId7" name="Button 9">
              <controlPr defaultSize="0" print="0" autoFill="0" autoPict="0" macro="[0]!salvaSubjectMap">
                <anchor moveWithCells="1">
                  <from>
                    <xdr:col>4</xdr:col>
                    <xdr:colOff>6384925</xdr:colOff>
                    <xdr:row>0</xdr:row>
                    <xdr:rowOff>0</xdr:rowOff>
                  </from>
                  <to>
                    <xdr:col>6</xdr:col>
                    <xdr:colOff>76200</xdr:colOff>
                    <xdr:row>1</xdr:row>
                    <xdr:rowOff>98425</xdr:rowOff>
                  </to>
                </anchor>
              </controlPr>
            </control>
          </mc:Choice>
        </mc:AlternateContent>
        <mc:AlternateContent xmlns:mc="http://schemas.openxmlformats.org/markup-compatibility/2006">
          <mc:Choice Requires="x14">
            <control shapeId="6154" r:id="rId8" name="Button 10">
              <controlPr defaultSize="0" print="0" autoFill="0" autoPict="0" macro="[0]!salvaRadio">
                <anchor moveWithCells="1">
                  <from>
                    <xdr:col>2</xdr:col>
                    <xdr:colOff>434975</xdr:colOff>
                    <xdr:row>0</xdr:row>
                    <xdr:rowOff>0</xdr:rowOff>
                  </from>
                  <to>
                    <xdr:col>3</xdr:col>
                    <xdr:colOff>527050</xdr:colOff>
                    <xdr:row>1</xdr:row>
                    <xdr:rowOff>98425</xdr:rowOff>
                  </to>
                </anchor>
              </controlPr>
            </control>
          </mc:Choice>
        </mc:AlternateContent>
        <mc:AlternateContent xmlns:mc="http://schemas.openxmlformats.org/markup-compatibility/2006">
          <mc:Choice Requires="x14">
            <control shapeId="6155" r:id="rId9" name="Button 11">
              <controlPr defaultSize="0" print="0" autoFill="0" autoPict="0" macro="[0]!common.salvaSimpleOrg">
                <anchor moveWithCells="1">
                  <from>
                    <xdr:col>8</xdr:col>
                    <xdr:colOff>257175</xdr:colOff>
                    <xdr:row>0</xdr:row>
                    <xdr:rowOff>0</xdr:rowOff>
                  </from>
                  <to>
                    <xdr:col>9</xdr:col>
                    <xdr:colOff>387350</xdr:colOff>
                    <xdr:row>1</xdr:row>
                    <xdr:rowOff>98425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J63"/>
  <sheetViews>
    <sheetView tabSelected="1" topLeftCell="A7" zoomScale="130" zoomScaleNormal="130" workbookViewId="0">
      <selection activeCell="C41" sqref="C41:D41"/>
    </sheetView>
  </sheetViews>
  <sheetFormatPr defaultRowHeight="14.75" x14ac:dyDescent="0.75"/>
  <cols>
    <col min="2" max="2" width="83.1796875" style="1" bestFit="1" customWidth="1"/>
    <col min="3" max="3" width="44.6328125" style="1" customWidth="1"/>
    <col min="4" max="4" width="71.58984375" style="48" bestFit="1" customWidth="1"/>
    <col min="5" max="5" width="12.1796875" customWidth="1"/>
    <col min="6" max="6" width="20.7265625" customWidth="1"/>
    <col min="7" max="7" width="56.453125" customWidth="1"/>
    <col min="8" max="8" width="48.86328125" customWidth="1"/>
    <col min="9" max="9" width="19.31640625" customWidth="1"/>
  </cols>
  <sheetData>
    <row r="1" spans="1:9" x14ac:dyDescent="0.75">
      <c r="B1" s="149" t="s">
        <v>32</v>
      </c>
      <c r="C1" s="153" t="s">
        <v>31</v>
      </c>
      <c r="D1" s="96" t="s">
        <v>6</v>
      </c>
      <c r="E1" s="31"/>
      <c r="F1" s="31"/>
      <c r="G1" s="31"/>
    </row>
    <row r="2" spans="1:9" ht="29.5" x14ac:dyDescent="0.75">
      <c r="B2" s="150" t="s">
        <v>165</v>
      </c>
      <c r="C2" s="154" t="s">
        <v>1024</v>
      </c>
      <c r="D2" s="156" t="s">
        <v>1025</v>
      </c>
      <c r="E2" s="31"/>
      <c r="F2" s="31"/>
      <c r="G2" s="31"/>
    </row>
    <row r="3" spans="1:9" x14ac:dyDescent="0.75">
      <c r="B3" s="151" t="s">
        <v>33</v>
      </c>
      <c r="C3" s="157" t="s">
        <v>66</v>
      </c>
      <c r="D3" s="97"/>
      <c r="E3" s="31"/>
      <c r="F3" s="31"/>
      <c r="G3" s="31"/>
    </row>
    <row r="4" spans="1:9" ht="15.5" thickBot="1" x14ac:dyDescent="0.9">
      <c r="B4" s="152" t="s">
        <v>166</v>
      </c>
      <c r="C4" s="155" t="s">
        <v>1023</v>
      </c>
      <c r="D4" s="98"/>
      <c r="E4" s="31"/>
      <c r="F4" s="31"/>
      <c r="G4" s="31"/>
    </row>
    <row r="5" spans="1:9" x14ac:dyDescent="0.75">
      <c r="C5" s="3" t="s">
        <v>7</v>
      </c>
      <c r="D5" s="4" t="s">
        <v>8</v>
      </c>
      <c r="E5" s="12" t="s">
        <v>14</v>
      </c>
      <c r="F5" s="12" t="s">
        <v>15</v>
      </c>
      <c r="G5" s="12" t="s">
        <v>16</v>
      </c>
      <c r="H5" s="188" t="s">
        <v>1051</v>
      </c>
      <c r="I5" s="188"/>
    </row>
    <row r="6" spans="1:9" ht="29.5" x14ac:dyDescent="0.75">
      <c r="A6">
        <v>0</v>
      </c>
      <c r="B6" s="54" t="s">
        <v>1023</v>
      </c>
      <c r="C6" s="54" t="s">
        <v>1024</v>
      </c>
      <c r="D6" s="54" t="s">
        <v>1025</v>
      </c>
      <c r="E6" s="41">
        <v>1</v>
      </c>
      <c r="F6" s="41">
        <v>1</v>
      </c>
      <c r="G6" s="41" t="s">
        <v>18</v>
      </c>
      <c r="H6" s="32"/>
      <c r="I6" s="32"/>
    </row>
    <row r="7" spans="1:9" x14ac:dyDescent="0.75">
      <c r="A7" s="31">
        <v>1</v>
      </c>
      <c r="B7" s="38" t="s">
        <v>38</v>
      </c>
      <c r="C7" s="38" t="s">
        <v>19</v>
      </c>
      <c r="D7" s="32" t="s">
        <v>19</v>
      </c>
      <c r="E7" s="32">
        <v>1</v>
      </c>
      <c r="F7" s="32">
        <v>1</v>
      </c>
      <c r="G7" s="32" t="s">
        <v>5</v>
      </c>
      <c r="H7" s="32"/>
      <c r="I7" s="32"/>
    </row>
    <row r="8" spans="1:9" s="31" customFormat="1" x14ac:dyDescent="0.75">
      <c r="A8" s="31">
        <v>2</v>
      </c>
      <c r="B8" s="38" t="s">
        <v>983</v>
      </c>
      <c r="C8" s="38" t="s">
        <v>171</v>
      </c>
      <c r="D8" s="32" t="s">
        <v>171</v>
      </c>
      <c r="E8" s="32">
        <v>1</v>
      </c>
      <c r="F8" s="32">
        <v>1</v>
      </c>
      <c r="G8" s="32" t="s">
        <v>1</v>
      </c>
      <c r="H8" s="32"/>
      <c r="I8" s="32"/>
    </row>
    <row r="9" spans="1:9" s="31" customFormat="1" x14ac:dyDescent="0.75">
      <c r="A9" s="31">
        <v>3</v>
      </c>
      <c r="B9" s="38" t="s">
        <v>984</v>
      </c>
      <c r="C9" s="38" t="s">
        <v>1037</v>
      </c>
      <c r="D9" s="32" t="s">
        <v>1037</v>
      </c>
      <c r="E9" s="32">
        <v>1</v>
      </c>
      <c r="F9" s="32">
        <v>1</v>
      </c>
      <c r="G9" s="32" t="s">
        <v>2</v>
      </c>
      <c r="H9" s="32"/>
      <c r="I9" s="32"/>
    </row>
    <row r="10" spans="1:9" x14ac:dyDescent="0.75">
      <c r="A10" s="31">
        <v>4</v>
      </c>
      <c r="B10" s="38" t="s">
        <v>176</v>
      </c>
      <c r="C10" s="38" t="s">
        <v>177</v>
      </c>
      <c r="D10" s="32" t="s">
        <v>177</v>
      </c>
      <c r="E10" s="32">
        <v>1</v>
      </c>
      <c r="F10" s="28">
        <v>5</v>
      </c>
      <c r="G10" s="32" t="s">
        <v>5</v>
      </c>
      <c r="H10" s="32"/>
      <c r="I10" s="32"/>
    </row>
    <row r="11" spans="1:9" s="31" customFormat="1" ht="59" x14ac:dyDescent="0.75">
      <c r="A11" s="31">
        <v>5</v>
      </c>
      <c r="B11" s="38" t="s">
        <v>985</v>
      </c>
      <c r="C11" s="38" t="s">
        <v>287</v>
      </c>
      <c r="D11" s="38" t="s">
        <v>288</v>
      </c>
      <c r="E11" s="32">
        <v>1</v>
      </c>
      <c r="F11" s="32">
        <v>1</v>
      </c>
      <c r="G11" s="32" t="s">
        <v>1</v>
      </c>
      <c r="H11" s="32"/>
      <c r="I11" s="32"/>
    </row>
    <row r="12" spans="1:9" s="31" customFormat="1" ht="29.5" x14ac:dyDescent="0.75">
      <c r="A12" s="31">
        <v>6</v>
      </c>
      <c r="B12" s="38" t="s">
        <v>986</v>
      </c>
      <c r="C12" s="38" t="s">
        <v>1038</v>
      </c>
      <c r="D12" s="38" t="s">
        <v>1061</v>
      </c>
      <c r="E12" s="28">
        <v>0</v>
      </c>
      <c r="F12" s="32">
        <v>1</v>
      </c>
      <c r="G12" s="32" t="s">
        <v>1</v>
      </c>
      <c r="H12" s="32"/>
      <c r="I12" s="32"/>
    </row>
    <row r="13" spans="1:9" s="31" customFormat="1" x14ac:dyDescent="0.75">
      <c r="A13" s="31">
        <v>7</v>
      </c>
      <c r="B13" s="38" t="s">
        <v>1063</v>
      </c>
      <c r="C13" s="38" t="s">
        <v>179</v>
      </c>
      <c r="D13" s="32" t="s">
        <v>179</v>
      </c>
      <c r="E13" s="32">
        <v>0</v>
      </c>
      <c r="F13" s="32">
        <v>1</v>
      </c>
      <c r="G13" s="62" t="s">
        <v>1074</v>
      </c>
      <c r="H13" s="32"/>
      <c r="I13" s="32"/>
    </row>
    <row r="14" spans="1:9" s="31" customFormat="1" x14ac:dyDescent="0.75">
      <c r="A14" s="31">
        <v>8</v>
      </c>
      <c r="B14" s="53" t="s">
        <v>1073</v>
      </c>
      <c r="C14" s="53" t="s">
        <v>181</v>
      </c>
      <c r="D14" s="29" t="s">
        <v>181</v>
      </c>
      <c r="E14" s="32">
        <v>0</v>
      </c>
      <c r="F14" s="92">
        <v>1</v>
      </c>
      <c r="G14" s="62" t="s">
        <v>1072</v>
      </c>
      <c r="H14" s="29"/>
      <c r="I14" s="32"/>
    </row>
    <row r="15" spans="1:9" s="31" customFormat="1" x14ac:dyDescent="0.75">
      <c r="A15" s="31">
        <v>9</v>
      </c>
      <c r="B15" s="38" t="s">
        <v>1075</v>
      </c>
      <c r="C15" s="38" t="s">
        <v>1039</v>
      </c>
      <c r="D15" s="32" t="s">
        <v>1039</v>
      </c>
      <c r="E15" s="32">
        <v>0</v>
      </c>
      <c r="F15" s="32" t="s">
        <v>17</v>
      </c>
      <c r="G15" s="32" t="s">
        <v>5</v>
      </c>
      <c r="H15" s="32"/>
      <c r="I15" s="32"/>
    </row>
    <row r="16" spans="1:9" s="31" customFormat="1" ht="59" x14ac:dyDescent="0.75">
      <c r="A16" s="31">
        <v>10</v>
      </c>
      <c r="B16" s="38" t="s">
        <v>1076</v>
      </c>
      <c r="C16" s="38" t="s">
        <v>1033</v>
      </c>
      <c r="D16" s="38" t="s">
        <v>1059</v>
      </c>
      <c r="E16" s="28">
        <v>0</v>
      </c>
      <c r="F16" s="32">
        <v>1</v>
      </c>
      <c r="G16" s="32" t="s">
        <v>1</v>
      </c>
      <c r="H16" s="32"/>
      <c r="I16" s="32"/>
    </row>
    <row r="17" spans="1:9" s="31" customFormat="1" ht="29.5" x14ac:dyDescent="0.75">
      <c r="A17" s="31">
        <v>11</v>
      </c>
      <c r="B17" s="38" t="s">
        <v>1077</v>
      </c>
      <c r="C17" s="38" t="s">
        <v>1041</v>
      </c>
      <c r="D17" s="38" t="s">
        <v>995</v>
      </c>
      <c r="E17" s="32">
        <v>0</v>
      </c>
      <c r="F17" s="32">
        <v>1</v>
      </c>
      <c r="G17" s="32" t="s">
        <v>1</v>
      </c>
      <c r="H17" s="32"/>
      <c r="I17" s="32"/>
    </row>
    <row r="18" spans="1:9" s="31" customFormat="1" x14ac:dyDescent="0.75">
      <c r="A18" s="31">
        <v>12</v>
      </c>
      <c r="B18" s="38" t="s">
        <v>1078</v>
      </c>
      <c r="C18" s="38" t="s">
        <v>182</v>
      </c>
      <c r="D18" s="32" t="s">
        <v>182</v>
      </c>
      <c r="E18" s="39">
        <v>0</v>
      </c>
      <c r="F18" s="32" t="s">
        <v>17</v>
      </c>
      <c r="G18" s="32" t="s">
        <v>5</v>
      </c>
      <c r="H18" s="32"/>
      <c r="I18" s="32"/>
    </row>
    <row r="19" spans="1:9" s="31" customFormat="1" x14ac:dyDescent="0.75">
      <c r="A19" s="31">
        <v>13</v>
      </c>
      <c r="B19" s="38" t="s">
        <v>1079</v>
      </c>
      <c r="C19" s="38" t="s">
        <v>738</v>
      </c>
      <c r="D19" s="32" t="s">
        <v>740</v>
      </c>
      <c r="E19" s="28">
        <v>0</v>
      </c>
      <c r="F19" s="32">
        <v>1</v>
      </c>
      <c r="G19" s="32" t="s">
        <v>1</v>
      </c>
      <c r="H19" s="32"/>
      <c r="I19" s="32"/>
    </row>
    <row r="20" spans="1:9" s="31" customFormat="1" x14ac:dyDescent="0.75">
      <c r="A20" s="31">
        <v>14</v>
      </c>
      <c r="B20" s="38" t="s">
        <v>1080</v>
      </c>
      <c r="C20" s="38" t="s">
        <v>1053</v>
      </c>
      <c r="D20" s="32" t="s">
        <v>743</v>
      </c>
      <c r="E20" s="28">
        <v>0</v>
      </c>
      <c r="F20" s="32">
        <v>1</v>
      </c>
      <c r="G20" s="32" t="s">
        <v>1</v>
      </c>
      <c r="H20" s="32"/>
      <c r="I20" s="32"/>
    </row>
    <row r="21" spans="1:9" s="31" customFormat="1" x14ac:dyDescent="0.75">
      <c r="A21" s="31">
        <v>15</v>
      </c>
      <c r="B21" s="38" t="s">
        <v>1081</v>
      </c>
      <c r="C21" s="38" t="s">
        <v>1054</v>
      </c>
      <c r="D21" s="32" t="s">
        <v>746</v>
      </c>
      <c r="E21" s="28">
        <v>0</v>
      </c>
      <c r="F21" s="32">
        <v>1</v>
      </c>
      <c r="G21" s="32" t="s">
        <v>1</v>
      </c>
      <c r="H21" s="32"/>
      <c r="I21" s="32"/>
    </row>
    <row r="22" spans="1:9" s="31" customFormat="1" x14ac:dyDescent="0.75">
      <c r="A22" s="31">
        <v>16</v>
      </c>
      <c r="B22" s="38" t="s">
        <v>1082</v>
      </c>
      <c r="C22" s="38" t="s">
        <v>1047</v>
      </c>
      <c r="D22" s="32" t="s">
        <v>749</v>
      </c>
      <c r="E22" s="28">
        <v>0</v>
      </c>
      <c r="F22" s="32">
        <v>1</v>
      </c>
      <c r="G22" s="32" t="s">
        <v>1</v>
      </c>
      <c r="H22" s="32"/>
      <c r="I22" s="32"/>
    </row>
    <row r="23" spans="1:9" s="31" customFormat="1" x14ac:dyDescent="0.75">
      <c r="A23" s="31">
        <v>17</v>
      </c>
      <c r="B23" s="38" t="s">
        <v>1083</v>
      </c>
      <c r="C23" s="38" t="s">
        <v>750</v>
      </c>
      <c r="D23" s="32" t="s">
        <v>752</v>
      </c>
      <c r="E23" s="28">
        <v>0</v>
      </c>
      <c r="F23" s="32">
        <v>1</v>
      </c>
      <c r="G23" s="32" t="s">
        <v>1</v>
      </c>
      <c r="H23" s="32"/>
      <c r="I23" s="32"/>
    </row>
    <row r="24" spans="1:9" s="31" customFormat="1" x14ac:dyDescent="0.75">
      <c r="A24" s="31">
        <v>18</v>
      </c>
      <c r="B24" s="38" t="s">
        <v>1084</v>
      </c>
      <c r="C24" s="38" t="s">
        <v>1048</v>
      </c>
      <c r="D24" s="32" t="s">
        <v>755</v>
      </c>
      <c r="E24" s="28">
        <v>0</v>
      </c>
      <c r="F24" s="32">
        <v>1</v>
      </c>
      <c r="G24" s="32" t="s">
        <v>1</v>
      </c>
      <c r="H24" s="32"/>
      <c r="I24" s="32"/>
    </row>
    <row r="25" spans="1:9" s="48" customFormat="1" x14ac:dyDescent="0.75">
      <c r="A25" s="31">
        <v>19</v>
      </c>
      <c r="B25" s="38" t="s">
        <v>1085</v>
      </c>
      <c r="C25" s="38" t="s">
        <v>756</v>
      </c>
      <c r="D25" s="32" t="s">
        <v>758</v>
      </c>
      <c r="E25" s="28">
        <v>0</v>
      </c>
      <c r="F25" s="32">
        <v>1</v>
      </c>
      <c r="G25" s="32" t="s">
        <v>1</v>
      </c>
      <c r="H25" s="32"/>
      <c r="I25" s="29"/>
    </row>
    <row r="26" spans="1:9" s="31" customFormat="1" x14ac:dyDescent="0.75">
      <c r="A26" s="31">
        <v>20</v>
      </c>
      <c r="B26" s="38" t="s">
        <v>1086</v>
      </c>
      <c r="C26" s="38" t="s">
        <v>759</v>
      </c>
      <c r="D26" s="32" t="s">
        <v>761</v>
      </c>
      <c r="E26" s="28">
        <v>0</v>
      </c>
      <c r="F26" s="32">
        <v>1</v>
      </c>
      <c r="G26" s="32" t="s">
        <v>1</v>
      </c>
      <c r="H26" s="32"/>
      <c r="I26" s="32"/>
    </row>
    <row r="27" spans="1:9" s="31" customFormat="1" x14ac:dyDescent="0.75">
      <c r="A27" s="31">
        <v>21</v>
      </c>
      <c r="B27" s="38" t="s">
        <v>1087</v>
      </c>
      <c r="C27" s="38" t="s">
        <v>1049</v>
      </c>
      <c r="D27" s="32" t="s">
        <v>764</v>
      </c>
      <c r="E27" s="28">
        <v>0</v>
      </c>
      <c r="F27" s="32">
        <v>1</v>
      </c>
      <c r="G27" s="32" t="s">
        <v>1</v>
      </c>
      <c r="H27" s="32"/>
      <c r="I27" s="32"/>
    </row>
    <row r="28" spans="1:9" s="31" customFormat="1" x14ac:dyDescent="0.75">
      <c r="A28" s="31">
        <v>22</v>
      </c>
      <c r="B28" s="38" t="s">
        <v>1088</v>
      </c>
      <c r="C28" s="38" t="s">
        <v>765</v>
      </c>
      <c r="D28" s="32" t="s">
        <v>767</v>
      </c>
      <c r="E28" s="28">
        <v>0</v>
      </c>
      <c r="F28" s="32">
        <v>1</v>
      </c>
      <c r="G28" s="32" t="s">
        <v>1</v>
      </c>
      <c r="H28" s="32"/>
      <c r="I28" s="32"/>
    </row>
    <row r="29" spans="1:9" s="31" customFormat="1" ht="118" x14ac:dyDescent="0.75">
      <c r="A29" s="31">
        <v>23</v>
      </c>
      <c r="B29" s="38" t="s">
        <v>1089</v>
      </c>
      <c r="C29" s="38" t="s">
        <v>768</v>
      </c>
      <c r="D29" s="38" t="s">
        <v>1028</v>
      </c>
      <c r="E29" s="28">
        <v>0</v>
      </c>
      <c r="F29" s="32" t="s">
        <v>17</v>
      </c>
      <c r="G29" s="32" t="s">
        <v>1</v>
      </c>
      <c r="H29" s="32"/>
      <c r="I29" s="32"/>
    </row>
    <row r="30" spans="1:9" s="31" customFormat="1" ht="88.5" x14ac:dyDescent="0.75">
      <c r="A30" s="31">
        <v>24</v>
      </c>
      <c r="B30" s="38" t="s">
        <v>1090</v>
      </c>
      <c r="C30" s="38" t="s">
        <v>1060</v>
      </c>
      <c r="D30" s="38" t="s">
        <v>1062</v>
      </c>
      <c r="E30" s="28">
        <v>0</v>
      </c>
      <c r="F30" s="32">
        <v>1</v>
      </c>
      <c r="G30" s="32" t="s">
        <v>1</v>
      </c>
      <c r="H30" s="43"/>
      <c r="I30" s="32"/>
    </row>
    <row r="31" spans="1:9" s="31" customFormat="1" x14ac:dyDescent="0.75">
      <c r="A31" s="31">
        <v>25</v>
      </c>
      <c r="B31" s="38" t="s">
        <v>1091</v>
      </c>
      <c r="C31" s="38" t="s">
        <v>184</v>
      </c>
      <c r="D31" s="32" t="s">
        <v>184</v>
      </c>
      <c r="E31" s="32">
        <v>1</v>
      </c>
      <c r="F31" s="32">
        <v>1</v>
      </c>
      <c r="G31" s="32" t="s">
        <v>5</v>
      </c>
      <c r="H31" s="32"/>
      <c r="I31" s="32"/>
    </row>
    <row r="32" spans="1:9" s="31" customFormat="1" ht="59" x14ac:dyDescent="0.75">
      <c r="A32" s="31">
        <v>26</v>
      </c>
      <c r="B32" s="38" t="s">
        <v>1092</v>
      </c>
      <c r="C32" s="38" t="s">
        <v>864</v>
      </c>
      <c r="D32" s="38" t="s">
        <v>1046</v>
      </c>
      <c r="E32" s="28">
        <v>0</v>
      </c>
      <c r="F32" s="32">
        <v>1</v>
      </c>
      <c r="G32" s="32" t="s">
        <v>1</v>
      </c>
      <c r="H32" s="23"/>
      <c r="I32" s="32"/>
    </row>
    <row r="33" spans="1:10" s="31" customFormat="1" x14ac:dyDescent="0.75">
      <c r="A33" s="31">
        <v>27</v>
      </c>
      <c r="B33" s="38" t="s">
        <v>1093</v>
      </c>
      <c r="C33" s="38" t="s">
        <v>867</v>
      </c>
      <c r="D33" s="32" t="s">
        <v>869</v>
      </c>
      <c r="E33" s="28">
        <v>0</v>
      </c>
      <c r="F33" s="32">
        <v>1</v>
      </c>
      <c r="G33" s="32" t="s">
        <v>1</v>
      </c>
      <c r="H33" s="23"/>
      <c r="I33" s="32"/>
    </row>
    <row r="34" spans="1:10" s="31" customFormat="1" x14ac:dyDescent="0.75">
      <c r="A34" s="31">
        <v>28</v>
      </c>
      <c r="B34" s="38" t="s">
        <v>1135</v>
      </c>
      <c r="C34" s="38" t="s">
        <v>870</v>
      </c>
      <c r="D34" s="32" t="s">
        <v>872</v>
      </c>
      <c r="E34" s="28">
        <v>0</v>
      </c>
      <c r="F34" s="32">
        <v>1</v>
      </c>
      <c r="G34" s="32" t="s">
        <v>1</v>
      </c>
      <c r="H34" s="23"/>
      <c r="I34" s="32"/>
    </row>
    <row r="35" spans="1:10" s="31" customFormat="1" x14ac:dyDescent="0.75">
      <c r="A35" s="31">
        <v>29</v>
      </c>
      <c r="B35" s="38" t="s">
        <v>1094</v>
      </c>
      <c r="C35" s="38" t="s">
        <v>873</v>
      </c>
      <c r="D35" s="32" t="s">
        <v>875</v>
      </c>
      <c r="E35" s="28">
        <v>0</v>
      </c>
      <c r="F35" s="32">
        <v>1</v>
      </c>
      <c r="G35" s="32" t="s">
        <v>1</v>
      </c>
      <c r="H35" s="23"/>
      <c r="I35" s="32"/>
    </row>
    <row r="36" spans="1:10" s="31" customFormat="1" x14ac:dyDescent="0.75">
      <c r="A36" s="31">
        <v>30</v>
      </c>
      <c r="B36" s="38" t="s">
        <v>1095</v>
      </c>
      <c r="C36" s="38" t="s">
        <v>876</v>
      </c>
      <c r="D36" s="32" t="s">
        <v>1050</v>
      </c>
      <c r="E36" s="28">
        <v>0</v>
      </c>
      <c r="F36" s="32">
        <v>1</v>
      </c>
      <c r="G36" s="32" t="s">
        <v>1</v>
      </c>
      <c r="H36" s="23"/>
      <c r="I36" s="32"/>
    </row>
    <row r="37" spans="1:10" s="31" customFormat="1" x14ac:dyDescent="0.75">
      <c r="A37" s="31">
        <v>31</v>
      </c>
      <c r="B37" s="38" t="s">
        <v>1096</v>
      </c>
      <c r="C37" s="38" t="s">
        <v>906</v>
      </c>
      <c r="D37" s="32" t="s">
        <v>908</v>
      </c>
      <c r="E37" s="28">
        <v>0</v>
      </c>
      <c r="F37" s="32">
        <v>1</v>
      </c>
      <c r="G37" s="32" t="s">
        <v>1</v>
      </c>
      <c r="H37" s="23"/>
      <c r="I37" s="32"/>
    </row>
    <row r="38" spans="1:10" s="31" customFormat="1" x14ac:dyDescent="0.75">
      <c r="A38" s="31">
        <v>32</v>
      </c>
      <c r="B38" s="38" t="s">
        <v>1097</v>
      </c>
      <c r="C38" s="38" t="s">
        <v>186</v>
      </c>
      <c r="D38" s="32" t="s">
        <v>186</v>
      </c>
      <c r="E38" s="32">
        <v>0</v>
      </c>
      <c r="F38" s="32" t="s">
        <v>17</v>
      </c>
      <c r="G38" s="32" t="s">
        <v>5</v>
      </c>
    </row>
    <row r="39" spans="1:10" ht="45.75" customHeight="1" x14ac:dyDescent="0.75">
      <c r="A39" s="31">
        <v>33</v>
      </c>
      <c r="B39" s="38" t="s">
        <v>1098</v>
      </c>
      <c r="C39" s="38" t="s">
        <v>179</v>
      </c>
      <c r="D39" s="32" t="s">
        <v>179</v>
      </c>
      <c r="E39" s="32">
        <v>0</v>
      </c>
      <c r="F39" s="32">
        <v>1</v>
      </c>
      <c r="G39" s="62" t="s">
        <v>1074</v>
      </c>
      <c r="H39" s="31"/>
      <c r="I39" s="31"/>
    </row>
    <row r="40" spans="1:10" s="31" customFormat="1" ht="23.5" customHeight="1" x14ac:dyDescent="0.75">
      <c r="A40" s="31">
        <v>37</v>
      </c>
      <c r="B40" s="53" t="s">
        <v>1100</v>
      </c>
      <c r="C40" s="53" t="s">
        <v>181</v>
      </c>
      <c r="D40" s="29" t="s">
        <v>181</v>
      </c>
      <c r="E40" s="32">
        <v>0</v>
      </c>
      <c r="F40" s="92">
        <v>1</v>
      </c>
      <c r="G40" s="62" t="s">
        <v>1072</v>
      </c>
      <c r="H40" s="50"/>
      <c r="I40" s="62"/>
      <c r="J40" s="62"/>
    </row>
    <row r="41" spans="1:10" s="31" customFormat="1" ht="23.5" customHeight="1" x14ac:dyDescent="0.75">
      <c r="A41" s="31">
        <v>34</v>
      </c>
      <c r="B41" s="38" t="s">
        <v>1138</v>
      </c>
      <c r="C41" s="38" t="s">
        <v>1039</v>
      </c>
      <c r="D41" s="32" t="s">
        <v>1039</v>
      </c>
      <c r="E41" s="32">
        <v>0</v>
      </c>
      <c r="F41" s="32" t="s">
        <v>17</v>
      </c>
      <c r="G41" s="32" t="s">
        <v>5</v>
      </c>
      <c r="H41" s="50"/>
      <c r="I41" s="62"/>
      <c r="J41" s="62"/>
    </row>
    <row r="42" spans="1:10" s="31" customFormat="1" ht="23.5" customHeight="1" x14ac:dyDescent="0.75">
      <c r="A42" s="31">
        <v>35</v>
      </c>
      <c r="B42" s="38" t="s">
        <v>1139</v>
      </c>
      <c r="C42" s="38" t="s">
        <v>1033</v>
      </c>
      <c r="D42" s="38" t="s">
        <v>1059</v>
      </c>
      <c r="E42" s="28">
        <v>0</v>
      </c>
      <c r="F42" s="32">
        <v>1</v>
      </c>
      <c r="G42" s="32" t="s">
        <v>1</v>
      </c>
      <c r="H42" s="50"/>
      <c r="I42" s="62"/>
      <c r="J42" s="62"/>
    </row>
    <row r="43" spans="1:10" s="31" customFormat="1" ht="23.5" customHeight="1" x14ac:dyDescent="0.75">
      <c r="A43" s="31">
        <v>36</v>
      </c>
      <c r="B43" s="38" t="s">
        <v>1099</v>
      </c>
      <c r="C43" s="38" t="s">
        <v>1041</v>
      </c>
      <c r="D43" s="38" t="s">
        <v>995</v>
      </c>
      <c r="E43" s="32">
        <v>0</v>
      </c>
      <c r="F43" s="32">
        <v>1</v>
      </c>
      <c r="G43" s="32" t="s">
        <v>1</v>
      </c>
      <c r="H43" s="50"/>
      <c r="I43" s="62"/>
      <c r="J43" s="62"/>
    </row>
    <row r="44" spans="1:10" s="31" customFormat="1" ht="23.5" customHeight="1" x14ac:dyDescent="0.75">
      <c r="A44" s="31">
        <v>38</v>
      </c>
      <c r="B44" s="38" t="s">
        <v>1101</v>
      </c>
      <c r="C44" s="38" t="s">
        <v>182</v>
      </c>
      <c r="D44" s="32" t="s">
        <v>182</v>
      </c>
      <c r="E44" s="39">
        <v>0</v>
      </c>
      <c r="F44" s="32" t="s">
        <v>17</v>
      </c>
      <c r="G44" s="32" t="s">
        <v>5</v>
      </c>
      <c r="H44" s="50"/>
      <c r="I44" s="62"/>
      <c r="J44" s="62"/>
    </row>
    <row r="45" spans="1:10" s="31" customFormat="1" ht="23.5" customHeight="1" x14ac:dyDescent="0.75">
      <c r="A45" s="31">
        <v>39</v>
      </c>
      <c r="B45" s="38" t="s">
        <v>1102</v>
      </c>
      <c r="C45" s="38" t="s">
        <v>738</v>
      </c>
      <c r="D45" s="32" t="s">
        <v>740</v>
      </c>
      <c r="E45" s="28">
        <v>0</v>
      </c>
      <c r="F45" s="32">
        <v>1</v>
      </c>
      <c r="G45" s="32" t="s">
        <v>1</v>
      </c>
      <c r="H45" s="50"/>
      <c r="I45" s="62"/>
      <c r="J45" s="62"/>
    </row>
    <row r="46" spans="1:10" x14ac:dyDescent="0.75">
      <c r="A46" s="31">
        <v>40</v>
      </c>
      <c r="B46" s="38" t="s">
        <v>1103</v>
      </c>
      <c r="C46" s="38" t="s">
        <v>1053</v>
      </c>
      <c r="D46" s="32" t="s">
        <v>743</v>
      </c>
      <c r="E46" s="28">
        <v>0</v>
      </c>
      <c r="F46" s="32">
        <v>1</v>
      </c>
      <c r="G46" s="32" t="s">
        <v>1</v>
      </c>
      <c r="H46" s="62"/>
      <c r="I46" s="62"/>
      <c r="J46" s="62"/>
    </row>
    <row r="47" spans="1:10" s="31" customFormat="1" x14ac:dyDescent="0.75">
      <c r="A47" s="31">
        <v>41</v>
      </c>
      <c r="B47" s="38" t="s">
        <v>1104</v>
      </c>
      <c r="C47" s="38" t="s">
        <v>1054</v>
      </c>
      <c r="D47" s="32" t="s">
        <v>746</v>
      </c>
      <c r="E47" s="28">
        <v>0</v>
      </c>
      <c r="F47" s="32">
        <v>1</v>
      </c>
      <c r="G47" s="32" t="s">
        <v>1</v>
      </c>
      <c r="H47" s="62"/>
      <c r="I47" s="62"/>
      <c r="J47" s="62"/>
    </row>
    <row r="48" spans="1:10" x14ac:dyDescent="0.75">
      <c r="A48" s="31">
        <v>42</v>
      </c>
      <c r="B48" s="38" t="s">
        <v>1105</v>
      </c>
      <c r="C48" s="38" t="s">
        <v>1047</v>
      </c>
      <c r="D48" s="32" t="s">
        <v>749</v>
      </c>
      <c r="E48" s="28">
        <v>0</v>
      </c>
      <c r="F48" s="32">
        <v>1</v>
      </c>
      <c r="G48" s="32" t="s">
        <v>1</v>
      </c>
    </row>
    <row r="49" spans="1:10" x14ac:dyDescent="0.75">
      <c r="A49" s="31">
        <v>43</v>
      </c>
      <c r="B49" s="38" t="s">
        <v>1106</v>
      </c>
      <c r="C49" s="38" t="s">
        <v>750</v>
      </c>
      <c r="D49" s="32" t="s">
        <v>752</v>
      </c>
      <c r="E49" s="28">
        <v>0</v>
      </c>
      <c r="F49" s="32">
        <v>1</v>
      </c>
      <c r="G49" s="32" t="s">
        <v>1</v>
      </c>
    </row>
    <row r="50" spans="1:10" x14ac:dyDescent="0.75">
      <c r="A50" s="31">
        <v>44</v>
      </c>
      <c r="B50" s="38" t="s">
        <v>1107</v>
      </c>
      <c r="C50" s="38" t="s">
        <v>1048</v>
      </c>
      <c r="D50" s="32" t="s">
        <v>755</v>
      </c>
      <c r="E50" s="28">
        <v>0</v>
      </c>
      <c r="F50" s="32">
        <v>1</v>
      </c>
      <c r="G50" s="32" t="s">
        <v>1</v>
      </c>
    </row>
    <row r="51" spans="1:10" x14ac:dyDescent="0.75">
      <c r="A51" s="31">
        <v>45</v>
      </c>
      <c r="B51" s="38" t="s">
        <v>1108</v>
      </c>
      <c r="C51" s="38" t="s">
        <v>756</v>
      </c>
      <c r="D51" s="32" t="s">
        <v>758</v>
      </c>
      <c r="E51" s="28">
        <v>0</v>
      </c>
      <c r="F51" s="32">
        <v>1</v>
      </c>
      <c r="G51" s="32" t="s">
        <v>1</v>
      </c>
      <c r="H51" s="58"/>
      <c r="I51" s="58"/>
      <c r="J51" s="58"/>
    </row>
    <row r="52" spans="1:10" s="31" customFormat="1" x14ac:dyDescent="0.75">
      <c r="A52" s="31">
        <v>46</v>
      </c>
      <c r="B52" s="38" t="s">
        <v>1109</v>
      </c>
      <c r="C52" s="38" t="s">
        <v>759</v>
      </c>
      <c r="D52" s="32" t="s">
        <v>761</v>
      </c>
      <c r="E52" s="28">
        <v>0</v>
      </c>
      <c r="F52" s="32">
        <v>1</v>
      </c>
      <c r="G52" s="32" t="s">
        <v>1</v>
      </c>
    </row>
    <row r="53" spans="1:10" s="31" customFormat="1" x14ac:dyDescent="0.75">
      <c r="A53" s="31">
        <v>47</v>
      </c>
      <c r="B53" s="38" t="s">
        <v>1110</v>
      </c>
      <c r="C53" s="38" t="s">
        <v>1049</v>
      </c>
      <c r="D53" s="32" t="s">
        <v>764</v>
      </c>
      <c r="E53" s="28">
        <v>0</v>
      </c>
      <c r="F53" s="32">
        <v>1</v>
      </c>
      <c r="G53" s="32" t="s">
        <v>1</v>
      </c>
    </row>
    <row r="54" spans="1:10" s="31" customFormat="1" x14ac:dyDescent="0.75">
      <c r="A54" s="31">
        <v>48</v>
      </c>
      <c r="B54" s="38" t="s">
        <v>1111</v>
      </c>
      <c r="C54" s="38" t="s">
        <v>765</v>
      </c>
      <c r="D54" s="32" t="s">
        <v>767</v>
      </c>
      <c r="E54" s="28">
        <v>0</v>
      </c>
      <c r="F54" s="32">
        <v>1</v>
      </c>
      <c r="G54" s="32" t="s">
        <v>1</v>
      </c>
    </row>
    <row r="55" spans="1:10" s="31" customFormat="1" ht="118" x14ac:dyDescent="0.75">
      <c r="A55" s="31">
        <v>49</v>
      </c>
      <c r="B55" s="38" t="s">
        <v>1112</v>
      </c>
      <c r="C55" s="38" t="s">
        <v>768</v>
      </c>
      <c r="D55" s="38" t="s">
        <v>1028</v>
      </c>
      <c r="E55" s="28">
        <v>0</v>
      </c>
      <c r="F55" s="32" t="s">
        <v>17</v>
      </c>
      <c r="G55" s="32" t="s">
        <v>1</v>
      </c>
    </row>
    <row r="56" spans="1:10" s="31" customFormat="1" ht="88.5" x14ac:dyDescent="0.75">
      <c r="A56" s="31">
        <v>50</v>
      </c>
      <c r="B56" s="38" t="s">
        <v>1113</v>
      </c>
      <c r="C56" s="38" t="s">
        <v>1060</v>
      </c>
      <c r="D56" s="38" t="s">
        <v>1062</v>
      </c>
      <c r="E56" s="28">
        <v>0</v>
      </c>
      <c r="F56" s="32">
        <v>1</v>
      </c>
      <c r="G56" s="32" t="s">
        <v>1</v>
      </c>
    </row>
    <row r="57" spans="1:10" x14ac:dyDescent="0.75">
      <c r="A57" s="31">
        <v>51</v>
      </c>
      <c r="B57" s="38" t="s">
        <v>1114</v>
      </c>
      <c r="C57" s="38" t="s">
        <v>184</v>
      </c>
      <c r="D57" s="32" t="s">
        <v>184</v>
      </c>
      <c r="E57" s="32">
        <v>1</v>
      </c>
      <c r="F57" s="32">
        <v>1</v>
      </c>
      <c r="G57" s="32" t="s">
        <v>5</v>
      </c>
      <c r="H57" s="2"/>
      <c r="I57" s="31"/>
    </row>
    <row r="58" spans="1:10" ht="59" x14ac:dyDescent="0.75">
      <c r="A58" s="31">
        <v>52</v>
      </c>
      <c r="B58" s="38" t="s">
        <v>1115</v>
      </c>
      <c r="C58" s="38" t="s">
        <v>864</v>
      </c>
      <c r="D58" s="38" t="s">
        <v>1046</v>
      </c>
      <c r="E58" s="28">
        <v>0</v>
      </c>
      <c r="F58" s="32">
        <v>1</v>
      </c>
      <c r="G58" s="32" t="s">
        <v>1</v>
      </c>
      <c r="H58" s="2"/>
      <c r="I58" s="31"/>
    </row>
    <row r="59" spans="1:10" x14ac:dyDescent="0.75">
      <c r="A59" s="31">
        <v>53</v>
      </c>
      <c r="B59" s="38" t="s">
        <v>1116</v>
      </c>
      <c r="C59" s="38" t="s">
        <v>867</v>
      </c>
      <c r="D59" s="32" t="s">
        <v>869</v>
      </c>
      <c r="E59" s="28">
        <v>0</v>
      </c>
      <c r="F59" s="32">
        <v>1</v>
      </c>
      <c r="G59" s="32" t="s">
        <v>1</v>
      </c>
    </row>
    <row r="60" spans="1:10" x14ac:dyDescent="0.75">
      <c r="A60" s="31">
        <v>54</v>
      </c>
      <c r="B60" s="38" t="s">
        <v>1136</v>
      </c>
      <c r="C60" s="38" t="s">
        <v>870</v>
      </c>
      <c r="D60" s="32" t="s">
        <v>872</v>
      </c>
      <c r="E60" s="28">
        <v>0</v>
      </c>
      <c r="F60" s="32">
        <v>1</v>
      </c>
      <c r="G60" s="32" t="s">
        <v>1</v>
      </c>
    </row>
    <row r="61" spans="1:10" x14ac:dyDescent="0.75">
      <c r="A61" s="31">
        <v>55</v>
      </c>
      <c r="B61" s="38" t="s">
        <v>1117</v>
      </c>
      <c r="C61" s="38" t="s">
        <v>873</v>
      </c>
      <c r="D61" s="32" t="s">
        <v>875</v>
      </c>
      <c r="E61" s="28">
        <v>0</v>
      </c>
      <c r="F61" s="32">
        <v>1</v>
      </c>
      <c r="G61" s="32" t="s">
        <v>1</v>
      </c>
    </row>
    <row r="62" spans="1:10" x14ac:dyDescent="0.75">
      <c r="A62" s="31">
        <v>56</v>
      </c>
      <c r="B62" s="38" t="s">
        <v>1118</v>
      </c>
      <c r="C62" s="38" t="s">
        <v>876</v>
      </c>
      <c r="D62" s="32" t="s">
        <v>1050</v>
      </c>
      <c r="E62" s="28">
        <v>0</v>
      </c>
      <c r="F62" s="32">
        <v>1</v>
      </c>
      <c r="G62" s="32" t="s">
        <v>1</v>
      </c>
    </row>
    <row r="63" spans="1:10" x14ac:dyDescent="0.75">
      <c r="A63" s="31">
        <v>57</v>
      </c>
      <c r="B63" s="38" t="s">
        <v>1119</v>
      </c>
      <c r="C63" s="38" t="s">
        <v>906</v>
      </c>
      <c r="D63" s="32" t="s">
        <v>908</v>
      </c>
      <c r="E63" s="28">
        <v>0</v>
      </c>
      <c r="F63" s="32">
        <v>1</v>
      </c>
      <c r="G63" s="32" t="s">
        <v>1</v>
      </c>
    </row>
  </sheetData>
  <mergeCells count="1">
    <mergeCell ref="H5:I5"/>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93"/>
  <sheetViews>
    <sheetView topLeftCell="A49" zoomScale="85" zoomScaleNormal="85" workbookViewId="0">
      <selection activeCell="B2" sqref="B2:I5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8" width="19.54296875" customWidth="1"/>
    <col min="9" max="9" width="60.76953125" customWidth="1"/>
    <col min="10" max="10" width="89.90625" customWidth="1"/>
  </cols>
  <sheetData>
    <row r="1" spans="2:10" ht="44.25" x14ac:dyDescent="0.75">
      <c r="B1" s="15" t="str">
        <f>CONCATENATE("* differential.element[",'Base-1'!A6,"].id = """,'Base-1'!B6,"""")</f>
        <v>* differential.element[0].id = "MinimalTreatmentSummary"</v>
      </c>
      <c r="C1" s="15" t="str">
        <f>CONCATENATE("* differential.element[",'Base-1'!A6,"].path = """,'Base-1'!$B$6,"""")</f>
        <v>* differential.element[0].path = "MinimalTreatmentSummary"</v>
      </c>
      <c r="D1" s="15" t="str">
        <f>CONCATENATE("* differential.element[",'Base-1'!A6,"].short = """,'Base-1'!C6,"""")</f>
        <v>* differential.element[0].short = "Minimal Treatment Summary"</v>
      </c>
      <c r="E1" s="15" t="str">
        <f>CONCATENATE("* differential.element[",'Base-1'!A6,"].definition = """,'Base-1'!D6,"""")</f>
        <v>* differential.element[0].definition = "Minimal Treatment Summary data required by the PancareSurPass platform to generate the draft Care Plan"</v>
      </c>
      <c r="F1" s="15" t="str">
        <f>CONCATENATE("* differential.element[",'Base-1'!A6,"].min = ",'Base-1'!E6,"")</f>
        <v>* differential.element[0].min = 1</v>
      </c>
      <c r="G1" s="15" t="str">
        <f>CONCATENATE("* differential.element[",'Base-1'!A6,"].max = """,'Base-1'!F6,"""")</f>
        <v>* differential.element[0].max = "1"</v>
      </c>
      <c r="H1" s="15"/>
      <c r="I1" s="40"/>
      <c r="J1" s="40"/>
    </row>
    <row r="2" spans="2:10" ht="59" x14ac:dyDescent="0.75">
      <c r="B2" s="38" t="str">
        <f>CONCATENATE("* differential.element[",'Base-1'!$A7,"].id = """,'Base-1'!$B$6,".",'Base-1'!B7,"""")</f>
        <v>* differential.element[1].id = "MinimalTreatmentSummary.subject"</v>
      </c>
      <c r="C2" s="38" t="str">
        <f>CONCATENATE("* differential.element[",'Base-1'!$A7,"].path = """,'Base-1'!$B$6,".",'Base-1'!B7,"""")</f>
        <v>* differential.element[1].path = "MinimalTreatmentSummary.subject"</v>
      </c>
      <c r="D2" s="38" t="str">
        <f>CONCATENATE("* differential.element[",'Base-1'!A7,"].short = """,'Base-1'!C7,"""")</f>
        <v>* differential.element[1].short = "Subject"</v>
      </c>
      <c r="E2" s="38" t="str">
        <f>CONCATENATE("* differential.element[",'Base-1'!A7,"].definition = """,'Base-1'!D7,"""")</f>
        <v>* differential.element[1].definition = "Subject"</v>
      </c>
      <c r="F2" s="38" t="str">
        <f>CONCATENATE("* differential.element[",'Base-1'!A7,"].min = ",'Base-1'!E7,"")</f>
        <v>* differential.element[1].min = 1</v>
      </c>
      <c r="G2" s="38" t="str">
        <f>CONCATENATE("* differential.element[",'Base-1'!A7,"].max = """,'Base-1'!F7,"""")</f>
        <v>* differential.element[1].max = "1"</v>
      </c>
      <c r="H2" s="38" t="str">
        <f>CONCATENATE("* differential.element[",'Base-1'!A7,"].type.code = #",'Base-1'!G7,"")</f>
        <v>* differential.element[1].type.code = #BackboneElement</v>
      </c>
      <c r="I2" s="38" t="str">
        <f>IF('Base-1'!H7&gt; "", CONCATENATE("* differential.element[",'Base-1'!A7,"].binding.valueSet = """,'Base-1'!H7,""""),"")</f>
        <v/>
      </c>
      <c r="J2" s="38" t="str">
        <f>IF('Base-1'!I7&gt; "", CONCATENATE("* differential.element[",'Base-1'!A7,"].binding.strength = #",'Base-1'!I7,""),"")</f>
        <v/>
      </c>
    </row>
    <row r="3" spans="2:10" ht="59" x14ac:dyDescent="0.75">
      <c r="B3" s="38" t="str">
        <f>CONCATENATE("* differential.element[",'Base-1'!$A8,"].id = """,'Base-1'!$B$6,".",'Base-1'!B8,"""")</f>
        <v>* differential.element[2].id = "MinimalTreatmentSummary.subject.gender"</v>
      </c>
      <c r="C3" s="38" t="str">
        <f>CONCATENATE("* differential.element[",'Base-1'!$A8,"].path = """,'Base-1'!$B$6,".",'Base-1'!B8,"""")</f>
        <v>* differential.element[2].path = "MinimalTreatmentSummary.subject.gender"</v>
      </c>
      <c r="D3" s="38" t="str">
        <f>CONCATENATE("* differential.element[",'Base-1'!A8,"].short = """,'Base-1'!C8,"""")</f>
        <v>* differential.element[2].short = "Gender/Sex"</v>
      </c>
      <c r="E3" s="38" t="str">
        <f>CONCATENATE("* differential.element[",'Base-1'!A8,"].definition = """,'Base-1'!D8,"""")</f>
        <v>* differential.element[2].definition = "Gender/Sex"</v>
      </c>
      <c r="F3" s="38" t="str">
        <f>CONCATENATE("* differential.element[",'Base-1'!A8,"].min = ",'Base-1'!E8,"")</f>
        <v>* differential.element[2].min = 1</v>
      </c>
      <c r="G3" s="38" t="str">
        <f>CONCATENATE("* differential.element[",'Base-1'!A8,"].max = """,'Base-1'!F8,"""")</f>
        <v>* differential.element[2].max = "1"</v>
      </c>
      <c r="H3" s="38" t="str">
        <f>CONCATENATE("* differential.element[",'Base-1'!A8,"].type.code = #",'Base-1'!G8,"")</f>
        <v>* differential.element[2].type.code = #CodeableConcept</v>
      </c>
      <c r="I3" s="38" t="str">
        <f>IF('Base-1'!H8&gt; "", CONCATENATE("* differential.element[",'Base-1'!A8,"].binding.valueSet = """,'Base-1'!H8,""""),"")</f>
        <v/>
      </c>
      <c r="J3" s="38" t="str">
        <f>IF('Base-1'!I8&gt; "", CONCATENATE("* differential.element[",'Base-1'!A8,"].binding.strength = #",'Base-1'!I8,""),"")</f>
        <v/>
      </c>
    </row>
    <row r="4" spans="2:10" ht="59" x14ac:dyDescent="0.75">
      <c r="B4" s="38" t="str">
        <f>CONCATENATE("* differential.element[",'Base-1'!$A9,"].id = """,'Base-1'!$B$6,".",'Base-1'!B9,"""")</f>
        <v>* differential.element[3].id = "MinimalTreatmentSummary.subject.dateOfBirth"</v>
      </c>
      <c r="C4" s="38" t="str">
        <f>CONCATENATE("* differential.element[",'Base-1'!$A9,"].path = """,'Base-1'!$B$6,".",'Base-1'!B9,"""")</f>
        <v>* differential.element[3].path = "MinimalTreatmentSummary.subject.dateOfBirth"</v>
      </c>
      <c r="D4" s="38" t="str">
        <f>CONCATENATE("* differential.element[",'Base-1'!A9,"].short = """,'Base-1'!C9,"""")</f>
        <v>* differential.element[3].short = "Date of birth"</v>
      </c>
      <c r="E4" s="38" t="str">
        <f>CONCATENATE("* differential.element[",'Base-1'!A9,"].definition = """,'Base-1'!D9,"""")</f>
        <v>* differential.element[3].definition = "Date of birth"</v>
      </c>
      <c r="F4" s="38" t="str">
        <f>CONCATENATE("* differential.element[",'Base-1'!A9,"].min = ",'Base-1'!E9,"")</f>
        <v>* differential.element[3].min = 1</v>
      </c>
      <c r="G4" s="38" t="str">
        <f>CONCATENATE("* differential.element[",'Base-1'!A9,"].max = """,'Base-1'!F9,"""")</f>
        <v>* differential.element[3].max = "1"</v>
      </c>
      <c r="H4" s="38" t="str">
        <f>CONCATENATE("* differential.element[",'Base-1'!A9,"].type.code = #",'Base-1'!G9,"")</f>
        <v>* differential.element[3].type.code = #dateTime</v>
      </c>
      <c r="I4" s="38" t="str">
        <f>IF('Base-1'!H9&gt; "", CONCATENATE("* differential.element[",'Base-1'!A9,"].binding.valueSet = """,'Base-1'!H9,""""),"")</f>
        <v/>
      </c>
      <c r="J4" s="38" t="str">
        <f>IF('Base-1'!I9&gt; "", CONCATENATE("* differential.element[",'Base-1'!A9,"].binding.strength = #",'Base-1'!I9,""),"")</f>
        <v/>
      </c>
    </row>
    <row r="5" spans="2:10" ht="59" x14ac:dyDescent="0.75">
      <c r="B5" s="38" t="str">
        <f>CONCATENATE("* differential.element[",'Base-1'!$A10,"].id = """,'Base-1'!$B$6,".",'Base-1'!B10,"""")</f>
        <v>* differential.element[4].id = "MinimalTreatmentSummary.diagnosis"</v>
      </c>
      <c r="C5" s="38" t="str">
        <f>CONCATENATE("* differential.element[",'Base-1'!$A10,"].path = """,'Base-1'!$B$6,".",'Base-1'!B10,"""")</f>
        <v>* differential.element[4].path = "MinimalTreatmentSummary.diagnosis"</v>
      </c>
      <c r="D5" s="38" t="str">
        <f>CONCATENATE("* differential.element[",'Base-1'!A10,"].short = """,'Base-1'!C10,"""")</f>
        <v>* differential.element[4].short = "Diagnosis"</v>
      </c>
      <c r="E5" s="38" t="str">
        <f>CONCATENATE("* differential.element[",'Base-1'!A10,"].definition = """,'Base-1'!D10,"""")</f>
        <v>* differential.element[4].definition = "Diagnosis"</v>
      </c>
      <c r="F5" s="38" t="str">
        <f>CONCATENATE("* differential.element[",'Base-1'!A10,"].min = ",'Base-1'!E10,"")</f>
        <v>* differential.element[4].min = 1</v>
      </c>
      <c r="G5" s="38" t="str">
        <f>CONCATENATE("* differential.element[",'Base-1'!A10,"].max = """,'Base-1'!F10,"""")</f>
        <v>* differential.element[4].max = "5"</v>
      </c>
      <c r="H5" s="38" t="str">
        <f>CONCATENATE("* differential.element[",'Base-1'!A10,"].type.code = #",'Base-1'!G10,"")</f>
        <v>* differential.element[4].type.code = #BackboneElement</v>
      </c>
      <c r="I5" s="38" t="str">
        <f>IF('Base-1'!H10&gt; "", CONCATENATE("* differential.element[",'Base-1'!A10,"].binding.valueSet = """,'Base-1'!H10,""""),"")</f>
        <v/>
      </c>
      <c r="J5" s="38" t="str">
        <f>IF('Base-1'!I10&gt; "", CONCATENATE("* differential.element[",'Base-1'!A10,"].binding.strength = #",'Base-1'!I10,""),"")</f>
        <v/>
      </c>
    </row>
    <row r="6" spans="2:10" ht="59" x14ac:dyDescent="0.75">
      <c r="B6" s="38" t="str">
        <f>CONCATENATE("* differential.element[",'Base-1'!$A11,"].id = """,'Base-1'!$B$6,".",'Base-1'!B11,"""")</f>
        <v>* differential.element[5].id = "MinimalTreatmentSummary.diagnosis.site"</v>
      </c>
      <c r="C6" s="38" t="str">
        <f>CONCATENATE("* differential.element[",'Base-1'!$A11,"].path = """,'Base-1'!$B$6,".",'Base-1'!B11,"""")</f>
        <v>* differential.element[5].path = "MinimalTreatmentSummary.diagnosis.site"</v>
      </c>
      <c r="D6" s="38" t="str">
        <f>CONCATENATE("* differential.element[",'Base-1'!A11,"].short = """,'Base-1'!C11,"""")</f>
        <v>* differential.element[5].short = "ICD-O-3 code (topography)"</v>
      </c>
      <c r="E6" s="38" t="str">
        <f>CONCATENATE("* differential.element[",'Base-1'!A11,"].definition = """,'Base-1'!D11,"""")</f>
        <v>* differential.element[5].definition = "Report the site of the tumor using the ICD-O-3 Topography (an help tool is built into the system).  If also ICD-O-3 Morphology  data have been reported, the system will automatically define the tumor also according to ICCC-3 classic pediatric classification  (see: Cancer category)"</v>
      </c>
      <c r="F6" s="38" t="str">
        <f>CONCATENATE("* differential.element[",'Base-1'!A11,"].min = ",'Base-1'!E11,"")</f>
        <v>* differential.element[5].min = 1</v>
      </c>
      <c r="G6" s="38" t="str">
        <f>CONCATENATE("* differential.element[",'Base-1'!A11,"].max = """,'Base-1'!F11,"""")</f>
        <v>* differential.element[5].max = "1"</v>
      </c>
      <c r="H6" s="38" t="str">
        <f>CONCATENATE("* differential.element[",'Base-1'!A11,"].type.code = #",'Base-1'!G11,"")</f>
        <v>* differential.element[5].type.code = #CodeableConcept</v>
      </c>
      <c r="I6" s="38" t="str">
        <f>IF('Base-1'!H11&gt; "", CONCATENATE("* differential.element[",'Base-1'!A11,"].binding.valueSet = """,'Base-1'!H11,""""),"")</f>
        <v/>
      </c>
      <c r="J6" s="38" t="str">
        <f>IF('Base-1'!I11&gt; "", CONCATENATE("* differential.element[",'Base-1'!A11,"].binding.strength = #",'Base-1'!I11,""),"")</f>
        <v/>
      </c>
    </row>
    <row r="7" spans="2:10" ht="59" x14ac:dyDescent="0.75">
      <c r="B7" s="38" t="str">
        <f>CONCATENATE("* differential.element[",'Base-1'!$A12,"].id = """,'Base-1'!$B$6,".",'Base-1'!B12,"""")</f>
        <v>* differential.element[6].id = "MinimalTreatmentSummary.diagnosis.predispositionOrCondition"</v>
      </c>
      <c r="C7" s="38" t="str">
        <f>CONCATENATE("* differential.element[",'Base-1'!$A12,"].path = """,'Base-1'!$B$6,".",'Base-1'!B12,"""")</f>
        <v>* differential.element[6].path = "MinimalTreatmentSummary.diagnosis.predispositionOrCondition"</v>
      </c>
      <c r="D7" s="38" t="str">
        <f>CONCATENATE("* differential.element[",'Base-1'!A12,"].short = """,'Base-1'!C12,"""")</f>
        <v>* differential.element[6].short = "Hereditary Cancer Predisposition Syndromeor medical condition cancer associated"</v>
      </c>
      <c r="E7" s="38" t="str">
        <f>CONCATENATE("* differential.element[",'Base-1'!A12,"].definition = """,'Base-1'!D12,"""")</f>
        <v>* differential.element[6].definition = "Report here if the survivor has some Hereditary Cancer Predisposition Syndrome or a medical conditions, cancer associated. (Yes/No)"</v>
      </c>
      <c r="F7" s="38" t="str">
        <f>CONCATENATE("* differential.element[",'Base-1'!A12,"].min = ",'Base-1'!E12,"")</f>
        <v>* differential.element[6].min = 0</v>
      </c>
      <c r="G7" s="38" t="str">
        <f>CONCATENATE("* differential.element[",'Base-1'!A12,"].max = """,'Base-1'!F12,"""")</f>
        <v>* differential.element[6].max = "1"</v>
      </c>
      <c r="H7" s="38" t="str">
        <f>CONCATENATE("* differential.element[",'Base-1'!A12,"].type.code = #",'Base-1'!G12,"")</f>
        <v>* differential.element[6].type.code = #CodeableConcept</v>
      </c>
      <c r="I7" s="38" t="str">
        <f>IF('Base-1'!H12&gt; "", CONCATENATE("* differential.element[",'Base-1'!A12,"].binding.valueSet = """,'Base-1'!H12,""""),"")</f>
        <v/>
      </c>
      <c r="J7" s="38" t="str">
        <f>IF('Base-1'!I12&gt; "", CONCATENATE("* differential.element[",'Base-1'!A12,"].binding.strength = #",'Base-1'!I12,""),"")</f>
        <v/>
      </c>
    </row>
    <row r="8" spans="2:10" ht="59" x14ac:dyDescent="0.75">
      <c r="B8" s="38" t="str">
        <f>CONCATENATE("* differential.element[",'Base-1'!$A13,"].id = """,'Base-1'!$B$6,".",'Base-1'!B13,"""")</f>
        <v>* differential.element[7].id = "MinimalTreatmentSummary.diagnosis.chemotherapy"</v>
      </c>
      <c r="C8" s="38" t="str">
        <f>CONCATENATE("* differential.element[",'Base-1'!$A13,"].path = """,'Base-1'!$B$6,".",'Base-1'!B13,"""")</f>
        <v>* differential.element[7].path = "MinimalTreatmentSummary.diagnosis.chemotherapy"</v>
      </c>
      <c r="D8" s="38" t="str">
        <f>CONCATENATE("* differential.element[",'Base-1'!A13,"].short = """,'Base-1'!C13,"""")</f>
        <v>* differential.element[7].short = "Chemotherapy"</v>
      </c>
      <c r="E8" s="38" t="str">
        <f>CONCATENATE("* differential.element[",'Base-1'!A13,"].definition = """,'Base-1'!D13,"""")</f>
        <v>* differential.element[7].definition = "Chemotherapy"</v>
      </c>
      <c r="F8" s="38" t="str">
        <f>CONCATENATE("* differential.element[",'Base-1'!A13,"].min = ",'Base-1'!E13,"")</f>
        <v>* differential.element[7].min = 0</v>
      </c>
      <c r="G8" s="38" t="str">
        <f>CONCATENATE("* differential.element[",'Base-1'!A13,"].max = """,'Base-1'!F13,"""")</f>
        <v>* differential.element[7].max = "1"</v>
      </c>
      <c r="H8" s="38" t="str">
        <f>CONCATENATE("* differential.element[",'Base-1'!A13,"].type.code = #",'Base-1'!G13,"")</f>
        <v>* differential.element[7].type.code = #http://hl7.eu/fhir/ig/pcsp/StructureDefinition/Chemotherapy</v>
      </c>
      <c r="I8" s="38" t="str">
        <f>IF('Base-1'!H13&gt; "", CONCATENATE("* differential.element[",'Base-1'!A13,"].binding.valueSet = """,'Base-1'!H13,""""),"")</f>
        <v/>
      </c>
      <c r="J8" s="38" t="str">
        <f>IF('Base-1'!I13&gt; "", CONCATENATE("* differential.element[",'Base-1'!A13,"].binding.strength = #",'Base-1'!I13,""),"")</f>
        <v/>
      </c>
    </row>
    <row r="9" spans="2:10" ht="59" x14ac:dyDescent="0.75">
      <c r="B9" s="38" t="str">
        <f>CONCATENATE("* differential.element[",'Base-1'!$A14,"].id = """,'Base-1'!$B$6,".",'Base-1'!B14,"""")</f>
        <v>* differential.element[8].id = "MinimalTreatmentSummary.diagnosis.radiotherapy"</v>
      </c>
      <c r="C9" s="38" t="str">
        <f>CONCATENATE("* differential.element[",'Base-1'!$A14,"].path = """,'Base-1'!$B$6,".",'Base-1'!B14,"""")</f>
        <v>* differential.element[8].path = "MinimalTreatmentSummary.diagnosis.radiotherapy"</v>
      </c>
      <c r="D9" s="38" t="str">
        <f>CONCATENATE("* differential.element[",'Base-1'!A14,"].short = """,'Base-1'!C14,"""")</f>
        <v>* differential.element[8].short = "Radiotherapy"</v>
      </c>
      <c r="E9" s="38" t="str">
        <f>CONCATENATE("* differential.element[",'Base-1'!A14,"].definition = """,'Base-1'!D14,"""")</f>
        <v>* differential.element[8].definition = "Radiotherapy"</v>
      </c>
      <c r="F9" s="38" t="str">
        <f>CONCATENATE("* differential.element[",'Base-1'!A14,"].min = ",'Base-1'!E14,"")</f>
        <v>* differential.element[8].min = 0</v>
      </c>
      <c r="G9" s="38" t="str">
        <f>CONCATENATE("* differential.element[",'Base-1'!A14,"].max = """,'Base-1'!F14,"""")</f>
        <v>* differential.element[8].max = "1"</v>
      </c>
      <c r="H9" s="38" t="str">
        <f>CONCATENATE("* differential.element[",'Base-1'!A14,"].type.code = #",'Base-1'!G14,"")</f>
        <v>* differential.element[8].type.code = #http://hl7.eu/fhir/ig/pcsp/StructureDefinition/Radiotherapy</v>
      </c>
      <c r="I9" s="38" t="str">
        <f>IF('Base-1'!H14&gt; "", CONCATENATE("* differential.element[",'Base-1'!A14,"].binding.valueSet = """,'Base-1'!H14,""""),"")</f>
        <v/>
      </c>
      <c r="J9" s="38" t="str">
        <f>IF('Base-1'!I14&gt; "", CONCATENATE("* differential.element[",'Base-1'!A14,"].binding.strength = #",'Base-1'!I14,""),"")</f>
        <v/>
      </c>
    </row>
    <row r="10" spans="2:10" ht="59" x14ac:dyDescent="0.75">
      <c r="B10" s="38" t="str">
        <f>CONCATENATE("* differential.element[",'Base-1'!$A15,"].id = """,'Base-1'!$B$6,".",'Base-1'!B15,"""")</f>
        <v>* differential.element[9].id = "MinimalTreatmentSummary.diagnosis.stemCellTransplantation"</v>
      </c>
      <c r="C10" s="38" t="str">
        <f>CONCATENATE("* differential.element[",'Base-1'!$A15,"].path = """,'Base-1'!$B$6,".",'Base-1'!B15,"""")</f>
        <v>* differential.element[9].path = "MinimalTreatmentSummary.diagnosis.stemCellTransplantation"</v>
      </c>
      <c r="D10" s="38" t="str">
        <f>CONCATENATE("* differential.element[",'Base-1'!A15,"].short = """,'Base-1'!C15,"""")</f>
        <v>* differential.element[9].short = "Stem Cell transplantation"</v>
      </c>
      <c r="E10" s="38" t="str">
        <f>CONCATENATE("* differential.element[",'Base-1'!A15,"].definition = """,'Base-1'!D15,"""")</f>
        <v>* differential.element[9].definition = "Stem Cell transplantation"</v>
      </c>
      <c r="F10" s="38" t="str">
        <f>CONCATENATE("* differential.element[",'Base-1'!A15,"].min = ",'Base-1'!E15,"")</f>
        <v>* differential.element[9].min = 0</v>
      </c>
      <c r="G10" s="38" t="str">
        <f>CONCATENATE("* differential.element[",'Base-1'!A15,"].max = """,'Base-1'!F15,"""")</f>
        <v>* differential.element[9].max = "*"</v>
      </c>
      <c r="H10" s="38" t="str">
        <f>CONCATENATE("* differential.element[",'Base-1'!A15,"].type.code = #",'Base-1'!G15,"")</f>
        <v>* differential.element[9].type.code = #BackboneElement</v>
      </c>
      <c r="I10" s="38" t="str">
        <f>IF('Base-1'!H15&gt; "", CONCATENATE("* differential.element[",'Base-1'!A15,"].binding.valueSet = """,'Base-1'!H15,""""),"")</f>
        <v/>
      </c>
      <c r="J10" s="38" t="str">
        <f>IF('Base-1'!I15&gt; "", CONCATENATE("* differential.element[",'Base-1'!A15,"].binding.strength = #",'Base-1'!I15,""),"")</f>
        <v/>
      </c>
    </row>
    <row r="11" spans="2:10" ht="59" x14ac:dyDescent="0.75">
      <c r="B11" s="38" t="str">
        <f>CONCATENATE("* differential.element[",'Base-1'!$A16,"].id = """,'Base-1'!$B$6,".",'Base-1'!B16,"""")</f>
        <v>* differential.element[10].id = "MinimalTreatmentSummary.diagnosis.stemCellTransplantation.type"</v>
      </c>
      <c r="C11" s="38" t="str">
        <f>CONCATENATE("* differential.element[",'Base-1'!$A16,"].path = """,'Base-1'!$B$6,".",'Base-1'!B16,"""")</f>
        <v>* differential.element[10].path = "MinimalTreatmentSummary.diagnosis.stemCellTransplantation.type"</v>
      </c>
      <c r="D11" s="38" t="str">
        <f>CONCATENATE("* differential.element[",'Base-1'!A16,"].short = """,'Base-1'!C16,"""")</f>
        <v>* differential.element[10].short = "Type of transplant"</v>
      </c>
      <c r="E11" s="38" t="str">
        <f>CONCATENATE("* differential.element[",'Base-1'!A16,"].definition = """,'Base-1'!D16,"""")</f>
        <v>* differential.element[10].definition = "Indicate if the transplant was autologous or allogeneic.
1 = Autologous
2 = Allogeneic
-9922 = NK"</v>
      </c>
      <c r="F11" s="38" t="str">
        <f>CONCATENATE("* differential.element[",'Base-1'!A16,"].min = ",'Base-1'!E16,"")</f>
        <v>* differential.element[10].min = 0</v>
      </c>
      <c r="G11" s="38" t="str">
        <f>CONCATENATE("* differential.element[",'Base-1'!A16,"].max = """,'Base-1'!F16,"""")</f>
        <v>* differential.element[10].max = "1"</v>
      </c>
      <c r="H11" s="38" t="str">
        <f>CONCATENATE("* differential.element[",'Base-1'!A16,"].type.code = #",'Base-1'!G16,"")</f>
        <v>* differential.element[10].type.code = #CodeableConcept</v>
      </c>
      <c r="I11" s="38" t="str">
        <f>IF('Base-1'!H16&gt; "", CONCATENATE("* differential.element[",'Base-1'!A16,"].binding.valueSet = """,'Base-1'!H16,""""),"")</f>
        <v/>
      </c>
      <c r="J11" s="38" t="str">
        <f>IF('Base-1'!I16&gt; "", CONCATENATE("* differential.element[",'Base-1'!A16,"].binding.strength = #",'Base-1'!I16,""),"")</f>
        <v/>
      </c>
    </row>
    <row r="12" spans="2:10" ht="59" x14ac:dyDescent="0.75">
      <c r="B12" s="38" t="str">
        <f>CONCATENATE("* differential.element[",'Base-1'!$A17,"].id = """,'Base-1'!$B$6,".",'Base-1'!B17,"""")</f>
        <v>* differential.element[11].id = "MinimalTreatmentSummary.diagnosis.stemCellTransplantation.gvhdChronic"</v>
      </c>
      <c r="C12" s="38" t="str">
        <f>CONCATENATE("* differential.element[",'Base-1'!$A17,"].path = """,'Base-1'!$B$6,".",'Base-1'!B17,"""")</f>
        <v>* differential.element[11].path = "MinimalTreatmentSummary.diagnosis.stemCellTransplantation.gvhdChronic"</v>
      </c>
      <c r="D12" s="38" t="str">
        <f>CONCATENATE("* differential.element[",'Base-1'!A17,"].short = """,'Base-1'!C17,"""")</f>
        <v>* differential.element[11].short = "GVHD Chronic"</v>
      </c>
      <c r="E12" s="38" t="str">
        <f>CONCATENATE("* differential.element[",'Base-1'!A17,"].definition = """,'Base-1'!D17,"""")</f>
        <v>* differential.element[11].definition = "Please State if chronic GVHD occurred
Required if DONOR1 = 2 (Type of transplant = Allogenic)"</v>
      </c>
      <c r="F12" s="38" t="str">
        <f>CONCATENATE("* differential.element[",'Base-1'!A17,"].min = ",'Base-1'!E17,"")</f>
        <v>* differential.element[11].min = 0</v>
      </c>
      <c r="G12" s="38" t="str">
        <f>CONCATENATE("* differential.element[",'Base-1'!A17,"].max = """,'Base-1'!F17,"""")</f>
        <v>* differential.element[11].max = "1"</v>
      </c>
      <c r="H12" s="38" t="str">
        <f>CONCATENATE("* differential.element[",'Base-1'!A17,"].type.code = #",'Base-1'!G17,"")</f>
        <v>* differential.element[11].type.code = #CodeableConcept</v>
      </c>
      <c r="I12" s="38" t="str">
        <f>IF('Base-1'!H17&gt; "", CONCATENATE("* differential.element[",'Base-1'!A17,"].binding.valueSet = """,'Base-1'!H17,""""),"")</f>
        <v/>
      </c>
      <c r="J12" s="38" t="str">
        <f>IF('Base-1'!I17&gt; "", CONCATENATE("* differential.element[",'Base-1'!A17,"].binding.strength = #",'Base-1'!I17,""),"")</f>
        <v/>
      </c>
    </row>
    <row r="13" spans="2:10" ht="59" x14ac:dyDescent="0.75">
      <c r="B13" s="38" t="str">
        <f>CONCATENATE("* differential.element[",'Base-1'!$A18,"].id = """,'Base-1'!$B$6,".",'Base-1'!B18,"""")</f>
        <v>* differential.element[12].id = "MinimalTreatmentSummary.diagnosis.majorSurgery"</v>
      </c>
      <c r="C13" s="38" t="str">
        <f>CONCATENATE("* differential.element[",'Base-1'!$A18,"].path = """,'Base-1'!$B$6,".",'Base-1'!B18,"""")</f>
        <v>* differential.element[12].path = "MinimalTreatmentSummary.diagnosis.majorSurgery"</v>
      </c>
      <c r="D13" s="38" t="str">
        <f>CONCATENATE("* differential.element[",'Base-1'!A18,"].short = """,'Base-1'!C18,"""")</f>
        <v>* differential.element[12].short = "Major Surgery"</v>
      </c>
      <c r="E13" s="38" t="str">
        <f>CONCATENATE("* differential.element[",'Base-1'!A18,"].definition = """,'Base-1'!D18,"""")</f>
        <v>* differential.element[12].definition = "Major Surgery"</v>
      </c>
      <c r="F13" s="38" t="str">
        <f>CONCATENATE("* differential.element[",'Base-1'!A18,"].min = ",'Base-1'!E18,"")</f>
        <v>* differential.element[12].min = 0</v>
      </c>
      <c r="G13" s="38" t="str">
        <f>CONCATENATE("* differential.element[",'Base-1'!A18,"].max = """,'Base-1'!F18,"""")</f>
        <v>* differential.element[12].max = "*"</v>
      </c>
      <c r="H13" s="38" t="str">
        <f>CONCATENATE("* differential.element[",'Base-1'!A18,"].type.code = #",'Base-1'!G18,"")</f>
        <v>* differential.element[12].type.code = #BackboneElement</v>
      </c>
      <c r="I13" s="38" t="str">
        <f>IF('Base-1'!H18&gt; "", CONCATENATE("* differential.element[",'Base-1'!A18,"].binding.valueSet = """,'Base-1'!H18,""""),"")</f>
        <v/>
      </c>
      <c r="J13" s="38" t="str">
        <f>IF('Base-1'!I18&gt; "", CONCATENATE("* differential.element[",'Base-1'!A18,"].binding.strength = #",'Base-1'!I18,""),"")</f>
        <v/>
      </c>
    </row>
    <row r="14" spans="2:10" ht="59" x14ac:dyDescent="0.75">
      <c r="B14" s="38" t="str">
        <f>CONCATENATE("* differential.element[",'Base-1'!$A19,"].id = """,'Base-1'!$B$6,".",'Base-1'!B19,"""")</f>
        <v>* differential.element[13].id = "MinimalTreatmentSummary.diagnosis.majorSurgery.isOesophagus"</v>
      </c>
      <c r="C14" s="38" t="str">
        <f>CONCATENATE("* differential.element[",'Base-1'!$A19,"].path = """,'Base-1'!$B$6,".",'Base-1'!B19,"""")</f>
        <v>* differential.element[13].path = "MinimalTreatmentSummary.diagnosis.majorSurgery.isOesophagus"</v>
      </c>
      <c r="D14" s="38" t="str">
        <f>CONCATENATE("* differential.element[",'Base-1'!A19,"].short = """,'Base-1'!C19,"""")</f>
        <v>* differential.element[13].short = "Oesophagus involved?"</v>
      </c>
      <c r="E14" s="38" t="str">
        <f>CONCATENATE("* differential.element[",'Base-1'!A19,"].definition = """,'Base-1'!D19,"""")</f>
        <v>* differential.element[13].definition = "Was the oesophagus involved in the surgery?"</v>
      </c>
      <c r="F14" s="38" t="str">
        <f>CONCATENATE("* differential.element[",'Base-1'!A19,"].min = ",'Base-1'!E19,"")</f>
        <v>* differential.element[13].min = 0</v>
      </c>
      <c r="G14" s="38" t="str">
        <f>CONCATENATE("* differential.element[",'Base-1'!A19,"].max = """,'Base-1'!F19,"""")</f>
        <v>* differential.element[13].max = "1"</v>
      </c>
      <c r="H14" s="38" t="str">
        <f>CONCATENATE("* differential.element[",'Base-1'!A19,"].type.code = #",'Base-1'!G19,"")</f>
        <v>* differential.element[13].type.code = #CodeableConcept</v>
      </c>
      <c r="I14" s="38" t="str">
        <f>IF('Base-1'!H19&gt; "", CONCATENATE("* differential.element[",'Base-1'!A19,"].binding.valueSet = """,'Base-1'!H19,""""),"")</f>
        <v/>
      </c>
      <c r="J14" s="38" t="str">
        <f>IF('Base-1'!I19&gt; "", CONCATENATE("* differential.element[",'Base-1'!A19,"].binding.strength = #",'Base-1'!I19,""),"")</f>
        <v/>
      </c>
    </row>
    <row r="15" spans="2:10" ht="59" x14ac:dyDescent="0.75">
      <c r="B15" s="38" t="str">
        <f>CONCATENATE("* differential.element[",'Base-1'!$A20,"].id = """,'Base-1'!$B$6,".",'Base-1'!B20,"""")</f>
        <v>* differential.element[14].id = "MinimalTreatmentSummary.diagnosis.majorSurgery.isAbdomen"</v>
      </c>
      <c r="C15" s="38" t="str">
        <f>CONCATENATE("* differential.element[",'Base-1'!$A20,"].path = """,'Base-1'!$B$6,".",'Base-1'!B20,"""")</f>
        <v>* differential.element[14].path = "MinimalTreatmentSummary.diagnosis.majorSurgery.isAbdomen"</v>
      </c>
      <c r="D15" s="38" t="str">
        <f>CONCATENATE("* differential.element[",'Base-1'!A20,"].short = """,'Base-1'!C20,"""")</f>
        <v>* differential.element[14].short = "Abdomen involved?"</v>
      </c>
      <c r="E15" s="38" t="str">
        <f>CONCATENATE("* differential.element[",'Base-1'!A20,"].definition = """,'Base-1'!D20,"""")</f>
        <v>* differential.element[14].definition = "Was the abdomen involved in the surgery?"</v>
      </c>
      <c r="F15" s="38" t="str">
        <f>CONCATENATE("* differential.element[",'Base-1'!A20,"].min = ",'Base-1'!E20,"")</f>
        <v>* differential.element[14].min = 0</v>
      </c>
      <c r="G15" s="38" t="str">
        <f>CONCATENATE("* differential.element[",'Base-1'!A20,"].max = """,'Base-1'!F20,"""")</f>
        <v>* differential.element[14].max = "1"</v>
      </c>
      <c r="H15" s="38" t="str">
        <f>CONCATENATE("* differential.element[",'Base-1'!A20,"].type.code = #",'Base-1'!G20,"")</f>
        <v>* differential.element[14].type.code = #CodeableConcept</v>
      </c>
      <c r="I15" s="38" t="str">
        <f>IF('Base-1'!H20&gt; "", CONCATENATE("* differential.element[",'Base-1'!A20,"].binding.valueSet = """,'Base-1'!H20,""""),"")</f>
        <v/>
      </c>
      <c r="J15" s="38" t="str">
        <f>IF('Base-1'!I20&gt; "", CONCATENATE("* differential.element[",'Base-1'!A20,"].binding.strength = #",'Base-1'!I20,""),"")</f>
        <v/>
      </c>
    </row>
    <row r="16" spans="2:10" ht="59" x14ac:dyDescent="0.75">
      <c r="B16" s="38" t="str">
        <f>CONCATENATE("* differential.element[",'Base-1'!$A21,"].id = """,'Base-1'!$B$6,".",'Base-1'!B21,"""")</f>
        <v>* differential.element[15].id = "MinimalTreatmentSummary.diagnosis.majorSurgery.isBrain"</v>
      </c>
      <c r="C16" s="38" t="str">
        <f>CONCATENATE("* differential.element[",'Base-1'!$A21,"].path = """,'Base-1'!$B$6,".",'Base-1'!B21,"""")</f>
        <v>* differential.element[15].path = "MinimalTreatmentSummary.diagnosis.majorSurgery.isBrain"</v>
      </c>
      <c r="D16" s="38" t="str">
        <f>CONCATENATE("* differential.element[",'Base-1'!A21,"].short = """,'Base-1'!C21,"""")</f>
        <v>* differential.element[15].short = "Brain involved?"</v>
      </c>
      <c r="E16" s="38" t="str">
        <f>CONCATENATE("* differential.element[",'Base-1'!A21,"].definition = """,'Base-1'!D21,"""")</f>
        <v>* differential.element[15].definition = "Was the brain involved in the surgery?"</v>
      </c>
      <c r="F16" s="38" t="str">
        <f>CONCATENATE("* differential.element[",'Base-1'!A21,"].min = ",'Base-1'!E21,"")</f>
        <v>* differential.element[15].min = 0</v>
      </c>
      <c r="G16" s="38" t="str">
        <f>CONCATENATE("* differential.element[",'Base-1'!A21,"].max = """,'Base-1'!F21,"""")</f>
        <v>* differential.element[15].max = "1"</v>
      </c>
      <c r="H16" s="38" t="str">
        <f>CONCATENATE("* differential.element[",'Base-1'!A21,"].type.code = #",'Base-1'!G21,"")</f>
        <v>* differential.element[15].type.code = #CodeableConcept</v>
      </c>
      <c r="I16" s="38" t="str">
        <f>IF('Base-1'!H21&gt; "", CONCATENATE("* differential.element[",'Base-1'!A21,"].binding.valueSet = """,'Base-1'!H21,""""),"")</f>
        <v/>
      </c>
      <c r="J16" s="38" t="str">
        <f>IF('Base-1'!I21&gt; "", CONCATENATE("* differential.element[",'Base-1'!A21,"].binding.strength = #",'Base-1'!I21,""),"")</f>
        <v/>
      </c>
    </row>
    <row r="17" spans="2:10" ht="59" x14ac:dyDescent="0.75">
      <c r="B17" s="38" t="str">
        <f>CONCATENATE("* differential.element[",'Base-1'!$A22,"].id = """,'Base-1'!$B$6,".",'Base-1'!B22,"""")</f>
        <v>* differential.element[16].id = "MinimalTreatmentSummary.diagnosis.majorSurgery.isFace"</v>
      </c>
      <c r="C17" s="38" t="str">
        <f>CONCATENATE("* differential.element[",'Base-1'!$A22,"].path = """,'Base-1'!$B$6,".",'Base-1'!B22,"""")</f>
        <v>* differential.element[16].path = "MinimalTreatmentSummary.diagnosis.majorSurgery.isFace"</v>
      </c>
      <c r="D17" s="38" t="str">
        <f>CONCATENATE("* differential.element[",'Base-1'!A22,"].short = """,'Base-1'!C22,"""")</f>
        <v>* differential.element[16].short = "Face involved?"</v>
      </c>
      <c r="E17" s="38" t="str">
        <f>CONCATENATE("* differential.element[",'Base-1'!A22,"].definition = """,'Base-1'!D22,"""")</f>
        <v>* differential.element[16].definition = "Was the face involved in the surgery?"</v>
      </c>
      <c r="F17" s="38" t="str">
        <f>CONCATENATE("* differential.element[",'Base-1'!A22,"].min = ",'Base-1'!E22,"")</f>
        <v>* differential.element[16].min = 0</v>
      </c>
      <c r="G17" s="38" t="str">
        <f>CONCATENATE("* differential.element[",'Base-1'!A22,"].max = """,'Base-1'!F22,"""")</f>
        <v>* differential.element[16].max = "1"</v>
      </c>
      <c r="H17" s="38" t="str">
        <f>CONCATENATE("* differential.element[",'Base-1'!A22,"].type.code = #",'Base-1'!G22,"")</f>
        <v>* differential.element[16].type.code = #CodeableConcept</v>
      </c>
      <c r="I17" s="38" t="str">
        <f>IF('Base-1'!H22&gt; "", CONCATENATE("* differential.element[",'Base-1'!A22,"].binding.valueSet = """,'Base-1'!H22,""""),"")</f>
        <v/>
      </c>
      <c r="J17" s="38" t="str">
        <f>IF('Base-1'!I22&gt; "", CONCATENATE("* differential.element[",'Base-1'!A22,"].binding.strength = #",'Base-1'!I22,""),"")</f>
        <v/>
      </c>
    </row>
    <row r="18" spans="2:10" ht="59" x14ac:dyDescent="0.75">
      <c r="B18" s="38" t="str">
        <f>CONCATENATE("* differential.element[",'Base-1'!$A23,"].id = """,'Base-1'!$B$6,".",'Base-1'!B23,"""")</f>
        <v>* differential.element[17].id = "MinimalTreatmentSummary.diagnosis.majorSurgery.isLiver"</v>
      </c>
      <c r="C18" s="38" t="str">
        <f>CONCATENATE("* differential.element[",'Base-1'!$A23,"].path = """,'Base-1'!$B$6,".",'Base-1'!B23,"""")</f>
        <v>* differential.element[17].path = "MinimalTreatmentSummary.diagnosis.majorSurgery.isLiver"</v>
      </c>
      <c r="D18" s="38" t="str">
        <f>CONCATENATE("* differential.element[",'Base-1'!A23,"].short = """,'Base-1'!C23,"""")</f>
        <v>* differential.element[17].short = "Liver involved?"</v>
      </c>
      <c r="E18" s="38" t="str">
        <f>CONCATENATE("* differential.element[",'Base-1'!A23,"].definition = """,'Base-1'!D23,"""")</f>
        <v>* differential.element[17].definition = "Was the liver involved in the surgery?"</v>
      </c>
      <c r="F18" s="38" t="str">
        <f>CONCATENATE("* differential.element[",'Base-1'!A23,"].min = ",'Base-1'!E23,"")</f>
        <v>* differential.element[17].min = 0</v>
      </c>
      <c r="G18" s="38" t="str">
        <f>CONCATENATE("* differential.element[",'Base-1'!A23,"].max = """,'Base-1'!F23,"""")</f>
        <v>* differential.element[17].max = "1"</v>
      </c>
      <c r="H18" s="38" t="str">
        <f>CONCATENATE("* differential.element[",'Base-1'!A23,"].type.code = #",'Base-1'!G23,"")</f>
        <v>* differential.element[17].type.code = #CodeableConcept</v>
      </c>
      <c r="I18" s="38" t="str">
        <f>IF('Base-1'!H23&gt; "", CONCATENATE("* differential.element[",'Base-1'!A23,"].binding.valueSet = """,'Base-1'!H23,""""),"")</f>
        <v/>
      </c>
      <c r="J18" s="38" t="str">
        <f>IF('Base-1'!I23&gt; "", CONCATENATE("* differential.element[",'Base-1'!A23,"].binding.strength = #",'Base-1'!I23,""),"")</f>
        <v/>
      </c>
    </row>
    <row r="19" spans="2:10" ht="59" x14ac:dyDescent="0.75">
      <c r="B19" s="38" t="str">
        <f>CONCATENATE("* differential.element[",'Base-1'!$A24,"].id = """,'Base-1'!$B$6,".",'Base-1'!B24,"""")</f>
        <v>* differential.element[18].id = "MinimalTreatmentSummary.diagnosis.majorSurgery.isSpine"</v>
      </c>
      <c r="C19" s="38" t="str">
        <f>CONCATENATE("* differential.element[",'Base-1'!$A24,"].path = """,'Base-1'!$B$6,".",'Base-1'!B24,"""")</f>
        <v>* differential.element[18].path = "MinimalTreatmentSummary.diagnosis.majorSurgery.isSpine"</v>
      </c>
      <c r="D19" s="38" t="str">
        <f>CONCATENATE("* differential.element[",'Base-1'!A24,"].short = """,'Base-1'!C24,"""")</f>
        <v>* differential.element[18].short = "Spine involved?"</v>
      </c>
      <c r="E19" s="38" t="str">
        <f>CONCATENATE("* differential.element[",'Base-1'!A24,"].definition = """,'Base-1'!D24,"""")</f>
        <v>* differential.element[18].definition = "Was the spine involved in the surgery?"</v>
      </c>
      <c r="F19" s="38" t="str">
        <f>CONCATENATE("* differential.element[",'Base-1'!A24,"].min = ",'Base-1'!E24,"")</f>
        <v>* differential.element[18].min = 0</v>
      </c>
      <c r="G19" s="38" t="str">
        <f>CONCATENATE("* differential.element[",'Base-1'!A24,"].max = """,'Base-1'!F24,"""")</f>
        <v>* differential.element[18].max = "1"</v>
      </c>
      <c r="H19" s="38" t="str">
        <f>CONCATENATE("* differential.element[",'Base-1'!A24,"].type.code = #",'Base-1'!G24,"")</f>
        <v>* differential.element[18].type.code = #CodeableConcept</v>
      </c>
      <c r="I19" s="38" t="str">
        <f>IF('Base-1'!H24&gt; "", CONCATENATE("* differential.element[",'Base-1'!A24,"].binding.valueSet = """,'Base-1'!H24,""""),"")</f>
        <v/>
      </c>
      <c r="J19" s="38" t="str">
        <f>IF('Base-1'!I24&gt; "", CONCATENATE("* differential.element[",'Base-1'!A24,"].binding.strength = #",'Base-1'!I24,""),"")</f>
        <v/>
      </c>
    </row>
    <row r="20" spans="2:10" ht="59" x14ac:dyDescent="0.75">
      <c r="B20" s="38" t="str">
        <f>CONCATENATE("* differential.element[",'Base-1'!$A25,"].id = """,'Base-1'!$B$6,".",'Base-1'!B25,"""")</f>
        <v>* differential.element[19].id = "MinimalTreatmentSummary.diagnosis.majorSurgery.isSpinalCord"</v>
      </c>
      <c r="C20" s="38" t="str">
        <f>CONCATENATE("* differential.element[",'Base-1'!$A25,"].path = """,'Base-1'!$B$6,".",'Base-1'!B25,"""")</f>
        <v>* differential.element[19].path = "MinimalTreatmentSummary.diagnosis.majorSurgery.isSpinalCord"</v>
      </c>
      <c r="D20" s="38" t="str">
        <f>CONCATENATE("* differential.element[",'Base-1'!A25,"].short = """,'Base-1'!C25,"""")</f>
        <v>* differential.element[19].short = "Spinal Cord involved?"</v>
      </c>
      <c r="E20" s="38" t="str">
        <f>CONCATENATE("* differential.element[",'Base-1'!A25,"].definition = """,'Base-1'!D25,"""")</f>
        <v>* differential.element[19].definition = "Was the spinal cord involved in the surgery ?
"</v>
      </c>
      <c r="F20" s="38" t="str">
        <f>CONCATENATE("* differential.element[",'Base-1'!A25,"].min = ",'Base-1'!E25,"")</f>
        <v>* differential.element[19].min = 0</v>
      </c>
      <c r="G20" s="38" t="str">
        <f>CONCATENATE("* differential.element[",'Base-1'!A25,"].max = """,'Base-1'!F25,"""")</f>
        <v>* differential.element[19].max = "1"</v>
      </c>
      <c r="H20" s="38" t="str">
        <f>CONCATENATE("* differential.element[",'Base-1'!A25,"].type.code = #",'Base-1'!G25,"")</f>
        <v>* differential.element[19].type.code = #CodeableConcept</v>
      </c>
      <c r="I20" s="38" t="str">
        <f>IF('Base-1'!H25&gt; "", CONCATENATE("* differential.element[",'Base-1'!A25,"].binding.valueSet = """,'Base-1'!H25,""""),"")</f>
        <v/>
      </c>
      <c r="J20" s="38" t="str">
        <f>IF('Base-1'!I25&gt; "", CONCATENATE("* differential.element[",'Base-1'!A25,"].binding.strength = #",'Base-1'!I25,""),"")</f>
        <v/>
      </c>
    </row>
    <row r="21" spans="2:10" ht="59" x14ac:dyDescent="0.75">
      <c r="B21" s="38" t="str">
        <f>CONCATENATE("* differential.element[",'Base-1'!$A26,"].id = """,'Base-1'!$B$6,".",'Base-1'!B26,"""")</f>
        <v>* differential.element[20].id = "MinimalTreatmentSummary.diagnosis.majorSurgery.isSympatheticNerves"</v>
      </c>
      <c r="C21" s="38" t="str">
        <f>CONCATENATE("* differential.element[",'Base-1'!$A26,"].path = """,'Base-1'!$B$6,".",'Base-1'!B26,"""")</f>
        <v>* differential.element[20].path = "MinimalTreatmentSummary.diagnosis.majorSurgery.isSympatheticNerves"</v>
      </c>
      <c r="D21" s="38" t="str">
        <f>CONCATENATE("* differential.element[",'Base-1'!A26,"].short = """,'Base-1'!C26,"""")</f>
        <v>* differential.element[20].short = "Sympathetic nerves involved?"</v>
      </c>
      <c r="E21" s="38" t="str">
        <f>CONCATENATE("* differential.element[",'Base-1'!A26,"].definition = """,'Base-1'!D26,"""")</f>
        <v>* differential.element[20].definition = "Were the sympathetic nerves involved in the surgery ?"</v>
      </c>
      <c r="F21" s="38" t="str">
        <f>CONCATENATE("* differential.element[",'Base-1'!A26,"].min = ",'Base-1'!E26,"")</f>
        <v>* differential.element[20].min = 0</v>
      </c>
      <c r="G21" s="38" t="str">
        <f>CONCATENATE("* differential.element[",'Base-1'!A26,"].max = """,'Base-1'!F26,"""")</f>
        <v>* differential.element[20].max = "1"</v>
      </c>
      <c r="H21" s="38" t="str">
        <f>CONCATENATE("* differential.element[",'Base-1'!A26,"].type.code = #",'Base-1'!G26,"")</f>
        <v>* differential.element[20].type.code = #CodeableConcept</v>
      </c>
      <c r="I21" s="38" t="str">
        <f>IF('Base-1'!H26&gt; "", CONCATENATE("* differential.element[",'Base-1'!A26,"].binding.valueSet = """,'Base-1'!H26,""""),"")</f>
        <v/>
      </c>
      <c r="J21" s="38" t="str">
        <f>IF('Base-1'!I26&gt; "", CONCATENATE("* differential.element[",'Base-1'!A26,"].binding.strength = #",'Base-1'!I26,""),"")</f>
        <v/>
      </c>
    </row>
    <row r="22" spans="2:10" ht="59" x14ac:dyDescent="0.75">
      <c r="B22" s="38" t="str">
        <f>CONCATENATE("* differential.element[",'Base-1'!$A27,"].id = """,'Base-1'!$B$6,".",'Base-1'!B27,"""")</f>
        <v>* differential.element[21].id = "MinimalTreatmentSummary.diagnosis.majorSurgery.isChestThorax"</v>
      </c>
      <c r="C22" s="38" t="str">
        <f>CONCATENATE("* differential.element[",'Base-1'!$A27,"].path = """,'Base-1'!$B$6,".",'Base-1'!B27,"""")</f>
        <v>* differential.element[21].path = "MinimalTreatmentSummary.diagnosis.majorSurgery.isChestThorax"</v>
      </c>
      <c r="D22" s="38" t="str">
        <f>CONCATENATE("* differential.element[",'Base-1'!A27,"].short = """,'Base-1'!C27,"""")</f>
        <v>* differential.element[21].short = "Chest/thorax involved?"</v>
      </c>
      <c r="E22" s="38" t="str">
        <f>CONCATENATE("* differential.element[",'Base-1'!A27,"].definition = """,'Base-1'!D27,"""")</f>
        <v>* differential.element[21].definition = "Was the chest or thorax involved in the surgery?
This does not include a central venous catheter (CVC)"</v>
      </c>
      <c r="F22" s="38" t="str">
        <f>CONCATENATE("* differential.element[",'Base-1'!A27,"].min = ",'Base-1'!E27,"")</f>
        <v>* differential.element[21].min = 0</v>
      </c>
      <c r="G22" s="38" t="str">
        <f>CONCATENATE("* differential.element[",'Base-1'!A27,"].max = """,'Base-1'!F27,"""")</f>
        <v>* differential.element[21].max = "1"</v>
      </c>
      <c r="H22" s="38" t="str">
        <f>CONCATENATE("* differential.element[",'Base-1'!A27,"].type.code = #",'Base-1'!G27,"")</f>
        <v>* differential.element[21].type.code = #CodeableConcept</v>
      </c>
      <c r="I22" s="38" t="str">
        <f>IF('Base-1'!H27&gt; "", CONCATENATE("* differential.element[",'Base-1'!A27,"].binding.valueSet = """,'Base-1'!H27,""""),"")</f>
        <v/>
      </c>
      <c r="J22" s="38" t="str">
        <f>IF('Base-1'!I27&gt; "", CONCATENATE("* differential.element[",'Base-1'!A27,"].binding.strength = #",'Base-1'!I27,""),"")</f>
        <v/>
      </c>
    </row>
    <row r="23" spans="2:10" ht="59" x14ac:dyDescent="0.75">
      <c r="B23" s="38" t="str">
        <f>CONCATENATE("* differential.element[",'Base-1'!$A28,"].id = """,'Base-1'!$B$6,".",'Base-1'!B28,"""")</f>
        <v>* differential.element[22].id = "MinimalTreatmentSummary.diagnosis.majorSurgery.isPelvis"</v>
      </c>
      <c r="C23" s="38" t="str">
        <f>CONCATENATE("* differential.element[",'Base-1'!$A28,"].path = """,'Base-1'!$B$6,".",'Base-1'!B28,"""")</f>
        <v>* differential.element[22].path = "MinimalTreatmentSummary.diagnosis.majorSurgery.isPelvis"</v>
      </c>
      <c r="D23" s="38" t="str">
        <f>CONCATENATE("* differential.element[",'Base-1'!A28,"].short = """,'Base-1'!C28,"""")</f>
        <v>* differential.element[22].short = "Pelvis involved?"</v>
      </c>
      <c r="E23" s="38" t="str">
        <f>CONCATENATE("* differential.element[",'Base-1'!A28,"].definition = """,'Base-1'!D28,"""")</f>
        <v>* differential.element[22].definition = "Was the pelvis involved in the surgery ?"</v>
      </c>
      <c r="F23" s="38" t="str">
        <f>CONCATENATE("* differential.element[",'Base-1'!A28,"].min = ",'Base-1'!E28,"")</f>
        <v>* differential.element[22].min = 0</v>
      </c>
      <c r="G23" s="38" t="str">
        <f>CONCATENATE("* differential.element[",'Base-1'!A28,"].max = """,'Base-1'!F28,"""")</f>
        <v>* differential.element[22].max = "1"</v>
      </c>
      <c r="H23" s="38" t="str">
        <f>CONCATENATE("* differential.element[",'Base-1'!A28,"].type.code = #",'Base-1'!G28,"")</f>
        <v>* differential.element[22].type.code = #CodeableConcept</v>
      </c>
      <c r="I23" s="38" t="str">
        <f>IF('Base-1'!H28&gt; "", CONCATENATE("* differential.element[",'Base-1'!A28,"].binding.valueSet = """,'Base-1'!H28,""""),"")</f>
        <v/>
      </c>
      <c r="J23" s="38" t="str">
        <f>IF('Base-1'!I28&gt; "", CONCATENATE("* differential.element[",'Base-1'!A28,"].binding.strength = #",'Base-1'!I28,""),"")</f>
        <v/>
      </c>
    </row>
    <row r="24" spans="2:10" ht="59" x14ac:dyDescent="0.75">
      <c r="B24" s="38" t="str">
        <f>CONCATENATE("* differential.element[",'Base-1'!$A29,"].id = """,'Base-1'!$B$6,".",'Base-1'!B29,"""")</f>
        <v>* differential.element[23].id = "MinimalTreatmentSummary.diagnosis.majorSurgery.sacrifiedOrgans"</v>
      </c>
      <c r="C24" s="38" t="str">
        <f>CONCATENATE("* differential.element[",'Base-1'!$A29,"].path = """,'Base-1'!$B$6,".",'Base-1'!B29,"""")</f>
        <v>* differential.element[23].path = "MinimalTreatmentSummary.diagnosis.majorSurgery.sacrifiedOrgans"</v>
      </c>
      <c r="D24" s="38" t="str">
        <f>CONCATENATE("* differential.element[",'Base-1'!A29,"].short = """,'Base-1'!C29,"""")</f>
        <v>* differential.element[23].short = "Sacrified Organs"</v>
      </c>
      <c r="E24" s="38" t="str">
        <f>CONCATENATE("* differential.element[",'Base-1'!A29,"].definition = """,'Base-1'!D29,"""")</f>
        <v>* differential.element[23].definition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v>
      </c>
      <c r="F24" s="38" t="str">
        <f>CONCATENATE("* differential.element[",'Base-1'!A29,"].min = ",'Base-1'!E29,"")</f>
        <v>* differential.element[23].min = 0</v>
      </c>
      <c r="G24" s="38" t="str">
        <f>CONCATENATE("* differential.element[",'Base-1'!A29,"].max = """,'Base-1'!F29,"""")</f>
        <v>* differential.element[23].max = "*"</v>
      </c>
      <c r="H24" s="38" t="str">
        <f>CONCATENATE("* differential.element[",'Base-1'!A29,"].type.code = #",'Base-1'!G29,"")</f>
        <v>* differential.element[23].type.code = #CodeableConcept</v>
      </c>
      <c r="I24" s="38" t="str">
        <f>IF('Base-1'!H29&gt; "", CONCATENATE("* differential.element[",'Base-1'!A29,"].binding.valueSet = """,'Base-1'!H29,""""),"")</f>
        <v/>
      </c>
      <c r="J24" s="38" t="str">
        <f>IF('Base-1'!I29&gt; "", CONCATENATE("* differential.element[",'Base-1'!A29,"].binding.strength = #",'Base-1'!I29,""),"")</f>
        <v/>
      </c>
    </row>
    <row r="25" spans="2:10" ht="59" x14ac:dyDescent="0.75">
      <c r="B25" s="38" t="str">
        <f>CONCATENATE("* differential.element[",'Base-1'!$A30,"].id = """,'Base-1'!$B$6,".",'Base-1'!B30,"""")</f>
        <v>* differential.element[24].id = "MinimalTreatmentSummary.diagnosis.majorSurgery.shuntApplied"</v>
      </c>
      <c r="C25" s="38" t="str">
        <f>CONCATENATE("* differential.element[",'Base-1'!$A30,"].path = """,'Base-1'!$B$6,".",'Base-1'!B30,"""")</f>
        <v>* differential.element[24].path = "MinimalTreatmentSummary.diagnosis.majorSurgery.shuntApplied"</v>
      </c>
      <c r="D25" s="38" t="str">
        <f>CONCATENATE("* differential.element[",'Base-1'!A30,"].short = """,'Base-1'!C30,"""")</f>
        <v>* differential.element[24].short = "Shunt application"</v>
      </c>
      <c r="E25" s="38" t="str">
        <f>CONCATENATE("* differential.element[",'Base-1'!A30,"].definition = """,'Base-1'!D30,"""")</f>
        <v>* differential.element[24].definition = "Please report if a cerebrovascular shunt was inserted 
1 =&gt; Yes 
2 =&gt; No
 -9911 =&gt; NA
 -9922 =&gt; NK"</v>
      </c>
      <c r="F25" s="38" t="str">
        <f>CONCATENATE("* differential.element[",'Base-1'!A30,"].min = ",'Base-1'!E30,"")</f>
        <v>* differential.element[24].min = 0</v>
      </c>
      <c r="G25" s="38" t="str">
        <f>CONCATENATE("* differential.element[",'Base-1'!A30,"].max = """,'Base-1'!F30,"""")</f>
        <v>* differential.element[24].max = "1"</v>
      </c>
      <c r="H25" s="38" t="str">
        <f>CONCATENATE("* differential.element[",'Base-1'!A30,"].type.code = #",'Base-1'!G30,"")</f>
        <v>* differential.element[24].type.code = #CodeableConcept</v>
      </c>
      <c r="I25" s="38" t="str">
        <f>IF('Base-1'!H30&gt; "", CONCATENATE("* differential.element[",'Base-1'!A30,"].binding.valueSet = """,'Base-1'!H30,""""),"")</f>
        <v/>
      </c>
      <c r="J25" s="38" t="str">
        <f>IF('Base-1'!I30&gt; "", CONCATENATE("* differential.element[",'Base-1'!A30,"].binding.strength = #",'Base-1'!I30,""),"")</f>
        <v/>
      </c>
    </row>
    <row r="26" spans="2:10" ht="59" x14ac:dyDescent="0.75">
      <c r="B26" s="38" t="str">
        <f>CONCATENATE("* differential.element[",'Base-1'!$A31,"].id = """,'Base-1'!$B$6,".",'Base-1'!B31,"""")</f>
        <v>* differential.element[25].id = "MinimalTreatmentSummary.diagnosis.otherInfo"</v>
      </c>
      <c r="C26" s="38" t="str">
        <f>CONCATENATE("* differential.element[",'Base-1'!$A31,"].path = """,'Base-1'!$B$6,".",'Base-1'!B31,"""")</f>
        <v>* differential.element[25].path = "MinimalTreatmentSummary.diagnosis.otherInfo"</v>
      </c>
      <c r="D26" s="38" t="str">
        <f>CONCATENATE("* differential.element[",'Base-1'!A31,"].short = """,'Base-1'!C31,"""")</f>
        <v>* differential.element[25].short = "Other info and relevant events"</v>
      </c>
      <c r="E26" s="38" t="str">
        <f>CONCATENATE("* differential.element[",'Base-1'!A31,"].definition = """,'Base-1'!D31,"""")</f>
        <v>* differential.element[25].definition = "Other info and relevant events"</v>
      </c>
      <c r="F26" s="38" t="str">
        <f>CONCATENATE("* differential.element[",'Base-1'!A31,"].min = ",'Base-1'!E31,"")</f>
        <v>* differential.element[25].min = 1</v>
      </c>
      <c r="G26" s="38" t="str">
        <f>CONCATENATE("* differential.element[",'Base-1'!A31,"].max = """,'Base-1'!F31,"""")</f>
        <v>* differential.element[25].max = "1"</v>
      </c>
      <c r="H26" s="38" t="str">
        <f>CONCATENATE("* differential.element[",'Base-1'!A31,"].type.code = #",'Base-1'!G31,"")</f>
        <v>* differential.element[25].type.code = #BackboneElement</v>
      </c>
      <c r="I26" s="38" t="str">
        <f>IF('Base-1'!H31&gt; "", CONCATENATE("* differential.element[",'Base-1'!A31,"].binding.valueSet = """,'Base-1'!H31,""""),"")</f>
        <v/>
      </c>
      <c r="J26" s="38" t="str">
        <f>IF('Base-1'!I31&gt; "", CONCATENATE("* differential.element[",'Base-1'!A31,"].binding.strength = #",'Base-1'!I31,""),"")</f>
        <v/>
      </c>
    </row>
    <row r="27" spans="2:10" ht="59" x14ac:dyDescent="0.75">
      <c r="B27" s="38" t="str">
        <f>CONCATENATE("* differential.element[",'Base-1'!$A32,"].id = """,'Base-1'!$B$6,".",'Base-1'!B32,"""")</f>
        <v>* differential.element[26].id = "MinimalTreatmentSummary.diagnosis.otherInfo.hypogonadal"</v>
      </c>
      <c r="C27" s="38" t="str">
        <f>CONCATENATE("* differential.element[",'Base-1'!$A32,"].path = """,'Base-1'!$B$6,".",'Base-1'!B32,"""")</f>
        <v>* differential.element[26].path = "MinimalTreatmentSummary.diagnosis.otherInfo.hypogonadal"</v>
      </c>
      <c r="D27" s="38" t="str">
        <f>CONCATENATE("* differential.element[",'Base-1'!A32,"].short = """,'Base-1'!C32,"""")</f>
        <v>* differential.element[26].short = "Hypogonadal ?"</v>
      </c>
      <c r="E27" s="38" t="str">
        <f>CONCATENATE("* differential.element[",'Base-1'!A32,"].definition = """,'Base-1'!D32,"""")</f>
        <v>* differential.element[26].definition = "Please specify if hypogonadal occured during therapy
1 =&gt; Yes
2 =&gt; No
-9922 =&gt; NK"</v>
      </c>
      <c r="F27" s="38" t="str">
        <f>CONCATENATE("* differential.element[",'Base-1'!A32,"].min = ",'Base-1'!E32,"")</f>
        <v>* differential.element[26].min = 0</v>
      </c>
      <c r="G27" s="38" t="str">
        <f>CONCATENATE("* differential.element[",'Base-1'!A32,"].max = """,'Base-1'!F32,"""")</f>
        <v>* differential.element[26].max = "1"</v>
      </c>
      <c r="H27" s="38" t="str">
        <f>CONCATENATE("* differential.element[",'Base-1'!A32,"].type.code = #",'Base-1'!G32,"")</f>
        <v>* differential.element[26].type.code = #CodeableConcept</v>
      </c>
      <c r="I27" s="38" t="str">
        <f>IF('Base-1'!H32&gt; "", CONCATENATE("* differential.element[",'Base-1'!A32,"].binding.valueSet = """,'Base-1'!H32,""""),"")</f>
        <v/>
      </c>
      <c r="J27" s="38" t="str">
        <f>IF('Base-1'!I32&gt; "", CONCATENATE("* differential.element[",'Base-1'!A32,"].binding.strength = #",'Base-1'!I32,""),"")</f>
        <v/>
      </c>
    </row>
    <row r="28" spans="2:10" ht="59" x14ac:dyDescent="0.75">
      <c r="B28" s="38" t="str">
        <f>CONCATENATE("* differential.element[",'Base-1'!$A33,"].id = """,'Base-1'!$B$6,".",'Base-1'!B33,"""")</f>
        <v>* differential.element[27].id = "MinimalTreatmentSummary.diagnosis.otherInfo.growthHormoneDeficiency"</v>
      </c>
      <c r="C28" s="38" t="str">
        <f>CONCATENATE("* differential.element[",'Base-1'!$A33,"].path = """,'Base-1'!$B$6,".",'Base-1'!B33,"""")</f>
        <v>* differential.element[27].path = "MinimalTreatmentSummary.diagnosis.otherInfo.growthHormoneDeficiency"</v>
      </c>
      <c r="D28" s="38" t="str">
        <f>CONCATENATE("* differential.element[",'Base-1'!A33,"].short = """,'Base-1'!C33,"""")</f>
        <v>* differential.element[27].short = "Growth hormone deficiency ?"</v>
      </c>
      <c r="E28" s="38" t="str">
        <f>CONCATENATE("* differential.element[",'Base-1'!A33,"].definition = """,'Base-1'!D33,"""")</f>
        <v>* differential.element[27].definition = "Please specify if growth hormon deficiency occured during therapy"</v>
      </c>
      <c r="F28" s="38" t="str">
        <f>CONCATENATE("* differential.element[",'Base-1'!A33,"].min = ",'Base-1'!E33,"")</f>
        <v>* differential.element[27].min = 0</v>
      </c>
      <c r="G28" s="38" t="str">
        <f>CONCATENATE("* differential.element[",'Base-1'!A33,"].max = """,'Base-1'!F33,"""")</f>
        <v>* differential.element[27].max = "1"</v>
      </c>
      <c r="H28" s="38" t="str">
        <f>CONCATENATE("* differential.element[",'Base-1'!A33,"].type.code = #",'Base-1'!G33,"")</f>
        <v>* differential.element[27].type.code = #CodeableConcept</v>
      </c>
      <c r="I28" s="38" t="str">
        <f>IF('Base-1'!H33&gt; "", CONCATENATE("* differential.element[",'Base-1'!A33,"].binding.valueSet = """,'Base-1'!H33,""""),"")</f>
        <v/>
      </c>
      <c r="J28" s="38" t="str">
        <f>IF('Base-1'!I33&gt; "", CONCATENATE("* differential.element[",'Base-1'!A33,"].binding.strength = #",'Base-1'!I33,""),"")</f>
        <v/>
      </c>
    </row>
    <row r="29" spans="2:10" ht="59" x14ac:dyDescent="0.75">
      <c r="B29" s="38" t="str">
        <f>CONCATENATE("* differential.element[",'Base-1'!$A34,"].id = """,'Base-1'!$B$6,".",'Base-1'!B34,"""")</f>
        <v>* differential.element[28].id = "MinimalTreatmentSummary.diagnosis.otherInfo.hydrocephalus"</v>
      </c>
      <c r="C29" s="38" t="str">
        <f>CONCATENATE("* differential.element[",'Base-1'!$A34,"].path = """,'Base-1'!$B$6,".",'Base-1'!B34,"""")</f>
        <v>* differential.element[28].path = "MinimalTreatmentSummary.diagnosis.otherInfo.hydrocephalus"</v>
      </c>
      <c r="D29" s="38" t="str">
        <f>CONCATENATE("* differential.element[",'Base-1'!A34,"].short = """,'Base-1'!C34,"""")</f>
        <v>* differential.element[28].short = "Hydrocephalus ?"</v>
      </c>
      <c r="E29" s="38" t="str">
        <f>CONCATENATE("* differential.element[",'Base-1'!A34,"].definition = """,'Base-1'!D34,"""")</f>
        <v>* differential.element[28].definition = "Please specify if hydrocephalus occured during therapy"</v>
      </c>
      <c r="F29" s="38" t="str">
        <f>CONCATENATE("* differential.element[",'Base-1'!A34,"].min = ",'Base-1'!E34,"")</f>
        <v>* differential.element[28].min = 0</v>
      </c>
      <c r="G29" s="38" t="str">
        <f>CONCATENATE("* differential.element[",'Base-1'!A34,"].max = """,'Base-1'!F34,"""")</f>
        <v>* differential.element[28].max = "1"</v>
      </c>
      <c r="H29" s="38" t="str">
        <f>CONCATENATE("* differential.element[",'Base-1'!A34,"].type.code = #",'Base-1'!G34,"")</f>
        <v>* differential.element[28].type.code = #CodeableConcept</v>
      </c>
      <c r="I29" s="38" t="str">
        <f>IF('Base-1'!H34&gt; "", CONCATENATE("* differential.element[",'Base-1'!A34,"].binding.valueSet = """,'Base-1'!H34,""""),"")</f>
        <v/>
      </c>
      <c r="J29" s="38" t="str">
        <f>IF('Base-1'!I34&gt; "", CONCATENATE("* differential.element[",'Base-1'!A34,"].binding.strength = #",'Base-1'!I34,""),"")</f>
        <v/>
      </c>
    </row>
    <row r="30" spans="2:10" ht="59" x14ac:dyDescent="0.75">
      <c r="B30" s="38" t="str">
        <f>CONCATENATE("* differential.element[",'Base-1'!$A35,"].id = """,'Base-1'!$B$6,".",'Base-1'!B35,"""")</f>
        <v>* differential.element[29].id = "MinimalTreatmentSummary.diagnosis.otherInfo.chronicViralHepatitis"</v>
      </c>
      <c r="C30" s="38" t="str">
        <f>CONCATENATE("* differential.element[",'Base-1'!$A35,"].path = """,'Base-1'!$B$6,".",'Base-1'!B35,"""")</f>
        <v>* differential.element[29].path = "MinimalTreatmentSummary.diagnosis.otherInfo.chronicViralHepatitis"</v>
      </c>
      <c r="D30" s="38" t="str">
        <f>CONCATENATE("* differential.element[",'Base-1'!A35,"].short = """,'Base-1'!C35,"""")</f>
        <v>* differential.element[29].short = "Chronic viral hepatitis ?"</v>
      </c>
      <c r="E30" s="38" t="str">
        <f>CONCATENATE("* differential.element[",'Base-1'!A35,"].definition = """,'Base-1'!D35,"""")</f>
        <v>* differential.element[29].definition = "Please specify if chronic viral hepatitis occured during therapy"</v>
      </c>
      <c r="F30" s="38" t="str">
        <f>CONCATENATE("* differential.element[",'Base-1'!A35,"].min = ",'Base-1'!E35,"")</f>
        <v>* differential.element[29].min = 0</v>
      </c>
      <c r="G30" s="38" t="str">
        <f>CONCATENATE("* differential.element[",'Base-1'!A35,"].max = """,'Base-1'!F35,"""")</f>
        <v>* differential.element[29].max = "1"</v>
      </c>
      <c r="H30" s="38" t="str">
        <f>CONCATENATE("* differential.element[",'Base-1'!A35,"].type.code = #",'Base-1'!G35,"")</f>
        <v>* differential.element[29].type.code = #CodeableConcept</v>
      </c>
      <c r="I30" s="38" t="str">
        <f>IF('Base-1'!H35&gt; "", CONCATENATE("* differential.element[",'Base-1'!A35,"].binding.valueSet = """,'Base-1'!H35,""""),"")</f>
        <v/>
      </c>
      <c r="J30" s="38" t="str">
        <f>IF('Base-1'!I35&gt; "", CONCATENATE("* differential.element[",'Base-1'!A35,"].binding.strength = #",'Base-1'!I35,""),"")</f>
        <v/>
      </c>
    </row>
    <row r="31" spans="2:10" ht="59" x14ac:dyDescent="0.75">
      <c r="B31" s="38" t="str">
        <f>CONCATENATE("* differential.element[",'Base-1'!$A36,"].id = """,'Base-1'!$B$6,".",'Base-1'!B36,"""")</f>
        <v>* differential.element[30].id = "MinimalTreatmentSummary.diagnosis.otherInfo.sinusoidalObstructionSyndrome"</v>
      </c>
      <c r="C31" s="38" t="str">
        <f>CONCATENATE("* differential.element[",'Base-1'!$A36,"].path = """,'Base-1'!$B$6,".",'Base-1'!B36,"""")</f>
        <v>* differential.element[30].path = "MinimalTreatmentSummary.diagnosis.otherInfo.sinusoidalObstructionSyndrome"</v>
      </c>
      <c r="D31" s="38" t="str">
        <f>CONCATENATE("* differential.element[",'Base-1'!A36,"].short = """,'Base-1'!C36,"""")</f>
        <v>* differential.element[30].short = "Sinusoidal obstruction syndrome ?"</v>
      </c>
      <c r="E31" s="38" t="str">
        <f>CONCATENATE("* differential.element[",'Base-1'!A36,"].definition = """,'Base-1'!D36,"""")</f>
        <v>* differential.element[30].definition = "Please specify if sinusoidal obstruction syndrome occuredduring therapy"</v>
      </c>
      <c r="F31" s="38" t="str">
        <f>CONCATENATE("* differential.element[",'Base-1'!A36,"].min = ",'Base-1'!E36,"")</f>
        <v>* differential.element[30].min = 0</v>
      </c>
      <c r="G31" s="38" t="str">
        <f>CONCATENATE("* differential.element[",'Base-1'!A36,"].max = """,'Base-1'!F36,"""")</f>
        <v>* differential.element[30].max = "1"</v>
      </c>
      <c r="H31" s="38" t="str">
        <f>CONCATENATE("* differential.element[",'Base-1'!A36,"].type.code = #",'Base-1'!G36,"")</f>
        <v>* differential.element[30].type.code = #CodeableConcept</v>
      </c>
      <c r="I31" s="38" t="str">
        <f>IF('Base-1'!H36&gt; "", CONCATENATE("* differential.element[",'Base-1'!A36,"].binding.valueSet = """,'Base-1'!H36,""""),"")</f>
        <v/>
      </c>
      <c r="J31" s="38" t="str">
        <f>IF('Base-1'!I36&gt; "", CONCATENATE("* differential.element[",'Base-1'!A36,"].binding.strength = #",'Base-1'!I36,""),"")</f>
        <v/>
      </c>
    </row>
    <row r="32" spans="2:10" ht="59" x14ac:dyDescent="0.75">
      <c r="B32" s="38" t="str">
        <f>CONCATENATE("* differential.element[",'Base-1'!$A37,"].id = """,'Base-1'!$B$6,".",'Base-1'!B37,"""")</f>
        <v>* differential.element[31].id = "MinimalTreatmentSummary.diagnosis.otherInfo.moreOf10Transfusions"</v>
      </c>
      <c r="C32" s="38" t="str">
        <f>CONCATENATE("* differential.element[",'Base-1'!$A37,"].path = """,'Base-1'!$B$6,".",'Base-1'!B37,"""")</f>
        <v>* differential.element[31].path = "MinimalTreatmentSummary.diagnosis.otherInfo.moreOf10Transfusions"</v>
      </c>
      <c r="D32" s="38" t="str">
        <f>CONCATENATE("* differential.element[",'Base-1'!A37,"].short = """,'Base-1'!C37,"""")</f>
        <v>* differential.element[31].short = "&gt;= 10 Transfusions ?"</v>
      </c>
      <c r="E32" s="38" t="str">
        <f>CONCATENATE("* differential.element[",'Base-1'!A37,"].definition = """,'Base-1'!D37,"""")</f>
        <v>* differential.element[31].definition = "Please specify if patient recieved 10 or more than 10 trasfusions during therapy"</v>
      </c>
      <c r="F32" s="38" t="str">
        <f>CONCATENATE("* differential.element[",'Base-1'!A37,"].min = ",'Base-1'!E37,"")</f>
        <v>* differential.element[31].min = 0</v>
      </c>
      <c r="G32" s="38" t="str">
        <f>CONCATENATE("* differential.element[",'Base-1'!A37,"].max = """,'Base-1'!F37,"""")</f>
        <v>* differential.element[31].max = "1"</v>
      </c>
      <c r="H32" s="38" t="str">
        <f>CONCATENATE("* differential.element[",'Base-1'!A37,"].type.code = #",'Base-1'!G37,"")</f>
        <v>* differential.element[31].type.code = #CodeableConcept</v>
      </c>
      <c r="I32" s="38" t="str">
        <f>IF('Base-1'!H37&gt; "", CONCATENATE("* differential.element[",'Base-1'!A37,"].binding.valueSet = """,'Base-1'!H37,""""),"")</f>
        <v/>
      </c>
      <c r="J32" s="38" t="str">
        <f>IF('Base-1'!I37&gt; "", CONCATENATE("* differential.element[",'Base-1'!A37,"].binding.strength = #",'Base-1'!I37,""),"")</f>
        <v/>
      </c>
    </row>
    <row r="33" spans="2:10" ht="59" x14ac:dyDescent="0.75">
      <c r="B33" s="38" t="str">
        <f>CONCATENATE("* differential.element[",'Base-1'!$A38,"].id = """,'Base-1'!$B$6,".",'Base-1'!B38,"""")</f>
        <v>* differential.element[32].id = "MinimalTreatmentSummary.diagnosis.progressionRelapseAfterEOT"</v>
      </c>
      <c r="C33" s="38" t="str">
        <f>CONCATENATE("* differential.element[",'Base-1'!$A38,"].path = """,'Base-1'!$B$6,".",'Base-1'!B38,"""")</f>
        <v>* differential.element[32].path = "MinimalTreatmentSummary.diagnosis.progressionRelapseAfterEOT"</v>
      </c>
      <c r="D33" s="38" t="str">
        <f>CONCATENATE("* differential.element[",'Base-1'!A38,"].short = """,'Base-1'!C38,"""")</f>
        <v>* differential.element[32].short = "Progression-relapse after the End of Treatment"</v>
      </c>
      <c r="E33" s="38" t="str">
        <f>CONCATENATE("* differential.element[",'Base-1'!A38,"].definition = """,'Base-1'!D38,"""")</f>
        <v>* differential.element[32].definition = "Progression-relapse after the End of Treatment"</v>
      </c>
      <c r="F33" s="38" t="str">
        <f>CONCATENATE("* differential.element[",'Base-1'!A38,"].min = ",'Base-1'!E38,"")</f>
        <v>* differential.element[32].min = 0</v>
      </c>
      <c r="G33" s="38" t="str">
        <f>CONCATENATE("* differential.element[",'Base-1'!A38,"].max = """,'Base-1'!F38,"""")</f>
        <v>* differential.element[32].max = "*"</v>
      </c>
      <c r="H33" s="38" t="str">
        <f>CONCATENATE("* differential.element[",'Base-1'!A38,"].type.code = #",'Base-1'!G38,"")</f>
        <v>* differential.element[32].type.code = #BackboneElement</v>
      </c>
      <c r="I33" s="38" t="str">
        <f>IF('Base-1'!H38&gt; "", CONCATENATE("* differential.element[",'Base-1'!A38,"].binding.valueSet = """,'Base-1'!H38,""""),"")</f>
        <v/>
      </c>
      <c r="J33" s="38" t="str">
        <f>IF('Base-1'!I38&gt; "", CONCATENATE("* differential.element[",'Base-1'!A38,"].binding.strength = #",'Base-1'!I38,""),"")</f>
        <v/>
      </c>
    </row>
    <row r="34" spans="2:10" ht="59" x14ac:dyDescent="0.75">
      <c r="B34" s="38" t="str">
        <f>CONCATENATE("* differential.element[",'Base-1'!$A39,"].id = """,'Base-1'!$B$6,".",'Base-1'!B39,"""")</f>
        <v>* differential.element[33].id = "MinimalTreatmentSummary.diagnosis.progressionRelapseAfterEOT.chemotherapy"</v>
      </c>
      <c r="C34" s="38" t="str">
        <f>CONCATENATE("* differential.element[",'Base-1'!$A39,"].path = """,'Base-1'!$B$6,".",'Base-1'!B39,"""")</f>
        <v>* differential.element[33].path = "MinimalTreatmentSummary.diagnosis.progressionRelapseAfterEOT.chemotherapy"</v>
      </c>
      <c r="D34" s="38" t="str">
        <f>CONCATENATE("* differential.element[",'Base-1'!A39,"].short = """,'Base-1'!C39,"""")</f>
        <v>* differential.element[33].short = "Chemotherapy"</v>
      </c>
      <c r="E34" s="38" t="str">
        <f>CONCATENATE("* differential.element[",'Base-1'!A39,"].definition = """,'Base-1'!D39,"""")</f>
        <v>* differential.element[33].definition = "Chemotherapy"</v>
      </c>
      <c r="F34" s="38" t="str">
        <f>CONCATENATE("* differential.element[",'Base-1'!A39,"].min = ",'Base-1'!E39,"")</f>
        <v>* differential.element[33].min = 0</v>
      </c>
      <c r="G34" s="38" t="str">
        <f>CONCATENATE("* differential.element[",'Base-1'!A39,"].max = """,'Base-1'!F39,"""")</f>
        <v>* differential.element[33].max = "1"</v>
      </c>
      <c r="H34" s="38" t="str">
        <f>CONCATENATE("* differential.element[",'Base-1'!A39,"].type.code = #",'Base-1'!G39,"")</f>
        <v>* differential.element[33].type.code = #http://hl7.eu/fhir/ig/pcsp/StructureDefinition/Chemotherapy</v>
      </c>
      <c r="I34" s="38" t="str">
        <f>IF('Base-1'!H39&gt; "", CONCATENATE("* differential.element[",'Base-1'!A39,"].binding.valueSet = """,'Base-1'!H39,""""),"")</f>
        <v/>
      </c>
      <c r="J34" s="38" t="str">
        <f>IF('Base-1'!I39&gt; "", CONCATENATE("* differential.element[",'Base-1'!A39,"].binding.strength = #",'Base-1'!I39,""),"")</f>
        <v/>
      </c>
    </row>
    <row r="35" spans="2:10" ht="59" x14ac:dyDescent="0.75">
      <c r="B35" s="38" t="str">
        <f>CONCATENATE("* differential.element[",'Base-1'!$A40,"].id = """,'Base-1'!$B$6,".",'Base-1'!B40,"""")</f>
        <v>* differential.element[37].id = "MinimalTreatmentSummary.diagnosis.progressionRelapseAfterEOT.radiotherapy"</v>
      </c>
      <c r="C35" s="38" t="str">
        <f>CONCATENATE("* differential.element[",'Base-1'!$A40,"].path = """,'Base-1'!$B$6,".",'Base-1'!B40,"""")</f>
        <v>* differential.element[37].path = "MinimalTreatmentSummary.diagnosis.progressionRelapseAfterEOT.radiotherapy"</v>
      </c>
      <c r="D35" s="38" t="str">
        <f>CONCATENATE("* differential.element[",'Base-1'!A40,"].short = """,'Base-1'!C40,"""")</f>
        <v>* differential.element[37].short = "Radiotherapy"</v>
      </c>
      <c r="E35" s="38" t="str">
        <f>CONCATENATE("* differential.element[",'Base-1'!A40,"].definition = """,'Base-1'!D40,"""")</f>
        <v>* differential.element[37].definition = "Radiotherapy"</v>
      </c>
      <c r="F35" s="38" t="str">
        <f>CONCATENATE("* differential.element[",'Base-1'!A40,"].min = ",'Base-1'!E40,"")</f>
        <v>* differential.element[37].min = 0</v>
      </c>
      <c r="G35" s="38" t="str">
        <f>CONCATENATE("* differential.element[",'Base-1'!A40,"].max = """,'Base-1'!F40,"""")</f>
        <v>* differential.element[37].max = "1"</v>
      </c>
      <c r="H35" s="38" t="str">
        <f>CONCATENATE("* differential.element[",'Base-1'!A40,"].type.code = #",'Base-1'!G40,"")</f>
        <v>* differential.element[37].type.code = #http://hl7.eu/fhir/ig/pcsp/StructureDefinition/Radiotherapy</v>
      </c>
      <c r="I35" s="38" t="str">
        <f>IF('Base-1'!H40&gt; "", CONCATENATE("* differential.element[",'Base-1'!A40,"].binding.valueSet = """,'Base-1'!H40,""""),"")</f>
        <v/>
      </c>
      <c r="J35" s="38" t="str">
        <f>IF('Base-1'!I41&gt; "", CONCATENATE("* differential.element[",'Base-1'!A41,"].binding.strength = #",'Base-1'!I41,""),"")</f>
        <v/>
      </c>
    </row>
    <row r="36" spans="2:10" ht="59" x14ac:dyDescent="0.75">
      <c r="B36" s="38" t="str">
        <f>CONCATENATE("* differential.element[",'Base-1'!$A41,"].id = """,'Base-1'!$B$6,".",'Base-1'!B41,"""")</f>
        <v>* differential.element[34].id = "MinimalTreatmentSummary.diagnosis.progressionRelapseAfterEOT.stemCellTransplantation"</v>
      </c>
      <c r="C36" s="38" t="str">
        <f>CONCATENATE("* differential.element[",'Base-1'!$A41,"].path = """,'Base-1'!$B$6,".",'Base-1'!B41,"""")</f>
        <v>* differential.element[34].path = "MinimalTreatmentSummary.diagnosis.progressionRelapseAfterEOT.stemCellTransplantation"</v>
      </c>
      <c r="D36" s="38" t="str">
        <f>CONCATENATE("* differential.element[",'Base-1'!A41,"].short = """,'Base-1'!C41,"""")</f>
        <v>* differential.element[34].short = "Stem Cell transplantation"</v>
      </c>
      <c r="E36" s="38" t="str">
        <f>CONCATENATE("* differential.element[",'Base-1'!A41,"].definition = """,'Base-1'!D41,"""")</f>
        <v>* differential.element[34].definition = "Stem Cell transplantation"</v>
      </c>
      <c r="F36" s="38" t="str">
        <f>CONCATENATE("* differential.element[",'Base-1'!A41,"].min = ",'Base-1'!E41,"")</f>
        <v>* differential.element[34].min = 0</v>
      </c>
      <c r="G36" s="38" t="str">
        <f>CONCATENATE("* differential.element[",'Base-1'!A41,"].max = """,'Base-1'!F41,"""")</f>
        <v>* differential.element[34].max = "*"</v>
      </c>
      <c r="H36" s="38" t="str">
        <f>CONCATENATE("* differential.element[",'Base-1'!A41,"].type.code = #",'Base-1'!G41,"")</f>
        <v>* differential.element[34].type.code = #BackboneElement</v>
      </c>
      <c r="I36" s="38" t="str">
        <f>IF('Base-1'!H41&gt; "", CONCATENATE("* differential.element[",'Base-1'!A41,"].binding.valueSet = """,'Base-1'!H41,""""),"")</f>
        <v/>
      </c>
      <c r="J36" s="38" t="str">
        <f>IF('Base-1'!I42&gt; "", CONCATENATE("* differential.element[",'Base-1'!A42,"].binding.strength = #",'Base-1'!I42,""),"")</f>
        <v/>
      </c>
    </row>
    <row r="37" spans="2:10" ht="59" x14ac:dyDescent="0.75">
      <c r="B37" s="38" t="str">
        <f>CONCATENATE("* differential.element[",'Base-1'!$A42,"].id = """,'Base-1'!$B$6,".",'Base-1'!B42,"""")</f>
        <v>* differential.element[35].id = "MinimalTreatmentSummary.diagnosis.progressionRelapseAfterEOT.stemCellTransplantation.type"</v>
      </c>
      <c r="C37" s="38" t="str">
        <f>CONCATENATE("* differential.element[",'Base-1'!$A42,"].path = """,'Base-1'!$B$6,".",'Base-1'!B42,"""")</f>
        <v>* differential.element[35].path = "MinimalTreatmentSummary.diagnosis.progressionRelapseAfterEOT.stemCellTransplantation.type"</v>
      </c>
      <c r="D37" s="38" t="str">
        <f>CONCATENATE("* differential.element[",'Base-1'!A42,"].short = """,'Base-1'!C42,"""")</f>
        <v>* differential.element[35].short = "Type of transplant"</v>
      </c>
      <c r="E37" s="38" t="str">
        <f>CONCATENATE("* differential.element[",'Base-1'!A42,"].definition = """,'Base-1'!D42,"""")</f>
        <v>* differential.element[35].definition = "Indicate if the transplant was autologous or allogeneic.
1 = Autologous
2 = Allogeneic
-9922 = NK"</v>
      </c>
      <c r="F37" s="38" t="str">
        <f>CONCATENATE("* differential.element[",'Base-1'!A42,"].min = ",'Base-1'!E42,"")</f>
        <v>* differential.element[35].min = 0</v>
      </c>
      <c r="G37" s="38" t="str">
        <f>CONCATENATE("* differential.element[",'Base-1'!A42,"].max = """,'Base-1'!F42,"""")</f>
        <v>* differential.element[35].max = "1"</v>
      </c>
      <c r="H37" s="38" t="str">
        <f>CONCATENATE("* differential.element[",'Base-1'!A42,"].type.code = #",'Base-1'!G42,"")</f>
        <v>* differential.element[35].type.code = #CodeableConcept</v>
      </c>
      <c r="I37" s="38" t="str">
        <f>IF('Base-1'!H42&gt; "", CONCATENATE("* differential.element[",'Base-1'!A42,"].binding.valueSet = """,'Base-1'!H42,""""),"")</f>
        <v/>
      </c>
      <c r="J37" s="38" t="str">
        <f>IF('Base-1'!I43&gt; "", CONCATENATE("* differential.element[",'Base-1'!A43,"].binding.strength = #",'Base-1'!I43,""),"")</f>
        <v/>
      </c>
    </row>
    <row r="38" spans="2:10" ht="59" x14ac:dyDescent="0.75">
      <c r="B38" s="38" t="str">
        <f>CONCATENATE("* differential.element[",'Base-1'!$A43,"].id = """,'Base-1'!$B$6,".",'Base-1'!B43,"""")</f>
        <v>* differential.element[36].id = "MinimalTreatmentSummary.diagnosis.progressionRelapseAfterEOT.stemCellTransplantation.gvhdChronic"</v>
      </c>
      <c r="C38" s="38" t="str">
        <f>CONCATENATE("* differential.element[",'Base-1'!$A43,"].path = """,'Base-1'!$B$6,".",'Base-1'!B43,"""")</f>
        <v>* differential.element[36].path = "MinimalTreatmentSummary.diagnosis.progressionRelapseAfterEOT.stemCellTransplantation.gvhdChronic"</v>
      </c>
      <c r="D38" s="38" t="str">
        <f>CONCATENATE("* differential.element[",'Base-1'!A43,"].short = """,'Base-1'!C43,"""")</f>
        <v>* differential.element[36].short = "GVHD Chronic"</v>
      </c>
      <c r="E38" s="38" t="str">
        <f>CONCATENATE("* differential.element[",'Base-1'!A43,"].definition = """,'Base-1'!D43,"""")</f>
        <v>* differential.element[36].definition = "Please State if chronic GVHD occurred
Required if DONOR1 = 2 (Type of transplant = Allogenic)"</v>
      </c>
      <c r="F38" s="38" t="str">
        <f>CONCATENATE("* differential.element[",'Base-1'!A43,"].min = ",'Base-1'!E43,"")</f>
        <v>* differential.element[36].min = 0</v>
      </c>
      <c r="G38" s="38" t="str">
        <f>CONCATENATE("* differential.element[",'Base-1'!A43,"].max = """,'Base-1'!F43,"""")</f>
        <v>* differential.element[36].max = "1"</v>
      </c>
      <c r="H38" s="38" t="str">
        <f>CONCATENATE("* differential.element[",'Base-1'!A43,"].type.code = #",'Base-1'!G43,"")</f>
        <v>* differential.element[36].type.code = #CodeableConcept</v>
      </c>
      <c r="I38" s="38" t="str">
        <f>IF('Base-1'!H43&gt; "", CONCATENATE("* differential.element[",'Base-1'!A43,"].binding.valueSet = """,'Base-1'!H43,""""),"")</f>
        <v/>
      </c>
      <c r="J38" s="38" t="str">
        <f>IF('Base-1'!I40&gt; "", CONCATENATE("* differential.element[",'Base-1'!A40,"].binding.strength = #",'Base-1'!I40,""),"")</f>
        <v/>
      </c>
    </row>
    <row r="39" spans="2:10" ht="59" x14ac:dyDescent="0.75">
      <c r="B39" s="38" t="str">
        <f>CONCATENATE("* differential.element[",'Base-1'!$A44,"].id = """,'Base-1'!$B$6,".",'Base-1'!B44,"""")</f>
        <v>* differential.element[38].id = "MinimalTreatmentSummary.diagnosis.progressionRelapseAfterEOT.majorSurgery"</v>
      </c>
      <c r="C39" s="38" t="str">
        <f>CONCATENATE("* differential.element[",'Base-1'!$A44,"].path = """,'Base-1'!$B$6,".",'Base-1'!B44,"""")</f>
        <v>* differential.element[38].path = "MinimalTreatmentSummary.diagnosis.progressionRelapseAfterEOT.majorSurgery"</v>
      </c>
      <c r="D39" s="38" t="str">
        <f>CONCATENATE("* differential.element[",'Base-1'!A44,"].short = """,'Base-1'!C44,"""")</f>
        <v>* differential.element[38].short = "Major Surgery"</v>
      </c>
      <c r="E39" s="38" t="str">
        <f>CONCATENATE("* differential.element[",'Base-1'!A44,"].definition = """,'Base-1'!D44,"""")</f>
        <v>* differential.element[38].definition = "Major Surgery"</v>
      </c>
      <c r="F39" s="38" t="str">
        <f>CONCATENATE("* differential.element[",'Base-1'!A44,"].min = ",'Base-1'!E44,"")</f>
        <v>* differential.element[38].min = 0</v>
      </c>
      <c r="G39" s="38" t="str">
        <f>CONCATENATE("* differential.element[",'Base-1'!A44,"].max = """,'Base-1'!F44,"""")</f>
        <v>* differential.element[38].max = "*"</v>
      </c>
      <c r="H39" s="38" t="str">
        <f>CONCATENATE("* differential.element[",'Base-1'!A44,"].type.code = #",'Base-1'!G44,"")</f>
        <v>* differential.element[38].type.code = #BackboneElement</v>
      </c>
      <c r="I39" s="38" t="str">
        <f>IF('Base-1'!H44&gt; "", CONCATENATE("* differential.element[",'Base-1'!A44,"].binding.valueSet = """,'Base-1'!H44,""""),"")</f>
        <v/>
      </c>
      <c r="J39" s="38" t="str">
        <f>IF('Base-1'!I44&gt; "", CONCATENATE("* differential.element[",'Base-1'!A44,"].binding.strength = #",'Base-1'!I44,""),"")</f>
        <v/>
      </c>
    </row>
    <row r="40" spans="2:10" ht="59" x14ac:dyDescent="0.75">
      <c r="B40" s="38" t="str">
        <f>CONCATENATE("* differential.element[",'Base-1'!$A45,"].id = """,'Base-1'!$B$6,".",'Base-1'!B45,"""")</f>
        <v>* differential.element[39].id = "MinimalTreatmentSummary.diagnosis.progressionRelapseAfterEOT.majorSurgery.isOesophagus"</v>
      </c>
      <c r="C40" s="38" t="str">
        <f>CONCATENATE("* differential.element[",'Base-1'!$A45,"].path = """,'Base-1'!$B$6,".",'Base-1'!B45,"""")</f>
        <v>* differential.element[39].path = "MinimalTreatmentSummary.diagnosis.progressionRelapseAfterEOT.majorSurgery.isOesophagus"</v>
      </c>
      <c r="D40" s="38" t="str">
        <f>CONCATENATE("* differential.element[",'Base-1'!A45,"].short = """,'Base-1'!C45,"""")</f>
        <v>* differential.element[39].short = "Oesophagus involved?"</v>
      </c>
      <c r="E40" s="38" t="str">
        <f>CONCATENATE("* differential.element[",'Base-1'!A45,"].definition = """,'Base-1'!D45,"""")</f>
        <v>* differential.element[39].definition = "Was the oesophagus involved in the surgery?"</v>
      </c>
      <c r="F40" s="38" t="str">
        <f>CONCATENATE("* differential.element[",'Base-1'!A45,"].min = ",'Base-1'!E45,"")</f>
        <v>* differential.element[39].min = 0</v>
      </c>
      <c r="G40" s="38" t="str">
        <f>CONCATENATE("* differential.element[",'Base-1'!A45,"].max = """,'Base-1'!F45,"""")</f>
        <v>* differential.element[39].max = "1"</v>
      </c>
      <c r="H40" s="38" t="str">
        <f>CONCATENATE("* differential.element[",'Base-1'!A45,"].type.code = #",'Base-1'!G45,"")</f>
        <v>* differential.element[39].type.code = #CodeableConcept</v>
      </c>
      <c r="I40" s="38" t="str">
        <f>IF('Base-1'!H45&gt; "", CONCATENATE("* differential.element[",'Base-1'!A45,"].binding.valueSet = """,'Base-1'!H45,""""),"")</f>
        <v/>
      </c>
      <c r="J40" s="38" t="str">
        <f>IF('Base-1'!I45&gt; "", CONCATENATE("* differential.element[",'Base-1'!A45,"].binding.strength = #",'Base-1'!I45,""),"")</f>
        <v/>
      </c>
    </row>
    <row r="41" spans="2:10" ht="59" x14ac:dyDescent="0.75">
      <c r="B41" s="38" t="str">
        <f>CONCATENATE("* differential.element[",'Base-1'!$A46,"].id = """,'Base-1'!$B$6,".",'Base-1'!B46,"""")</f>
        <v>* differential.element[40].id = "MinimalTreatmentSummary.diagnosis.progressionRelapseAfterEOT.majorSurgery.isAbdomen"</v>
      </c>
      <c r="C41" s="38" t="str">
        <f>CONCATENATE("* differential.element[",'Base-1'!$A46,"].path = """,'Base-1'!$B$6,".",'Base-1'!B46,"""")</f>
        <v>* differential.element[40].path = "MinimalTreatmentSummary.diagnosis.progressionRelapseAfterEOT.majorSurgery.isAbdomen"</v>
      </c>
      <c r="D41" s="38" t="str">
        <f>CONCATENATE("* differential.element[",'Base-1'!A46,"].short = """,'Base-1'!C46,"""")</f>
        <v>* differential.element[40].short = "Abdomen involved?"</v>
      </c>
      <c r="E41" s="38" t="str">
        <f>CONCATENATE("* differential.element[",'Base-1'!A46,"].definition = """,'Base-1'!D46,"""")</f>
        <v>* differential.element[40].definition = "Was the abdomen involved in the surgery?"</v>
      </c>
      <c r="F41" s="38" t="str">
        <f>CONCATENATE("* differential.element[",'Base-1'!A46,"].min = ",'Base-1'!E46,"")</f>
        <v>* differential.element[40].min = 0</v>
      </c>
      <c r="G41" s="38" t="str">
        <f>CONCATENATE("* differential.element[",'Base-1'!A46,"].max = """,'Base-1'!F46,"""")</f>
        <v>* differential.element[40].max = "1"</v>
      </c>
      <c r="H41" s="38" t="str">
        <f>CONCATENATE("* differential.element[",'Base-1'!A46,"].type.code = #",'Base-1'!G46,"")</f>
        <v>* differential.element[40].type.code = #CodeableConcept</v>
      </c>
      <c r="I41" s="38" t="str">
        <f>IF('Base-1'!H46&gt; "", CONCATENATE("* differential.element[",'Base-1'!A46,"].binding.valueSet = """,'Base-1'!H46,""""),"")</f>
        <v/>
      </c>
      <c r="J41" s="38" t="str">
        <f>IF('Base-1'!I46&gt; "", CONCATENATE("* differential.element[",'Base-1'!A46,"].binding.strength = #",'Base-1'!I46,""),"")</f>
        <v/>
      </c>
    </row>
    <row r="42" spans="2:10" ht="59" x14ac:dyDescent="0.75">
      <c r="B42" s="38" t="str">
        <f>CONCATENATE("* differential.element[",'Base-1'!$A47,"].id = """,'Base-1'!$B$6,".",'Base-1'!B47,"""")</f>
        <v>* differential.element[41].id = "MinimalTreatmentSummary.diagnosis.progressionRelapseAfterEOT.majorSurgery.isBrain"</v>
      </c>
      <c r="C42" s="38" t="str">
        <f>CONCATENATE("* differential.element[",'Base-1'!$A47,"].path = """,'Base-1'!$B$6,".",'Base-1'!B47,"""")</f>
        <v>* differential.element[41].path = "MinimalTreatmentSummary.diagnosis.progressionRelapseAfterEOT.majorSurgery.isBrain"</v>
      </c>
      <c r="D42" s="38" t="str">
        <f>CONCATENATE("* differential.element[",'Base-1'!A47,"].short = """,'Base-1'!C47,"""")</f>
        <v>* differential.element[41].short = "Brain involved?"</v>
      </c>
      <c r="E42" s="38" t="str">
        <f>CONCATENATE("* differential.element[",'Base-1'!A47,"].definition = """,'Base-1'!D47,"""")</f>
        <v>* differential.element[41].definition = "Was the brain involved in the surgery?"</v>
      </c>
      <c r="F42" s="38" t="str">
        <f>CONCATENATE("* differential.element[",'Base-1'!A47,"].min = ",'Base-1'!E47,"")</f>
        <v>* differential.element[41].min = 0</v>
      </c>
      <c r="G42" s="38" t="str">
        <f>CONCATENATE("* differential.element[",'Base-1'!A47,"].max = """,'Base-1'!F47,"""")</f>
        <v>* differential.element[41].max = "1"</v>
      </c>
      <c r="H42" s="38" t="str">
        <f>CONCATENATE("* differential.element[",'Base-1'!A47,"].type.code = #",'Base-1'!G47,"")</f>
        <v>* differential.element[41].type.code = #CodeableConcept</v>
      </c>
      <c r="I42" s="38" t="str">
        <f>IF('Base-1'!H47&gt; "", CONCATENATE("* differential.element[",'Base-1'!A47,"].binding.valueSet = """,'Base-1'!H47,""""),"")</f>
        <v/>
      </c>
      <c r="J42" s="38" t="str">
        <f>IF('Base-1'!I47&gt; "", CONCATENATE("* differential.element[",'Base-1'!A47,"].binding.strength = #",'Base-1'!I47,""),"")</f>
        <v/>
      </c>
    </row>
    <row r="43" spans="2:10" ht="59" x14ac:dyDescent="0.75">
      <c r="B43" s="38" t="str">
        <f>CONCATENATE("* differential.element[",'Base-1'!$A48,"].id = """,'Base-1'!$B$6,".",'Base-1'!B48,"""")</f>
        <v>* differential.element[42].id = "MinimalTreatmentSummary.diagnosis.progressionRelapseAfterEOT.majorSurgery.isFace"</v>
      </c>
      <c r="C43" s="38" t="str">
        <f>CONCATENATE("* differential.element[",'Base-1'!$A48,"].path = """,'Base-1'!$B$6,".",'Base-1'!B48,"""")</f>
        <v>* differential.element[42].path = "MinimalTreatmentSummary.diagnosis.progressionRelapseAfterEOT.majorSurgery.isFace"</v>
      </c>
      <c r="D43" s="38" t="str">
        <f>CONCATENATE("* differential.element[",'Base-1'!A48,"].short = """,'Base-1'!C48,"""")</f>
        <v>* differential.element[42].short = "Face involved?"</v>
      </c>
      <c r="E43" s="38" t="str">
        <f>CONCATENATE("* differential.element[",'Base-1'!A48,"].definition = """,'Base-1'!D48,"""")</f>
        <v>* differential.element[42].definition = "Was the face involved in the surgery?"</v>
      </c>
      <c r="F43" s="38" t="str">
        <f>CONCATENATE("* differential.element[",'Base-1'!A48,"].min = ",'Base-1'!E48,"")</f>
        <v>* differential.element[42].min = 0</v>
      </c>
      <c r="G43" s="38" t="str">
        <f>CONCATENATE("* differential.element[",'Base-1'!A48,"].max = """,'Base-1'!F48,"""")</f>
        <v>* differential.element[42].max = "1"</v>
      </c>
      <c r="H43" s="38" t="str">
        <f>CONCATENATE("* differential.element[",'Base-1'!A48,"].type.code = #",'Base-1'!G48,"")</f>
        <v>* differential.element[42].type.code = #CodeableConcept</v>
      </c>
      <c r="I43" s="38" t="str">
        <f>IF('Base-1'!H48&gt; "", CONCATENATE("* differential.element[",'Base-1'!A48,"].binding.valueSet = """,'Base-1'!H48,""""),"")</f>
        <v/>
      </c>
      <c r="J43" s="38" t="str">
        <f>IF('Base-1'!I48&gt; "", CONCATENATE("* differential.element[",'Base-1'!A48,"].binding.strength = #",'Base-1'!I48,""),"")</f>
        <v/>
      </c>
    </row>
    <row r="44" spans="2:10" ht="59" x14ac:dyDescent="0.75">
      <c r="B44" s="38" t="str">
        <f>CONCATENATE("* differential.element[",'Base-1'!$A49,"].id = """,'Base-1'!$B$6,".",'Base-1'!B49,"""")</f>
        <v>* differential.element[43].id = "MinimalTreatmentSummary.diagnosis.progressionRelapseAfterEOT.majorSurgery.isLiver"</v>
      </c>
      <c r="C44" s="38" t="str">
        <f>CONCATENATE("* differential.element[",'Base-1'!$A49,"].path = """,'Base-1'!$B$6,".",'Base-1'!B49,"""")</f>
        <v>* differential.element[43].path = "MinimalTreatmentSummary.diagnosis.progressionRelapseAfterEOT.majorSurgery.isLiver"</v>
      </c>
      <c r="D44" s="38" t="str">
        <f>CONCATENATE("* differential.element[",'Base-1'!A49,"].short = """,'Base-1'!C49,"""")</f>
        <v>* differential.element[43].short = "Liver involved?"</v>
      </c>
      <c r="E44" s="38" t="str">
        <f>CONCATENATE("* differential.element[",'Base-1'!A49,"].definition = """,'Base-1'!D49,"""")</f>
        <v>* differential.element[43].definition = "Was the liver involved in the surgery?"</v>
      </c>
      <c r="F44" s="38" t="str">
        <f>CONCATENATE("* differential.element[",'Base-1'!A49,"].min = ",'Base-1'!E49,"")</f>
        <v>* differential.element[43].min = 0</v>
      </c>
      <c r="G44" s="38" t="str">
        <f>CONCATENATE("* differential.element[",'Base-1'!A49,"].max = """,'Base-1'!F49,"""")</f>
        <v>* differential.element[43].max = "1"</v>
      </c>
      <c r="H44" s="38" t="str">
        <f>CONCATENATE("* differential.element[",'Base-1'!A49,"].type.code = #",'Base-1'!G49,"")</f>
        <v>* differential.element[43].type.code = #CodeableConcept</v>
      </c>
      <c r="I44" s="38" t="str">
        <f>IF('Base-1'!H49&gt; "", CONCATENATE("* differential.element[",'Base-1'!A49,"].binding.valueSet = """,'Base-1'!H49,""""),"")</f>
        <v/>
      </c>
      <c r="J44" s="38" t="str">
        <f>IF('Base-1'!I49&gt; "", CONCATENATE("* differential.element[",'Base-1'!A49,"].binding.strength = #",'Base-1'!I49,""),"")</f>
        <v/>
      </c>
    </row>
    <row r="45" spans="2:10" ht="59" x14ac:dyDescent="0.75">
      <c r="B45" s="38" t="str">
        <f>CONCATENATE("* differential.element[",'Base-1'!$A50,"].id = """,'Base-1'!$B$6,".",'Base-1'!B50,"""")</f>
        <v>* differential.element[44].id = "MinimalTreatmentSummary.diagnosis.progressionRelapseAfterEOT.majorSurgery.isSpine"</v>
      </c>
      <c r="C45" s="38" t="str">
        <f>CONCATENATE("* differential.element[",'Base-1'!$A50,"].path = """,'Base-1'!$B$6,".",'Base-1'!B50,"""")</f>
        <v>* differential.element[44].path = "MinimalTreatmentSummary.diagnosis.progressionRelapseAfterEOT.majorSurgery.isSpine"</v>
      </c>
      <c r="D45" s="38" t="str">
        <f>CONCATENATE("* differential.element[",'Base-1'!A50,"].short = """,'Base-1'!C50,"""")</f>
        <v>* differential.element[44].short = "Spine involved?"</v>
      </c>
      <c r="E45" s="38" t="str">
        <f>CONCATENATE("* differential.element[",'Base-1'!A50,"].definition = """,'Base-1'!D50,"""")</f>
        <v>* differential.element[44].definition = "Was the spine involved in the surgery?"</v>
      </c>
      <c r="F45" s="38" t="str">
        <f>CONCATENATE("* differential.element[",'Base-1'!A50,"].min = ",'Base-1'!E50,"")</f>
        <v>* differential.element[44].min = 0</v>
      </c>
      <c r="G45" s="38" t="str">
        <f>CONCATENATE("* differential.element[",'Base-1'!A50,"].max = """,'Base-1'!F50,"""")</f>
        <v>* differential.element[44].max = "1"</v>
      </c>
      <c r="H45" s="38" t="str">
        <f>CONCATENATE("* differential.element[",'Base-1'!A50,"].type.code = #",'Base-1'!G50,"")</f>
        <v>* differential.element[44].type.code = #CodeableConcept</v>
      </c>
      <c r="I45" s="38" t="str">
        <f>IF('Base-1'!H50&gt; "", CONCATENATE("* differential.element[",'Base-1'!A50,"].binding.valueSet = """,'Base-1'!H50,""""),"")</f>
        <v/>
      </c>
      <c r="J45" s="38" t="str">
        <f>IF('Base-1'!I50&gt; "", CONCATENATE("* differential.element[",'Base-1'!A50,"].binding.strength = #",'Base-1'!I50,""),"")</f>
        <v/>
      </c>
    </row>
    <row r="46" spans="2:10" ht="59" x14ac:dyDescent="0.75">
      <c r="B46" s="38" t="str">
        <f>CONCATENATE("* differential.element[",'Base-1'!$A51,"].id = """,'Base-1'!$B$6,".",'Base-1'!B51,"""")</f>
        <v>* differential.element[45].id = "MinimalTreatmentSummary.diagnosis.progressionRelapseAfterEOT.majorSurgery.isSpinalCord"</v>
      </c>
      <c r="C46" s="38" t="str">
        <f>CONCATENATE("* differential.element[",'Base-1'!$A51,"].path = """,'Base-1'!$B$6,".",'Base-1'!B51,"""")</f>
        <v>* differential.element[45].path = "MinimalTreatmentSummary.diagnosis.progressionRelapseAfterEOT.majorSurgery.isSpinalCord"</v>
      </c>
      <c r="D46" s="38" t="str">
        <f>CONCATENATE("* differential.element[",'Base-1'!A51,"].short = """,'Base-1'!C51,"""")</f>
        <v>* differential.element[45].short = "Spinal Cord involved?"</v>
      </c>
      <c r="E46" s="38" t="str">
        <f>CONCATENATE("* differential.element[",'Base-1'!A51,"].definition = """,'Base-1'!D51,"""")</f>
        <v>* differential.element[45].definition = "Was the spinal cord involved in the surgery ?
"</v>
      </c>
      <c r="F46" s="38" t="str">
        <f>CONCATENATE("* differential.element[",'Base-1'!A51,"].min = ",'Base-1'!E51,"")</f>
        <v>* differential.element[45].min = 0</v>
      </c>
      <c r="G46" s="38" t="str">
        <f>CONCATENATE("* differential.element[",'Base-1'!A51,"].max = """,'Base-1'!F51,"""")</f>
        <v>* differential.element[45].max = "1"</v>
      </c>
      <c r="H46" s="38" t="str">
        <f>CONCATENATE("* differential.element[",'Base-1'!A51,"].type.code = #",'Base-1'!G51,"")</f>
        <v>* differential.element[45].type.code = #CodeableConcept</v>
      </c>
      <c r="I46" s="38" t="str">
        <f>IF('Base-1'!H51&gt; "", CONCATENATE("* differential.element[",'Base-1'!A51,"].binding.valueSet = """,'Base-1'!H51,""""),"")</f>
        <v/>
      </c>
      <c r="J46" s="38" t="str">
        <f>IF('Base-1'!I51&gt; "", CONCATENATE("* differential.element[",'Base-1'!A51,"].binding.strength = #",'Base-1'!I51,""),"")</f>
        <v/>
      </c>
    </row>
    <row r="47" spans="2:10" ht="59" x14ac:dyDescent="0.75">
      <c r="B47" s="38" t="str">
        <f>CONCATENATE("* differential.element[",'Base-1'!$A52,"].id = """,'Base-1'!$B$6,".",'Base-1'!B52,"""")</f>
        <v>* differential.element[46].id = "MinimalTreatmentSummary.diagnosis.progressionRelapseAfterEOT.majorSurgery.isSympatheticNerves"</v>
      </c>
      <c r="C47" s="38" t="str">
        <f>CONCATENATE("* differential.element[",'Base-1'!$A52,"].path = """,'Base-1'!$B$6,".",'Base-1'!B52,"""")</f>
        <v>* differential.element[46].path = "MinimalTreatmentSummary.diagnosis.progressionRelapseAfterEOT.majorSurgery.isSympatheticNerves"</v>
      </c>
      <c r="D47" s="38" t="str">
        <f>CONCATENATE("* differential.element[",'Base-1'!A52,"].short = """,'Base-1'!C52,"""")</f>
        <v>* differential.element[46].short = "Sympathetic nerves involved?"</v>
      </c>
      <c r="E47" s="38" t="str">
        <f>CONCATENATE("* differential.element[",'Base-1'!A52,"].definition = """,'Base-1'!D52,"""")</f>
        <v>* differential.element[46].definition = "Were the sympathetic nerves involved in the surgery ?"</v>
      </c>
      <c r="F47" s="38" t="str">
        <f>CONCATENATE("* differential.element[",'Base-1'!A52,"].min = ",'Base-1'!E52,"")</f>
        <v>* differential.element[46].min = 0</v>
      </c>
      <c r="G47" s="38" t="str">
        <f>CONCATENATE("* differential.element[",'Base-1'!A52,"].max = """,'Base-1'!F52,"""")</f>
        <v>* differential.element[46].max = "1"</v>
      </c>
      <c r="H47" s="38" t="str">
        <f>CONCATENATE("* differential.element[",'Base-1'!A52,"].type.code = #",'Base-1'!G52,"")</f>
        <v>* differential.element[46].type.code = #CodeableConcept</v>
      </c>
      <c r="I47" s="38" t="str">
        <f>IF('Base-1'!H52&gt; "", CONCATENATE("* differential.element[",'Base-1'!A52,"].binding.valueSet = """,'Base-1'!H52,""""),"")</f>
        <v/>
      </c>
      <c r="J47" s="38" t="str">
        <f>IF('Base-1'!I52&gt; "", CONCATENATE("* differential.element[",'Base-1'!A52,"].binding.strength = #",'Base-1'!I52,""),"")</f>
        <v/>
      </c>
    </row>
    <row r="48" spans="2:10" ht="59" x14ac:dyDescent="0.75">
      <c r="B48" s="38" t="str">
        <f>CONCATENATE("* differential.element[",'Base-1'!$A53,"].id = """,'Base-1'!$B$6,".",'Base-1'!B53,"""")</f>
        <v>* differential.element[47].id = "MinimalTreatmentSummary.diagnosis.progressionRelapseAfterEOT.majorSurgery.isChestThorax"</v>
      </c>
      <c r="C48" s="38" t="str">
        <f>CONCATENATE("* differential.element[",'Base-1'!$A53,"].path = """,'Base-1'!$B$6,".",'Base-1'!B53,"""")</f>
        <v>* differential.element[47].path = "MinimalTreatmentSummary.diagnosis.progressionRelapseAfterEOT.majorSurgery.isChestThorax"</v>
      </c>
      <c r="D48" s="38" t="str">
        <f>CONCATENATE("* differential.element[",'Base-1'!A53,"].short = """,'Base-1'!C53,"""")</f>
        <v>* differential.element[47].short = "Chest/thorax involved?"</v>
      </c>
      <c r="E48" s="38" t="str">
        <f>CONCATENATE("* differential.element[",'Base-1'!A53,"].definition = """,'Base-1'!D53,"""")</f>
        <v>* differential.element[47].definition = "Was the chest or thorax involved in the surgery?
This does not include a central venous catheter (CVC)"</v>
      </c>
      <c r="F48" s="38" t="str">
        <f>CONCATENATE("* differential.element[",'Base-1'!A53,"].min = ",'Base-1'!E53,"")</f>
        <v>* differential.element[47].min = 0</v>
      </c>
      <c r="G48" s="38" t="str">
        <f>CONCATENATE("* differential.element[",'Base-1'!A53,"].max = """,'Base-1'!F53,"""")</f>
        <v>* differential.element[47].max = "1"</v>
      </c>
      <c r="H48" s="38" t="str">
        <f>CONCATENATE("* differential.element[",'Base-1'!A53,"].type.code = #",'Base-1'!G53,"")</f>
        <v>* differential.element[47].type.code = #CodeableConcept</v>
      </c>
      <c r="I48" s="38" t="str">
        <f>IF('Base-1'!H53&gt; "", CONCATENATE("* differential.element[",'Base-1'!A53,"].binding.valueSet = """,'Base-1'!H53,""""),"")</f>
        <v/>
      </c>
      <c r="J48" s="38" t="str">
        <f>IF('Base-1'!I53&gt; "", CONCATENATE("* differential.element[",'Base-1'!A53,"].binding.strength = #",'Base-1'!I53,""),"")</f>
        <v/>
      </c>
    </row>
    <row r="49" spans="2:10" ht="59" x14ac:dyDescent="0.75">
      <c r="B49" s="38" t="str">
        <f>CONCATENATE("* differential.element[",'Base-1'!$A54,"].id = """,'Base-1'!$B$6,".",'Base-1'!B54,"""")</f>
        <v>* differential.element[48].id = "MinimalTreatmentSummary.diagnosis.progressionRelapseAfterEOT.majorSurgery.isPelvis"</v>
      </c>
      <c r="C49" s="38" t="str">
        <f>CONCATENATE("* differential.element[",'Base-1'!$A54,"].path = """,'Base-1'!$B$6,".",'Base-1'!B54,"""")</f>
        <v>* differential.element[48].path = "MinimalTreatmentSummary.diagnosis.progressionRelapseAfterEOT.majorSurgery.isPelvis"</v>
      </c>
      <c r="D49" s="38" t="str">
        <f>CONCATENATE("* differential.element[",'Base-1'!A54,"].short = """,'Base-1'!C54,"""")</f>
        <v>* differential.element[48].short = "Pelvis involved?"</v>
      </c>
      <c r="E49" s="38" t="str">
        <f>CONCATENATE("* differential.element[",'Base-1'!A54,"].definition = """,'Base-1'!D54,"""")</f>
        <v>* differential.element[48].definition = "Was the pelvis involved in the surgery ?"</v>
      </c>
      <c r="F49" s="38" t="str">
        <f>CONCATENATE("* differential.element[",'Base-1'!A54,"].min = ",'Base-1'!E54,"")</f>
        <v>* differential.element[48].min = 0</v>
      </c>
      <c r="G49" s="38" t="str">
        <f>CONCATENATE("* differential.element[",'Base-1'!A54,"].max = """,'Base-1'!F54,"""")</f>
        <v>* differential.element[48].max = "1"</v>
      </c>
      <c r="H49" s="38" t="str">
        <f>CONCATENATE("* differential.element[",'Base-1'!A54,"].type.code = #",'Base-1'!G54,"")</f>
        <v>* differential.element[48].type.code = #CodeableConcept</v>
      </c>
      <c r="I49" s="38" t="str">
        <f>IF('Base-1'!H54&gt; "", CONCATENATE("* differential.element[",'Base-1'!A54,"].binding.valueSet = """,'Base-1'!H54,""""),"")</f>
        <v/>
      </c>
      <c r="J49" s="38" t="str">
        <f>IF('Base-1'!I54&gt; "", CONCATENATE("* differential.element[",'Base-1'!A54,"].binding.strength = #",'Base-1'!I54,""),"")</f>
        <v/>
      </c>
    </row>
    <row r="50" spans="2:10" ht="59" x14ac:dyDescent="0.75">
      <c r="B50" s="38" t="str">
        <f>CONCATENATE("* differential.element[",'Base-1'!$A55,"].id = """,'Base-1'!$B$6,".",'Base-1'!B55,"""")</f>
        <v>* differential.element[49].id = "MinimalTreatmentSummary.diagnosis.progressionRelapseAfterEOT.majorSurgery.sacrifiedOrgans"</v>
      </c>
      <c r="C50" s="38" t="str">
        <f>CONCATENATE("* differential.element[",'Base-1'!$A55,"].path = """,'Base-1'!$B$6,".",'Base-1'!B55,"""")</f>
        <v>* differential.element[49].path = "MinimalTreatmentSummary.diagnosis.progressionRelapseAfterEOT.majorSurgery.sacrifiedOrgans"</v>
      </c>
      <c r="D50" s="38" t="str">
        <f>CONCATENATE("* differential.element[",'Base-1'!A55,"].short = """,'Base-1'!C55,"""")</f>
        <v>* differential.element[49].short = "Sacrified Organs"</v>
      </c>
      <c r="E50" s="38" t="str">
        <f>CONCATENATE("* differential.element[",'Base-1'!A55,"].definition = """,'Base-1'!D55,"""")</f>
        <v>* differential.element[49].definition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v>
      </c>
      <c r="F50" s="38" t="str">
        <f>CONCATENATE("* differential.element[",'Base-1'!A55,"].min = ",'Base-1'!E55,"")</f>
        <v>* differential.element[49].min = 0</v>
      </c>
      <c r="G50" s="38" t="str">
        <f>CONCATENATE("* differential.element[",'Base-1'!A55,"].max = """,'Base-1'!F55,"""")</f>
        <v>* differential.element[49].max = "*"</v>
      </c>
      <c r="H50" s="38" t="str">
        <f>CONCATENATE("* differential.element[",'Base-1'!A55,"].type.code = #",'Base-1'!G55,"")</f>
        <v>* differential.element[49].type.code = #CodeableConcept</v>
      </c>
      <c r="I50" s="38" t="str">
        <f>IF('Base-1'!H55&gt; "", CONCATENATE("* differential.element[",'Base-1'!A55,"].binding.valueSet = """,'Base-1'!H55,""""),"")</f>
        <v/>
      </c>
      <c r="J50" s="38" t="str">
        <f>IF('Base-1'!I55&gt; "", CONCATENATE("* differential.element[",'Base-1'!A55,"].binding.strength = #",'Base-1'!I55,""),"")</f>
        <v/>
      </c>
    </row>
    <row r="51" spans="2:10" ht="103.25" x14ac:dyDescent="0.75">
      <c r="B51" s="38" t="str">
        <f>CONCATENATE("* differential.element[",'Base-1'!$A56,"].id = """,'Base-1'!$B$6,".",'Base-1'!B56,"""")</f>
        <v>* differential.element[50].id = "MinimalTreatmentSummary.diagnosis.progressionRelapseAfterEOT.majorSurgery.shuntApplied"</v>
      </c>
      <c r="C51" s="38" t="str">
        <f>CONCATENATE("* differential.element[",'Base-1'!$A56,"].path = """,'Base-1'!$B$6,".",'Base-1'!B56,"""")</f>
        <v>* differential.element[50].path = "MinimalTreatmentSummary.diagnosis.progressionRelapseAfterEOT.majorSurgery.shuntApplied"</v>
      </c>
      <c r="D51" s="38" t="str">
        <f>CONCATENATE("* differential.element[",'Base-1'!A56,"].short = """,'Base-1'!C56,"""")</f>
        <v>* differential.element[50].short = "Shunt application"</v>
      </c>
      <c r="E51" s="38" t="str">
        <f>CONCATENATE("* differential.element[",'Base-1'!A56,"].definition = """,'Base-1'!D56,"""")</f>
        <v>* differential.element[50].definition = "Please report if a cerebrovascular shunt was inserted 
1 =&gt; Yes 
2 =&gt; No
 -9911 =&gt; NA
 -9922 =&gt; NK"</v>
      </c>
      <c r="F51" s="38" t="str">
        <f>CONCATENATE("* differential.element[",'Base-1'!A56,"].min = ",'Base-1'!E56,"")</f>
        <v>* differential.element[50].min = 0</v>
      </c>
      <c r="G51" s="38" t="str">
        <f>CONCATENATE("* differential.element[",'Base-1'!A56,"].max = """,'Base-1'!F56,"""")</f>
        <v>* differential.element[50].max = "1"</v>
      </c>
      <c r="H51" s="38" t="str">
        <f>CONCATENATE("* differential.element[",'Base-1'!A56,"].type.code = #",'Base-1'!G56,"")</f>
        <v>* differential.element[50].type.code = #CodeableConcept</v>
      </c>
      <c r="I51" s="38" t="str">
        <f>IF('Base-1'!H56&gt; "", CONCATENATE("* differential.element[",'Base-1'!A56,"].binding.valueSet = """,'Base-1'!H56,""""),"")</f>
        <v/>
      </c>
      <c r="J51" s="38" t="str">
        <f>IF('Base-1'!I56&gt; "", CONCATENATE("* differential.element[",'Base-1'!A56,"].binding.strength = #",'Base-1'!I56,""),"")</f>
        <v/>
      </c>
    </row>
    <row r="52" spans="2:10" ht="59" x14ac:dyDescent="0.75">
      <c r="B52" s="38" t="str">
        <f>CONCATENATE("* differential.element[",'Base-1'!$A57,"].id = """,'Base-1'!$B$6,".",'Base-1'!B57,"""")</f>
        <v>* differential.element[51].id = "MinimalTreatmentSummary.diagnosis.progressionRelapseAfterEOT.otherInfo"</v>
      </c>
      <c r="C52" s="38" t="str">
        <f>CONCATENATE("* differential.element[",'Base-1'!$A57,"].path = """,'Base-1'!$B$6,".",'Base-1'!B57,"""")</f>
        <v>* differential.element[51].path = "MinimalTreatmentSummary.diagnosis.progressionRelapseAfterEOT.otherInfo"</v>
      </c>
      <c r="D52" s="38" t="str">
        <f>CONCATENATE("* differential.element[",'Base-1'!A57,"].short = """,'Base-1'!C57,"""")</f>
        <v>* differential.element[51].short = "Other info and relevant events"</v>
      </c>
      <c r="E52" s="38" t="str">
        <f>CONCATENATE("* differential.element[",'Base-1'!A57,"].definition = """,'Base-1'!D57,"""")</f>
        <v>* differential.element[51].definition = "Other info and relevant events"</v>
      </c>
      <c r="F52" s="38" t="str">
        <f>CONCATENATE("* differential.element[",'Base-1'!A57,"].min = ",'Base-1'!E57,"")</f>
        <v>* differential.element[51].min = 1</v>
      </c>
      <c r="G52" s="38" t="str">
        <f>CONCATENATE("* differential.element[",'Base-1'!A57,"].max = """,'Base-1'!F57,"""")</f>
        <v>* differential.element[51].max = "1"</v>
      </c>
      <c r="H52" s="38" t="str">
        <f>CONCATENATE("* differential.element[",'Base-1'!A57,"].type.code = #",'Base-1'!G57,"")</f>
        <v>* differential.element[51].type.code = #BackboneElement</v>
      </c>
      <c r="I52" s="38" t="str">
        <f>IF('Base-1'!H57&gt; "", CONCATENATE("* differential.element[",'Base-1'!A57,"].binding.valueSet = """,'Base-1'!H57,""""),"")</f>
        <v/>
      </c>
      <c r="J52" s="38" t="str">
        <f>IF('Base-1'!I57&gt; "", CONCATENATE("* differential.element[",'Base-1'!A57,"].binding.strength = #",'Base-1'!I57,""),"")</f>
        <v/>
      </c>
    </row>
    <row r="53" spans="2:10" ht="73.75" x14ac:dyDescent="0.75">
      <c r="B53" s="38" t="str">
        <f>CONCATENATE("* differential.element[",'Base-1'!$A58,"].id = """,'Base-1'!$B$6,".",'Base-1'!B58,"""")</f>
        <v>* differential.element[52].id = "MinimalTreatmentSummary.diagnosis.progressionRelapseAfterEOT.otherInfo.hypogonadal"</v>
      </c>
      <c r="C53" s="38" t="str">
        <f>CONCATENATE("* differential.element[",'Base-1'!$A58,"].path = """,'Base-1'!$B$6,".",'Base-1'!B58,"""")</f>
        <v>* differential.element[52].path = "MinimalTreatmentSummary.diagnosis.progressionRelapseAfterEOT.otherInfo.hypogonadal"</v>
      </c>
      <c r="D53" s="38" t="str">
        <f>CONCATENATE("* differential.element[",'Base-1'!A58,"].short = """,'Base-1'!C58,"""")</f>
        <v>* differential.element[52].short = "Hypogonadal ?"</v>
      </c>
      <c r="E53" s="38" t="str">
        <f>CONCATENATE("* differential.element[",'Base-1'!A58,"].definition = """,'Base-1'!D58,"""")</f>
        <v>* differential.element[52].definition = "Please specify if hypogonadal occured during therapy
1 =&gt; Yes
2 =&gt; No
-9922 =&gt; NK"</v>
      </c>
      <c r="F53" s="38" t="str">
        <f>CONCATENATE("* differential.element[",'Base-1'!A58,"].min = ",'Base-1'!E58,"")</f>
        <v>* differential.element[52].min = 0</v>
      </c>
      <c r="G53" s="38" t="str">
        <f>CONCATENATE("* differential.element[",'Base-1'!A58,"].max = """,'Base-1'!F58,"""")</f>
        <v>* differential.element[52].max = "1"</v>
      </c>
      <c r="H53" s="38" t="str">
        <f>CONCATENATE("* differential.element[",'Base-1'!A58,"].type.code = #",'Base-1'!G58,"")</f>
        <v>* differential.element[52].type.code = #CodeableConcept</v>
      </c>
      <c r="I53" s="38" t="str">
        <f>IF('Base-1'!H58&gt; "", CONCATENATE("* differential.element[",'Base-1'!A58,"].binding.valueSet = """,'Base-1'!H58,""""),"")</f>
        <v/>
      </c>
      <c r="J53" s="38" t="str">
        <f>IF('Base-1'!I58&gt; "", CONCATENATE("* differential.element[",'Base-1'!A58,"].binding.strength = #",'Base-1'!I58,""),"")</f>
        <v/>
      </c>
    </row>
    <row r="54" spans="2:10" ht="59" x14ac:dyDescent="0.75">
      <c r="B54" s="38" t="str">
        <f>CONCATENATE("* differential.element[",'Base-1'!$A59,"].id = """,'Base-1'!$B$6,".",'Base-1'!B59,"""")</f>
        <v>* differential.element[53].id = "MinimalTreatmentSummary.diagnosis.progressionRelapseAfterEOT.otherInfo.growthHormoneDeficiency"</v>
      </c>
      <c r="C54" s="38" t="str">
        <f>CONCATENATE("* differential.element[",'Base-1'!$A59,"].path = """,'Base-1'!$B$6,".",'Base-1'!B59,"""")</f>
        <v>* differential.element[53].path = "MinimalTreatmentSummary.diagnosis.progressionRelapseAfterEOT.otherInfo.growthHormoneDeficiency"</v>
      </c>
      <c r="D54" s="38" t="str">
        <f>CONCATENATE("* differential.element[",'Base-1'!A59,"].short = """,'Base-1'!C59,"""")</f>
        <v>* differential.element[53].short = "Growth hormone deficiency ?"</v>
      </c>
      <c r="E54" s="38" t="str">
        <f>CONCATENATE("* differential.element[",'Base-1'!A59,"].definition = """,'Base-1'!D59,"""")</f>
        <v>* differential.element[53].definition = "Please specify if growth hormon deficiency occured during therapy"</v>
      </c>
      <c r="F54" s="38" t="str">
        <f>CONCATENATE("* differential.element[",'Base-1'!A59,"].min = ",'Base-1'!E59,"")</f>
        <v>* differential.element[53].min = 0</v>
      </c>
      <c r="G54" s="38" t="str">
        <f>CONCATENATE("* differential.element[",'Base-1'!A59,"].max = """,'Base-1'!F59,"""")</f>
        <v>* differential.element[53].max = "1"</v>
      </c>
      <c r="H54" s="38" t="str">
        <f>CONCATENATE("* differential.element[",'Base-1'!A59,"].type.code = #",'Base-1'!G59,"")</f>
        <v>* differential.element[53].type.code = #CodeableConcept</v>
      </c>
      <c r="I54" s="38" t="str">
        <f>IF('Base-1'!H59&gt; "", CONCATENATE("* differential.element[",'Base-1'!A59,"].binding.valueSet = """,'Base-1'!H59,""""),"")</f>
        <v/>
      </c>
      <c r="J54" s="38" t="str">
        <f>IF('Base-1'!I59&gt; "", CONCATENATE("* differential.element[",'Base-1'!A59,"].binding.strength = #",'Base-1'!I59,""),"")</f>
        <v/>
      </c>
    </row>
    <row r="55" spans="2:10" ht="59" x14ac:dyDescent="0.75">
      <c r="B55" s="38" t="str">
        <f>CONCATENATE("* differential.element[",'Base-1'!$A60,"].id = """,'Base-1'!$B$6,".",'Base-1'!B60,"""")</f>
        <v>* differential.element[54].id = "MinimalTreatmentSummary.diagnosis.progressionRelapseAfterEOT.otherInfo.hydrocephalus"</v>
      </c>
      <c r="C55" s="38" t="str">
        <f>CONCATENATE("* differential.element[",'Base-1'!$A60,"].path = """,'Base-1'!$B$6,".",'Base-1'!B60,"""")</f>
        <v>* differential.element[54].path = "MinimalTreatmentSummary.diagnosis.progressionRelapseAfterEOT.otherInfo.hydrocephalus"</v>
      </c>
      <c r="D55" s="38" t="str">
        <f>CONCATENATE("* differential.element[",'Base-1'!A60,"].short = """,'Base-1'!C60,"""")</f>
        <v>* differential.element[54].short = "Hydrocephalus ?"</v>
      </c>
      <c r="E55" s="38" t="str">
        <f>CONCATENATE("* differential.element[",'Base-1'!A60,"].definition = """,'Base-1'!D60,"""")</f>
        <v>* differential.element[54].definition = "Please specify if hydrocephalus occured during therapy"</v>
      </c>
      <c r="F55" s="38" t="str">
        <f>CONCATENATE("* differential.element[",'Base-1'!A60,"].min = ",'Base-1'!E60,"")</f>
        <v>* differential.element[54].min = 0</v>
      </c>
      <c r="G55" s="38" t="str">
        <f>CONCATENATE("* differential.element[",'Base-1'!A60,"].max = """,'Base-1'!F60,"""")</f>
        <v>* differential.element[54].max = "1"</v>
      </c>
      <c r="H55" s="38" t="str">
        <f>CONCATENATE("* differential.element[",'Base-1'!A60,"].type.code = #",'Base-1'!G60,"")</f>
        <v>* differential.element[54].type.code = #CodeableConcept</v>
      </c>
      <c r="I55" s="38" t="str">
        <f>IF('Base-1'!H60&gt; "", CONCATENATE("* differential.element[",'Base-1'!A60,"].binding.valueSet = """,'Base-1'!H60,""""),"")</f>
        <v/>
      </c>
      <c r="J55" s="38" t="str">
        <f>IF('Base-1'!I60&gt; "", CONCATENATE("* differential.element[",'Base-1'!A60,"].binding.strength = #",'Base-1'!I60,""),"")</f>
        <v/>
      </c>
    </row>
    <row r="56" spans="2:10" ht="59" x14ac:dyDescent="0.75">
      <c r="B56" s="38" t="str">
        <f>CONCATENATE("* differential.element[",'Base-1'!$A61,"].id = """,'Base-1'!$B$6,".",'Base-1'!B61,"""")</f>
        <v>* differential.element[55].id = "MinimalTreatmentSummary.diagnosis.progressionRelapseAfterEOT.otherInfo.chronicViralHepatitis"</v>
      </c>
      <c r="C56" s="38" t="str">
        <f>CONCATENATE("* differential.element[",'Base-1'!$A61,"].path = """,'Base-1'!$B$6,".",'Base-1'!B61,"""")</f>
        <v>* differential.element[55].path = "MinimalTreatmentSummary.diagnosis.progressionRelapseAfterEOT.otherInfo.chronicViralHepatitis"</v>
      </c>
      <c r="D56" s="38" t="str">
        <f>CONCATENATE("* differential.element[",'Base-1'!A61,"].short = """,'Base-1'!C61,"""")</f>
        <v>* differential.element[55].short = "Chronic viral hepatitis ?"</v>
      </c>
      <c r="E56" s="38" t="str">
        <f>CONCATENATE("* differential.element[",'Base-1'!A61,"].definition = """,'Base-1'!D61,"""")</f>
        <v>* differential.element[55].definition = "Please specify if chronic viral hepatitis occured during therapy"</v>
      </c>
      <c r="F56" s="38" t="str">
        <f>CONCATENATE("* differential.element[",'Base-1'!A61,"].min = ",'Base-1'!E61,"")</f>
        <v>* differential.element[55].min = 0</v>
      </c>
      <c r="G56" s="38" t="str">
        <f>CONCATENATE("* differential.element[",'Base-1'!A61,"].max = """,'Base-1'!F61,"""")</f>
        <v>* differential.element[55].max = "1"</v>
      </c>
      <c r="H56" s="38" t="str">
        <f>CONCATENATE("* differential.element[",'Base-1'!A61,"].type.code = #",'Base-1'!G61,"")</f>
        <v>* differential.element[55].type.code = #CodeableConcept</v>
      </c>
      <c r="I56" s="38" t="str">
        <f>IF('Base-1'!H61&gt; "", CONCATENATE("* differential.element[",'Base-1'!A61,"].binding.valueSet = """,'Base-1'!H61,""""),"")</f>
        <v/>
      </c>
      <c r="J56" s="38" t="str">
        <f>IF('Base-1'!I61&gt; "", CONCATENATE("* differential.element[",'Base-1'!A61,"].binding.strength = #",'Base-1'!I61,""),"")</f>
        <v/>
      </c>
    </row>
    <row r="57" spans="2:10" ht="59" x14ac:dyDescent="0.75">
      <c r="B57" s="38" t="str">
        <f>CONCATENATE("* differential.element[",'Base-1'!$A62,"].id = """,'Base-1'!$B$6,".",'Base-1'!B62,"""")</f>
        <v>* differential.element[56].id = "MinimalTreatmentSummary.diagnosis.progressionRelapseAfterEOT.otherInfo.sinusoidalObstructionSyndrome"</v>
      </c>
      <c r="C57" s="38" t="str">
        <f>CONCATENATE("* differential.element[",'Base-1'!$A62,"].path = """,'Base-1'!$B$6,".",'Base-1'!B62,"""")</f>
        <v>* differential.element[56].path = "MinimalTreatmentSummary.diagnosis.progressionRelapseAfterEOT.otherInfo.sinusoidalObstructionSyndrome"</v>
      </c>
      <c r="D57" s="38" t="str">
        <f>CONCATENATE("* differential.element[",'Base-1'!A62,"].short = """,'Base-1'!C62,"""")</f>
        <v>* differential.element[56].short = "Sinusoidal obstruction syndrome ?"</v>
      </c>
      <c r="E57" s="38" t="str">
        <f>CONCATENATE("* differential.element[",'Base-1'!A62,"].definition = """,'Base-1'!D62,"""")</f>
        <v>* differential.element[56].definition = "Please specify if sinusoidal obstruction syndrome occuredduring therapy"</v>
      </c>
      <c r="F57" s="38" t="str">
        <f>CONCATENATE("* differential.element[",'Base-1'!A62,"].min = ",'Base-1'!E62,"")</f>
        <v>* differential.element[56].min = 0</v>
      </c>
      <c r="G57" s="38" t="str">
        <f>CONCATENATE("* differential.element[",'Base-1'!A62,"].max = """,'Base-1'!F62,"""")</f>
        <v>* differential.element[56].max = "1"</v>
      </c>
      <c r="H57" s="38" t="str">
        <f>CONCATENATE("* differential.element[",'Base-1'!A62,"].type.code = #",'Base-1'!G62,"")</f>
        <v>* differential.element[56].type.code = #CodeableConcept</v>
      </c>
      <c r="I57" s="38" t="str">
        <f>IF('Base-1'!H62&gt; "", CONCATENATE("* differential.element[",'Base-1'!A62,"].binding.valueSet = """,'Base-1'!H62,""""),"")</f>
        <v/>
      </c>
      <c r="J57" s="38" t="str">
        <f>IF('Base-1'!I62&gt; "", CONCATENATE("* differential.element[",'Base-1'!A62,"].binding.strength = #",'Base-1'!I62,""),"")</f>
        <v/>
      </c>
    </row>
    <row r="58" spans="2:10" ht="59" x14ac:dyDescent="0.75">
      <c r="B58" s="38" t="str">
        <f>CONCATENATE("* differential.element[",'Base-1'!$A63,"].id = """,'Base-1'!$B$6,".",'Base-1'!B63,"""")</f>
        <v>* differential.element[57].id = "MinimalTreatmentSummary.diagnosis.progressionRelapseAfterEOT.otherInfo.moreOf10Transfusions"</v>
      </c>
      <c r="C58" s="38" t="str">
        <f>CONCATENATE("* differential.element[",'Base-1'!$A63,"].path = """,'Base-1'!$B$6,".",'Base-1'!B63,"""")</f>
        <v>* differential.element[57].path = "MinimalTreatmentSummary.diagnosis.progressionRelapseAfterEOT.otherInfo.moreOf10Transfusions"</v>
      </c>
      <c r="D58" s="38" t="str">
        <f>CONCATENATE("* differential.element[",'Base-1'!A63,"].short = """,'Base-1'!C63,"""")</f>
        <v>* differential.element[57].short = "&gt;= 10 Transfusions ?"</v>
      </c>
      <c r="E58" s="38" t="str">
        <f>CONCATENATE("* differential.element[",'Base-1'!A63,"].definition = """,'Base-1'!D63,"""")</f>
        <v>* differential.element[57].definition = "Please specify if patient recieved 10 or more than 10 trasfusions during therapy"</v>
      </c>
      <c r="F58" s="38" t="str">
        <f>CONCATENATE("* differential.element[",'Base-1'!A63,"].min = ",'Base-1'!E63,"")</f>
        <v>* differential.element[57].min = 0</v>
      </c>
      <c r="G58" s="38" t="str">
        <f>CONCATENATE("* differential.element[",'Base-1'!A63,"].max = """,'Base-1'!F63,"""")</f>
        <v>* differential.element[57].max = "1"</v>
      </c>
      <c r="H58" s="38" t="str">
        <f>CONCATENATE("* differential.element[",'Base-1'!A63,"].type.code = #",'Base-1'!G63,"")</f>
        <v>* differential.element[57].type.code = #CodeableConcept</v>
      </c>
      <c r="I58" s="38" t="str">
        <f>IF('Base-1'!H63&gt; "", CONCATENATE("* differential.element[",'Base-1'!A63,"].binding.valueSet = """,'Base-1'!H63,""""),"")</f>
        <v/>
      </c>
      <c r="J58" s="38" t="str">
        <f>IF('Base-1'!I63&gt; "", CONCATENATE("* differential.element[",'Base-1'!A63,"].binding.strength = #",'Base-1'!I63,""),"")</f>
        <v/>
      </c>
    </row>
    <row r="59" spans="2:10" x14ac:dyDescent="0.75">
      <c r="B59" s="38"/>
      <c r="C59" s="38"/>
      <c r="D59" s="38"/>
      <c r="E59" s="38"/>
      <c r="F59" s="38"/>
      <c r="G59" s="38"/>
      <c r="H59" s="38"/>
      <c r="I59" s="38"/>
      <c r="J59" s="38"/>
    </row>
    <row r="60" spans="2:10" x14ac:dyDescent="0.75">
      <c r="B60" s="38"/>
      <c r="C60" s="38"/>
      <c r="D60" s="38"/>
      <c r="E60" s="38"/>
      <c r="F60" s="38"/>
      <c r="G60" s="38"/>
      <c r="H60" s="38"/>
      <c r="I60" s="38"/>
      <c r="J60" s="38"/>
    </row>
    <row r="61" spans="2:10" x14ac:dyDescent="0.75">
      <c r="B61" s="38"/>
      <c r="C61" s="38"/>
      <c r="D61" s="38"/>
      <c r="E61" s="38"/>
      <c r="F61" s="38"/>
      <c r="G61" s="38"/>
      <c r="H61" s="38"/>
      <c r="I61" s="38"/>
      <c r="J61" s="38"/>
    </row>
    <row r="62" spans="2:10" x14ac:dyDescent="0.75">
      <c r="B62" s="38"/>
      <c r="C62" s="38"/>
      <c r="D62" s="38"/>
      <c r="E62" s="38"/>
      <c r="F62" s="38"/>
      <c r="G62" s="38"/>
      <c r="H62" s="38"/>
      <c r="I62" s="38"/>
      <c r="J62" s="38"/>
    </row>
    <row r="63" spans="2:10" x14ac:dyDescent="0.75">
      <c r="B63" s="38"/>
      <c r="C63" s="38"/>
      <c r="D63" s="38"/>
      <c r="E63" s="38"/>
      <c r="F63" s="38"/>
      <c r="G63" s="38"/>
      <c r="H63" s="38"/>
      <c r="I63" s="38"/>
      <c r="J63" s="38"/>
    </row>
    <row r="64" spans="2:10" x14ac:dyDescent="0.75">
      <c r="B64" s="38"/>
      <c r="C64" s="38"/>
      <c r="D64" s="38"/>
      <c r="E64" s="38"/>
      <c r="F64" s="38"/>
      <c r="G64" s="38"/>
      <c r="H64" s="38"/>
      <c r="I64" s="38"/>
      <c r="J64" s="38"/>
    </row>
    <row r="65" spans="2:10" x14ac:dyDescent="0.75">
      <c r="B65" s="38"/>
      <c r="C65" s="38"/>
      <c r="D65" s="38"/>
      <c r="E65" s="38"/>
      <c r="F65" s="38"/>
      <c r="G65" s="38"/>
      <c r="H65" s="38"/>
      <c r="I65" s="38"/>
      <c r="J65" s="38"/>
    </row>
    <row r="66" spans="2:10" x14ac:dyDescent="0.75">
      <c r="B66" s="38"/>
      <c r="C66" s="38"/>
      <c r="D66" s="38"/>
      <c r="E66" s="38"/>
      <c r="F66" s="38"/>
      <c r="G66" s="38"/>
      <c r="H66" s="38"/>
      <c r="I66" s="38"/>
      <c r="J66" s="38"/>
    </row>
    <row r="67" spans="2:10" x14ac:dyDescent="0.75">
      <c r="B67" s="38"/>
      <c r="C67" s="38"/>
      <c r="D67" s="38"/>
      <c r="E67" s="38"/>
      <c r="F67" s="38"/>
      <c r="G67" s="38"/>
      <c r="H67" s="38"/>
      <c r="I67" s="38"/>
      <c r="J67" s="38"/>
    </row>
    <row r="68" spans="2:10" x14ac:dyDescent="0.75">
      <c r="B68" s="38"/>
      <c r="C68" s="38"/>
      <c r="D68" s="38"/>
      <c r="E68" s="38"/>
      <c r="F68" s="38"/>
      <c r="G68" s="38"/>
      <c r="H68" s="38"/>
      <c r="I68" s="38"/>
      <c r="J68" s="38"/>
    </row>
    <row r="69" spans="2:10" x14ac:dyDescent="0.75">
      <c r="B69" s="38"/>
      <c r="C69" s="38"/>
      <c r="D69" s="38"/>
      <c r="E69" s="38"/>
      <c r="F69" s="38"/>
      <c r="G69" s="38"/>
      <c r="H69" s="38"/>
      <c r="I69" s="38"/>
      <c r="J69" s="38"/>
    </row>
    <row r="70" spans="2:10" x14ac:dyDescent="0.75">
      <c r="B70" s="38"/>
      <c r="C70" s="38"/>
      <c r="D70" s="38"/>
      <c r="E70" s="38"/>
      <c r="F70" s="38"/>
      <c r="G70" s="38"/>
      <c r="H70" s="38"/>
      <c r="I70" s="38"/>
      <c r="J70" s="38"/>
    </row>
    <row r="71" spans="2:10" x14ac:dyDescent="0.75">
      <c r="B71" s="38"/>
      <c r="C71" s="38"/>
      <c r="D71" s="38"/>
      <c r="E71" s="38"/>
      <c r="F71" s="38"/>
      <c r="G71" s="38"/>
      <c r="H71" s="38"/>
      <c r="I71" s="38"/>
      <c r="J71" s="38"/>
    </row>
    <row r="72" spans="2:10" x14ac:dyDescent="0.75">
      <c r="B72" s="38"/>
      <c r="C72" s="38"/>
      <c r="D72" s="38"/>
      <c r="E72" s="38"/>
      <c r="F72" s="38"/>
      <c r="G72" s="38"/>
      <c r="H72" s="38"/>
      <c r="I72" s="38"/>
      <c r="J72" s="38"/>
    </row>
    <row r="73" spans="2:10" x14ac:dyDescent="0.75">
      <c r="B73" s="38"/>
      <c r="C73" s="38"/>
      <c r="D73" s="38"/>
      <c r="E73" s="38"/>
      <c r="F73" s="38"/>
      <c r="G73" s="38"/>
      <c r="H73" s="38"/>
      <c r="I73" s="38"/>
      <c r="J73" s="38"/>
    </row>
    <row r="74" spans="2:10" x14ac:dyDescent="0.75">
      <c r="B74" s="38"/>
      <c r="C74" s="38"/>
      <c r="D74" s="38"/>
      <c r="E74" s="38"/>
      <c r="F74" s="38"/>
      <c r="G74" s="38"/>
      <c r="H74" s="38"/>
      <c r="I74" s="38"/>
      <c r="J74" s="38"/>
    </row>
    <row r="75" spans="2:10" x14ac:dyDescent="0.75">
      <c r="B75" s="38"/>
      <c r="C75" s="38"/>
      <c r="D75" s="38"/>
      <c r="E75" s="38"/>
      <c r="F75" s="38"/>
      <c r="G75" s="38"/>
      <c r="H75" s="38"/>
      <c r="I75" s="38"/>
      <c r="J75" s="38"/>
    </row>
    <row r="76" spans="2:10" x14ac:dyDescent="0.75">
      <c r="B76" s="38"/>
      <c r="C76" s="38"/>
      <c r="D76" s="38"/>
      <c r="E76" s="38"/>
      <c r="F76" s="38"/>
      <c r="G76" s="38"/>
      <c r="H76" s="38"/>
      <c r="I76" s="38"/>
      <c r="J76" s="38"/>
    </row>
    <row r="77" spans="2:10" x14ac:dyDescent="0.75">
      <c r="B77" s="38"/>
      <c r="C77" s="38"/>
      <c r="D77" s="38"/>
      <c r="E77" s="38"/>
      <c r="F77" s="38"/>
      <c r="G77" s="38"/>
      <c r="H77" s="38"/>
      <c r="I77" s="38"/>
      <c r="J77" s="38"/>
    </row>
    <row r="78" spans="2:10" x14ac:dyDescent="0.75">
      <c r="B78" s="38"/>
      <c r="C78" s="38"/>
      <c r="D78" s="38"/>
      <c r="E78" s="38"/>
      <c r="F78" s="38"/>
      <c r="G78" s="38"/>
      <c r="H78" s="38"/>
      <c r="I78" s="38"/>
      <c r="J78" s="38"/>
    </row>
    <row r="79" spans="2:10" x14ac:dyDescent="0.75">
      <c r="B79" s="38"/>
      <c r="C79" s="38"/>
      <c r="D79" s="38"/>
      <c r="E79" s="38"/>
      <c r="F79" s="38"/>
      <c r="G79" s="38"/>
      <c r="H79" s="38"/>
      <c r="I79" s="38"/>
      <c r="J79" s="38"/>
    </row>
    <row r="80" spans="2:10" x14ac:dyDescent="0.75">
      <c r="B80" s="38"/>
      <c r="C80" s="38"/>
      <c r="D80" s="38"/>
      <c r="E80" s="38"/>
      <c r="F80" s="38"/>
      <c r="G80" s="38"/>
      <c r="H80" s="38"/>
      <c r="I80" s="38"/>
      <c r="J80" s="38"/>
    </row>
    <row r="81" spans="2:10" x14ac:dyDescent="0.75">
      <c r="B81" s="38"/>
      <c r="C81" s="38"/>
      <c r="D81" s="38"/>
      <c r="E81" s="38"/>
      <c r="F81" s="38"/>
      <c r="G81" s="38"/>
      <c r="H81" s="38"/>
      <c r="I81" s="38"/>
      <c r="J81" s="38"/>
    </row>
    <row r="82" spans="2:10" x14ac:dyDescent="0.75">
      <c r="B82" s="38"/>
      <c r="C82" s="38"/>
      <c r="D82" s="38"/>
      <c r="E82" s="38"/>
      <c r="F82" s="38"/>
      <c r="G82" s="38"/>
      <c r="H82" s="38"/>
      <c r="I82" s="38"/>
      <c r="J82" s="38"/>
    </row>
    <row r="83" spans="2:10" x14ac:dyDescent="0.75">
      <c r="B83" s="38"/>
      <c r="C83" s="38"/>
      <c r="D83" s="38"/>
      <c r="E83" s="38"/>
      <c r="F83" s="38"/>
      <c r="G83" s="38"/>
      <c r="H83" s="38"/>
      <c r="I83" s="38"/>
      <c r="J83" s="38"/>
    </row>
    <row r="84" spans="2:10" x14ac:dyDescent="0.75">
      <c r="B84" s="38"/>
      <c r="C84" s="38"/>
      <c r="D84" s="38"/>
      <c r="E84" s="38"/>
      <c r="F84" s="38"/>
      <c r="G84" s="38"/>
      <c r="H84" s="38"/>
      <c r="I84" s="38"/>
      <c r="J84" s="38"/>
    </row>
    <row r="85" spans="2:10" x14ac:dyDescent="0.75">
      <c r="B85" s="38"/>
      <c r="C85" s="38"/>
      <c r="D85" s="38"/>
      <c r="E85" s="38"/>
      <c r="F85" s="38"/>
      <c r="G85" s="38"/>
      <c r="H85" s="38"/>
      <c r="I85" s="38"/>
      <c r="J85" s="38"/>
    </row>
    <row r="86" spans="2:10" x14ac:dyDescent="0.75">
      <c r="B86" s="38"/>
      <c r="C86" s="38"/>
      <c r="D86" s="38"/>
      <c r="E86" s="38"/>
      <c r="F86" s="38"/>
      <c r="G86" s="38"/>
      <c r="H86" s="38"/>
      <c r="I86" s="38"/>
      <c r="J86" s="38"/>
    </row>
    <row r="87" spans="2:10" x14ac:dyDescent="0.75">
      <c r="B87" s="38"/>
      <c r="C87" s="38"/>
      <c r="D87" s="38"/>
      <c r="E87" s="38"/>
      <c r="F87" s="38"/>
      <c r="G87" s="38"/>
      <c r="H87" s="38"/>
      <c r="I87" s="38"/>
      <c r="J87" s="38"/>
    </row>
    <row r="88" spans="2:10" x14ac:dyDescent="0.75">
      <c r="B88" s="38"/>
      <c r="C88" s="38"/>
      <c r="D88" s="38"/>
      <c r="E88" s="38"/>
      <c r="F88" s="38"/>
      <c r="G88" s="38"/>
      <c r="H88" s="38"/>
      <c r="I88" s="38"/>
      <c r="J88" s="38"/>
    </row>
    <row r="89" spans="2:10" x14ac:dyDescent="0.75">
      <c r="B89" s="38"/>
      <c r="C89" s="38"/>
      <c r="D89" s="38"/>
      <c r="E89" s="38"/>
      <c r="F89" s="38"/>
      <c r="G89" s="38"/>
      <c r="H89" s="38"/>
      <c r="I89" s="38"/>
      <c r="J89" s="38"/>
    </row>
    <row r="90" spans="2:10" x14ac:dyDescent="0.75">
      <c r="B90" s="38"/>
      <c r="C90" s="38"/>
      <c r="D90" s="38"/>
      <c r="E90" s="38"/>
      <c r="F90" s="38"/>
      <c r="G90" s="38"/>
      <c r="H90" s="38"/>
      <c r="I90" s="38"/>
      <c r="J90" s="38"/>
    </row>
    <row r="91" spans="2:10" x14ac:dyDescent="0.75">
      <c r="B91" s="38"/>
      <c r="C91" s="38"/>
      <c r="D91" s="38"/>
      <c r="E91" s="38"/>
      <c r="F91" s="38"/>
      <c r="G91" s="38"/>
      <c r="H91" s="38"/>
      <c r="I91" s="38"/>
      <c r="J91" s="38"/>
    </row>
    <row r="92" spans="2:10" x14ac:dyDescent="0.75">
      <c r="B92" s="38"/>
      <c r="C92" s="38"/>
      <c r="D92" s="38"/>
      <c r="E92" s="38"/>
      <c r="F92" s="38"/>
      <c r="G92" s="38"/>
      <c r="H92" s="38"/>
      <c r="I92" s="38"/>
      <c r="J92" s="38"/>
    </row>
    <row r="93" spans="2:10" x14ac:dyDescent="0.75">
      <c r="B93" s="9"/>
      <c r="C93" s="9"/>
      <c r="D93" s="9"/>
      <c r="E93" s="9"/>
      <c r="F93" s="9"/>
      <c r="G93" s="9"/>
      <c r="H93"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843"/>
  <sheetViews>
    <sheetView workbookViewId="0">
      <selection activeCell="D35" sqref="D35:D843"/>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7" t="str">
        <f>CONCATENATE("Instance: ",'Base-1'!B6)</f>
        <v>Instance: MinimalTreatmentSummary</v>
      </c>
    </row>
    <row r="3" spans="4:7" x14ac:dyDescent="0.75">
      <c r="D3" s="17" t="s">
        <v>22</v>
      </c>
    </row>
    <row r="4" spans="4:7" x14ac:dyDescent="0.75">
      <c r="D4" s="17" t="str">
        <f>CONCATENATE("Description: """,'Base-1'!D2,"""")</f>
        <v>Description: "Minimal Treatment Summary data required by the PancareSurPass platform to generate the draft Care Plan"</v>
      </c>
      <c r="E4" s="17"/>
    </row>
    <row r="5" spans="4:7" x14ac:dyDescent="0.75">
      <c r="D5" s="17" t="str">
        <f>CONCATENATE("Title: """,'Base-1'!C2,"""")</f>
        <v>Title: "Minimal Treatment Summary"</v>
      </c>
      <c r="E5" s="17"/>
    </row>
    <row r="6" spans="4:7" x14ac:dyDescent="0.75">
      <c r="D6" s="17" t="s">
        <v>23</v>
      </c>
      <c r="E6" s="17"/>
    </row>
    <row r="7" spans="4:7" x14ac:dyDescent="0.75">
      <c r="D7" s="17"/>
      <c r="E7" s="17"/>
    </row>
    <row r="8" spans="4:7" x14ac:dyDescent="0.75">
      <c r="D8" s="17" t="str">
        <f>CONCATENATE("* publisher = """,'Base-1'!B4,"""")</f>
        <v>* publisher = "PanCareSurPass project"</v>
      </c>
      <c r="E8" s="17"/>
    </row>
    <row r="9" spans="4:7" x14ac:dyDescent="0.75">
      <c r="D9" s="17" t="s">
        <v>24</v>
      </c>
      <c r="E9" s="17"/>
    </row>
    <row r="10" spans="4:7" x14ac:dyDescent="0.75">
      <c r="D10" s="17" t="str">
        <f>CONCATENATE("* url = """,'Base-1'!B2,"/StructureDefinition/",'Base-1'!B6,"""")</f>
        <v>* url = "http://hl7.eu/fhir/ig/pcsp/StructureDefinition/MinimalTreatmentSummary"</v>
      </c>
      <c r="E10" s="17"/>
      <c r="G10" s="74" t="s">
        <v>111</v>
      </c>
    </row>
    <row r="11" spans="4:7" x14ac:dyDescent="0.75">
      <c r="D11" s="17" t="str">
        <f>CONCATENATE("* name = """,'Base-1'!C4,"""")</f>
        <v>* name = "MinimalTreatmentSummary"</v>
      </c>
      <c r="E11" s="17"/>
    </row>
    <row r="12" spans="4:7" x14ac:dyDescent="0.75">
      <c r="D12" s="17" t="str">
        <f>CONCATENATE("* title = """,'Base-1'!C2,"""")</f>
        <v>* title = "Minimal Treatment Summary"</v>
      </c>
      <c r="E12" s="17"/>
    </row>
    <row r="13" spans="4:7" x14ac:dyDescent="0.75">
      <c r="D13" s="17" t="s">
        <v>24</v>
      </c>
      <c r="E13" s="17"/>
    </row>
    <row r="14" spans="4:7" x14ac:dyDescent="0.75">
      <c r="D14" s="17" t="s">
        <v>25</v>
      </c>
      <c r="E14" s="17"/>
    </row>
    <row r="15" spans="4:7" x14ac:dyDescent="0.75">
      <c r="D15" s="17" t="str">
        <f>CONCATENATE("* description = """,'Base-1'!D2,"""")</f>
        <v>* description = "Minimal Treatment Summary data required by the PancareSurPass platform to generate the draft Care Plan"</v>
      </c>
      <c r="E15" s="17"/>
    </row>
    <row r="16" spans="4:7" x14ac:dyDescent="0.75">
      <c r="D16" s="17" t="s">
        <v>26</v>
      </c>
      <c r="E16" s="17"/>
    </row>
    <row r="18" spans="1:7" s="31" customFormat="1" x14ac:dyDescent="0.75">
      <c r="C18" s="31">
        <v>0</v>
      </c>
      <c r="D18" s="64" t="str">
        <f>CONCATENATE("* mapping[",C18,"].identity = """,'BaseMap-1'!F1,"""")</f>
        <v>* mapping[0].identity = "fhir"</v>
      </c>
      <c r="G18" s="1" t="s">
        <v>91</v>
      </c>
    </row>
    <row r="19" spans="1:7" s="31" customFormat="1" x14ac:dyDescent="0.75">
      <c r="B19" s="65" t="s">
        <v>93</v>
      </c>
      <c r="C19" s="31">
        <v>0</v>
      </c>
      <c r="D19" s="64" t="str">
        <f>CONCATENATE("* mapping[",C19,"].uri = """,'BaseMap-1'!F2,"""")</f>
        <v>* mapping[0].uri = "hl7.org/fhir/r4"</v>
      </c>
      <c r="G19" s="1" t="s">
        <v>92</v>
      </c>
    </row>
    <row r="20" spans="1:7" s="31" customFormat="1" x14ac:dyDescent="0.75">
      <c r="C20" s="31">
        <v>0</v>
      </c>
      <c r="D20" s="64" t="str">
        <f>CONCATENATE("* mapping[",C20,"].name = """,'BaseMap-1'!D2,"""")</f>
        <v>* mapping[0].name = "FHIR"</v>
      </c>
      <c r="G20" s="1" t="s">
        <v>94</v>
      </c>
    </row>
    <row r="21" spans="1:7" s="31" customFormat="1" x14ac:dyDescent="0.75"/>
    <row r="22" spans="1:7" x14ac:dyDescent="0.75">
      <c r="D22" s="17" t="s">
        <v>27</v>
      </c>
      <c r="E22" s="17"/>
    </row>
    <row r="23" spans="1:7" x14ac:dyDescent="0.75">
      <c r="D23" s="17" t="s">
        <v>136</v>
      </c>
      <c r="E23" s="17"/>
    </row>
    <row r="24" spans="1:7" x14ac:dyDescent="0.75">
      <c r="D24" s="17" t="str">
        <f>CONCATENATE("* type = """,'Base-1'!B6,"""")</f>
        <v>* type = "MinimalTreatmentSummary"</v>
      </c>
      <c r="E24" s="17"/>
    </row>
    <row r="25" spans="1:7" x14ac:dyDescent="0.75">
      <c r="A25" s="159" t="s">
        <v>1056</v>
      </c>
      <c r="B25" s="159">
        <v>9</v>
      </c>
      <c r="D25" s="17" t="s">
        <v>29</v>
      </c>
    </row>
    <row r="26" spans="1:7" x14ac:dyDescent="0.75">
      <c r="D26" s="17" t="s">
        <v>30</v>
      </c>
    </row>
    <row r="28" spans="1:7" x14ac:dyDescent="0.75">
      <c r="D28" s="13" t="str">
        <f>'Base-2'!B1</f>
        <v>* differential.element[0].id = "MinimalTreatmentSummary"</v>
      </c>
    </row>
    <row r="29" spans="1:7" x14ac:dyDescent="0.75">
      <c r="D29" s="13" t="str">
        <f>'Base-2'!C1</f>
        <v>* differential.element[0].path = "MinimalTreatmentSummary"</v>
      </c>
      <c r="G29" t="s">
        <v>143</v>
      </c>
    </row>
    <row r="30" spans="1:7" x14ac:dyDescent="0.75">
      <c r="D30" s="47" t="str">
        <f>'Base-2'!D1</f>
        <v>* differential.element[0].short = "Minimal Treatment Summary"</v>
      </c>
    </row>
    <row r="31" spans="1:7" x14ac:dyDescent="0.75">
      <c r="D31" s="13" t="str">
        <f>'Base-2'!E1</f>
        <v>* differential.element[0].definition = "Minimal Treatment Summary data required by the PancareSurPass platform to generate the draft Care Plan"</v>
      </c>
    </row>
    <row r="32" spans="1: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IF(MOD(A35,$B$25)=0,A35/$B$25-1,INT(A35/$B$25))</f>
        <v>0</v>
      </c>
      <c r="C35" s="2">
        <f>IF(MOD(A35,$B$25)=0,$B$25,MOD(A35,$B$25))</f>
        <v>1</v>
      </c>
      <c r="D35" s="9" t="str" cm="1">
        <f t="array" ref="D35">INDEX('Base-2'!$B$2:$J$100,1+B35,C35)</f>
        <v>* differential.element[1].id = "MinimalTreatmentSummary.subject"</v>
      </c>
    </row>
    <row r="36" spans="1:4" x14ac:dyDescent="0.75">
      <c r="A36" s="2">
        <v>2</v>
      </c>
      <c r="B36" s="32">
        <f t="shared" ref="B36:B99" si="0">IF(MOD(A36,$B$25)=0,A36/$B$25-1,INT(A36/$B$25))</f>
        <v>0</v>
      </c>
      <c r="C36" s="32">
        <f t="shared" ref="C36:C99" si="1">IF(MOD(A36,$B$25)=0,$B$25,MOD(A36,$B$25))</f>
        <v>2</v>
      </c>
      <c r="D36" s="38" t="str" cm="1">
        <f t="array" ref="D36">INDEX('Base-2'!$B$2:$J$100,1+B36,C36)</f>
        <v>* differential.element[1].path = "MinimalTreatmentSummary.subject"</v>
      </c>
    </row>
    <row r="37" spans="1:4" x14ac:dyDescent="0.75">
      <c r="A37" s="2">
        <v>3</v>
      </c>
      <c r="B37" s="32">
        <f t="shared" si="0"/>
        <v>0</v>
      </c>
      <c r="C37" s="32">
        <f t="shared" si="1"/>
        <v>3</v>
      </c>
      <c r="D37" s="38" t="str" cm="1">
        <f t="array" ref="D37">INDEX('Base-2'!$B$2:$J$100,1+B37,C37)</f>
        <v>* differential.element[1].short = "Subject"</v>
      </c>
    </row>
    <row r="38" spans="1:4" x14ac:dyDescent="0.75">
      <c r="A38" s="2">
        <v>4</v>
      </c>
      <c r="B38" s="32">
        <f t="shared" si="0"/>
        <v>0</v>
      </c>
      <c r="C38" s="32">
        <f t="shared" si="1"/>
        <v>4</v>
      </c>
      <c r="D38" s="38" t="str" cm="1">
        <f t="array" ref="D38">INDEX('Base-2'!$B$2:$J$100,1+B38,C38)</f>
        <v>* differential.element[1].definition = "Subject"</v>
      </c>
    </row>
    <row r="39" spans="1:4" x14ac:dyDescent="0.75">
      <c r="A39" s="2">
        <v>5</v>
      </c>
      <c r="B39" s="32">
        <f t="shared" si="0"/>
        <v>0</v>
      </c>
      <c r="C39" s="32">
        <f t="shared" si="1"/>
        <v>5</v>
      </c>
      <c r="D39" s="38" t="str" cm="1">
        <f t="array" ref="D39">INDEX('Base-2'!$B$2:$J$100,1+B39,C39)</f>
        <v>* differential.element[1].min = 1</v>
      </c>
    </row>
    <row r="40" spans="1:4" x14ac:dyDescent="0.75">
      <c r="A40" s="2">
        <v>6</v>
      </c>
      <c r="B40" s="32">
        <f t="shared" si="0"/>
        <v>0</v>
      </c>
      <c r="C40" s="32">
        <f t="shared" si="1"/>
        <v>6</v>
      </c>
      <c r="D40" s="38" t="str" cm="1">
        <f t="array" ref="D40">INDEX('Base-2'!$B$2:$J$100,1+B40,C40)</f>
        <v>* differential.element[1].max = "1"</v>
      </c>
    </row>
    <row r="41" spans="1:4" x14ac:dyDescent="0.75">
      <c r="A41" s="32">
        <v>7</v>
      </c>
      <c r="B41" s="32">
        <f t="shared" si="0"/>
        <v>0</v>
      </c>
      <c r="C41" s="32">
        <f t="shared" si="1"/>
        <v>7</v>
      </c>
      <c r="D41" s="38" t="str" cm="1">
        <f t="array" ref="D41">INDEX('Base-2'!$B$2:$J$100,1+B41,C41)</f>
        <v>* differential.element[1].type.code = #BackboneElement</v>
      </c>
    </row>
    <row r="42" spans="1:4" x14ac:dyDescent="0.75">
      <c r="A42" s="32">
        <v>8</v>
      </c>
      <c r="B42" s="32">
        <f t="shared" si="0"/>
        <v>0</v>
      </c>
      <c r="C42" s="32">
        <f t="shared" si="1"/>
        <v>8</v>
      </c>
      <c r="D42" s="38" t="str" cm="1">
        <f t="array" ref="D42">INDEX('Base-2'!$B$2:$J$100,1+B42,C42)</f>
        <v/>
      </c>
    </row>
    <row r="43" spans="1:4" x14ac:dyDescent="0.75">
      <c r="A43" s="32">
        <v>9</v>
      </c>
      <c r="B43" s="32">
        <f t="shared" si="0"/>
        <v>0</v>
      </c>
      <c r="C43" s="32">
        <f t="shared" si="1"/>
        <v>9</v>
      </c>
      <c r="D43" s="38" t="str" cm="1">
        <f t="array" ref="D43">INDEX('Base-2'!$B$2:$J$100,1+B43,C43)</f>
        <v/>
      </c>
    </row>
    <row r="44" spans="1:4" x14ac:dyDescent="0.75">
      <c r="A44" s="32">
        <v>10</v>
      </c>
      <c r="B44" s="32">
        <f t="shared" si="0"/>
        <v>1</v>
      </c>
      <c r="C44" s="32">
        <f t="shared" si="1"/>
        <v>1</v>
      </c>
      <c r="D44" s="38" t="str" cm="1">
        <f t="array" ref="D44">INDEX('Base-2'!$B$2:$J$100,1+B44,C44)</f>
        <v>* differential.element[2].id = "MinimalTreatmentSummary.subject.gender"</v>
      </c>
    </row>
    <row r="45" spans="1:4" x14ac:dyDescent="0.75">
      <c r="A45" s="32">
        <v>11</v>
      </c>
      <c r="B45" s="32">
        <f t="shared" si="0"/>
        <v>1</v>
      </c>
      <c r="C45" s="32">
        <f t="shared" si="1"/>
        <v>2</v>
      </c>
      <c r="D45" s="38" t="str" cm="1">
        <f t="array" ref="D45">INDEX('Base-2'!$B$2:$J$100,1+B45,C45)</f>
        <v>* differential.element[2].path = "MinimalTreatmentSummary.subject.gender"</v>
      </c>
    </row>
    <row r="46" spans="1:4" x14ac:dyDescent="0.75">
      <c r="A46" s="32">
        <v>12</v>
      </c>
      <c r="B46" s="32">
        <f t="shared" si="0"/>
        <v>1</v>
      </c>
      <c r="C46" s="32">
        <f t="shared" si="1"/>
        <v>3</v>
      </c>
      <c r="D46" s="38" t="str" cm="1">
        <f t="array" ref="D46">INDEX('Base-2'!$B$2:$J$100,1+B46,C46)</f>
        <v>* differential.element[2].short = "Gender/Sex"</v>
      </c>
    </row>
    <row r="47" spans="1:4" x14ac:dyDescent="0.75">
      <c r="A47" s="32">
        <v>13</v>
      </c>
      <c r="B47" s="32">
        <f t="shared" si="0"/>
        <v>1</v>
      </c>
      <c r="C47" s="32">
        <f t="shared" si="1"/>
        <v>4</v>
      </c>
      <c r="D47" s="38" t="str" cm="1">
        <f t="array" ref="D47">INDEX('Base-2'!$B$2:$J$100,1+B47,C47)</f>
        <v>* differential.element[2].definition = "Gender/Sex"</v>
      </c>
    </row>
    <row r="48" spans="1:4" x14ac:dyDescent="0.75">
      <c r="A48" s="32">
        <v>14</v>
      </c>
      <c r="B48" s="32">
        <f t="shared" si="0"/>
        <v>1</v>
      </c>
      <c r="C48" s="32">
        <f t="shared" si="1"/>
        <v>5</v>
      </c>
      <c r="D48" s="38" t="str" cm="1">
        <f t="array" ref="D48">INDEX('Base-2'!$B$2:$J$100,1+B48,C48)</f>
        <v>* differential.element[2].min = 1</v>
      </c>
    </row>
    <row r="49" spans="1:4" x14ac:dyDescent="0.75">
      <c r="A49" s="32">
        <v>15</v>
      </c>
      <c r="B49" s="32">
        <f t="shared" si="0"/>
        <v>1</v>
      </c>
      <c r="C49" s="32">
        <f t="shared" si="1"/>
        <v>6</v>
      </c>
      <c r="D49" s="38" t="str" cm="1">
        <f t="array" ref="D49">INDEX('Base-2'!$B$2:$J$100,1+B49,C49)</f>
        <v>* differential.element[2].max = "1"</v>
      </c>
    </row>
    <row r="50" spans="1:4" x14ac:dyDescent="0.75">
      <c r="A50" s="32">
        <v>16</v>
      </c>
      <c r="B50" s="32">
        <f t="shared" si="0"/>
        <v>1</v>
      </c>
      <c r="C50" s="32">
        <f t="shared" si="1"/>
        <v>7</v>
      </c>
      <c r="D50" s="38" t="str" cm="1">
        <f t="array" ref="D50">INDEX('Base-2'!$B$2:$J$100,1+B50,C50)</f>
        <v>* differential.element[2].type.code = #CodeableConcept</v>
      </c>
    </row>
    <row r="51" spans="1:4" x14ac:dyDescent="0.75">
      <c r="A51" s="32">
        <v>17</v>
      </c>
      <c r="B51" s="32">
        <f t="shared" si="0"/>
        <v>1</v>
      </c>
      <c r="C51" s="32">
        <f t="shared" si="1"/>
        <v>8</v>
      </c>
      <c r="D51" s="38" t="str" cm="1">
        <f t="array" ref="D51">INDEX('Base-2'!$B$2:$J$100,1+B51,C51)</f>
        <v/>
      </c>
    </row>
    <row r="52" spans="1:4" x14ac:dyDescent="0.75">
      <c r="A52" s="32">
        <v>18</v>
      </c>
      <c r="B52" s="32">
        <f t="shared" si="0"/>
        <v>1</v>
      </c>
      <c r="C52" s="32">
        <f t="shared" si="1"/>
        <v>9</v>
      </c>
      <c r="D52" s="38" t="str" cm="1">
        <f t="array" ref="D52">INDEX('Base-2'!$B$2:$J$100,1+B52,C52)</f>
        <v/>
      </c>
    </row>
    <row r="53" spans="1:4" x14ac:dyDescent="0.75">
      <c r="A53" s="32">
        <v>19</v>
      </c>
      <c r="B53" s="32">
        <f t="shared" si="0"/>
        <v>2</v>
      </c>
      <c r="C53" s="32">
        <f t="shared" si="1"/>
        <v>1</v>
      </c>
      <c r="D53" s="38" t="str" cm="1">
        <f t="array" ref="D53">INDEX('Base-2'!$B$2:$J$100,1+B53,C53)</f>
        <v>* differential.element[3].id = "MinimalTreatmentSummary.subject.dateOfBirth"</v>
      </c>
    </row>
    <row r="54" spans="1:4" x14ac:dyDescent="0.75">
      <c r="A54" s="32">
        <v>20</v>
      </c>
      <c r="B54" s="32">
        <f t="shared" si="0"/>
        <v>2</v>
      </c>
      <c r="C54" s="32">
        <f t="shared" si="1"/>
        <v>2</v>
      </c>
      <c r="D54" s="38" t="str" cm="1">
        <f t="array" ref="D54">INDEX('Base-2'!$B$2:$J$100,1+B54,C54)</f>
        <v>* differential.element[3].path = "MinimalTreatmentSummary.subject.dateOfBirth"</v>
      </c>
    </row>
    <row r="55" spans="1:4" x14ac:dyDescent="0.75">
      <c r="A55" s="32">
        <v>21</v>
      </c>
      <c r="B55" s="32">
        <f t="shared" si="0"/>
        <v>2</v>
      </c>
      <c r="C55" s="32">
        <f t="shared" si="1"/>
        <v>3</v>
      </c>
      <c r="D55" s="38" t="str" cm="1">
        <f t="array" ref="D55">INDEX('Base-2'!$B$2:$J$100,1+B55,C55)</f>
        <v>* differential.element[3].short = "Date of birth"</v>
      </c>
    </row>
    <row r="56" spans="1:4" x14ac:dyDescent="0.75">
      <c r="A56" s="32">
        <v>22</v>
      </c>
      <c r="B56" s="32">
        <f t="shared" si="0"/>
        <v>2</v>
      </c>
      <c r="C56" s="32">
        <f t="shared" si="1"/>
        <v>4</v>
      </c>
      <c r="D56" s="38" t="str" cm="1">
        <f t="array" ref="D56">INDEX('Base-2'!$B$2:$J$100,1+B56,C56)</f>
        <v>* differential.element[3].definition = "Date of birth"</v>
      </c>
    </row>
    <row r="57" spans="1:4" x14ac:dyDescent="0.75">
      <c r="A57" s="32">
        <v>23</v>
      </c>
      <c r="B57" s="32">
        <f t="shared" si="0"/>
        <v>2</v>
      </c>
      <c r="C57" s="32">
        <f t="shared" si="1"/>
        <v>5</v>
      </c>
      <c r="D57" s="38" t="str" cm="1">
        <f t="array" ref="D57">INDEX('Base-2'!$B$2:$J$100,1+B57,C57)</f>
        <v>* differential.element[3].min = 1</v>
      </c>
    </row>
    <row r="58" spans="1:4" x14ac:dyDescent="0.75">
      <c r="A58" s="32">
        <v>24</v>
      </c>
      <c r="B58" s="32">
        <f t="shared" si="0"/>
        <v>2</v>
      </c>
      <c r="C58" s="32">
        <f t="shared" si="1"/>
        <v>6</v>
      </c>
      <c r="D58" s="38" t="str" cm="1">
        <f t="array" ref="D58">INDEX('Base-2'!$B$2:$J$100,1+B58,C58)</f>
        <v>* differential.element[3].max = "1"</v>
      </c>
    </row>
    <row r="59" spans="1:4" x14ac:dyDescent="0.75">
      <c r="A59" s="32">
        <v>25</v>
      </c>
      <c r="B59" s="32">
        <f t="shared" si="0"/>
        <v>2</v>
      </c>
      <c r="C59" s="32">
        <f t="shared" si="1"/>
        <v>7</v>
      </c>
      <c r="D59" s="38" t="str" cm="1">
        <f t="array" ref="D59">INDEX('Base-2'!$B$2:$J$100,1+B59,C59)</f>
        <v>* differential.element[3].type.code = #dateTime</v>
      </c>
    </row>
    <row r="60" spans="1:4" x14ac:dyDescent="0.75">
      <c r="A60" s="32">
        <v>26</v>
      </c>
      <c r="B60" s="32">
        <f t="shared" si="0"/>
        <v>2</v>
      </c>
      <c r="C60" s="32">
        <f t="shared" si="1"/>
        <v>8</v>
      </c>
      <c r="D60" s="38" t="str" cm="1">
        <f t="array" ref="D60">INDEX('Base-2'!$B$2:$J$100,1+B60,C60)</f>
        <v/>
      </c>
    </row>
    <row r="61" spans="1:4" x14ac:dyDescent="0.75">
      <c r="A61" s="32">
        <v>27</v>
      </c>
      <c r="B61" s="32">
        <f t="shared" si="0"/>
        <v>2</v>
      </c>
      <c r="C61" s="32">
        <f t="shared" si="1"/>
        <v>9</v>
      </c>
      <c r="D61" s="38" t="str" cm="1">
        <f t="array" ref="D61">INDEX('Base-2'!$B$2:$J$100,1+B61,C61)</f>
        <v/>
      </c>
    </row>
    <row r="62" spans="1:4" x14ac:dyDescent="0.75">
      <c r="A62" s="32">
        <v>28</v>
      </c>
      <c r="B62" s="32">
        <f t="shared" si="0"/>
        <v>3</v>
      </c>
      <c r="C62" s="32">
        <f t="shared" si="1"/>
        <v>1</v>
      </c>
      <c r="D62" s="38" t="str" cm="1">
        <f t="array" ref="D62">INDEX('Base-2'!$B$2:$J$100,1+B62,C62)</f>
        <v>* differential.element[4].id = "MinimalTreatmentSummary.diagnosis"</v>
      </c>
    </row>
    <row r="63" spans="1:4" x14ac:dyDescent="0.75">
      <c r="A63" s="32">
        <v>29</v>
      </c>
      <c r="B63" s="32">
        <f t="shared" si="0"/>
        <v>3</v>
      </c>
      <c r="C63" s="32">
        <f t="shared" si="1"/>
        <v>2</v>
      </c>
      <c r="D63" s="38" t="str" cm="1">
        <f t="array" ref="D63">INDEX('Base-2'!$B$2:$J$100,1+B63,C63)</f>
        <v>* differential.element[4].path = "MinimalTreatmentSummary.diagnosis"</v>
      </c>
    </row>
    <row r="64" spans="1:4" x14ac:dyDescent="0.75">
      <c r="A64" s="32">
        <v>30</v>
      </c>
      <c r="B64" s="32">
        <f t="shared" si="0"/>
        <v>3</v>
      </c>
      <c r="C64" s="32">
        <f t="shared" si="1"/>
        <v>3</v>
      </c>
      <c r="D64" s="38" t="str" cm="1">
        <f t="array" ref="D64">INDEX('Base-2'!$B$2:$J$100,1+B64,C64)</f>
        <v>* differential.element[4].short = "Diagnosis"</v>
      </c>
    </row>
    <row r="65" spans="1:4" x14ac:dyDescent="0.75">
      <c r="A65" s="32">
        <v>31</v>
      </c>
      <c r="B65" s="32">
        <f t="shared" si="0"/>
        <v>3</v>
      </c>
      <c r="C65" s="32">
        <f t="shared" si="1"/>
        <v>4</v>
      </c>
      <c r="D65" s="38" t="str" cm="1">
        <f t="array" ref="D65">INDEX('Base-2'!$B$2:$J$100,1+B65,C65)</f>
        <v>* differential.element[4].definition = "Diagnosis"</v>
      </c>
    </row>
    <row r="66" spans="1:4" x14ac:dyDescent="0.75">
      <c r="A66" s="32">
        <v>32</v>
      </c>
      <c r="B66" s="32">
        <f t="shared" si="0"/>
        <v>3</v>
      </c>
      <c r="C66" s="32">
        <f t="shared" si="1"/>
        <v>5</v>
      </c>
      <c r="D66" s="38" t="str" cm="1">
        <f t="array" ref="D66">INDEX('Base-2'!$B$2:$J$100,1+B66,C66)</f>
        <v>* differential.element[4].min = 1</v>
      </c>
    </row>
    <row r="67" spans="1:4" x14ac:dyDescent="0.75">
      <c r="A67" s="32">
        <v>33</v>
      </c>
      <c r="B67" s="32">
        <f t="shared" si="0"/>
        <v>3</v>
      </c>
      <c r="C67" s="32">
        <f t="shared" si="1"/>
        <v>6</v>
      </c>
      <c r="D67" s="38" t="str" cm="1">
        <f t="array" ref="D67">INDEX('Base-2'!$B$2:$J$100,1+B67,C67)</f>
        <v>* differential.element[4].max = "5"</v>
      </c>
    </row>
    <row r="68" spans="1:4" x14ac:dyDescent="0.75">
      <c r="A68" s="32">
        <v>34</v>
      </c>
      <c r="B68" s="32">
        <f t="shared" si="0"/>
        <v>3</v>
      </c>
      <c r="C68" s="32">
        <f t="shared" si="1"/>
        <v>7</v>
      </c>
      <c r="D68" s="38" t="str" cm="1">
        <f t="array" ref="D68">INDEX('Base-2'!$B$2:$J$100,1+B68,C68)</f>
        <v>* differential.element[4].type.code = #BackboneElement</v>
      </c>
    </row>
    <row r="69" spans="1:4" x14ac:dyDescent="0.75">
      <c r="A69" s="32">
        <v>35</v>
      </c>
      <c r="B69" s="32">
        <f t="shared" si="0"/>
        <v>3</v>
      </c>
      <c r="C69" s="32">
        <f t="shared" si="1"/>
        <v>8</v>
      </c>
      <c r="D69" s="38" t="str" cm="1">
        <f t="array" ref="D69">INDEX('Base-2'!$B$2:$J$100,1+B69,C69)</f>
        <v/>
      </c>
    </row>
    <row r="70" spans="1:4" x14ac:dyDescent="0.75">
      <c r="A70" s="32">
        <v>36</v>
      </c>
      <c r="B70" s="32">
        <f t="shared" si="0"/>
        <v>3</v>
      </c>
      <c r="C70" s="32">
        <f t="shared" si="1"/>
        <v>9</v>
      </c>
      <c r="D70" s="38" t="str" cm="1">
        <f t="array" ref="D70">INDEX('Base-2'!$B$2:$J$100,1+B70,C70)</f>
        <v/>
      </c>
    </row>
    <row r="71" spans="1:4" x14ac:dyDescent="0.75">
      <c r="A71" s="32">
        <v>37</v>
      </c>
      <c r="B71" s="32">
        <f t="shared" si="0"/>
        <v>4</v>
      </c>
      <c r="C71" s="32">
        <f t="shared" si="1"/>
        <v>1</v>
      </c>
      <c r="D71" s="38" t="str" cm="1">
        <f t="array" ref="D71">INDEX('Base-2'!$B$2:$J$100,1+B71,C71)</f>
        <v>* differential.element[5].id = "MinimalTreatmentSummary.diagnosis.site"</v>
      </c>
    </row>
    <row r="72" spans="1:4" x14ac:dyDescent="0.75">
      <c r="A72" s="32">
        <v>38</v>
      </c>
      <c r="B72" s="32">
        <f t="shared" si="0"/>
        <v>4</v>
      </c>
      <c r="C72" s="32">
        <f t="shared" si="1"/>
        <v>2</v>
      </c>
      <c r="D72" s="38" t="str" cm="1">
        <f t="array" ref="D72">INDEX('Base-2'!$B$2:$J$100,1+B72,C72)</f>
        <v>* differential.element[5].path = "MinimalTreatmentSummary.diagnosis.site"</v>
      </c>
    </row>
    <row r="73" spans="1:4" x14ac:dyDescent="0.75">
      <c r="A73" s="32">
        <v>39</v>
      </c>
      <c r="B73" s="32">
        <f t="shared" si="0"/>
        <v>4</v>
      </c>
      <c r="C73" s="32">
        <f t="shared" si="1"/>
        <v>3</v>
      </c>
      <c r="D73" s="38" t="str" cm="1">
        <f t="array" ref="D73">INDEX('Base-2'!$B$2:$J$100,1+B73,C73)</f>
        <v>* differential.element[5].short = "ICD-O-3 code (topography)"</v>
      </c>
    </row>
    <row r="74" spans="1:4" ht="44.25" x14ac:dyDescent="0.75">
      <c r="A74" s="32">
        <v>40</v>
      </c>
      <c r="B74" s="32">
        <f t="shared" si="0"/>
        <v>4</v>
      </c>
      <c r="C74" s="32">
        <f t="shared" si="1"/>
        <v>4</v>
      </c>
      <c r="D74" s="38" t="str" cm="1">
        <f t="array" ref="D74">INDEX('Base-2'!$B$2:$J$100,1+B74,C74)</f>
        <v>* differential.element[5].definition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75" spans="1:4" x14ac:dyDescent="0.75">
      <c r="A75" s="32">
        <v>41</v>
      </c>
      <c r="B75" s="32">
        <f t="shared" si="0"/>
        <v>4</v>
      </c>
      <c r="C75" s="32">
        <f t="shared" si="1"/>
        <v>5</v>
      </c>
      <c r="D75" s="38" t="str" cm="1">
        <f t="array" ref="D75">INDEX('Base-2'!$B$2:$J$100,1+B75,C75)</f>
        <v>* differential.element[5].min = 1</v>
      </c>
    </row>
    <row r="76" spans="1:4" x14ac:dyDescent="0.75">
      <c r="A76" s="32">
        <v>42</v>
      </c>
      <c r="B76" s="32">
        <f t="shared" si="0"/>
        <v>4</v>
      </c>
      <c r="C76" s="32">
        <f t="shared" si="1"/>
        <v>6</v>
      </c>
      <c r="D76" s="38" t="str" cm="1">
        <f t="array" ref="D76">INDEX('Base-2'!$B$2:$J$100,1+B76,C76)</f>
        <v>* differential.element[5].max = "1"</v>
      </c>
    </row>
    <row r="77" spans="1:4" x14ac:dyDescent="0.75">
      <c r="A77" s="32">
        <v>43</v>
      </c>
      <c r="B77" s="32">
        <f t="shared" si="0"/>
        <v>4</v>
      </c>
      <c r="C77" s="32">
        <f t="shared" si="1"/>
        <v>7</v>
      </c>
      <c r="D77" s="38" t="str" cm="1">
        <f t="array" ref="D77">INDEX('Base-2'!$B$2:$J$100,1+B77,C77)</f>
        <v>* differential.element[5].type.code = #CodeableConcept</v>
      </c>
    </row>
    <row r="78" spans="1:4" x14ac:dyDescent="0.75">
      <c r="A78" s="32">
        <v>44</v>
      </c>
      <c r="B78" s="32">
        <f t="shared" si="0"/>
        <v>4</v>
      </c>
      <c r="C78" s="32">
        <f t="shared" si="1"/>
        <v>8</v>
      </c>
      <c r="D78" s="38" t="str" cm="1">
        <f t="array" ref="D78">INDEX('Base-2'!$B$2:$J$100,1+B78,C78)</f>
        <v/>
      </c>
    </row>
    <row r="79" spans="1:4" x14ac:dyDescent="0.75">
      <c r="A79" s="32">
        <v>45</v>
      </c>
      <c r="B79" s="32">
        <f t="shared" si="0"/>
        <v>4</v>
      </c>
      <c r="C79" s="32">
        <f t="shared" si="1"/>
        <v>9</v>
      </c>
      <c r="D79" s="38" t="str" cm="1">
        <f t="array" ref="D79">INDEX('Base-2'!$B$2:$J$100,1+B79,C79)</f>
        <v/>
      </c>
    </row>
    <row r="80" spans="1:4" x14ac:dyDescent="0.75">
      <c r="A80" s="32">
        <v>46</v>
      </c>
      <c r="B80" s="32">
        <f t="shared" si="0"/>
        <v>5</v>
      </c>
      <c r="C80" s="32">
        <f t="shared" si="1"/>
        <v>1</v>
      </c>
      <c r="D80" s="38" t="str" cm="1">
        <f t="array" ref="D80">INDEX('Base-2'!$B$2:$J$100,1+B80,C80)</f>
        <v>* differential.element[6].id = "MinimalTreatmentSummary.diagnosis.predispositionOrCondition"</v>
      </c>
    </row>
    <row r="81" spans="1:7" x14ac:dyDescent="0.75">
      <c r="A81" s="32">
        <v>47</v>
      </c>
      <c r="B81" s="32">
        <f t="shared" si="0"/>
        <v>5</v>
      </c>
      <c r="C81" s="32">
        <f t="shared" si="1"/>
        <v>2</v>
      </c>
      <c r="D81" s="38" t="str" cm="1">
        <f t="array" ref="D81">INDEX('Base-2'!$B$2:$J$100,1+B81,C81)</f>
        <v>* differential.element[6].path = "MinimalTreatmentSummary.diagnosis.predispositionOrCondition"</v>
      </c>
    </row>
    <row r="82" spans="1:7" x14ac:dyDescent="0.75">
      <c r="A82" s="32">
        <v>48</v>
      </c>
      <c r="B82" s="32">
        <f t="shared" si="0"/>
        <v>5</v>
      </c>
      <c r="C82" s="32">
        <f t="shared" si="1"/>
        <v>3</v>
      </c>
      <c r="D82" s="38" t="str" cm="1">
        <f t="array" ref="D82">INDEX('Base-2'!$B$2:$J$100,1+B82,C82)</f>
        <v>* differential.element[6].short = "Hereditary Cancer Predisposition Syndromeor medical condition cancer associated"</v>
      </c>
    </row>
    <row r="83" spans="1:7" ht="29.5" x14ac:dyDescent="0.75">
      <c r="A83" s="32">
        <v>49</v>
      </c>
      <c r="B83" s="32">
        <f t="shared" si="0"/>
        <v>5</v>
      </c>
      <c r="C83" s="32">
        <f t="shared" si="1"/>
        <v>4</v>
      </c>
      <c r="D83" s="38" t="str" cm="1">
        <f t="array" ref="D83">INDEX('Base-2'!$B$2:$J$100,1+B83,C83)</f>
        <v>* differential.element[6].definition = "Report here if the survivor has some Hereditary Cancer Predisposition Syndrome or a medical conditions, cancer associated. (Yes/No)"</v>
      </c>
    </row>
    <row r="84" spans="1:7" x14ac:dyDescent="0.75">
      <c r="A84" s="32">
        <v>50</v>
      </c>
      <c r="B84" s="32">
        <f t="shared" si="0"/>
        <v>5</v>
      </c>
      <c r="C84" s="32">
        <f t="shared" si="1"/>
        <v>5</v>
      </c>
      <c r="D84" s="38" t="str" cm="1">
        <f t="array" ref="D84">INDEX('Base-2'!$B$2:$J$100,1+B84,C84)</f>
        <v>* differential.element[6].min = 0</v>
      </c>
    </row>
    <row r="85" spans="1:7" x14ac:dyDescent="0.75">
      <c r="A85" s="32">
        <v>51</v>
      </c>
      <c r="B85" s="32">
        <f t="shared" si="0"/>
        <v>5</v>
      </c>
      <c r="C85" s="32">
        <f t="shared" si="1"/>
        <v>6</v>
      </c>
      <c r="D85" s="38" t="str" cm="1">
        <f t="array" ref="D85">INDEX('Base-2'!$B$2:$J$100,1+B85,C85)</f>
        <v>* differential.element[6].max = "1"</v>
      </c>
    </row>
    <row r="86" spans="1:7" x14ac:dyDescent="0.75">
      <c r="A86" s="32">
        <v>52</v>
      </c>
      <c r="B86" s="32">
        <f t="shared" si="0"/>
        <v>5</v>
      </c>
      <c r="C86" s="32">
        <f t="shared" si="1"/>
        <v>7</v>
      </c>
      <c r="D86" s="38" t="str" cm="1">
        <f t="array" ref="D86">INDEX('Base-2'!$B$2:$J$100,1+B86,C86)</f>
        <v>* differential.element[6].type.code = #CodeableConcept</v>
      </c>
    </row>
    <row r="87" spans="1:7" x14ac:dyDescent="0.75">
      <c r="A87" s="32">
        <v>53</v>
      </c>
      <c r="B87" s="32">
        <f t="shared" si="0"/>
        <v>5</v>
      </c>
      <c r="C87" s="32">
        <f t="shared" si="1"/>
        <v>8</v>
      </c>
      <c r="D87" s="38" t="str" cm="1">
        <f t="array" ref="D87">INDEX('Base-2'!$B$2:$J$100,1+B87,C87)</f>
        <v/>
      </c>
      <c r="G87" s="16"/>
    </row>
    <row r="88" spans="1:7" x14ac:dyDescent="0.75">
      <c r="A88" s="32">
        <v>54</v>
      </c>
      <c r="B88" s="32">
        <f t="shared" si="0"/>
        <v>5</v>
      </c>
      <c r="C88" s="32">
        <f t="shared" si="1"/>
        <v>9</v>
      </c>
      <c r="D88" s="38" t="str" cm="1">
        <f t="array" ref="D88">INDEX('Base-2'!$B$2:$J$100,1+B88,C88)</f>
        <v/>
      </c>
    </row>
    <row r="89" spans="1:7" x14ac:dyDescent="0.75">
      <c r="A89" s="32">
        <v>55</v>
      </c>
      <c r="B89" s="32">
        <f t="shared" si="0"/>
        <v>6</v>
      </c>
      <c r="C89" s="32">
        <f t="shared" si="1"/>
        <v>1</v>
      </c>
      <c r="D89" s="38" t="str" cm="1">
        <f t="array" ref="D89">INDEX('Base-2'!$B$2:$J$100,1+B89,C89)</f>
        <v>* differential.element[7].id = "MinimalTreatmentSummary.diagnosis.chemotherapy"</v>
      </c>
    </row>
    <row r="90" spans="1:7" x14ac:dyDescent="0.75">
      <c r="A90" s="32">
        <v>56</v>
      </c>
      <c r="B90" s="32">
        <f t="shared" si="0"/>
        <v>6</v>
      </c>
      <c r="C90" s="32">
        <f t="shared" si="1"/>
        <v>2</v>
      </c>
      <c r="D90" s="38" t="str" cm="1">
        <f t="array" ref="D90">INDEX('Base-2'!$B$2:$J$100,1+B90,C90)</f>
        <v>* differential.element[7].path = "MinimalTreatmentSummary.diagnosis.chemotherapy"</v>
      </c>
    </row>
    <row r="91" spans="1:7" x14ac:dyDescent="0.75">
      <c r="A91" s="32">
        <v>57</v>
      </c>
      <c r="B91" s="32">
        <f t="shared" si="0"/>
        <v>6</v>
      </c>
      <c r="C91" s="32">
        <f t="shared" si="1"/>
        <v>3</v>
      </c>
      <c r="D91" s="38" t="str" cm="1">
        <f t="array" ref="D91">INDEX('Base-2'!$B$2:$J$100,1+B91,C91)</f>
        <v>* differential.element[7].short = "Chemotherapy"</v>
      </c>
    </row>
    <row r="92" spans="1:7" x14ac:dyDescent="0.75">
      <c r="A92" s="32">
        <v>58</v>
      </c>
      <c r="B92" s="32">
        <f t="shared" si="0"/>
        <v>6</v>
      </c>
      <c r="C92" s="32">
        <f t="shared" si="1"/>
        <v>4</v>
      </c>
      <c r="D92" s="38" t="str" cm="1">
        <f t="array" ref="D92">INDEX('Base-2'!$B$2:$J$100,1+B92,C92)</f>
        <v>* differential.element[7].definition = "Chemotherapy"</v>
      </c>
    </row>
    <row r="93" spans="1:7" x14ac:dyDescent="0.75">
      <c r="A93" s="32">
        <v>59</v>
      </c>
      <c r="B93" s="32">
        <f t="shared" si="0"/>
        <v>6</v>
      </c>
      <c r="C93" s="32">
        <f t="shared" si="1"/>
        <v>5</v>
      </c>
      <c r="D93" s="38" t="str" cm="1">
        <f t="array" ref="D93">INDEX('Base-2'!$B$2:$J$100,1+B93,C93)</f>
        <v>* differential.element[7].min = 0</v>
      </c>
    </row>
    <row r="94" spans="1:7" x14ac:dyDescent="0.75">
      <c r="A94" s="32">
        <v>60</v>
      </c>
      <c r="B94" s="32">
        <f t="shared" si="0"/>
        <v>6</v>
      </c>
      <c r="C94" s="32">
        <f t="shared" si="1"/>
        <v>6</v>
      </c>
      <c r="D94" s="38" t="str" cm="1">
        <f t="array" ref="D94">INDEX('Base-2'!$B$2:$J$100,1+B94,C94)</f>
        <v>* differential.element[7].max = "1"</v>
      </c>
    </row>
    <row r="95" spans="1:7" x14ac:dyDescent="0.75">
      <c r="A95" s="32">
        <v>61</v>
      </c>
      <c r="B95" s="32">
        <f t="shared" si="0"/>
        <v>6</v>
      </c>
      <c r="C95" s="32">
        <f t="shared" si="1"/>
        <v>7</v>
      </c>
      <c r="D95" s="38" t="str" cm="1">
        <f t="array" ref="D95">INDEX('Base-2'!$B$2:$J$100,1+B95,C95)</f>
        <v>* differential.element[7].type.code = #http://hl7.eu/fhir/ig/pcsp/StructureDefinition/Chemotherapy</v>
      </c>
    </row>
    <row r="96" spans="1:7" x14ac:dyDescent="0.75">
      <c r="A96" s="32">
        <v>62</v>
      </c>
      <c r="B96" s="32">
        <f t="shared" si="0"/>
        <v>6</v>
      </c>
      <c r="C96" s="32">
        <f t="shared" si="1"/>
        <v>8</v>
      </c>
      <c r="D96" s="38" t="str" cm="1">
        <f t="array" ref="D96">INDEX('Base-2'!$B$2:$J$100,1+B96,C96)</f>
        <v/>
      </c>
    </row>
    <row r="97" spans="1:4" x14ac:dyDescent="0.75">
      <c r="A97" s="32">
        <v>63</v>
      </c>
      <c r="B97" s="32">
        <f t="shared" si="0"/>
        <v>6</v>
      </c>
      <c r="C97" s="32">
        <f t="shared" si="1"/>
        <v>9</v>
      </c>
      <c r="D97" s="38" t="str" cm="1">
        <f t="array" ref="D97">INDEX('Base-2'!$B$2:$J$100,1+B97,C97)</f>
        <v/>
      </c>
    </row>
    <row r="98" spans="1:4" x14ac:dyDescent="0.75">
      <c r="A98" s="32">
        <v>64</v>
      </c>
      <c r="B98" s="32">
        <f t="shared" si="0"/>
        <v>7</v>
      </c>
      <c r="C98" s="32">
        <f t="shared" si="1"/>
        <v>1</v>
      </c>
      <c r="D98" s="38" t="str" cm="1">
        <f t="array" ref="D98">INDEX('Base-2'!$B$2:$J$100,1+B98,C98)</f>
        <v>* differential.element[8].id = "MinimalTreatmentSummary.diagnosis.radiotherapy"</v>
      </c>
    </row>
    <row r="99" spans="1:4" x14ac:dyDescent="0.75">
      <c r="A99" s="32">
        <v>65</v>
      </c>
      <c r="B99" s="32">
        <f t="shared" si="0"/>
        <v>7</v>
      </c>
      <c r="C99" s="32">
        <f t="shared" si="1"/>
        <v>2</v>
      </c>
      <c r="D99" s="38" t="str" cm="1">
        <f t="array" ref="D99">INDEX('Base-2'!$B$2:$J$100,1+B99,C99)</f>
        <v>* differential.element[8].path = "MinimalTreatmentSummary.diagnosis.radiotherapy"</v>
      </c>
    </row>
    <row r="100" spans="1:4" x14ac:dyDescent="0.75">
      <c r="A100" s="32">
        <v>66</v>
      </c>
      <c r="B100" s="32">
        <f t="shared" ref="B100:B163" si="2">IF(MOD(A100,$B$25)=0,A100/$B$25-1,INT(A100/$B$25))</f>
        <v>7</v>
      </c>
      <c r="C100" s="32">
        <f t="shared" ref="C100:C163" si="3">IF(MOD(A100,$B$25)=0,$B$25,MOD(A100,$B$25))</f>
        <v>3</v>
      </c>
      <c r="D100" s="38" t="str" cm="1">
        <f t="array" ref="D100">INDEX('Base-2'!$B$2:$J$100,1+B100,C100)</f>
        <v>* differential.element[8].short = "Radiotherapy"</v>
      </c>
    </row>
    <row r="101" spans="1:4" x14ac:dyDescent="0.75">
      <c r="A101" s="32">
        <v>67</v>
      </c>
      <c r="B101" s="32">
        <f t="shared" si="2"/>
        <v>7</v>
      </c>
      <c r="C101" s="32">
        <f t="shared" si="3"/>
        <v>4</v>
      </c>
      <c r="D101" s="38" t="str" cm="1">
        <f t="array" ref="D101">INDEX('Base-2'!$B$2:$J$100,1+B101,C101)</f>
        <v>* differential.element[8].definition = "Radiotherapy"</v>
      </c>
    </row>
    <row r="102" spans="1:4" x14ac:dyDescent="0.75">
      <c r="A102" s="32">
        <v>68</v>
      </c>
      <c r="B102" s="32">
        <f t="shared" si="2"/>
        <v>7</v>
      </c>
      <c r="C102" s="32">
        <f t="shared" si="3"/>
        <v>5</v>
      </c>
      <c r="D102" s="38" t="str" cm="1">
        <f t="array" ref="D102">INDEX('Base-2'!$B$2:$J$100,1+B102,C102)</f>
        <v>* differential.element[8].min = 0</v>
      </c>
    </row>
    <row r="103" spans="1:4" x14ac:dyDescent="0.75">
      <c r="A103" s="32">
        <v>69</v>
      </c>
      <c r="B103" s="32">
        <f t="shared" si="2"/>
        <v>7</v>
      </c>
      <c r="C103" s="32">
        <f t="shared" si="3"/>
        <v>6</v>
      </c>
      <c r="D103" s="38" t="str" cm="1">
        <f t="array" ref="D103">INDEX('Base-2'!$B$2:$J$100,1+B103,C103)</f>
        <v>* differential.element[8].max = "1"</v>
      </c>
    </row>
    <row r="104" spans="1:4" x14ac:dyDescent="0.75">
      <c r="A104" s="32">
        <v>70</v>
      </c>
      <c r="B104" s="32">
        <f t="shared" si="2"/>
        <v>7</v>
      </c>
      <c r="C104" s="32">
        <f t="shared" si="3"/>
        <v>7</v>
      </c>
      <c r="D104" s="38" t="str" cm="1">
        <f t="array" ref="D104">INDEX('Base-2'!$B$2:$J$100,1+B104,C104)</f>
        <v>* differential.element[8].type.code = #http://hl7.eu/fhir/ig/pcsp/StructureDefinition/Radiotherapy</v>
      </c>
    </row>
    <row r="105" spans="1:4" x14ac:dyDescent="0.75">
      <c r="A105" s="32">
        <v>71</v>
      </c>
      <c r="B105" s="32">
        <f t="shared" si="2"/>
        <v>7</v>
      </c>
      <c r="C105" s="32">
        <f t="shared" si="3"/>
        <v>8</v>
      </c>
      <c r="D105" s="38" t="str" cm="1">
        <f t="array" ref="D105">INDEX('Base-2'!$B$2:$J$100,1+B105,C105)</f>
        <v/>
      </c>
    </row>
    <row r="106" spans="1:4" x14ac:dyDescent="0.75">
      <c r="A106" s="32">
        <v>72</v>
      </c>
      <c r="B106" s="32">
        <f t="shared" si="2"/>
        <v>7</v>
      </c>
      <c r="C106" s="32">
        <f t="shared" si="3"/>
        <v>9</v>
      </c>
      <c r="D106" s="38" t="str" cm="1">
        <f t="array" ref="D106">INDEX('Base-2'!$B$2:$J$100,1+B106,C106)</f>
        <v/>
      </c>
    </row>
    <row r="107" spans="1:4" x14ac:dyDescent="0.75">
      <c r="A107" s="32">
        <v>73</v>
      </c>
      <c r="B107" s="32">
        <f t="shared" si="2"/>
        <v>8</v>
      </c>
      <c r="C107" s="32">
        <f t="shared" si="3"/>
        <v>1</v>
      </c>
      <c r="D107" s="38" t="str" cm="1">
        <f t="array" ref="D107">INDEX('Base-2'!$B$2:$J$100,1+B107,C107)</f>
        <v>* differential.element[9].id = "MinimalTreatmentSummary.diagnosis.stemCellTransplantation"</v>
      </c>
    </row>
    <row r="108" spans="1:4" x14ac:dyDescent="0.75">
      <c r="A108" s="32">
        <v>74</v>
      </c>
      <c r="B108" s="32">
        <f t="shared" si="2"/>
        <v>8</v>
      </c>
      <c r="C108" s="32">
        <f t="shared" si="3"/>
        <v>2</v>
      </c>
      <c r="D108" s="38" t="str" cm="1">
        <f t="array" ref="D108">INDEX('Base-2'!$B$2:$J$100,1+B108,C108)</f>
        <v>* differential.element[9].path = "MinimalTreatmentSummary.diagnosis.stemCellTransplantation"</v>
      </c>
    </row>
    <row r="109" spans="1:4" x14ac:dyDescent="0.75">
      <c r="A109" s="32">
        <v>75</v>
      </c>
      <c r="B109" s="32">
        <f t="shared" si="2"/>
        <v>8</v>
      </c>
      <c r="C109" s="32">
        <f t="shared" si="3"/>
        <v>3</v>
      </c>
      <c r="D109" s="38" t="str" cm="1">
        <f t="array" ref="D109">INDEX('Base-2'!$B$2:$J$100,1+B109,C109)</f>
        <v>* differential.element[9].short = "Stem Cell transplantation"</v>
      </c>
    </row>
    <row r="110" spans="1:4" x14ac:dyDescent="0.75">
      <c r="A110" s="32">
        <v>76</v>
      </c>
      <c r="B110" s="32">
        <f t="shared" si="2"/>
        <v>8</v>
      </c>
      <c r="C110" s="32">
        <f t="shared" si="3"/>
        <v>4</v>
      </c>
      <c r="D110" s="38" t="str" cm="1">
        <f t="array" ref="D110">INDEX('Base-2'!$B$2:$J$100,1+B110,C110)</f>
        <v>* differential.element[9].definition = "Stem Cell transplantation"</v>
      </c>
    </row>
    <row r="111" spans="1:4" x14ac:dyDescent="0.75">
      <c r="A111" s="32">
        <v>77</v>
      </c>
      <c r="B111" s="32">
        <f t="shared" si="2"/>
        <v>8</v>
      </c>
      <c r="C111" s="32">
        <f t="shared" si="3"/>
        <v>5</v>
      </c>
      <c r="D111" s="38" t="str" cm="1">
        <f t="array" ref="D111">INDEX('Base-2'!$B$2:$J$100,1+B111,C111)</f>
        <v>* differential.element[9].min = 0</v>
      </c>
    </row>
    <row r="112" spans="1:4" x14ac:dyDescent="0.75">
      <c r="A112" s="32">
        <v>78</v>
      </c>
      <c r="B112" s="32">
        <f t="shared" si="2"/>
        <v>8</v>
      </c>
      <c r="C112" s="32">
        <f t="shared" si="3"/>
        <v>6</v>
      </c>
      <c r="D112" s="38" t="str" cm="1">
        <f t="array" ref="D112">INDEX('Base-2'!$B$2:$J$100,1+B112,C112)</f>
        <v>* differential.element[9].max = "*"</v>
      </c>
    </row>
    <row r="113" spans="1:4" x14ac:dyDescent="0.75">
      <c r="A113" s="32">
        <v>79</v>
      </c>
      <c r="B113" s="32">
        <f t="shared" si="2"/>
        <v>8</v>
      </c>
      <c r="C113" s="32">
        <f t="shared" si="3"/>
        <v>7</v>
      </c>
      <c r="D113" s="38" t="str" cm="1">
        <f t="array" ref="D113">INDEX('Base-2'!$B$2:$J$100,1+B113,C113)</f>
        <v>* differential.element[9].type.code = #BackboneElement</v>
      </c>
    </row>
    <row r="114" spans="1:4" x14ac:dyDescent="0.75">
      <c r="A114" s="32">
        <v>80</v>
      </c>
      <c r="B114" s="32">
        <f t="shared" si="2"/>
        <v>8</v>
      </c>
      <c r="C114" s="32">
        <f t="shared" si="3"/>
        <v>8</v>
      </c>
      <c r="D114" s="38" t="str" cm="1">
        <f t="array" ref="D114">INDEX('Base-2'!$B$2:$J$100,1+B114,C114)</f>
        <v/>
      </c>
    </row>
    <row r="115" spans="1:4" x14ac:dyDescent="0.75">
      <c r="A115" s="32">
        <v>81</v>
      </c>
      <c r="B115" s="32">
        <f t="shared" si="2"/>
        <v>8</v>
      </c>
      <c r="C115" s="32">
        <f t="shared" si="3"/>
        <v>9</v>
      </c>
      <c r="D115" s="38" t="str" cm="1">
        <f t="array" ref="D115">INDEX('Base-2'!$B$2:$J$100,1+B115,C115)</f>
        <v/>
      </c>
    </row>
    <row r="116" spans="1:4" x14ac:dyDescent="0.75">
      <c r="A116" s="32">
        <v>82</v>
      </c>
      <c r="B116" s="32">
        <f t="shared" si="2"/>
        <v>9</v>
      </c>
      <c r="C116" s="32">
        <f t="shared" si="3"/>
        <v>1</v>
      </c>
      <c r="D116" s="38" t="str" cm="1">
        <f t="array" ref="D116">INDEX('Base-2'!$B$2:$J$100,1+B116,C116)</f>
        <v>* differential.element[10].id = "MinimalTreatmentSummary.diagnosis.stemCellTransplantation.type"</v>
      </c>
    </row>
    <row r="117" spans="1:4" x14ac:dyDescent="0.75">
      <c r="A117" s="32">
        <v>83</v>
      </c>
      <c r="B117" s="32">
        <f t="shared" si="2"/>
        <v>9</v>
      </c>
      <c r="C117" s="32">
        <f t="shared" si="3"/>
        <v>2</v>
      </c>
      <c r="D117" s="38" t="str" cm="1">
        <f t="array" ref="D117">INDEX('Base-2'!$B$2:$J$100,1+B117,C117)</f>
        <v>* differential.element[10].path = "MinimalTreatmentSummary.diagnosis.stemCellTransplantation.type"</v>
      </c>
    </row>
    <row r="118" spans="1:4" x14ac:dyDescent="0.75">
      <c r="A118" s="32">
        <v>84</v>
      </c>
      <c r="B118" s="32">
        <f t="shared" si="2"/>
        <v>9</v>
      </c>
      <c r="C118" s="32">
        <f t="shared" si="3"/>
        <v>3</v>
      </c>
      <c r="D118" s="38" t="str" cm="1">
        <f t="array" ref="D118">INDEX('Base-2'!$B$2:$J$100,1+B118,C118)</f>
        <v>* differential.element[10].short = "Type of transplant"</v>
      </c>
    </row>
    <row r="119" spans="1:4" ht="59" x14ac:dyDescent="0.75">
      <c r="A119" s="32">
        <v>85</v>
      </c>
      <c r="B119" s="32">
        <f t="shared" si="2"/>
        <v>9</v>
      </c>
      <c r="C119" s="32">
        <f t="shared" si="3"/>
        <v>4</v>
      </c>
      <c r="D119" s="38" t="str" cm="1">
        <f t="array" ref="D119">INDEX('Base-2'!$B$2:$J$100,1+B119,C119)</f>
        <v>* differential.element[10].definition = "Indicate if the transplant was autologous or allogeneic.
1 = Autologous
2 = Allogeneic
-9922 = NK"</v>
      </c>
    </row>
    <row r="120" spans="1:4" x14ac:dyDescent="0.75">
      <c r="A120" s="32">
        <v>86</v>
      </c>
      <c r="B120" s="32">
        <f t="shared" si="2"/>
        <v>9</v>
      </c>
      <c r="C120" s="32">
        <f t="shared" si="3"/>
        <v>5</v>
      </c>
      <c r="D120" s="38" t="str" cm="1">
        <f t="array" ref="D120">INDEX('Base-2'!$B$2:$J$100,1+B120,C120)</f>
        <v>* differential.element[10].min = 0</v>
      </c>
    </row>
    <row r="121" spans="1:4" x14ac:dyDescent="0.75">
      <c r="A121" s="32">
        <v>87</v>
      </c>
      <c r="B121" s="32">
        <f t="shared" si="2"/>
        <v>9</v>
      </c>
      <c r="C121" s="32">
        <f t="shared" si="3"/>
        <v>6</v>
      </c>
      <c r="D121" s="38" t="str" cm="1">
        <f t="array" ref="D121">INDEX('Base-2'!$B$2:$J$100,1+B121,C121)</f>
        <v>* differential.element[10].max = "1"</v>
      </c>
    </row>
    <row r="122" spans="1:4" x14ac:dyDescent="0.75">
      <c r="A122" s="32">
        <v>88</v>
      </c>
      <c r="B122" s="32">
        <f t="shared" si="2"/>
        <v>9</v>
      </c>
      <c r="C122" s="32">
        <f t="shared" si="3"/>
        <v>7</v>
      </c>
      <c r="D122" s="38" t="str" cm="1">
        <f t="array" ref="D122">INDEX('Base-2'!$B$2:$J$100,1+B122,C122)</f>
        <v>* differential.element[10].type.code = #CodeableConcept</v>
      </c>
    </row>
    <row r="123" spans="1:4" x14ac:dyDescent="0.75">
      <c r="A123" s="32">
        <v>89</v>
      </c>
      <c r="B123" s="32">
        <f t="shared" si="2"/>
        <v>9</v>
      </c>
      <c r="C123" s="32">
        <f t="shared" si="3"/>
        <v>8</v>
      </c>
      <c r="D123" s="38" t="str" cm="1">
        <f t="array" ref="D123">INDEX('Base-2'!$B$2:$J$100,1+B123,C123)</f>
        <v/>
      </c>
    </row>
    <row r="124" spans="1:4" x14ac:dyDescent="0.75">
      <c r="A124" s="32">
        <v>90</v>
      </c>
      <c r="B124" s="32">
        <f t="shared" si="2"/>
        <v>9</v>
      </c>
      <c r="C124" s="32">
        <f t="shared" si="3"/>
        <v>9</v>
      </c>
      <c r="D124" s="38" t="str" cm="1">
        <f t="array" ref="D124">INDEX('Base-2'!$B$2:$J$100,1+B124,C124)</f>
        <v/>
      </c>
    </row>
    <row r="125" spans="1:4" x14ac:dyDescent="0.75">
      <c r="A125" s="32">
        <v>91</v>
      </c>
      <c r="B125" s="32">
        <f t="shared" si="2"/>
        <v>10</v>
      </c>
      <c r="C125" s="32">
        <f t="shared" si="3"/>
        <v>1</v>
      </c>
      <c r="D125" s="38" t="str" cm="1">
        <f t="array" ref="D125">INDEX('Base-2'!$B$2:$J$100,1+B125,C125)</f>
        <v>* differential.element[11].id = "MinimalTreatmentSummary.diagnosis.stemCellTransplantation.gvhdChronic"</v>
      </c>
    </row>
    <row r="126" spans="1:4" x14ac:dyDescent="0.75">
      <c r="A126" s="32">
        <v>92</v>
      </c>
      <c r="B126" s="32">
        <f t="shared" si="2"/>
        <v>10</v>
      </c>
      <c r="C126" s="32">
        <f t="shared" si="3"/>
        <v>2</v>
      </c>
      <c r="D126" s="38" t="str" cm="1">
        <f t="array" ref="D126">INDEX('Base-2'!$B$2:$J$100,1+B126,C126)</f>
        <v>* differential.element[11].path = "MinimalTreatmentSummary.diagnosis.stemCellTransplantation.gvhdChronic"</v>
      </c>
    </row>
    <row r="127" spans="1:4" x14ac:dyDescent="0.75">
      <c r="A127" s="32">
        <v>93</v>
      </c>
      <c r="B127" s="32">
        <f t="shared" si="2"/>
        <v>10</v>
      </c>
      <c r="C127" s="32">
        <f t="shared" si="3"/>
        <v>3</v>
      </c>
      <c r="D127" s="38" t="str" cm="1">
        <f t="array" ref="D127">INDEX('Base-2'!$B$2:$J$100,1+B127,C127)</f>
        <v>* differential.element[11].short = "GVHD Chronic"</v>
      </c>
    </row>
    <row r="128" spans="1:4" ht="29.5" x14ac:dyDescent="0.75">
      <c r="A128" s="32">
        <v>94</v>
      </c>
      <c r="B128" s="32">
        <f t="shared" si="2"/>
        <v>10</v>
      </c>
      <c r="C128" s="32">
        <f t="shared" si="3"/>
        <v>4</v>
      </c>
      <c r="D128" s="38" t="str" cm="1">
        <f t="array" ref="D128">INDEX('Base-2'!$B$2:$J$100,1+B128,C128)</f>
        <v>* differential.element[11].definition = "Please State if chronic GVHD occurred
Required if DONOR1 = 2 (Type of transplant = Allogenic)"</v>
      </c>
    </row>
    <row r="129" spans="1:4" x14ac:dyDescent="0.75">
      <c r="A129" s="32">
        <v>95</v>
      </c>
      <c r="B129" s="32">
        <f t="shared" si="2"/>
        <v>10</v>
      </c>
      <c r="C129" s="32">
        <f t="shared" si="3"/>
        <v>5</v>
      </c>
      <c r="D129" s="38" t="str" cm="1">
        <f t="array" ref="D129">INDEX('Base-2'!$B$2:$J$100,1+B129,C129)</f>
        <v>* differential.element[11].min = 0</v>
      </c>
    </row>
    <row r="130" spans="1:4" x14ac:dyDescent="0.75">
      <c r="A130" s="32">
        <v>96</v>
      </c>
      <c r="B130" s="32">
        <f t="shared" si="2"/>
        <v>10</v>
      </c>
      <c r="C130" s="32">
        <f t="shared" si="3"/>
        <v>6</v>
      </c>
      <c r="D130" s="38" t="str" cm="1">
        <f t="array" ref="D130">INDEX('Base-2'!$B$2:$J$100,1+B130,C130)</f>
        <v>* differential.element[11].max = "1"</v>
      </c>
    </row>
    <row r="131" spans="1:4" x14ac:dyDescent="0.75">
      <c r="A131" s="32">
        <v>97</v>
      </c>
      <c r="B131" s="32">
        <f t="shared" si="2"/>
        <v>10</v>
      </c>
      <c r="C131" s="32">
        <f t="shared" si="3"/>
        <v>7</v>
      </c>
      <c r="D131" s="38" t="str" cm="1">
        <f t="array" ref="D131">INDEX('Base-2'!$B$2:$J$100,1+B131,C131)</f>
        <v>* differential.element[11].type.code = #CodeableConcept</v>
      </c>
    </row>
    <row r="132" spans="1:4" x14ac:dyDescent="0.75">
      <c r="A132" s="32">
        <v>98</v>
      </c>
      <c r="B132" s="32">
        <f t="shared" si="2"/>
        <v>10</v>
      </c>
      <c r="C132" s="32">
        <f t="shared" si="3"/>
        <v>8</v>
      </c>
      <c r="D132" s="38" t="str" cm="1">
        <f t="array" ref="D132">INDEX('Base-2'!$B$2:$J$100,1+B132,C132)</f>
        <v/>
      </c>
    </row>
    <row r="133" spans="1:4" x14ac:dyDescent="0.75">
      <c r="A133" s="32">
        <v>99</v>
      </c>
      <c r="B133" s="32">
        <f t="shared" si="2"/>
        <v>10</v>
      </c>
      <c r="C133" s="32">
        <f t="shared" si="3"/>
        <v>9</v>
      </c>
      <c r="D133" s="38" t="str" cm="1">
        <f t="array" ref="D133">INDEX('Base-2'!$B$2:$J$100,1+B133,C133)</f>
        <v/>
      </c>
    </row>
    <row r="134" spans="1:4" x14ac:dyDescent="0.75">
      <c r="A134" s="32">
        <v>100</v>
      </c>
      <c r="B134" s="32">
        <f t="shared" si="2"/>
        <v>11</v>
      </c>
      <c r="C134" s="32">
        <f t="shared" si="3"/>
        <v>1</v>
      </c>
      <c r="D134" s="38" t="str" cm="1">
        <f t="array" ref="D134">INDEX('Base-2'!$B$2:$J$100,1+B134,C134)</f>
        <v>* differential.element[12].id = "MinimalTreatmentSummary.diagnosis.majorSurgery"</v>
      </c>
    </row>
    <row r="135" spans="1:4" x14ac:dyDescent="0.75">
      <c r="A135" s="32">
        <v>101</v>
      </c>
      <c r="B135" s="32">
        <f t="shared" si="2"/>
        <v>11</v>
      </c>
      <c r="C135" s="32">
        <f t="shared" si="3"/>
        <v>2</v>
      </c>
      <c r="D135" s="38" t="str" cm="1">
        <f t="array" ref="D135">INDEX('Base-2'!$B$2:$J$100,1+B135,C135)</f>
        <v>* differential.element[12].path = "MinimalTreatmentSummary.diagnosis.majorSurgery"</v>
      </c>
    </row>
    <row r="136" spans="1:4" x14ac:dyDescent="0.75">
      <c r="A136" s="32">
        <v>102</v>
      </c>
      <c r="B136" s="32">
        <f t="shared" si="2"/>
        <v>11</v>
      </c>
      <c r="C136" s="32">
        <f t="shared" si="3"/>
        <v>3</v>
      </c>
      <c r="D136" s="38" t="str" cm="1">
        <f t="array" ref="D136">INDEX('Base-2'!$B$2:$J$100,1+B136,C136)</f>
        <v>* differential.element[12].short = "Major Surgery"</v>
      </c>
    </row>
    <row r="137" spans="1:4" x14ac:dyDescent="0.75">
      <c r="A137" s="32">
        <v>103</v>
      </c>
      <c r="B137" s="32">
        <f t="shared" si="2"/>
        <v>11</v>
      </c>
      <c r="C137" s="32">
        <f t="shared" si="3"/>
        <v>4</v>
      </c>
      <c r="D137" s="38" t="str" cm="1">
        <f t="array" ref="D137">INDEX('Base-2'!$B$2:$J$100,1+B137,C137)</f>
        <v>* differential.element[12].definition = "Major Surgery"</v>
      </c>
    </row>
    <row r="138" spans="1:4" x14ac:dyDescent="0.75">
      <c r="A138" s="32">
        <v>104</v>
      </c>
      <c r="B138" s="32">
        <f t="shared" si="2"/>
        <v>11</v>
      </c>
      <c r="C138" s="32">
        <f t="shared" si="3"/>
        <v>5</v>
      </c>
      <c r="D138" s="38" t="str" cm="1">
        <f t="array" ref="D138">INDEX('Base-2'!$B$2:$J$100,1+B138,C138)</f>
        <v>* differential.element[12].min = 0</v>
      </c>
    </row>
    <row r="139" spans="1:4" x14ac:dyDescent="0.75">
      <c r="A139" s="32">
        <v>105</v>
      </c>
      <c r="B139" s="32">
        <f t="shared" si="2"/>
        <v>11</v>
      </c>
      <c r="C139" s="32">
        <f t="shared" si="3"/>
        <v>6</v>
      </c>
      <c r="D139" s="38" t="str" cm="1">
        <f t="array" ref="D139">INDEX('Base-2'!$B$2:$J$100,1+B139,C139)</f>
        <v>* differential.element[12].max = "*"</v>
      </c>
    </row>
    <row r="140" spans="1:4" x14ac:dyDescent="0.75">
      <c r="A140" s="32">
        <v>106</v>
      </c>
      <c r="B140" s="32">
        <f t="shared" si="2"/>
        <v>11</v>
      </c>
      <c r="C140" s="32">
        <f t="shared" si="3"/>
        <v>7</v>
      </c>
      <c r="D140" s="38" t="str" cm="1">
        <f t="array" ref="D140">INDEX('Base-2'!$B$2:$J$100,1+B140,C140)</f>
        <v>* differential.element[12].type.code = #BackboneElement</v>
      </c>
    </row>
    <row r="141" spans="1:4" x14ac:dyDescent="0.75">
      <c r="A141" s="32">
        <v>107</v>
      </c>
      <c r="B141" s="32">
        <f t="shared" si="2"/>
        <v>11</v>
      </c>
      <c r="C141" s="32">
        <f t="shared" si="3"/>
        <v>8</v>
      </c>
      <c r="D141" s="38" t="str" cm="1">
        <f t="array" ref="D141">INDEX('Base-2'!$B$2:$J$100,1+B141,C141)</f>
        <v/>
      </c>
    </row>
    <row r="142" spans="1:4" x14ac:dyDescent="0.75">
      <c r="A142" s="32">
        <v>108</v>
      </c>
      <c r="B142" s="32">
        <f t="shared" si="2"/>
        <v>11</v>
      </c>
      <c r="C142" s="32">
        <f t="shared" si="3"/>
        <v>9</v>
      </c>
      <c r="D142" s="38" t="str" cm="1">
        <f t="array" ref="D142">INDEX('Base-2'!$B$2:$J$100,1+B142,C142)</f>
        <v/>
      </c>
    </row>
    <row r="143" spans="1:4" x14ac:dyDescent="0.75">
      <c r="A143" s="32">
        <v>109</v>
      </c>
      <c r="B143" s="32">
        <f t="shared" si="2"/>
        <v>12</v>
      </c>
      <c r="C143" s="32">
        <f t="shared" si="3"/>
        <v>1</v>
      </c>
      <c r="D143" s="38" t="str" cm="1">
        <f t="array" ref="D143">INDEX('Base-2'!$B$2:$J$100,1+B143,C143)</f>
        <v>* differential.element[13].id = "MinimalTreatmentSummary.diagnosis.majorSurgery.isOesophagus"</v>
      </c>
    </row>
    <row r="144" spans="1:4" x14ac:dyDescent="0.75">
      <c r="A144" s="32">
        <v>110</v>
      </c>
      <c r="B144" s="32">
        <f t="shared" si="2"/>
        <v>12</v>
      </c>
      <c r="C144" s="32">
        <f t="shared" si="3"/>
        <v>2</v>
      </c>
      <c r="D144" s="38" t="str" cm="1">
        <f t="array" ref="D144">INDEX('Base-2'!$B$2:$J$100,1+B144,C144)</f>
        <v>* differential.element[13].path = "MinimalTreatmentSummary.diagnosis.majorSurgery.isOesophagus"</v>
      </c>
    </row>
    <row r="145" spans="1:4" x14ac:dyDescent="0.75">
      <c r="A145" s="32">
        <v>111</v>
      </c>
      <c r="B145" s="32">
        <f t="shared" si="2"/>
        <v>12</v>
      </c>
      <c r="C145" s="32">
        <f t="shared" si="3"/>
        <v>3</v>
      </c>
      <c r="D145" s="38" t="str" cm="1">
        <f t="array" ref="D145">INDEX('Base-2'!$B$2:$J$100,1+B145,C145)</f>
        <v>* differential.element[13].short = "Oesophagus involved?"</v>
      </c>
    </row>
    <row r="146" spans="1:4" x14ac:dyDescent="0.75">
      <c r="A146" s="32">
        <v>112</v>
      </c>
      <c r="B146" s="32">
        <f t="shared" si="2"/>
        <v>12</v>
      </c>
      <c r="C146" s="32">
        <f t="shared" si="3"/>
        <v>4</v>
      </c>
      <c r="D146" s="38" t="str" cm="1">
        <f t="array" ref="D146">INDEX('Base-2'!$B$2:$J$100,1+B146,C146)</f>
        <v>* differential.element[13].definition = "Was the oesophagus involved in the surgery?"</v>
      </c>
    </row>
    <row r="147" spans="1:4" x14ac:dyDescent="0.75">
      <c r="A147" s="32">
        <v>113</v>
      </c>
      <c r="B147" s="32">
        <f t="shared" si="2"/>
        <v>12</v>
      </c>
      <c r="C147" s="32">
        <f t="shared" si="3"/>
        <v>5</v>
      </c>
      <c r="D147" s="38" t="str" cm="1">
        <f t="array" ref="D147">INDEX('Base-2'!$B$2:$J$100,1+B147,C147)</f>
        <v>* differential.element[13].min = 0</v>
      </c>
    </row>
    <row r="148" spans="1:4" x14ac:dyDescent="0.75">
      <c r="A148" s="32">
        <v>114</v>
      </c>
      <c r="B148" s="32">
        <f t="shared" si="2"/>
        <v>12</v>
      </c>
      <c r="C148" s="32">
        <f t="shared" si="3"/>
        <v>6</v>
      </c>
      <c r="D148" s="38" t="str" cm="1">
        <f t="array" ref="D148">INDEX('Base-2'!$B$2:$J$100,1+B148,C148)</f>
        <v>* differential.element[13].max = "1"</v>
      </c>
    </row>
    <row r="149" spans="1:4" x14ac:dyDescent="0.75">
      <c r="A149" s="32">
        <v>115</v>
      </c>
      <c r="B149" s="32">
        <f t="shared" si="2"/>
        <v>12</v>
      </c>
      <c r="C149" s="32">
        <f t="shared" si="3"/>
        <v>7</v>
      </c>
      <c r="D149" s="38" t="str" cm="1">
        <f t="array" ref="D149">INDEX('Base-2'!$B$2:$J$100,1+B149,C149)</f>
        <v>* differential.element[13].type.code = #CodeableConcept</v>
      </c>
    </row>
    <row r="150" spans="1:4" x14ac:dyDescent="0.75">
      <c r="A150" s="32">
        <v>116</v>
      </c>
      <c r="B150" s="32">
        <f t="shared" si="2"/>
        <v>12</v>
      </c>
      <c r="C150" s="32">
        <f t="shared" si="3"/>
        <v>8</v>
      </c>
      <c r="D150" s="38" t="str" cm="1">
        <f t="array" ref="D150">INDEX('Base-2'!$B$2:$J$100,1+B150,C150)</f>
        <v/>
      </c>
    </row>
    <row r="151" spans="1:4" x14ac:dyDescent="0.75">
      <c r="A151" s="32">
        <v>117</v>
      </c>
      <c r="B151" s="32">
        <f t="shared" si="2"/>
        <v>12</v>
      </c>
      <c r="C151" s="32">
        <f t="shared" si="3"/>
        <v>9</v>
      </c>
      <c r="D151" s="38" t="str" cm="1">
        <f t="array" ref="D151">INDEX('Base-2'!$B$2:$J$100,1+B151,C151)</f>
        <v/>
      </c>
    </row>
    <row r="152" spans="1:4" x14ac:dyDescent="0.75">
      <c r="A152" s="32">
        <v>118</v>
      </c>
      <c r="B152" s="32">
        <f t="shared" si="2"/>
        <v>13</v>
      </c>
      <c r="C152" s="32">
        <f t="shared" si="3"/>
        <v>1</v>
      </c>
      <c r="D152" s="38" t="str" cm="1">
        <f t="array" ref="D152">INDEX('Base-2'!$B$2:$J$100,1+B152,C152)</f>
        <v>* differential.element[14].id = "MinimalTreatmentSummary.diagnosis.majorSurgery.isAbdomen"</v>
      </c>
    </row>
    <row r="153" spans="1:4" x14ac:dyDescent="0.75">
      <c r="A153" s="32">
        <v>119</v>
      </c>
      <c r="B153" s="32">
        <f t="shared" si="2"/>
        <v>13</v>
      </c>
      <c r="C153" s="32">
        <f t="shared" si="3"/>
        <v>2</v>
      </c>
      <c r="D153" s="38" t="str" cm="1">
        <f t="array" ref="D153">INDEX('Base-2'!$B$2:$J$100,1+B153,C153)</f>
        <v>* differential.element[14].path = "MinimalTreatmentSummary.diagnosis.majorSurgery.isAbdomen"</v>
      </c>
    </row>
    <row r="154" spans="1:4" x14ac:dyDescent="0.75">
      <c r="A154" s="32">
        <v>120</v>
      </c>
      <c r="B154" s="32">
        <f t="shared" si="2"/>
        <v>13</v>
      </c>
      <c r="C154" s="32">
        <f t="shared" si="3"/>
        <v>3</v>
      </c>
      <c r="D154" s="38" t="str" cm="1">
        <f t="array" ref="D154">INDEX('Base-2'!$B$2:$J$100,1+B154,C154)</f>
        <v>* differential.element[14].short = "Abdomen involved?"</v>
      </c>
    </row>
    <row r="155" spans="1:4" x14ac:dyDescent="0.75">
      <c r="A155" s="32">
        <v>121</v>
      </c>
      <c r="B155" s="32">
        <f t="shared" si="2"/>
        <v>13</v>
      </c>
      <c r="C155" s="32">
        <f t="shared" si="3"/>
        <v>4</v>
      </c>
      <c r="D155" s="38" t="str" cm="1">
        <f t="array" ref="D155">INDEX('Base-2'!$B$2:$J$100,1+B155,C155)</f>
        <v>* differential.element[14].definition = "Was the abdomen involved in the surgery?"</v>
      </c>
    </row>
    <row r="156" spans="1:4" x14ac:dyDescent="0.75">
      <c r="A156" s="32">
        <v>122</v>
      </c>
      <c r="B156" s="32">
        <f t="shared" si="2"/>
        <v>13</v>
      </c>
      <c r="C156" s="32">
        <f t="shared" si="3"/>
        <v>5</v>
      </c>
      <c r="D156" s="38" t="str" cm="1">
        <f t="array" ref="D156">INDEX('Base-2'!$B$2:$J$100,1+B156,C156)</f>
        <v>* differential.element[14].min = 0</v>
      </c>
    </row>
    <row r="157" spans="1:4" x14ac:dyDescent="0.75">
      <c r="A157" s="32">
        <v>123</v>
      </c>
      <c r="B157" s="32">
        <f t="shared" si="2"/>
        <v>13</v>
      </c>
      <c r="C157" s="32">
        <f t="shared" si="3"/>
        <v>6</v>
      </c>
      <c r="D157" s="38" t="str" cm="1">
        <f t="array" ref="D157">INDEX('Base-2'!$B$2:$J$100,1+B157,C157)</f>
        <v>* differential.element[14].max = "1"</v>
      </c>
    </row>
    <row r="158" spans="1:4" x14ac:dyDescent="0.75">
      <c r="A158" s="32">
        <v>124</v>
      </c>
      <c r="B158" s="32">
        <f t="shared" si="2"/>
        <v>13</v>
      </c>
      <c r="C158" s="32">
        <f t="shared" si="3"/>
        <v>7</v>
      </c>
      <c r="D158" s="38" t="str" cm="1">
        <f t="array" ref="D158">INDEX('Base-2'!$B$2:$J$100,1+B158,C158)</f>
        <v>* differential.element[14].type.code = #CodeableConcept</v>
      </c>
    </row>
    <row r="159" spans="1:4" x14ac:dyDescent="0.75">
      <c r="A159" s="32">
        <v>125</v>
      </c>
      <c r="B159" s="32">
        <f t="shared" si="2"/>
        <v>13</v>
      </c>
      <c r="C159" s="32">
        <f t="shared" si="3"/>
        <v>8</v>
      </c>
      <c r="D159" s="38" t="str" cm="1">
        <f t="array" ref="D159">INDEX('Base-2'!$B$2:$J$100,1+B159,C159)</f>
        <v/>
      </c>
    </row>
    <row r="160" spans="1:4" x14ac:dyDescent="0.75">
      <c r="A160" s="32">
        <v>126</v>
      </c>
      <c r="B160" s="32">
        <f t="shared" si="2"/>
        <v>13</v>
      </c>
      <c r="C160" s="32">
        <f t="shared" si="3"/>
        <v>9</v>
      </c>
      <c r="D160" s="38" t="str" cm="1">
        <f t="array" ref="D160">INDEX('Base-2'!$B$2:$J$100,1+B160,C160)</f>
        <v/>
      </c>
    </row>
    <row r="161" spans="1:4" x14ac:dyDescent="0.75">
      <c r="A161" s="32">
        <v>127</v>
      </c>
      <c r="B161" s="32">
        <f t="shared" si="2"/>
        <v>14</v>
      </c>
      <c r="C161" s="32">
        <f t="shared" si="3"/>
        <v>1</v>
      </c>
      <c r="D161" s="38" t="str" cm="1">
        <f t="array" ref="D161">INDEX('Base-2'!$B$2:$J$100,1+B161,C161)</f>
        <v>* differential.element[15].id = "MinimalTreatmentSummary.diagnosis.majorSurgery.isBrain"</v>
      </c>
    </row>
    <row r="162" spans="1:4" x14ac:dyDescent="0.75">
      <c r="A162" s="32">
        <v>128</v>
      </c>
      <c r="B162" s="32">
        <f t="shared" si="2"/>
        <v>14</v>
      </c>
      <c r="C162" s="32">
        <f t="shared" si="3"/>
        <v>2</v>
      </c>
      <c r="D162" s="38" t="str" cm="1">
        <f t="array" ref="D162">INDEX('Base-2'!$B$2:$J$100,1+B162,C162)</f>
        <v>* differential.element[15].path = "MinimalTreatmentSummary.diagnosis.majorSurgery.isBrain"</v>
      </c>
    </row>
    <row r="163" spans="1:4" x14ac:dyDescent="0.75">
      <c r="A163" s="32">
        <v>129</v>
      </c>
      <c r="B163" s="32">
        <f t="shared" si="2"/>
        <v>14</v>
      </c>
      <c r="C163" s="32">
        <f t="shared" si="3"/>
        <v>3</v>
      </c>
      <c r="D163" s="38" t="str" cm="1">
        <f t="array" ref="D163">INDEX('Base-2'!$B$2:$J$100,1+B163,C163)</f>
        <v>* differential.element[15].short = "Brain involved?"</v>
      </c>
    </row>
    <row r="164" spans="1:4" x14ac:dyDescent="0.75">
      <c r="A164" s="32">
        <v>130</v>
      </c>
      <c r="B164" s="32">
        <f t="shared" ref="B164:B227" si="4">IF(MOD(A164,$B$25)=0,A164/$B$25-1,INT(A164/$B$25))</f>
        <v>14</v>
      </c>
      <c r="C164" s="32">
        <f t="shared" ref="C164:C227" si="5">IF(MOD(A164,$B$25)=0,$B$25,MOD(A164,$B$25))</f>
        <v>4</v>
      </c>
      <c r="D164" s="38" t="str" cm="1">
        <f t="array" ref="D164">INDEX('Base-2'!$B$2:$J$100,1+B164,C164)</f>
        <v>* differential.element[15].definition = "Was the brain involved in the surgery?"</v>
      </c>
    </row>
    <row r="165" spans="1:4" x14ac:dyDescent="0.75">
      <c r="A165" s="32">
        <v>131</v>
      </c>
      <c r="B165" s="32">
        <f t="shared" si="4"/>
        <v>14</v>
      </c>
      <c r="C165" s="32">
        <f t="shared" si="5"/>
        <v>5</v>
      </c>
      <c r="D165" s="38" t="str" cm="1">
        <f t="array" ref="D165">INDEX('Base-2'!$B$2:$J$100,1+B165,C165)</f>
        <v>* differential.element[15].min = 0</v>
      </c>
    </row>
    <row r="166" spans="1:4" x14ac:dyDescent="0.75">
      <c r="A166" s="32">
        <v>132</v>
      </c>
      <c r="B166" s="32">
        <f t="shared" si="4"/>
        <v>14</v>
      </c>
      <c r="C166" s="32">
        <f t="shared" si="5"/>
        <v>6</v>
      </c>
      <c r="D166" s="38" t="str" cm="1">
        <f t="array" ref="D166">INDEX('Base-2'!$B$2:$J$100,1+B166,C166)</f>
        <v>* differential.element[15].max = "1"</v>
      </c>
    </row>
    <row r="167" spans="1:4" x14ac:dyDescent="0.75">
      <c r="A167" s="32">
        <v>133</v>
      </c>
      <c r="B167" s="32">
        <f t="shared" si="4"/>
        <v>14</v>
      </c>
      <c r="C167" s="32">
        <f t="shared" si="5"/>
        <v>7</v>
      </c>
      <c r="D167" s="38" t="str" cm="1">
        <f t="array" ref="D167">INDEX('Base-2'!$B$2:$J$100,1+B167,C167)</f>
        <v>* differential.element[15].type.code = #CodeableConcept</v>
      </c>
    </row>
    <row r="168" spans="1:4" x14ac:dyDescent="0.75">
      <c r="A168" s="32">
        <v>134</v>
      </c>
      <c r="B168" s="32">
        <f t="shared" si="4"/>
        <v>14</v>
      </c>
      <c r="C168" s="32">
        <f t="shared" si="5"/>
        <v>8</v>
      </c>
      <c r="D168" s="38" t="str" cm="1">
        <f t="array" ref="D168">INDEX('Base-2'!$B$2:$J$100,1+B168,C168)</f>
        <v/>
      </c>
    </row>
    <row r="169" spans="1:4" x14ac:dyDescent="0.75">
      <c r="A169" s="32">
        <v>135</v>
      </c>
      <c r="B169" s="32">
        <f t="shared" si="4"/>
        <v>14</v>
      </c>
      <c r="C169" s="32">
        <f t="shared" si="5"/>
        <v>9</v>
      </c>
      <c r="D169" s="38" t="str" cm="1">
        <f t="array" ref="D169">INDEX('Base-2'!$B$2:$J$100,1+B169,C169)</f>
        <v/>
      </c>
    </row>
    <row r="170" spans="1:4" x14ac:dyDescent="0.75">
      <c r="A170" s="32">
        <v>136</v>
      </c>
      <c r="B170" s="32">
        <f t="shared" si="4"/>
        <v>15</v>
      </c>
      <c r="C170" s="32">
        <f t="shared" si="5"/>
        <v>1</v>
      </c>
      <c r="D170" s="38" t="str" cm="1">
        <f t="array" ref="D170">INDEX('Base-2'!$B$2:$J$100,1+B170,C170)</f>
        <v>* differential.element[16].id = "MinimalTreatmentSummary.diagnosis.majorSurgery.isFace"</v>
      </c>
    </row>
    <row r="171" spans="1:4" x14ac:dyDescent="0.75">
      <c r="A171" s="32">
        <v>137</v>
      </c>
      <c r="B171" s="32">
        <f t="shared" si="4"/>
        <v>15</v>
      </c>
      <c r="C171" s="32">
        <f t="shared" si="5"/>
        <v>2</v>
      </c>
      <c r="D171" s="38" t="str" cm="1">
        <f t="array" ref="D171">INDEX('Base-2'!$B$2:$J$100,1+B171,C171)</f>
        <v>* differential.element[16].path = "MinimalTreatmentSummary.diagnosis.majorSurgery.isFace"</v>
      </c>
    </row>
    <row r="172" spans="1:4" x14ac:dyDescent="0.75">
      <c r="A172" s="32">
        <v>138</v>
      </c>
      <c r="B172" s="32">
        <f t="shared" si="4"/>
        <v>15</v>
      </c>
      <c r="C172" s="32">
        <f t="shared" si="5"/>
        <v>3</v>
      </c>
      <c r="D172" s="38" t="str" cm="1">
        <f t="array" ref="D172">INDEX('Base-2'!$B$2:$J$100,1+B172,C172)</f>
        <v>* differential.element[16].short = "Face involved?"</v>
      </c>
    </row>
    <row r="173" spans="1:4" x14ac:dyDescent="0.75">
      <c r="A173" s="32">
        <v>139</v>
      </c>
      <c r="B173" s="32">
        <f t="shared" si="4"/>
        <v>15</v>
      </c>
      <c r="C173" s="32">
        <f t="shared" si="5"/>
        <v>4</v>
      </c>
      <c r="D173" s="38" t="str" cm="1">
        <f t="array" ref="D173">INDEX('Base-2'!$B$2:$J$100,1+B173,C173)</f>
        <v>* differential.element[16].definition = "Was the face involved in the surgery?"</v>
      </c>
    </row>
    <row r="174" spans="1:4" x14ac:dyDescent="0.75">
      <c r="A174" s="32">
        <v>140</v>
      </c>
      <c r="B174" s="32">
        <f t="shared" si="4"/>
        <v>15</v>
      </c>
      <c r="C174" s="32">
        <f t="shared" si="5"/>
        <v>5</v>
      </c>
      <c r="D174" s="38" t="str" cm="1">
        <f t="array" ref="D174">INDEX('Base-2'!$B$2:$J$100,1+B174,C174)</f>
        <v>* differential.element[16].min = 0</v>
      </c>
    </row>
    <row r="175" spans="1:4" x14ac:dyDescent="0.75">
      <c r="A175" s="32">
        <v>141</v>
      </c>
      <c r="B175" s="32">
        <f t="shared" si="4"/>
        <v>15</v>
      </c>
      <c r="C175" s="32">
        <f t="shared" si="5"/>
        <v>6</v>
      </c>
      <c r="D175" s="38" t="str" cm="1">
        <f t="array" ref="D175">INDEX('Base-2'!$B$2:$J$100,1+B175,C175)</f>
        <v>* differential.element[16].max = "1"</v>
      </c>
    </row>
    <row r="176" spans="1:4" x14ac:dyDescent="0.75">
      <c r="A176" s="32">
        <v>142</v>
      </c>
      <c r="B176" s="32">
        <f t="shared" si="4"/>
        <v>15</v>
      </c>
      <c r="C176" s="32">
        <f t="shared" si="5"/>
        <v>7</v>
      </c>
      <c r="D176" s="38" t="str" cm="1">
        <f t="array" ref="D176">INDEX('Base-2'!$B$2:$J$100,1+B176,C176)</f>
        <v>* differential.element[16].type.code = #CodeableConcept</v>
      </c>
    </row>
    <row r="177" spans="1:4" x14ac:dyDescent="0.75">
      <c r="A177" s="32">
        <v>143</v>
      </c>
      <c r="B177" s="32">
        <f t="shared" si="4"/>
        <v>15</v>
      </c>
      <c r="C177" s="32">
        <f t="shared" si="5"/>
        <v>8</v>
      </c>
      <c r="D177" s="38" t="str" cm="1">
        <f t="array" ref="D177">INDEX('Base-2'!$B$2:$J$100,1+B177,C177)</f>
        <v/>
      </c>
    </row>
    <row r="178" spans="1:4" x14ac:dyDescent="0.75">
      <c r="A178" s="32">
        <v>144</v>
      </c>
      <c r="B178" s="32">
        <f t="shared" si="4"/>
        <v>15</v>
      </c>
      <c r="C178" s="32">
        <f t="shared" si="5"/>
        <v>9</v>
      </c>
      <c r="D178" s="38" t="str" cm="1">
        <f t="array" ref="D178">INDEX('Base-2'!$B$2:$J$100,1+B178,C178)</f>
        <v/>
      </c>
    </row>
    <row r="179" spans="1:4" x14ac:dyDescent="0.75">
      <c r="A179" s="32">
        <v>145</v>
      </c>
      <c r="B179" s="32">
        <f t="shared" si="4"/>
        <v>16</v>
      </c>
      <c r="C179" s="32">
        <f t="shared" si="5"/>
        <v>1</v>
      </c>
      <c r="D179" s="38" t="str" cm="1">
        <f t="array" ref="D179">INDEX('Base-2'!$B$2:$J$100,1+B179,C179)</f>
        <v>* differential.element[17].id = "MinimalTreatmentSummary.diagnosis.majorSurgery.isLiver"</v>
      </c>
    </row>
    <row r="180" spans="1:4" x14ac:dyDescent="0.75">
      <c r="A180" s="32">
        <v>146</v>
      </c>
      <c r="B180" s="32">
        <f t="shared" si="4"/>
        <v>16</v>
      </c>
      <c r="C180" s="32">
        <f t="shared" si="5"/>
        <v>2</v>
      </c>
      <c r="D180" s="38" t="str" cm="1">
        <f t="array" ref="D180">INDEX('Base-2'!$B$2:$J$100,1+B180,C180)</f>
        <v>* differential.element[17].path = "MinimalTreatmentSummary.diagnosis.majorSurgery.isLiver"</v>
      </c>
    </row>
    <row r="181" spans="1:4" x14ac:dyDescent="0.75">
      <c r="A181" s="32">
        <v>147</v>
      </c>
      <c r="B181" s="32">
        <f t="shared" si="4"/>
        <v>16</v>
      </c>
      <c r="C181" s="32">
        <f t="shared" si="5"/>
        <v>3</v>
      </c>
      <c r="D181" s="38" t="str" cm="1">
        <f t="array" ref="D181">INDEX('Base-2'!$B$2:$J$100,1+B181,C181)</f>
        <v>* differential.element[17].short = "Liver involved?"</v>
      </c>
    </row>
    <row r="182" spans="1:4" x14ac:dyDescent="0.75">
      <c r="A182" s="32">
        <v>148</v>
      </c>
      <c r="B182" s="32">
        <f t="shared" si="4"/>
        <v>16</v>
      </c>
      <c r="C182" s="32">
        <f t="shared" si="5"/>
        <v>4</v>
      </c>
      <c r="D182" s="38" t="str" cm="1">
        <f t="array" ref="D182">INDEX('Base-2'!$B$2:$J$100,1+B182,C182)</f>
        <v>* differential.element[17].definition = "Was the liver involved in the surgery?"</v>
      </c>
    </row>
    <row r="183" spans="1:4" x14ac:dyDescent="0.75">
      <c r="A183" s="32">
        <v>149</v>
      </c>
      <c r="B183" s="32">
        <f t="shared" si="4"/>
        <v>16</v>
      </c>
      <c r="C183" s="32">
        <f t="shared" si="5"/>
        <v>5</v>
      </c>
      <c r="D183" s="38" t="str" cm="1">
        <f t="array" ref="D183">INDEX('Base-2'!$B$2:$J$100,1+B183,C183)</f>
        <v>* differential.element[17].min = 0</v>
      </c>
    </row>
    <row r="184" spans="1:4" x14ac:dyDescent="0.75">
      <c r="A184" s="32">
        <v>150</v>
      </c>
      <c r="B184" s="32">
        <f t="shared" si="4"/>
        <v>16</v>
      </c>
      <c r="C184" s="32">
        <f t="shared" si="5"/>
        <v>6</v>
      </c>
      <c r="D184" s="38" t="str" cm="1">
        <f t="array" ref="D184">INDEX('Base-2'!$B$2:$J$100,1+B184,C184)</f>
        <v>* differential.element[17].max = "1"</v>
      </c>
    </row>
    <row r="185" spans="1:4" x14ac:dyDescent="0.75">
      <c r="A185" s="32">
        <v>151</v>
      </c>
      <c r="B185" s="32">
        <f t="shared" si="4"/>
        <v>16</v>
      </c>
      <c r="C185" s="32">
        <f t="shared" si="5"/>
        <v>7</v>
      </c>
      <c r="D185" s="38" t="str" cm="1">
        <f t="array" ref="D185">INDEX('Base-2'!$B$2:$J$100,1+B185,C185)</f>
        <v>* differential.element[17].type.code = #CodeableConcept</v>
      </c>
    </row>
    <row r="186" spans="1:4" x14ac:dyDescent="0.75">
      <c r="A186" s="32">
        <v>152</v>
      </c>
      <c r="B186" s="32">
        <f t="shared" si="4"/>
        <v>16</v>
      </c>
      <c r="C186" s="32">
        <f t="shared" si="5"/>
        <v>8</v>
      </c>
      <c r="D186" s="38" t="str" cm="1">
        <f t="array" ref="D186">INDEX('Base-2'!$B$2:$J$100,1+B186,C186)</f>
        <v/>
      </c>
    </row>
    <row r="187" spans="1:4" x14ac:dyDescent="0.75">
      <c r="A187" s="32">
        <v>153</v>
      </c>
      <c r="B187" s="32">
        <f t="shared" si="4"/>
        <v>16</v>
      </c>
      <c r="C187" s="32">
        <f t="shared" si="5"/>
        <v>9</v>
      </c>
      <c r="D187" s="38" t="str" cm="1">
        <f t="array" ref="D187">INDEX('Base-2'!$B$2:$J$100,1+B187,C187)</f>
        <v/>
      </c>
    </row>
    <row r="188" spans="1:4" x14ac:dyDescent="0.75">
      <c r="A188" s="32">
        <v>154</v>
      </c>
      <c r="B188" s="32">
        <f t="shared" si="4"/>
        <v>17</v>
      </c>
      <c r="C188" s="32">
        <f t="shared" si="5"/>
        <v>1</v>
      </c>
      <c r="D188" s="38" t="str" cm="1">
        <f t="array" ref="D188">INDEX('Base-2'!$B$2:$J$100,1+B188,C188)</f>
        <v>* differential.element[18].id = "MinimalTreatmentSummary.diagnosis.majorSurgery.isSpine"</v>
      </c>
    </row>
    <row r="189" spans="1:4" x14ac:dyDescent="0.75">
      <c r="A189" s="32">
        <v>155</v>
      </c>
      <c r="B189" s="32">
        <f t="shared" si="4"/>
        <v>17</v>
      </c>
      <c r="C189" s="32">
        <f t="shared" si="5"/>
        <v>2</v>
      </c>
      <c r="D189" s="38" t="str" cm="1">
        <f t="array" ref="D189">INDEX('Base-2'!$B$2:$J$100,1+B189,C189)</f>
        <v>* differential.element[18].path = "MinimalTreatmentSummary.diagnosis.majorSurgery.isSpine"</v>
      </c>
    </row>
    <row r="190" spans="1:4" x14ac:dyDescent="0.75">
      <c r="A190" s="32">
        <v>156</v>
      </c>
      <c r="B190" s="32">
        <f t="shared" si="4"/>
        <v>17</v>
      </c>
      <c r="C190" s="32">
        <f t="shared" si="5"/>
        <v>3</v>
      </c>
      <c r="D190" s="38" t="str" cm="1">
        <f t="array" ref="D190">INDEX('Base-2'!$B$2:$J$100,1+B190,C190)</f>
        <v>* differential.element[18].short = "Spine involved?"</v>
      </c>
    </row>
    <row r="191" spans="1:4" x14ac:dyDescent="0.75">
      <c r="A191" s="32">
        <v>157</v>
      </c>
      <c r="B191" s="32">
        <f t="shared" si="4"/>
        <v>17</v>
      </c>
      <c r="C191" s="32">
        <f t="shared" si="5"/>
        <v>4</v>
      </c>
      <c r="D191" s="38" t="str" cm="1">
        <f t="array" ref="D191">INDEX('Base-2'!$B$2:$J$100,1+B191,C191)</f>
        <v>* differential.element[18].definition = "Was the spine involved in the surgery?"</v>
      </c>
    </row>
    <row r="192" spans="1:4" x14ac:dyDescent="0.75">
      <c r="A192" s="32">
        <v>158</v>
      </c>
      <c r="B192" s="32">
        <f t="shared" si="4"/>
        <v>17</v>
      </c>
      <c r="C192" s="32">
        <f t="shared" si="5"/>
        <v>5</v>
      </c>
      <c r="D192" s="38" t="str" cm="1">
        <f t="array" ref="D192">INDEX('Base-2'!$B$2:$J$100,1+B192,C192)</f>
        <v>* differential.element[18].min = 0</v>
      </c>
    </row>
    <row r="193" spans="1:4" x14ac:dyDescent="0.75">
      <c r="A193" s="32">
        <v>159</v>
      </c>
      <c r="B193" s="32">
        <f t="shared" si="4"/>
        <v>17</v>
      </c>
      <c r="C193" s="32">
        <f t="shared" si="5"/>
        <v>6</v>
      </c>
      <c r="D193" s="38" t="str" cm="1">
        <f t="array" ref="D193">INDEX('Base-2'!$B$2:$J$100,1+B193,C193)</f>
        <v>* differential.element[18].max = "1"</v>
      </c>
    </row>
    <row r="194" spans="1:4" x14ac:dyDescent="0.75">
      <c r="A194" s="32">
        <v>160</v>
      </c>
      <c r="B194" s="32">
        <f t="shared" si="4"/>
        <v>17</v>
      </c>
      <c r="C194" s="32">
        <f t="shared" si="5"/>
        <v>7</v>
      </c>
      <c r="D194" s="38" t="str" cm="1">
        <f t="array" ref="D194">INDEX('Base-2'!$B$2:$J$100,1+B194,C194)</f>
        <v>* differential.element[18].type.code = #CodeableConcept</v>
      </c>
    </row>
    <row r="195" spans="1:4" x14ac:dyDescent="0.75">
      <c r="A195" s="32">
        <v>161</v>
      </c>
      <c r="B195" s="32">
        <f t="shared" si="4"/>
        <v>17</v>
      </c>
      <c r="C195" s="32">
        <f t="shared" si="5"/>
        <v>8</v>
      </c>
      <c r="D195" s="38" t="str" cm="1">
        <f t="array" ref="D195">INDEX('Base-2'!$B$2:$J$100,1+B195,C195)</f>
        <v/>
      </c>
    </row>
    <row r="196" spans="1:4" x14ac:dyDescent="0.75">
      <c r="A196" s="32">
        <v>162</v>
      </c>
      <c r="B196" s="32">
        <f t="shared" si="4"/>
        <v>17</v>
      </c>
      <c r="C196" s="32">
        <f t="shared" si="5"/>
        <v>9</v>
      </c>
      <c r="D196" s="38" t="str" cm="1">
        <f t="array" ref="D196">INDEX('Base-2'!$B$2:$J$100,1+B196,C196)</f>
        <v/>
      </c>
    </row>
    <row r="197" spans="1:4" x14ac:dyDescent="0.75">
      <c r="A197" s="32">
        <v>163</v>
      </c>
      <c r="B197" s="32">
        <f t="shared" si="4"/>
        <v>18</v>
      </c>
      <c r="C197" s="32">
        <f t="shared" si="5"/>
        <v>1</v>
      </c>
      <c r="D197" s="38" t="str" cm="1">
        <f t="array" ref="D197">INDEX('Base-2'!$B$2:$J$100,1+B197,C197)</f>
        <v>* differential.element[19].id = "MinimalTreatmentSummary.diagnosis.majorSurgery.isSpinalCord"</v>
      </c>
    </row>
    <row r="198" spans="1:4" x14ac:dyDescent="0.75">
      <c r="A198" s="32">
        <v>164</v>
      </c>
      <c r="B198" s="32">
        <f t="shared" si="4"/>
        <v>18</v>
      </c>
      <c r="C198" s="32">
        <f t="shared" si="5"/>
        <v>2</v>
      </c>
      <c r="D198" s="38" t="str" cm="1">
        <f t="array" ref="D198">INDEX('Base-2'!$B$2:$J$100,1+B198,C198)</f>
        <v>* differential.element[19].path = "MinimalTreatmentSummary.diagnosis.majorSurgery.isSpinalCord"</v>
      </c>
    </row>
    <row r="199" spans="1:4" x14ac:dyDescent="0.75">
      <c r="A199" s="32">
        <v>165</v>
      </c>
      <c r="B199" s="32">
        <f t="shared" si="4"/>
        <v>18</v>
      </c>
      <c r="C199" s="32">
        <f t="shared" si="5"/>
        <v>3</v>
      </c>
      <c r="D199" s="38" t="str" cm="1">
        <f t="array" ref="D199">INDEX('Base-2'!$B$2:$J$100,1+B199,C199)</f>
        <v>* differential.element[19].short = "Spinal Cord involved?"</v>
      </c>
    </row>
    <row r="200" spans="1:4" ht="29.5" x14ac:dyDescent="0.75">
      <c r="A200" s="32">
        <v>166</v>
      </c>
      <c r="B200" s="32">
        <f t="shared" si="4"/>
        <v>18</v>
      </c>
      <c r="C200" s="32">
        <f t="shared" si="5"/>
        <v>4</v>
      </c>
      <c r="D200" s="38" t="str" cm="1">
        <f t="array" ref="D200">INDEX('Base-2'!$B$2:$J$100,1+B200,C200)</f>
        <v>* differential.element[19].definition = "Was the spinal cord involved in the surgery ?
"</v>
      </c>
    </row>
    <row r="201" spans="1:4" x14ac:dyDescent="0.75">
      <c r="A201" s="32">
        <v>167</v>
      </c>
      <c r="B201" s="32">
        <f t="shared" si="4"/>
        <v>18</v>
      </c>
      <c r="C201" s="32">
        <f t="shared" si="5"/>
        <v>5</v>
      </c>
      <c r="D201" s="38" t="str" cm="1">
        <f t="array" ref="D201">INDEX('Base-2'!$B$2:$J$100,1+B201,C201)</f>
        <v>* differential.element[19].min = 0</v>
      </c>
    </row>
    <row r="202" spans="1:4" x14ac:dyDescent="0.75">
      <c r="A202" s="32">
        <v>168</v>
      </c>
      <c r="B202" s="32">
        <f t="shared" si="4"/>
        <v>18</v>
      </c>
      <c r="C202" s="32">
        <f t="shared" si="5"/>
        <v>6</v>
      </c>
      <c r="D202" s="38" t="str" cm="1">
        <f t="array" ref="D202">INDEX('Base-2'!$B$2:$J$100,1+B202,C202)</f>
        <v>* differential.element[19].max = "1"</v>
      </c>
    </row>
    <row r="203" spans="1:4" x14ac:dyDescent="0.75">
      <c r="A203" s="32">
        <v>169</v>
      </c>
      <c r="B203" s="32">
        <f t="shared" si="4"/>
        <v>18</v>
      </c>
      <c r="C203" s="32">
        <f t="shared" si="5"/>
        <v>7</v>
      </c>
      <c r="D203" s="38" t="str" cm="1">
        <f t="array" ref="D203">INDEX('Base-2'!$B$2:$J$100,1+B203,C203)</f>
        <v>* differential.element[19].type.code = #CodeableConcept</v>
      </c>
    </row>
    <row r="204" spans="1:4" x14ac:dyDescent="0.75">
      <c r="A204" s="32">
        <v>170</v>
      </c>
      <c r="B204" s="32">
        <f t="shared" si="4"/>
        <v>18</v>
      </c>
      <c r="C204" s="32">
        <f t="shared" si="5"/>
        <v>8</v>
      </c>
      <c r="D204" s="38" t="str" cm="1">
        <f t="array" ref="D204">INDEX('Base-2'!$B$2:$J$100,1+B204,C204)</f>
        <v/>
      </c>
    </row>
    <row r="205" spans="1:4" x14ac:dyDescent="0.75">
      <c r="A205" s="32">
        <v>171</v>
      </c>
      <c r="B205" s="32">
        <f t="shared" si="4"/>
        <v>18</v>
      </c>
      <c r="C205" s="32">
        <f t="shared" si="5"/>
        <v>9</v>
      </c>
      <c r="D205" s="38" t="str" cm="1">
        <f t="array" ref="D205">INDEX('Base-2'!$B$2:$J$100,1+B205,C205)</f>
        <v/>
      </c>
    </row>
    <row r="206" spans="1:4" x14ac:dyDescent="0.75">
      <c r="A206" s="32">
        <v>172</v>
      </c>
      <c r="B206" s="32">
        <f t="shared" si="4"/>
        <v>19</v>
      </c>
      <c r="C206" s="32">
        <f t="shared" si="5"/>
        <v>1</v>
      </c>
      <c r="D206" s="38" t="str" cm="1">
        <f t="array" ref="D206">INDEX('Base-2'!$B$2:$J$100,1+B206,C206)</f>
        <v>* differential.element[20].id = "MinimalTreatmentSummary.diagnosis.majorSurgery.isSympatheticNerves"</v>
      </c>
    </row>
    <row r="207" spans="1:4" x14ac:dyDescent="0.75">
      <c r="A207" s="32">
        <v>173</v>
      </c>
      <c r="B207" s="32">
        <f t="shared" si="4"/>
        <v>19</v>
      </c>
      <c r="C207" s="32">
        <f t="shared" si="5"/>
        <v>2</v>
      </c>
      <c r="D207" s="38" t="str" cm="1">
        <f t="array" ref="D207">INDEX('Base-2'!$B$2:$J$100,1+B207,C207)</f>
        <v>* differential.element[20].path = "MinimalTreatmentSummary.diagnosis.majorSurgery.isSympatheticNerves"</v>
      </c>
    </row>
    <row r="208" spans="1:4" x14ac:dyDescent="0.75">
      <c r="A208" s="32">
        <v>174</v>
      </c>
      <c r="B208" s="32">
        <f t="shared" si="4"/>
        <v>19</v>
      </c>
      <c r="C208" s="32">
        <f t="shared" si="5"/>
        <v>3</v>
      </c>
      <c r="D208" s="38" t="str" cm="1">
        <f t="array" ref="D208">INDEX('Base-2'!$B$2:$J$100,1+B208,C208)</f>
        <v>* differential.element[20].short = "Sympathetic nerves involved?"</v>
      </c>
    </row>
    <row r="209" spans="1:4" x14ac:dyDescent="0.75">
      <c r="A209" s="32">
        <v>175</v>
      </c>
      <c r="B209" s="32">
        <f t="shared" si="4"/>
        <v>19</v>
      </c>
      <c r="C209" s="32">
        <f t="shared" si="5"/>
        <v>4</v>
      </c>
      <c r="D209" s="38" t="str" cm="1">
        <f t="array" ref="D209">INDEX('Base-2'!$B$2:$J$100,1+B209,C209)</f>
        <v>* differential.element[20].definition = "Were the sympathetic nerves involved in the surgery ?"</v>
      </c>
    </row>
    <row r="210" spans="1:4" x14ac:dyDescent="0.75">
      <c r="A210" s="32">
        <v>176</v>
      </c>
      <c r="B210" s="32">
        <f t="shared" si="4"/>
        <v>19</v>
      </c>
      <c r="C210" s="32">
        <f t="shared" si="5"/>
        <v>5</v>
      </c>
      <c r="D210" s="38" t="str" cm="1">
        <f t="array" ref="D210">INDEX('Base-2'!$B$2:$J$100,1+B210,C210)</f>
        <v>* differential.element[20].min = 0</v>
      </c>
    </row>
    <row r="211" spans="1:4" x14ac:dyDescent="0.75">
      <c r="A211" s="32">
        <v>177</v>
      </c>
      <c r="B211" s="32">
        <f t="shared" si="4"/>
        <v>19</v>
      </c>
      <c r="C211" s="32">
        <f t="shared" si="5"/>
        <v>6</v>
      </c>
      <c r="D211" s="38" t="str" cm="1">
        <f t="array" ref="D211">INDEX('Base-2'!$B$2:$J$100,1+B211,C211)</f>
        <v>* differential.element[20].max = "1"</v>
      </c>
    </row>
    <row r="212" spans="1:4" x14ac:dyDescent="0.75">
      <c r="A212" s="32">
        <v>178</v>
      </c>
      <c r="B212" s="32">
        <f t="shared" si="4"/>
        <v>19</v>
      </c>
      <c r="C212" s="32">
        <f t="shared" si="5"/>
        <v>7</v>
      </c>
      <c r="D212" s="38" t="str" cm="1">
        <f t="array" ref="D212">INDEX('Base-2'!$B$2:$J$100,1+B212,C212)</f>
        <v>* differential.element[20].type.code = #CodeableConcept</v>
      </c>
    </row>
    <row r="213" spans="1:4" x14ac:dyDescent="0.75">
      <c r="A213" s="32">
        <v>179</v>
      </c>
      <c r="B213" s="32">
        <f t="shared" si="4"/>
        <v>19</v>
      </c>
      <c r="C213" s="32">
        <f t="shared" si="5"/>
        <v>8</v>
      </c>
      <c r="D213" s="38" t="str" cm="1">
        <f t="array" ref="D213">INDEX('Base-2'!$B$2:$J$100,1+B213,C213)</f>
        <v/>
      </c>
    </row>
    <row r="214" spans="1:4" x14ac:dyDescent="0.75">
      <c r="A214" s="32">
        <v>180</v>
      </c>
      <c r="B214" s="32">
        <f t="shared" si="4"/>
        <v>19</v>
      </c>
      <c r="C214" s="32">
        <f t="shared" si="5"/>
        <v>9</v>
      </c>
      <c r="D214" s="38" t="str" cm="1">
        <f t="array" ref="D214">INDEX('Base-2'!$B$2:$J$100,1+B214,C214)</f>
        <v/>
      </c>
    </row>
    <row r="215" spans="1:4" x14ac:dyDescent="0.75">
      <c r="A215" s="32">
        <v>181</v>
      </c>
      <c r="B215" s="32">
        <f t="shared" si="4"/>
        <v>20</v>
      </c>
      <c r="C215" s="32">
        <f t="shared" si="5"/>
        <v>1</v>
      </c>
      <c r="D215" s="38" t="str" cm="1">
        <f t="array" ref="D215">INDEX('Base-2'!$B$2:$J$100,1+B215,C215)</f>
        <v>* differential.element[21].id = "MinimalTreatmentSummary.diagnosis.majorSurgery.isChestThorax"</v>
      </c>
    </row>
    <row r="216" spans="1:4" x14ac:dyDescent="0.75">
      <c r="A216" s="32">
        <v>182</v>
      </c>
      <c r="B216" s="32">
        <f t="shared" si="4"/>
        <v>20</v>
      </c>
      <c r="C216" s="32">
        <f t="shared" si="5"/>
        <v>2</v>
      </c>
      <c r="D216" s="38" t="str" cm="1">
        <f t="array" ref="D216">INDEX('Base-2'!$B$2:$J$100,1+B216,C216)</f>
        <v>* differential.element[21].path = "MinimalTreatmentSummary.diagnosis.majorSurgery.isChestThorax"</v>
      </c>
    </row>
    <row r="217" spans="1:4" x14ac:dyDescent="0.75">
      <c r="A217" s="32">
        <v>183</v>
      </c>
      <c r="B217" s="32">
        <f t="shared" si="4"/>
        <v>20</v>
      </c>
      <c r="C217" s="32">
        <f t="shared" si="5"/>
        <v>3</v>
      </c>
      <c r="D217" s="38" t="str" cm="1">
        <f t="array" ref="D217">INDEX('Base-2'!$B$2:$J$100,1+B217,C217)</f>
        <v>* differential.element[21].short = "Chest/thorax involved?"</v>
      </c>
    </row>
    <row r="218" spans="1:4" ht="29.5" x14ac:dyDescent="0.75">
      <c r="A218" s="32">
        <v>184</v>
      </c>
      <c r="B218" s="32">
        <f t="shared" si="4"/>
        <v>20</v>
      </c>
      <c r="C218" s="32">
        <f t="shared" si="5"/>
        <v>4</v>
      </c>
      <c r="D218" s="38" t="str" cm="1">
        <f t="array" ref="D218">INDEX('Base-2'!$B$2:$J$100,1+B218,C218)</f>
        <v>* differential.element[21].definition = "Was the chest or thorax involved in the surgery?
This does not include a central venous catheter (CVC)"</v>
      </c>
    </row>
    <row r="219" spans="1:4" x14ac:dyDescent="0.75">
      <c r="A219" s="32">
        <v>185</v>
      </c>
      <c r="B219" s="32">
        <f t="shared" si="4"/>
        <v>20</v>
      </c>
      <c r="C219" s="32">
        <f t="shared" si="5"/>
        <v>5</v>
      </c>
      <c r="D219" s="38" t="str" cm="1">
        <f t="array" ref="D219">INDEX('Base-2'!$B$2:$J$100,1+B219,C219)</f>
        <v>* differential.element[21].min = 0</v>
      </c>
    </row>
    <row r="220" spans="1:4" x14ac:dyDescent="0.75">
      <c r="A220" s="32">
        <v>186</v>
      </c>
      <c r="B220" s="32">
        <f t="shared" si="4"/>
        <v>20</v>
      </c>
      <c r="C220" s="32">
        <f t="shared" si="5"/>
        <v>6</v>
      </c>
      <c r="D220" s="38" t="str" cm="1">
        <f t="array" ref="D220">INDEX('Base-2'!$B$2:$J$100,1+B220,C220)</f>
        <v>* differential.element[21].max = "1"</v>
      </c>
    </row>
    <row r="221" spans="1:4" x14ac:dyDescent="0.75">
      <c r="A221" s="32">
        <v>187</v>
      </c>
      <c r="B221" s="32">
        <f t="shared" si="4"/>
        <v>20</v>
      </c>
      <c r="C221" s="32">
        <f t="shared" si="5"/>
        <v>7</v>
      </c>
      <c r="D221" s="38" t="str" cm="1">
        <f t="array" ref="D221">INDEX('Base-2'!$B$2:$J$100,1+B221,C221)</f>
        <v>* differential.element[21].type.code = #CodeableConcept</v>
      </c>
    </row>
    <row r="222" spans="1:4" x14ac:dyDescent="0.75">
      <c r="A222" s="32">
        <v>188</v>
      </c>
      <c r="B222" s="32">
        <f t="shared" si="4"/>
        <v>20</v>
      </c>
      <c r="C222" s="32">
        <f t="shared" si="5"/>
        <v>8</v>
      </c>
      <c r="D222" s="38" t="str" cm="1">
        <f t="array" ref="D222">INDEX('Base-2'!$B$2:$J$100,1+B222,C222)</f>
        <v/>
      </c>
    </row>
    <row r="223" spans="1:4" x14ac:dyDescent="0.75">
      <c r="A223" s="32">
        <v>189</v>
      </c>
      <c r="B223" s="32">
        <f t="shared" si="4"/>
        <v>20</v>
      </c>
      <c r="C223" s="32">
        <f t="shared" si="5"/>
        <v>9</v>
      </c>
      <c r="D223" s="38" t="str" cm="1">
        <f t="array" ref="D223">INDEX('Base-2'!$B$2:$J$100,1+B223,C223)</f>
        <v/>
      </c>
    </row>
    <row r="224" spans="1:4" x14ac:dyDescent="0.75">
      <c r="A224" s="32">
        <v>190</v>
      </c>
      <c r="B224" s="32">
        <f t="shared" si="4"/>
        <v>21</v>
      </c>
      <c r="C224" s="32">
        <f t="shared" si="5"/>
        <v>1</v>
      </c>
      <c r="D224" s="38" t="str" cm="1">
        <f t="array" ref="D224">INDEX('Base-2'!$B$2:$J$100,1+B224,C224)</f>
        <v>* differential.element[22].id = "MinimalTreatmentSummary.diagnosis.majorSurgery.isPelvis"</v>
      </c>
    </row>
    <row r="225" spans="1:4" x14ac:dyDescent="0.75">
      <c r="A225" s="32">
        <v>191</v>
      </c>
      <c r="B225" s="32">
        <f t="shared" si="4"/>
        <v>21</v>
      </c>
      <c r="C225" s="32">
        <f t="shared" si="5"/>
        <v>2</v>
      </c>
      <c r="D225" s="38" t="str" cm="1">
        <f t="array" ref="D225">INDEX('Base-2'!$B$2:$J$100,1+B225,C225)</f>
        <v>* differential.element[22].path = "MinimalTreatmentSummary.diagnosis.majorSurgery.isPelvis"</v>
      </c>
    </row>
    <row r="226" spans="1:4" x14ac:dyDescent="0.75">
      <c r="A226" s="32">
        <v>192</v>
      </c>
      <c r="B226" s="32">
        <f t="shared" si="4"/>
        <v>21</v>
      </c>
      <c r="C226" s="32">
        <f t="shared" si="5"/>
        <v>3</v>
      </c>
      <c r="D226" s="38" t="str" cm="1">
        <f t="array" ref="D226">INDEX('Base-2'!$B$2:$J$100,1+B226,C226)</f>
        <v>* differential.element[22].short = "Pelvis involved?"</v>
      </c>
    </row>
    <row r="227" spans="1:4" x14ac:dyDescent="0.75">
      <c r="A227" s="32">
        <v>193</v>
      </c>
      <c r="B227" s="32">
        <f t="shared" si="4"/>
        <v>21</v>
      </c>
      <c r="C227" s="32">
        <f t="shared" si="5"/>
        <v>4</v>
      </c>
      <c r="D227" s="38" t="str" cm="1">
        <f t="array" ref="D227">INDEX('Base-2'!$B$2:$J$100,1+B227,C227)</f>
        <v>* differential.element[22].definition = "Was the pelvis involved in the surgery ?"</v>
      </c>
    </row>
    <row r="228" spans="1:4" x14ac:dyDescent="0.75">
      <c r="A228" s="32">
        <v>194</v>
      </c>
      <c r="B228" s="32">
        <f t="shared" ref="B228:B291" si="6">IF(MOD(A228,$B$25)=0,A228/$B$25-1,INT(A228/$B$25))</f>
        <v>21</v>
      </c>
      <c r="C228" s="32">
        <f t="shared" ref="C228:C291" si="7">IF(MOD(A228,$B$25)=0,$B$25,MOD(A228,$B$25))</f>
        <v>5</v>
      </c>
      <c r="D228" s="38" t="str" cm="1">
        <f t="array" ref="D228">INDEX('Base-2'!$B$2:$J$100,1+B228,C228)</f>
        <v>* differential.element[22].min = 0</v>
      </c>
    </row>
    <row r="229" spans="1:4" x14ac:dyDescent="0.75">
      <c r="A229" s="32">
        <v>195</v>
      </c>
      <c r="B229" s="32">
        <f t="shared" si="6"/>
        <v>21</v>
      </c>
      <c r="C229" s="32">
        <f t="shared" si="7"/>
        <v>6</v>
      </c>
      <c r="D229" s="38" t="str" cm="1">
        <f t="array" ref="D229">INDEX('Base-2'!$B$2:$J$100,1+B229,C229)</f>
        <v>* differential.element[22].max = "1"</v>
      </c>
    </row>
    <row r="230" spans="1:4" x14ac:dyDescent="0.75">
      <c r="A230" s="32">
        <v>196</v>
      </c>
      <c r="B230" s="32">
        <f t="shared" si="6"/>
        <v>21</v>
      </c>
      <c r="C230" s="32">
        <f t="shared" si="7"/>
        <v>7</v>
      </c>
      <c r="D230" s="38" t="str" cm="1">
        <f t="array" ref="D230">INDEX('Base-2'!$B$2:$J$100,1+B230,C230)</f>
        <v>* differential.element[22].type.code = #CodeableConcept</v>
      </c>
    </row>
    <row r="231" spans="1:4" x14ac:dyDescent="0.75">
      <c r="A231" s="32">
        <v>197</v>
      </c>
      <c r="B231" s="32">
        <f t="shared" si="6"/>
        <v>21</v>
      </c>
      <c r="C231" s="32">
        <f t="shared" si="7"/>
        <v>8</v>
      </c>
      <c r="D231" s="38" t="str" cm="1">
        <f t="array" ref="D231">INDEX('Base-2'!$B$2:$J$100,1+B231,C231)</f>
        <v/>
      </c>
    </row>
    <row r="232" spans="1:4" x14ac:dyDescent="0.75">
      <c r="A232" s="32">
        <v>198</v>
      </c>
      <c r="B232" s="32">
        <f t="shared" si="6"/>
        <v>21</v>
      </c>
      <c r="C232" s="32">
        <f t="shared" si="7"/>
        <v>9</v>
      </c>
      <c r="D232" s="38" t="str" cm="1">
        <f t="array" ref="D232">INDEX('Base-2'!$B$2:$J$100,1+B232,C232)</f>
        <v/>
      </c>
    </row>
    <row r="233" spans="1:4" x14ac:dyDescent="0.75">
      <c r="A233" s="32">
        <v>199</v>
      </c>
      <c r="B233" s="32">
        <f t="shared" si="6"/>
        <v>22</v>
      </c>
      <c r="C233" s="32">
        <f t="shared" si="7"/>
        <v>1</v>
      </c>
      <c r="D233" s="38" t="str" cm="1">
        <f t="array" ref="D233">INDEX('Base-2'!$B$2:$J$100,1+B233,C233)</f>
        <v>* differential.element[23].id = "MinimalTreatmentSummary.diagnosis.majorSurgery.sacrifiedOrgans"</v>
      </c>
    </row>
    <row r="234" spans="1:4" x14ac:dyDescent="0.75">
      <c r="A234" s="32">
        <v>200</v>
      </c>
      <c r="B234" s="32">
        <f t="shared" si="6"/>
        <v>22</v>
      </c>
      <c r="C234" s="32">
        <f t="shared" si="7"/>
        <v>2</v>
      </c>
      <c r="D234" s="38" t="str" cm="1">
        <f t="array" ref="D234">INDEX('Base-2'!$B$2:$J$100,1+B234,C234)</f>
        <v>* differential.element[23].path = "MinimalTreatmentSummary.diagnosis.majorSurgery.sacrifiedOrgans"</v>
      </c>
    </row>
    <row r="235" spans="1:4" x14ac:dyDescent="0.75">
      <c r="A235" s="32">
        <v>201</v>
      </c>
      <c r="B235" s="32">
        <f t="shared" si="6"/>
        <v>22</v>
      </c>
      <c r="C235" s="32">
        <f t="shared" si="7"/>
        <v>3</v>
      </c>
      <c r="D235" s="38" t="str" cm="1">
        <f t="array" ref="D235">INDEX('Base-2'!$B$2:$J$100,1+B235,C235)</f>
        <v>* differential.element[23].short = "Sacrified Organs"</v>
      </c>
    </row>
    <row r="236" spans="1:4" ht="88.5" x14ac:dyDescent="0.75">
      <c r="A236" s="32">
        <v>202</v>
      </c>
      <c r="B236" s="32">
        <f t="shared" si="6"/>
        <v>22</v>
      </c>
      <c r="C236" s="32">
        <f t="shared" si="7"/>
        <v>4</v>
      </c>
      <c r="D236" s="38" t="str" cm="1">
        <f t="array" ref="D236">INDEX('Base-2'!$B$2:$J$100,1+B236,C236)</f>
        <v>* differential.element[23].definition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v>
      </c>
    </row>
    <row r="237" spans="1:4" x14ac:dyDescent="0.75">
      <c r="A237" s="32">
        <v>203</v>
      </c>
      <c r="B237" s="32">
        <f t="shared" si="6"/>
        <v>22</v>
      </c>
      <c r="C237" s="32">
        <f t="shared" si="7"/>
        <v>5</v>
      </c>
      <c r="D237" s="38" t="str" cm="1">
        <f t="array" ref="D237">INDEX('Base-2'!$B$2:$J$100,1+B237,C237)</f>
        <v>* differential.element[23].min = 0</v>
      </c>
    </row>
    <row r="238" spans="1:4" x14ac:dyDescent="0.75">
      <c r="A238" s="32">
        <v>204</v>
      </c>
      <c r="B238" s="32">
        <f t="shared" si="6"/>
        <v>22</v>
      </c>
      <c r="C238" s="32">
        <f t="shared" si="7"/>
        <v>6</v>
      </c>
      <c r="D238" s="38" t="str" cm="1">
        <f t="array" ref="D238">INDEX('Base-2'!$B$2:$J$100,1+B238,C238)</f>
        <v>* differential.element[23].max = "*"</v>
      </c>
    </row>
    <row r="239" spans="1:4" x14ac:dyDescent="0.75">
      <c r="A239" s="32">
        <v>205</v>
      </c>
      <c r="B239" s="32">
        <f t="shared" si="6"/>
        <v>22</v>
      </c>
      <c r="C239" s="32">
        <f t="shared" si="7"/>
        <v>7</v>
      </c>
      <c r="D239" s="38" t="str" cm="1">
        <f t="array" ref="D239">INDEX('Base-2'!$B$2:$J$100,1+B239,C239)</f>
        <v>* differential.element[23].type.code = #CodeableConcept</v>
      </c>
    </row>
    <row r="240" spans="1:4" x14ac:dyDescent="0.75">
      <c r="A240" s="32">
        <v>206</v>
      </c>
      <c r="B240" s="32">
        <f t="shared" si="6"/>
        <v>22</v>
      </c>
      <c r="C240" s="32">
        <f t="shared" si="7"/>
        <v>8</v>
      </c>
      <c r="D240" s="38" t="str" cm="1">
        <f t="array" ref="D240">INDEX('Base-2'!$B$2:$J$100,1+B240,C240)</f>
        <v/>
      </c>
    </row>
    <row r="241" spans="1:4" x14ac:dyDescent="0.75">
      <c r="A241" s="32">
        <v>207</v>
      </c>
      <c r="B241" s="32">
        <f t="shared" si="6"/>
        <v>22</v>
      </c>
      <c r="C241" s="32">
        <f t="shared" si="7"/>
        <v>9</v>
      </c>
      <c r="D241" s="38" t="str" cm="1">
        <f t="array" ref="D241">INDEX('Base-2'!$B$2:$J$100,1+B241,C241)</f>
        <v/>
      </c>
    </row>
    <row r="242" spans="1:4" x14ac:dyDescent="0.75">
      <c r="A242" s="32">
        <v>208</v>
      </c>
      <c r="B242" s="32">
        <f t="shared" si="6"/>
        <v>23</v>
      </c>
      <c r="C242" s="32">
        <f t="shared" si="7"/>
        <v>1</v>
      </c>
      <c r="D242" s="38" t="str" cm="1">
        <f t="array" ref="D242">INDEX('Base-2'!$B$2:$J$100,1+B242,C242)</f>
        <v>* differential.element[24].id = "MinimalTreatmentSummary.diagnosis.majorSurgery.shuntApplied"</v>
      </c>
    </row>
    <row r="243" spans="1:4" x14ac:dyDescent="0.75">
      <c r="A243" s="32">
        <v>209</v>
      </c>
      <c r="B243" s="32">
        <f t="shared" si="6"/>
        <v>23</v>
      </c>
      <c r="C243" s="32">
        <f t="shared" si="7"/>
        <v>2</v>
      </c>
      <c r="D243" s="38" t="str" cm="1">
        <f t="array" ref="D243">INDEX('Base-2'!$B$2:$J$100,1+B243,C243)</f>
        <v>* differential.element[24].path = "MinimalTreatmentSummary.diagnosis.majorSurgery.shuntApplied"</v>
      </c>
    </row>
    <row r="244" spans="1:4" x14ac:dyDescent="0.75">
      <c r="A244" s="32">
        <v>210</v>
      </c>
      <c r="B244" s="32">
        <f t="shared" si="6"/>
        <v>23</v>
      </c>
      <c r="C244" s="32">
        <f t="shared" si="7"/>
        <v>3</v>
      </c>
      <c r="D244" s="38" t="str" cm="1">
        <f t="array" ref="D244">INDEX('Base-2'!$B$2:$J$100,1+B244,C244)</f>
        <v>* differential.element[24].short = "Shunt application"</v>
      </c>
    </row>
    <row r="245" spans="1:4" ht="88.5" x14ac:dyDescent="0.75">
      <c r="A245" s="32">
        <v>211</v>
      </c>
      <c r="B245" s="32">
        <f t="shared" si="6"/>
        <v>23</v>
      </c>
      <c r="C245" s="32">
        <f t="shared" si="7"/>
        <v>4</v>
      </c>
      <c r="D245" s="38" t="str" cm="1">
        <f t="array" ref="D245">INDEX('Base-2'!$B$2:$J$100,1+B245,C245)</f>
        <v>* differential.element[24].definition = "Please report if a cerebrovascular shunt was inserted 
1 =&gt; Yes 
2 =&gt; No
 -9911 =&gt; NA
 -9922 =&gt; NK"</v>
      </c>
    </row>
    <row r="246" spans="1:4" x14ac:dyDescent="0.75">
      <c r="A246" s="32">
        <v>212</v>
      </c>
      <c r="B246" s="32">
        <f t="shared" si="6"/>
        <v>23</v>
      </c>
      <c r="C246" s="32">
        <f t="shared" si="7"/>
        <v>5</v>
      </c>
      <c r="D246" s="38" t="str" cm="1">
        <f t="array" ref="D246">INDEX('Base-2'!$B$2:$J$100,1+B246,C246)</f>
        <v>* differential.element[24].min = 0</v>
      </c>
    </row>
    <row r="247" spans="1:4" x14ac:dyDescent="0.75">
      <c r="A247" s="32">
        <v>213</v>
      </c>
      <c r="B247" s="32">
        <f t="shared" si="6"/>
        <v>23</v>
      </c>
      <c r="C247" s="32">
        <f t="shared" si="7"/>
        <v>6</v>
      </c>
      <c r="D247" s="38" t="str" cm="1">
        <f t="array" ref="D247">INDEX('Base-2'!$B$2:$J$100,1+B247,C247)</f>
        <v>* differential.element[24].max = "1"</v>
      </c>
    </row>
    <row r="248" spans="1:4" x14ac:dyDescent="0.75">
      <c r="A248" s="32">
        <v>214</v>
      </c>
      <c r="B248" s="32">
        <f t="shared" si="6"/>
        <v>23</v>
      </c>
      <c r="C248" s="32">
        <f t="shared" si="7"/>
        <v>7</v>
      </c>
      <c r="D248" s="38" t="str" cm="1">
        <f t="array" ref="D248">INDEX('Base-2'!$B$2:$J$100,1+B248,C248)</f>
        <v>* differential.element[24].type.code = #CodeableConcept</v>
      </c>
    </row>
    <row r="249" spans="1:4" x14ac:dyDescent="0.75">
      <c r="A249" s="32">
        <v>215</v>
      </c>
      <c r="B249" s="32">
        <f t="shared" si="6"/>
        <v>23</v>
      </c>
      <c r="C249" s="32">
        <f t="shared" si="7"/>
        <v>8</v>
      </c>
      <c r="D249" s="38" t="str" cm="1">
        <f t="array" ref="D249">INDEX('Base-2'!$B$2:$J$100,1+B249,C249)</f>
        <v/>
      </c>
    </row>
    <row r="250" spans="1:4" x14ac:dyDescent="0.75">
      <c r="A250" s="32">
        <v>216</v>
      </c>
      <c r="B250" s="32">
        <f t="shared" si="6"/>
        <v>23</v>
      </c>
      <c r="C250" s="32">
        <f t="shared" si="7"/>
        <v>9</v>
      </c>
      <c r="D250" s="38" t="str" cm="1">
        <f t="array" ref="D250">INDEX('Base-2'!$B$2:$J$100,1+B250,C250)</f>
        <v/>
      </c>
    </row>
    <row r="251" spans="1:4" x14ac:dyDescent="0.75">
      <c r="A251" s="32">
        <v>217</v>
      </c>
      <c r="B251" s="32">
        <f t="shared" si="6"/>
        <v>24</v>
      </c>
      <c r="C251" s="32">
        <f t="shared" si="7"/>
        <v>1</v>
      </c>
      <c r="D251" s="38" t="str" cm="1">
        <f t="array" ref="D251">INDEX('Base-2'!$B$2:$J$100,1+B251,C251)</f>
        <v>* differential.element[25].id = "MinimalTreatmentSummary.diagnosis.otherInfo"</v>
      </c>
    </row>
    <row r="252" spans="1:4" x14ac:dyDescent="0.75">
      <c r="A252" s="32">
        <v>218</v>
      </c>
      <c r="B252" s="32">
        <f t="shared" si="6"/>
        <v>24</v>
      </c>
      <c r="C252" s="32">
        <f t="shared" si="7"/>
        <v>2</v>
      </c>
      <c r="D252" s="38" t="str" cm="1">
        <f t="array" ref="D252">INDEX('Base-2'!$B$2:$J$100,1+B252,C252)</f>
        <v>* differential.element[25].path = "MinimalTreatmentSummary.diagnosis.otherInfo"</v>
      </c>
    </row>
    <row r="253" spans="1:4" x14ac:dyDescent="0.75">
      <c r="A253" s="32">
        <v>219</v>
      </c>
      <c r="B253" s="32">
        <f t="shared" si="6"/>
        <v>24</v>
      </c>
      <c r="C253" s="32">
        <f t="shared" si="7"/>
        <v>3</v>
      </c>
      <c r="D253" s="38" t="str" cm="1">
        <f t="array" ref="D253">INDEX('Base-2'!$B$2:$J$100,1+B253,C253)</f>
        <v>* differential.element[25].short = "Other info and relevant events"</v>
      </c>
    </row>
    <row r="254" spans="1:4" x14ac:dyDescent="0.75">
      <c r="A254" s="32">
        <v>220</v>
      </c>
      <c r="B254" s="32">
        <f t="shared" si="6"/>
        <v>24</v>
      </c>
      <c r="C254" s="32">
        <f t="shared" si="7"/>
        <v>4</v>
      </c>
      <c r="D254" s="38" t="str" cm="1">
        <f t="array" ref="D254">INDEX('Base-2'!$B$2:$J$100,1+B254,C254)</f>
        <v>* differential.element[25].definition = "Other info and relevant events"</v>
      </c>
    </row>
    <row r="255" spans="1:4" x14ac:dyDescent="0.75">
      <c r="A255" s="32">
        <v>221</v>
      </c>
      <c r="B255" s="32">
        <f t="shared" si="6"/>
        <v>24</v>
      </c>
      <c r="C255" s="32">
        <f t="shared" si="7"/>
        <v>5</v>
      </c>
      <c r="D255" s="38" t="str" cm="1">
        <f t="array" ref="D255">INDEX('Base-2'!$B$2:$J$100,1+B255,C255)</f>
        <v>* differential.element[25].min = 1</v>
      </c>
    </row>
    <row r="256" spans="1:4" x14ac:dyDescent="0.75">
      <c r="A256" s="32">
        <v>222</v>
      </c>
      <c r="B256" s="32">
        <f t="shared" si="6"/>
        <v>24</v>
      </c>
      <c r="C256" s="32">
        <f t="shared" si="7"/>
        <v>6</v>
      </c>
      <c r="D256" s="38" t="str" cm="1">
        <f t="array" ref="D256">INDEX('Base-2'!$B$2:$J$100,1+B256,C256)</f>
        <v>* differential.element[25].max = "1"</v>
      </c>
    </row>
    <row r="257" spans="1:4" x14ac:dyDescent="0.75">
      <c r="A257" s="32">
        <v>223</v>
      </c>
      <c r="B257" s="32">
        <f t="shared" si="6"/>
        <v>24</v>
      </c>
      <c r="C257" s="32">
        <f t="shared" si="7"/>
        <v>7</v>
      </c>
      <c r="D257" s="38" t="str" cm="1">
        <f t="array" ref="D257">INDEX('Base-2'!$B$2:$J$100,1+B257,C257)</f>
        <v>* differential.element[25].type.code = #BackboneElement</v>
      </c>
    </row>
    <row r="258" spans="1:4" x14ac:dyDescent="0.75">
      <c r="A258" s="32">
        <v>224</v>
      </c>
      <c r="B258" s="32">
        <f t="shared" si="6"/>
        <v>24</v>
      </c>
      <c r="C258" s="32">
        <f t="shared" si="7"/>
        <v>8</v>
      </c>
      <c r="D258" s="38" t="str" cm="1">
        <f t="array" ref="D258">INDEX('Base-2'!$B$2:$J$100,1+B258,C258)</f>
        <v/>
      </c>
    </row>
    <row r="259" spans="1:4" x14ac:dyDescent="0.75">
      <c r="A259" s="32">
        <v>225</v>
      </c>
      <c r="B259" s="32">
        <f t="shared" si="6"/>
        <v>24</v>
      </c>
      <c r="C259" s="32">
        <f t="shared" si="7"/>
        <v>9</v>
      </c>
      <c r="D259" s="38" t="str" cm="1">
        <f t="array" ref="D259">INDEX('Base-2'!$B$2:$J$100,1+B259,C259)</f>
        <v/>
      </c>
    </row>
    <row r="260" spans="1:4" x14ac:dyDescent="0.75">
      <c r="A260" s="32">
        <v>226</v>
      </c>
      <c r="B260" s="32">
        <f t="shared" si="6"/>
        <v>25</v>
      </c>
      <c r="C260" s="32">
        <f t="shared" si="7"/>
        <v>1</v>
      </c>
      <c r="D260" s="38" t="str" cm="1">
        <f t="array" ref="D260">INDEX('Base-2'!$B$2:$J$100,1+B260,C260)</f>
        <v>* differential.element[26].id = "MinimalTreatmentSummary.diagnosis.otherInfo.hypogonadal"</v>
      </c>
    </row>
    <row r="261" spans="1:4" x14ac:dyDescent="0.75">
      <c r="A261" s="32">
        <v>227</v>
      </c>
      <c r="B261" s="32">
        <f t="shared" si="6"/>
        <v>25</v>
      </c>
      <c r="C261" s="32">
        <f t="shared" si="7"/>
        <v>2</v>
      </c>
      <c r="D261" s="38" t="str" cm="1">
        <f t="array" ref="D261">INDEX('Base-2'!$B$2:$J$100,1+B261,C261)</f>
        <v>* differential.element[26].path = "MinimalTreatmentSummary.diagnosis.otherInfo.hypogonadal"</v>
      </c>
    </row>
    <row r="262" spans="1:4" x14ac:dyDescent="0.75">
      <c r="A262" s="32">
        <v>228</v>
      </c>
      <c r="B262" s="32">
        <f t="shared" si="6"/>
        <v>25</v>
      </c>
      <c r="C262" s="32">
        <f t="shared" si="7"/>
        <v>3</v>
      </c>
      <c r="D262" s="38" t="str" cm="1">
        <f t="array" ref="D262">INDEX('Base-2'!$B$2:$J$100,1+B262,C262)</f>
        <v>* differential.element[26].short = "Hypogonadal ?"</v>
      </c>
    </row>
    <row r="263" spans="1:4" ht="59" x14ac:dyDescent="0.75">
      <c r="A263" s="32">
        <v>229</v>
      </c>
      <c r="B263" s="32">
        <f t="shared" si="6"/>
        <v>25</v>
      </c>
      <c r="C263" s="32">
        <f t="shared" si="7"/>
        <v>4</v>
      </c>
      <c r="D263" s="38" t="str" cm="1">
        <f t="array" ref="D263">INDEX('Base-2'!$B$2:$J$100,1+B263,C263)</f>
        <v>* differential.element[26].definition = "Please specify if hypogonadal occured during therapy
1 =&gt; Yes
2 =&gt; No
-9922 =&gt; NK"</v>
      </c>
    </row>
    <row r="264" spans="1:4" x14ac:dyDescent="0.75">
      <c r="A264" s="32">
        <v>230</v>
      </c>
      <c r="B264" s="32">
        <f t="shared" si="6"/>
        <v>25</v>
      </c>
      <c r="C264" s="32">
        <f t="shared" si="7"/>
        <v>5</v>
      </c>
      <c r="D264" s="38" t="str" cm="1">
        <f t="array" ref="D264">INDEX('Base-2'!$B$2:$J$100,1+B264,C264)</f>
        <v>* differential.element[26].min = 0</v>
      </c>
    </row>
    <row r="265" spans="1:4" x14ac:dyDescent="0.75">
      <c r="A265" s="32">
        <v>231</v>
      </c>
      <c r="B265" s="32">
        <f t="shared" si="6"/>
        <v>25</v>
      </c>
      <c r="C265" s="32">
        <f t="shared" si="7"/>
        <v>6</v>
      </c>
      <c r="D265" s="38" t="str" cm="1">
        <f t="array" ref="D265">INDEX('Base-2'!$B$2:$J$100,1+B265,C265)</f>
        <v>* differential.element[26].max = "1"</v>
      </c>
    </row>
    <row r="266" spans="1:4" x14ac:dyDescent="0.75">
      <c r="A266" s="32">
        <v>232</v>
      </c>
      <c r="B266" s="32">
        <f t="shared" si="6"/>
        <v>25</v>
      </c>
      <c r="C266" s="32">
        <f t="shared" si="7"/>
        <v>7</v>
      </c>
      <c r="D266" s="38" t="str" cm="1">
        <f t="array" ref="D266">INDEX('Base-2'!$B$2:$J$100,1+B266,C266)</f>
        <v>* differential.element[26].type.code = #CodeableConcept</v>
      </c>
    </row>
    <row r="267" spans="1:4" x14ac:dyDescent="0.75">
      <c r="A267" s="32">
        <v>233</v>
      </c>
      <c r="B267" s="32">
        <f t="shared" si="6"/>
        <v>25</v>
      </c>
      <c r="C267" s="32">
        <f t="shared" si="7"/>
        <v>8</v>
      </c>
      <c r="D267" s="38" t="str" cm="1">
        <f t="array" ref="D267">INDEX('Base-2'!$B$2:$J$100,1+B267,C267)</f>
        <v/>
      </c>
    </row>
    <row r="268" spans="1:4" x14ac:dyDescent="0.75">
      <c r="A268" s="32">
        <v>234</v>
      </c>
      <c r="B268" s="32">
        <f t="shared" si="6"/>
        <v>25</v>
      </c>
      <c r="C268" s="32">
        <f t="shared" si="7"/>
        <v>9</v>
      </c>
      <c r="D268" s="38" t="str" cm="1">
        <f t="array" ref="D268">INDEX('Base-2'!$B$2:$J$100,1+B268,C268)</f>
        <v/>
      </c>
    </row>
    <row r="269" spans="1:4" x14ac:dyDescent="0.75">
      <c r="A269" s="32">
        <v>235</v>
      </c>
      <c r="B269" s="32">
        <f t="shared" si="6"/>
        <v>26</v>
      </c>
      <c r="C269" s="32">
        <f t="shared" si="7"/>
        <v>1</v>
      </c>
      <c r="D269" s="38" t="str" cm="1">
        <f t="array" ref="D269">INDEX('Base-2'!$B$2:$J$100,1+B269,C269)</f>
        <v>* differential.element[27].id = "MinimalTreatmentSummary.diagnosis.otherInfo.growthHormoneDeficiency"</v>
      </c>
    </row>
    <row r="270" spans="1:4" x14ac:dyDescent="0.75">
      <c r="A270" s="32">
        <v>236</v>
      </c>
      <c r="B270" s="32">
        <f t="shared" si="6"/>
        <v>26</v>
      </c>
      <c r="C270" s="32">
        <f t="shared" si="7"/>
        <v>2</v>
      </c>
      <c r="D270" s="38" t="str" cm="1">
        <f t="array" ref="D270">INDEX('Base-2'!$B$2:$J$100,1+B270,C270)</f>
        <v>* differential.element[27].path = "MinimalTreatmentSummary.diagnosis.otherInfo.growthHormoneDeficiency"</v>
      </c>
    </row>
    <row r="271" spans="1:4" x14ac:dyDescent="0.75">
      <c r="A271" s="32">
        <v>237</v>
      </c>
      <c r="B271" s="32">
        <f t="shared" si="6"/>
        <v>26</v>
      </c>
      <c r="C271" s="32">
        <f t="shared" si="7"/>
        <v>3</v>
      </c>
      <c r="D271" s="38" t="str" cm="1">
        <f t="array" ref="D271">INDEX('Base-2'!$B$2:$J$100,1+B271,C271)</f>
        <v>* differential.element[27].short = "Growth hormone deficiency ?"</v>
      </c>
    </row>
    <row r="272" spans="1:4" x14ac:dyDescent="0.75">
      <c r="A272" s="32">
        <v>238</v>
      </c>
      <c r="B272" s="32">
        <f t="shared" si="6"/>
        <v>26</v>
      </c>
      <c r="C272" s="32">
        <f t="shared" si="7"/>
        <v>4</v>
      </c>
      <c r="D272" s="38" t="str" cm="1">
        <f t="array" ref="D272">INDEX('Base-2'!$B$2:$J$100,1+B272,C272)</f>
        <v>* differential.element[27].definition = "Please specify if growth hormon deficiency occured during therapy"</v>
      </c>
    </row>
    <row r="273" spans="1:4" x14ac:dyDescent="0.75">
      <c r="A273" s="32">
        <v>239</v>
      </c>
      <c r="B273" s="32">
        <f t="shared" si="6"/>
        <v>26</v>
      </c>
      <c r="C273" s="32">
        <f t="shared" si="7"/>
        <v>5</v>
      </c>
      <c r="D273" s="38" t="str" cm="1">
        <f t="array" ref="D273">INDEX('Base-2'!$B$2:$J$100,1+B273,C273)</f>
        <v>* differential.element[27].min = 0</v>
      </c>
    </row>
    <row r="274" spans="1:4" x14ac:dyDescent="0.75">
      <c r="A274" s="32">
        <v>240</v>
      </c>
      <c r="B274" s="32">
        <f t="shared" si="6"/>
        <v>26</v>
      </c>
      <c r="C274" s="32">
        <f t="shared" si="7"/>
        <v>6</v>
      </c>
      <c r="D274" s="38" t="str" cm="1">
        <f t="array" ref="D274">INDEX('Base-2'!$B$2:$J$100,1+B274,C274)</f>
        <v>* differential.element[27].max = "1"</v>
      </c>
    </row>
    <row r="275" spans="1:4" x14ac:dyDescent="0.75">
      <c r="A275" s="32">
        <v>241</v>
      </c>
      <c r="B275" s="32">
        <f t="shared" si="6"/>
        <v>26</v>
      </c>
      <c r="C275" s="32">
        <f t="shared" si="7"/>
        <v>7</v>
      </c>
      <c r="D275" s="38" t="str" cm="1">
        <f t="array" ref="D275">INDEX('Base-2'!$B$2:$J$100,1+B275,C275)</f>
        <v>* differential.element[27].type.code = #CodeableConcept</v>
      </c>
    </row>
    <row r="276" spans="1:4" x14ac:dyDescent="0.75">
      <c r="A276" s="32">
        <v>242</v>
      </c>
      <c r="B276" s="32">
        <f t="shared" si="6"/>
        <v>26</v>
      </c>
      <c r="C276" s="32">
        <f t="shared" si="7"/>
        <v>8</v>
      </c>
      <c r="D276" s="38" t="str" cm="1">
        <f t="array" ref="D276">INDEX('Base-2'!$B$2:$J$100,1+B276,C276)</f>
        <v/>
      </c>
    </row>
    <row r="277" spans="1:4" x14ac:dyDescent="0.75">
      <c r="A277" s="32">
        <v>243</v>
      </c>
      <c r="B277" s="32">
        <f t="shared" si="6"/>
        <v>26</v>
      </c>
      <c r="C277" s="32">
        <f t="shared" si="7"/>
        <v>9</v>
      </c>
      <c r="D277" s="38" t="str" cm="1">
        <f t="array" ref="D277">INDEX('Base-2'!$B$2:$J$100,1+B277,C277)</f>
        <v/>
      </c>
    </row>
    <row r="278" spans="1:4" x14ac:dyDescent="0.75">
      <c r="A278" s="32">
        <v>244</v>
      </c>
      <c r="B278" s="32">
        <f t="shared" si="6"/>
        <v>27</v>
      </c>
      <c r="C278" s="32">
        <f t="shared" si="7"/>
        <v>1</v>
      </c>
      <c r="D278" s="38" t="str" cm="1">
        <f t="array" ref="D278">INDEX('Base-2'!$B$2:$J$100,1+B278,C278)</f>
        <v>* differential.element[28].id = "MinimalTreatmentSummary.diagnosis.otherInfo.hydrocephalus"</v>
      </c>
    </row>
    <row r="279" spans="1:4" x14ac:dyDescent="0.75">
      <c r="A279" s="32">
        <v>245</v>
      </c>
      <c r="B279" s="32">
        <f t="shared" si="6"/>
        <v>27</v>
      </c>
      <c r="C279" s="32">
        <f t="shared" si="7"/>
        <v>2</v>
      </c>
      <c r="D279" s="38" t="str" cm="1">
        <f t="array" ref="D279">INDEX('Base-2'!$B$2:$J$100,1+B279,C279)</f>
        <v>* differential.element[28].path = "MinimalTreatmentSummary.diagnosis.otherInfo.hydrocephalus"</v>
      </c>
    </row>
    <row r="280" spans="1:4" x14ac:dyDescent="0.75">
      <c r="A280" s="32">
        <v>246</v>
      </c>
      <c r="B280" s="32">
        <f t="shared" si="6"/>
        <v>27</v>
      </c>
      <c r="C280" s="32">
        <f t="shared" si="7"/>
        <v>3</v>
      </c>
      <c r="D280" s="38" t="str" cm="1">
        <f t="array" ref="D280">INDEX('Base-2'!$B$2:$J$100,1+B280,C280)</f>
        <v>* differential.element[28].short = "Hydrocephalus ?"</v>
      </c>
    </row>
    <row r="281" spans="1:4" x14ac:dyDescent="0.75">
      <c r="A281" s="32">
        <v>247</v>
      </c>
      <c r="B281" s="32">
        <f t="shared" si="6"/>
        <v>27</v>
      </c>
      <c r="C281" s="32">
        <f t="shared" si="7"/>
        <v>4</v>
      </c>
      <c r="D281" s="38" t="str" cm="1">
        <f t="array" ref="D281">INDEX('Base-2'!$B$2:$J$100,1+B281,C281)</f>
        <v>* differential.element[28].definition = "Please specify if hydrocephalus occured during therapy"</v>
      </c>
    </row>
    <row r="282" spans="1:4" x14ac:dyDescent="0.75">
      <c r="A282" s="32">
        <v>248</v>
      </c>
      <c r="B282" s="32">
        <f t="shared" si="6"/>
        <v>27</v>
      </c>
      <c r="C282" s="32">
        <f t="shared" si="7"/>
        <v>5</v>
      </c>
      <c r="D282" s="38" t="str" cm="1">
        <f t="array" ref="D282">INDEX('Base-2'!$B$2:$J$100,1+B282,C282)</f>
        <v>* differential.element[28].min = 0</v>
      </c>
    </row>
    <row r="283" spans="1:4" x14ac:dyDescent="0.75">
      <c r="A283" s="32">
        <v>249</v>
      </c>
      <c r="B283" s="32">
        <f t="shared" si="6"/>
        <v>27</v>
      </c>
      <c r="C283" s="32">
        <f t="shared" si="7"/>
        <v>6</v>
      </c>
      <c r="D283" s="38" t="str" cm="1">
        <f t="array" ref="D283">INDEX('Base-2'!$B$2:$J$100,1+B283,C283)</f>
        <v>* differential.element[28].max = "1"</v>
      </c>
    </row>
    <row r="284" spans="1:4" x14ac:dyDescent="0.75">
      <c r="A284" s="32">
        <v>250</v>
      </c>
      <c r="B284" s="32">
        <f t="shared" si="6"/>
        <v>27</v>
      </c>
      <c r="C284" s="32">
        <f t="shared" si="7"/>
        <v>7</v>
      </c>
      <c r="D284" s="38" t="str" cm="1">
        <f t="array" ref="D284">INDEX('Base-2'!$B$2:$J$100,1+B284,C284)</f>
        <v>* differential.element[28].type.code = #CodeableConcept</v>
      </c>
    </row>
    <row r="285" spans="1:4" x14ac:dyDescent="0.75">
      <c r="A285" s="32">
        <v>251</v>
      </c>
      <c r="B285" s="32">
        <f t="shared" si="6"/>
        <v>27</v>
      </c>
      <c r="C285" s="32">
        <f t="shared" si="7"/>
        <v>8</v>
      </c>
      <c r="D285" s="38" t="str" cm="1">
        <f t="array" ref="D285">INDEX('Base-2'!$B$2:$J$100,1+B285,C285)</f>
        <v/>
      </c>
    </row>
    <row r="286" spans="1:4" x14ac:dyDescent="0.75">
      <c r="A286" s="32">
        <v>252</v>
      </c>
      <c r="B286" s="32">
        <f t="shared" si="6"/>
        <v>27</v>
      </c>
      <c r="C286" s="32">
        <f t="shared" si="7"/>
        <v>9</v>
      </c>
      <c r="D286" s="38" t="str" cm="1">
        <f t="array" ref="D286">INDEX('Base-2'!$B$2:$J$100,1+B286,C286)</f>
        <v/>
      </c>
    </row>
    <row r="287" spans="1:4" x14ac:dyDescent="0.75">
      <c r="A287" s="32">
        <v>253</v>
      </c>
      <c r="B287" s="32">
        <f t="shared" si="6"/>
        <v>28</v>
      </c>
      <c r="C287" s="32">
        <f t="shared" si="7"/>
        <v>1</v>
      </c>
      <c r="D287" s="38" t="str" cm="1">
        <f t="array" ref="D287">INDEX('Base-2'!$B$2:$J$100,1+B287,C287)</f>
        <v>* differential.element[29].id = "MinimalTreatmentSummary.diagnosis.otherInfo.chronicViralHepatitis"</v>
      </c>
    </row>
    <row r="288" spans="1:4" x14ac:dyDescent="0.75">
      <c r="A288" s="32">
        <v>254</v>
      </c>
      <c r="B288" s="32">
        <f t="shared" si="6"/>
        <v>28</v>
      </c>
      <c r="C288" s="32">
        <f t="shared" si="7"/>
        <v>2</v>
      </c>
      <c r="D288" s="38" t="str" cm="1">
        <f t="array" ref="D288">INDEX('Base-2'!$B$2:$J$100,1+B288,C288)</f>
        <v>* differential.element[29].path = "MinimalTreatmentSummary.diagnosis.otherInfo.chronicViralHepatitis"</v>
      </c>
    </row>
    <row r="289" spans="1:4" x14ac:dyDescent="0.75">
      <c r="A289" s="32">
        <v>255</v>
      </c>
      <c r="B289" s="32">
        <f t="shared" si="6"/>
        <v>28</v>
      </c>
      <c r="C289" s="32">
        <f t="shared" si="7"/>
        <v>3</v>
      </c>
      <c r="D289" s="38" t="str" cm="1">
        <f t="array" ref="D289">INDEX('Base-2'!$B$2:$J$100,1+B289,C289)</f>
        <v>* differential.element[29].short = "Chronic viral hepatitis ?"</v>
      </c>
    </row>
    <row r="290" spans="1:4" x14ac:dyDescent="0.75">
      <c r="A290" s="32">
        <v>256</v>
      </c>
      <c r="B290" s="32">
        <f t="shared" si="6"/>
        <v>28</v>
      </c>
      <c r="C290" s="32">
        <f t="shared" si="7"/>
        <v>4</v>
      </c>
      <c r="D290" s="38" t="str" cm="1">
        <f t="array" ref="D290">INDEX('Base-2'!$B$2:$J$100,1+B290,C290)</f>
        <v>* differential.element[29].definition = "Please specify if chronic viral hepatitis occured during therapy"</v>
      </c>
    </row>
    <row r="291" spans="1:4" x14ac:dyDescent="0.75">
      <c r="A291" s="32">
        <v>257</v>
      </c>
      <c r="B291" s="32">
        <f t="shared" si="6"/>
        <v>28</v>
      </c>
      <c r="C291" s="32">
        <f t="shared" si="7"/>
        <v>5</v>
      </c>
      <c r="D291" s="38" t="str" cm="1">
        <f t="array" ref="D291">INDEX('Base-2'!$B$2:$J$100,1+B291,C291)</f>
        <v>* differential.element[29].min = 0</v>
      </c>
    </row>
    <row r="292" spans="1:4" x14ac:dyDescent="0.75">
      <c r="A292" s="32">
        <v>258</v>
      </c>
      <c r="B292" s="32">
        <f t="shared" ref="B292:B355" si="8">IF(MOD(A292,$B$25)=0,A292/$B$25-1,INT(A292/$B$25))</f>
        <v>28</v>
      </c>
      <c r="C292" s="32">
        <f t="shared" ref="C292:C355" si="9">IF(MOD(A292,$B$25)=0,$B$25,MOD(A292,$B$25))</f>
        <v>6</v>
      </c>
      <c r="D292" s="38" t="str" cm="1">
        <f t="array" ref="D292">INDEX('Base-2'!$B$2:$J$100,1+B292,C292)</f>
        <v>* differential.element[29].max = "1"</v>
      </c>
    </row>
    <row r="293" spans="1:4" x14ac:dyDescent="0.75">
      <c r="A293" s="32">
        <v>259</v>
      </c>
      <c r="B293" s="32">
        <f t="shared" si="8"/>
        <v>28</v>
      </c>
      <c r="C293" s="32">
        <f t="shared" si="9"/>
        <v>7</v>
      </c>
      <c r="D293" s="38" t="str" cm="1">
        <f t="array" ref="D293">INDEX('Base-2'!$B$2:$J$100,1+B293,C293)</f>
        <v>* differential.element[29].type.code = #CodeableConcept</v>
      </c>
    </row>
    <row r="294" spans="1:4" x14ac:dyDescent="0.75">
      <c r="A294" s="32">
        <v>260</v>
      </c>
      <c r="B294" s="32">
        <f t="shared" si="8"/>
        <v>28</v>
      </c>
      <c r="C294" s="32">
        <f t="shared" si="9"/>
        <v>8</v>
      </c>
      <c r="D294" s="38" t="str" cm="1">
        <f t="array" ref="D294">INDEX('Base-2'!$B$2:$J$100,1+B294,C294)</f>
        <v/>
      </c>
    </row>
    <row r="295" spans="1:4" x14ac:dyDescent="0.75">
      <c r="A295" s="32">
        <v>261</v>
      </c>
      <c r="B295" s="32">
        <f t="shared" si="8"/>
        <v>28</v>
      </c>
      <c r="C295" s="32">
        <f t="shared" si="9"/>
        <v>9</v>
      </c>
      <c r="D295" s="38" t="str" cm="1">
        <f t="array" ref="D295">INDEX('Base-2'!$B$2:$J$100,1+B295,C295)</f>
        <v/>
      </c>
    </row>
    <row r="296" spans="1:4" x14ac:dyDescent="0.75">
      <c r="A296" s="32">
        <v>262</v>
      </c>
      <c r="B296" s="32">
        <f t="shared" si="8"/>
        <v>29</v>
      </c>
      <c r="C296" s="32">
        <f t="shared" si="9"/>
        <v>1</v>
      </c>
      <c r="D296" s="38" t="str" cm="1">
        <f t="array" ref="D296">INDEX('Base-2'!$B$2:$J$100,1+B296,C296)</f>
        <v>* differential.element[30].id = "MinimalTreatmentSummary.diagnosis.otherInfo.sinusoidalObstructionSyndrome"</v>
      </c>
    </row>
    <row r="297" spans="1:4" x14ac:dyDescent="0.75">
      <c r="A297" s="32">
        <v>263</v>
      </c>
      <c r="B297" s="32">
        <f t="shared" si="8"/>
        <v>29</v>
      </c>
      <c r="C297" s="32">
        <f t="shared" si="9"/>
        <v>2</v>
      </c>
      <c r="D297" s="38" t="str" cm="1">
        <f t="array" ref="D297">INDEX('Base-2'!$B$2:$J$100,1+B297,C297)</f>
        <v>* differential.element[30].path = "MinimalTreatmentSummary.diagnosis.otherInfo.sinusoidalObstructionSyndrome"</v>
      </c>
    </row>
    <row r="298" spans="1:4" x14ac:dyDescent="0.75">
      <c r="A298" s="32">
        <v>264</v>
      </c>
      <c r="B298" s="32">
        <f t="shared" si="8"/>
        <v>29</v>
      </c>
      <c r="C298" s="32">
        <f t="shared" si="9"/>
        <v>3</v>
      </c>
      <c r="D298" s="38" t="str" cm="1">
        <f t="array" ref="D298">INDEX('Base-2'!$B$2:$J$100,1+B298,C298)</f>
        <v>* differential.element[30].short = "Sinusoidal obstruction syndrome ?"</v>
      </c>
    </row>
    <row r="299" spans="1:4" x14ac:dyDescent="0.75">
      <c r="A299" s="32">
        <v>265</v>
      </c>
      <c r="B299" s="32">
        <f t="shared" si="8"/>
        <v>29</v>
      </c>
      <c r="C299" s="32">
        <f t="shared" si="9"/>
        <v>4</v>
      </c>
      <c r="D299" s="38" t="str" cm="1">
        <f t="array" ref="D299">INDEX('Base-2'!$B$2:$J$100,1+B299,C299)</f>
        <v>* differential.element[30].definition = "Please specify if sinusoidal obstruction syndrome occuredduring therapy"</v>
      </c>
    </row>
    <row r="300" spans="1:4" x14ac:dyDescent="0.75">
      <c r="A300" s="32">
        <v>266</v>
      </c>
      <c r="B300" s="32">
        <f t="shared" si="8"/>
        <v>29</v>
      </c>
      <c r="C300" s="32">
        <f t="shared" si="9"/>
        <v>5</v>
      </c>
      <c r="D300" s="38" t="str" cm="1">
        <f t="array" ref="D300">INDEX('Base-2'!$B$2:$J$100,1+B300,C300)</f>
        <v>* differential.element[30].min = 0</v>
      </c>
    </row>
    <row r="301" spans="1:4" x14ac:dyDescent="0.75">
      <c r="A301" s="32">
        <v>267</v>
      </c>
      <c r="B301" s="32">
        <f t="shared" si="8"/>
        <v>29</v>
      </c>
      <c r="C301" s="32">
        <f t="shared" si="9"/>
        <v>6</v>
      </c>
      <c r="D301" s="38" t="str" cm="1">
        <f t="array" ref="D301">INDEX('Base-2'!$B$2:$J$100,1+B301,C301)</f>
        <v>* differential.element[30].max = "1"</v>
      </c>
    </row>
    <row r="302" spans="1:4" x14ac:dyDescent="0.75">
      <c r="A302" s="32">
        <v>268</v>
      </c>
      <c r="B302" s="32">
        <f t="shared" si="8"/>
        <v>29</v>
      </c>
      <c r="C302" s="32">
        <f t="shared" si="9"/>
        <v>7</v>
      </c>
      <c r="D302" s="38" t="str" cm="1">
        <f t="array" ref="D302">INDEX('Base-2'!$B$2:$J$100,1+B302,C302)</f>
        <v>* differential.element[30].type.code = #CodeableConcept</v>
      </c>
    </row>
    <row r="303" spans="1:4" x14ac:dyDescent="0.75">
      <c r="A303" s="32">
        <v>269</v>
      </c>
      <c r="B303" s="32">
        <f t="shared" si="8"/>
        <v>29</v>
      </c>
      <c r="C303" s="32">
        <f t="shared" si="9"/>
        <v>8</v>
      </c>
      <c r="D303" s="38" t="str" cm="1">
        <f t="array" ref="D303">INDEX('Base-2'!$B$2:$J$100,1+B303,C303)</f>
        <v/>
      </c>
    </row>
    <row r="304" spans="1:4" x14ac:dyDescent="0.75">
      <c r="A304" s="32">
        <v>270</v>
      </c>
      <c r="B304" s="32">
        <f t="shared" si="8"/>
        <v>29</v>
      </c>
      <c r="C304" s="32">
        <f t="shared" si="9"/>
        <v>9</v>
      </c>
      <c r="D304" s="38" t="str" cm="1">
        <f t="array" ref="D304">INDEX('Base-2'!$B$2:$J$100,1+B304,C304)</f>
        <v/>
      </c>
    </row>
    <row r="305" spans="1:4" x14ac:dyDescent="0.75">
      <c r="A305" s="32">
        <v>271</v>
      </c>
      <c r="B305" s="32">
        <f t="shared" si="8"/>
        <v>30</v>
      </c>
      <c r="C305" s="32">
        <f t="shared" si="9"/>
        <v>1</v>
      </c>
      <c r="D305" s="38" t="str" cm="1">
        <f t="array" ref="D305">INDEX('Base-2'!$B$2:$J$100,1+B305,C305)</f>
        <v>* differential.element[31].id = "MinimalTreatmentSummary.diagnosis.otherInfo.moreOf10Transfusions"</v>
      </c>
    </row>
    <row r="306" spans="1:4" x14ac:dyDescent="0.75">
      <c r="A306" s="32">
        <v>272</v>
      </c>
      <c r="B306" s="32">
        <f t="shared" si="8"/>
        <v>30</v>
      </c>
      <c r="C306" s="32">
        <f t="shared" si="9"/>
        <v>2</v>
      </c>
      <c r="D306" s="38" t="str" cm="1">
        <f t="array" ref="D306">INDEX('Base-2'!$B$2:$J$100,1+B306,C306)</f>
        <v>* differential.element[31].path = "MinimalTreatmentSummary.diagnosis.otherInfo.moreOf10Transfusions"</v>
      </c>
    </row>
    <row r="307" spans="1:4" x14ac:dyDescent="0.75">
      <c r="A307" s="32">
        <v>273</v>
      </c>
      <c r="B307" s="32">
        <f t="shared" si="8"/>
        <v>30</v>
      </c>
      <c r="C307" s="32">
        <f t="shared" si="9"/>
        <v>3</v>
      </c>
      <c r="D307" s="38" t="str" cm="1">
        <f t="array" ref="D307">INDEX('Base-2'!$B$2:$J$100,1+B307,C307)</f>
        <v>* differential.element[31].short = "&gt;= 10 Transfusions ?"</v>
      </c>
    </row>
    <row r="308" spans="1:4" x14ac:dyDescent="0.75">
      <c r="A308" s="32">
        <v>274</v>
      </c>
      <c r="B308" s="32">
        <f t="shared" si="8"/>
        <v>30</v>
      </c>
      <c r="C308" s="32">
        <f t="shared" si="9"/>
        <v>4</v>
      </c>
      <c r="D308" s="38" t="str" cm="1">
        <f t="array" ref="D308">INDEX('Base-2'!$B$2:$J$100,1+B308,C308)</f>
        <v>* differential.element[31].definition = "Please specify if patient recieved 10 or more than 10 trasfusions during therapy"</v>
      </c>
    </row>
    <row r="309" spans="1:4" x14ac:dyDescent="0.75">
      <c r="A309" s="32">
        <v>275</v>
      </c>
      <c r="B309" s="32">
        <f t="shared" si="8"/>
        <v>30</v>
      </c>
      <c r="C309" s="32">
        <f t="shared" si="9"/>
        <v>5</v>
      </c>
      <c r="D309" s="38" t="str" cm="1">
        <f t="array" ref="D309">INDEX('Base-2'!$B$2:$J$100,1+B309,C309)</f>
        <v>* differential.element[31].min = 0</v>
      </c>
    </row>
    <row r="310" spans="1:4" x14ac:dyDescent="0.75">
      <c r="A310" s="32">
        <v>276</v>
      </c>
      <c r="B310" s="32">
        <f t="shared" si="8"/>
        <v>30</v>
      </c>
      <c r="C310" s="32">
        <f t="shared" si="9"/>
        <v>6</v>
      </c>
      <c r="D310" s="38" t="str" cm="1">
        <f t="array" ref="D310">INDEX('Base-2'!$B$2:$J$100,1+B310,C310)</f>
        <v>* differential.element[31].max = "1"</v>
      </c>
    </row>
    <row r="311" spans="1:4" x14ac:dyDescent="0.75">
      <c r="A311" s="32">
        <v>277</v>
      </c>
      <c r="B311" s="32">
        <f t="shared" si="8"/>
        <v>30</v>
      </c>
      <c r="C311" s="32">
        <f t="shared" si="9"/>
        <v>7</v>
      </c>
      <c r="D311" s="38" t="str" cm="1">
        <f t="array" ref="D311">INDEX('Base-2'!$B$2:$J$100,1+B311,C311)</f>
        <v>* differential.element[31].type.code = #CodeableConcept</v>
      </c>
    </row>
    <row r="312" spans="1:4" x14ac:dyDescent="0.75">
      <c r="A312" s="32">
        <v>278</v>
      </c>
      <c r="B312" s="32">
        <f t="shared" si="8"/>
        <v>30</v>
      </c>
      <c r="C312" s="32">
        <f t="shared" si="9"/>
        <v>8</v>
      </c>
      <c r="D312" s="38" t="str" cm="1">
        <f t="array" ref="D312">INDEX('Base-2'!$B$2:$J$100,1+B312,C312)</f>
        <v/>
      </c>
    </row>
    <row r="313" spans="1:4" x14ac:dyDescent="0.75">
      <c r="A313" s="32">
        <v>279</v>
      </c>
      <c r="B313" s="32">
        <f t="shared" si="8"/>
        <v>30</v>
      </c>
      <c r="C313" s="32">
        <f t="shared" si="9"/>
        <v>9</v>
      </c>
      <c r="D313" s="38" t="str" cm="1">
        <f t="array" ref="D313">INDEX('Base-2'!$B$2:$J$100,1+B313,C313)</f>
        <v/>
      </c>
    </row>
    <row r="314" spans="1:4" x14ac:dyDescent="0.75">
      <c r="A314" s="32">
        <v>280</v>
      </c>
      <c r="B314" s="32">
        <f t="shared" si="8"/>
        <v>31</v>
      </c>
      <c r="C314" s="32">
        <f t="shared" si="9"/>
        <v>1</v>
      </c>
      <c r="D314" s="38" t="str" cm="1">
        <f t="array" ref="D314">INDEX('Base-2'!$B$2:$J$100,1+B314,C314)</f>
        <v>* differential.element[32].id = "MinimalTreatmentSummary.diagnosis.progressionRelapseAfterEOT"</v>
      </c>
    </row>
    <row r="315" spans="1:4" x14ac:dyDescent="0.75">
      <c r="A315" s="32">
        <v>281</v>
      </c>
      <c r="B315" s="32">
        <f t="shared" si="8"/>
        <v>31</v>
      </c>
      <c r="C315" s="32">
        <f t="shared" si="9"/>
        <v>2</v>
      </c>
      <c r="D315" s="38" t="str" cm="1">
        <f t="array" ref="D315">INDEX('Base-2'!$B$2:$J$100,1+B315,C315)</f>
        <v>* differential.element[32].path = "MinimalTreatmentSummary.diagnosis.progressionRelapseAfterEOT"</v>
      </c>
    </row>
    <row r="316" spans="1:4" x14ac:dyDescent="0.75">
      <c r="A316" s="32">
        <v>282</v>
      </c>
      <c r="B316" s="32">
        <f t="shared" si="8"/>
        <v>31</v>
      </c>
      <c r="C316" s="32">
        <f t="shared" si="9"/>
        <v>3</v>
      </c>
      <c r="D316" s="38" t="str" cm="1">
        <f t="array" ref="D316">INDEX('Base-2'!$B$2:$J$100,1+B316,C316)</f>
        <v>* differential.element[32].short = "Progression-relapse after the End of Treatment"</v>
      </c>
    </row>
    <row r="317" spans="1:4" x14ac:dyDescent="0.75">
      <c r="A317" s="32">
        <v>283</v>
      </c>
      <c r="B317" s="32">
        <f t="shared" si="8"/>
        <v>31</v>
      </c>
      <c r="C317" s="32">
        <f t="shared" si="9"/>
        <v>4</v>
      </c>
      <c r="D317" s="38" t="str" cm="1">
        <f t="array" ref="D317">INDEX('Base-2'!$B$2:$J$100,1+B317,C317)</f>
        <v>* differential.element[32].definition = "Progression-relapse after the End of Treatment"</v>
      </c>
    </row>
    <row r="318" spans="1:4" x14ac:dyDescent="0.75">
      <c r="A318" s="32">
        <v>284</v>
      </c>
      <c r="B318" s="32">
        <f t="shared" si="8"/>
        <v>31</v>
      </c>
      <c r="C318" s="32">
        <f t="shared" si="9"/>
        <v>5</v>
      </c>
      <c r="D318" s="38" t="str" cm="1">
        <f t="array" ref="D318">INDEX('Base-2'!$B$2:$J$100,1+B318,C318)</f>
        <v>* differential.element[32].min = 0</v>
      </c>
    </row>
    <row r="319" spans="1:4" x14ac:dyDescent="0.75">
      <c r="A319" s="32">
        <v>285</v>
      </c>
      <c r="B319" s="32">
        <f t="shared" si="8"/>
        <v>31</v>
      </c>
      <c r="C319" s="32">
        <f t="shared" si="9"/>
        <v>6</v>
      </c>
      <c r="D319" s="38" t="str" cm="1">
        <f t="array" ref="D319">INDEX('Base-2'!$B$2:$J$100,1+B319,C319)</f>
        <v>* differential.element[32].max = "*"</v>
      </c>
    </row>
    <row r="320" spans="1:4" x14ac:dyDescent="0.75">
      <c r="A320" s="32">
        <v>286</v>
      </c>
      <c r="B320" s="32">
        <f t="shared" si="8"/>
        <v>31</v>
      </c>
      <c r="C320" s="32">
        <f t="shared" si="9"/>
        <v>7</v>
      </c>
      <c r="D320" s="38" t="str" cm="1">
        <f t="array" ref="D320">INDEX('Base-2'!$B$2:$J$100,1+B320,C320)</f>
        <v>* differential.element[32].type.code = #BackboneElement</v>
      </c>
    </row>
    <row r="321" spans="1:4" x14ac:dyDescent="0.75">
      <c r="A321" s="32">
        <v>287</v>
      </c>
      <c r="B321" s="32">
        <f t="shared" si="8"/>
        <v>31</v>
      </c>
      <c r="C321" s="32">
        <f t="shared" si="9"/>
        <v>8</v>
      </c>
      <c r="D321" s="38" t="str" cm="1">
        <f t="array" ref="D321">INDEX('Base-2'!$B$2:$J$100,1+B321,C321)</f>
        <v/>
      </c>
    </row>
    <row r="322" spans="1:4" x14ac:dyDescent="0.75">
      <c r="A322" s="32">
        <v>288</v>
      </c>
      <c r="B322" s="32">
        <f t="shared" si="8"/>
        <v>31</v>
      </c>
      <c r="C322" s="32">
        <f t="shared" si="9"/>
        <v>9</v>
      </c>
      <c r="D322" s="38" t="str" cm="1">
        <f t="array" ref="D322">INDEX('Base-2'!$B$2:$J$100,1+B322,C322)</f>
        <v/>
      </c>
    </row>
    <row r="323" spans="1:4" x14ac:dyDescent="0.75">
      <c r="A323" s="32">
        <v>289</v>
      </c>
      <c r="B323" s="32">
        <f t="shared" si="8"/>
        <v>32</v>
      </c>
      <c r="C323" s="32">
        <f t="shared" si="9"/>
        <v>1</v>
      </c>
      <c r="D323" s="38" t="str" cm="1">
        <f t="array" ref="D323">INDEX('Base-2'!$B$2:$J$100,1+B323,C323)</f>
        <v>* differential.element[33].id = "MinimalTreatmentSummary.diagnosis.progressionRelapseAfterEOT.chemotherapy"</v>
      </c>
    </row>
    <row r="324" spans="1:4" x14ac:dyDescent="0.75">
      <c r="A324" s="32">
        <v>290</v>
      </c>
      <c r="B324" s="32">
        <f t="shared" si="8"/>
        <v>32</v>
      </c>
      <c r="C324" s="32">
        <f t="shared" si="9"/>
        <v>2</v>
      </c>
      <c r="D324" s="38" t="str" cm="1">
        <f t="array" ref="D324">INDEX('Base-2'!$B$2:$J$100,1+B324,C324)</f>
        <v>* differential.element[33].path = "MinimalTreatmentSummary.diagnosis.progressionRelapseAfterEOT.chemotherapy"</v>
      </c>
    </row>
    <row r="325" spans="1:4" x14ac:dyDescent="0.75">
      <c r="A325" s="32">
        <v>291</v>
      </c>
      <c r="B325" s="32">
        <f t="shared" si="8"/>
        <v>32</v>
      </c>
      <c r="C325" s="32">
        <f t="shared" si="9"/>
        <v>3</v>
      </c>
      <c r="D325" s="38" t="str" cm="1">
        <f t="array" ref="D325">INDEX('Base-2'!$B$2:$J$100,1+B325,C325)</f>
        <v>* differential.element[33].short = "Chemotherapy"</v>
      </c>
    </row>
    <row r="326" spans="1:4" x14ac:dyDescent="0.75">
      <c r="A326" s="32">
        <v>292</v>
      </c>
      <c r="B326" s="32">
        <f t="shared" si="8"/>
        <v>32</v>
      </c>
      <c r="C326" s="32">
        <f t="shared" si="9"/>
        <v>4</v>
      </c>
      <c r="D326" s="38" t="str" cm="1">
        <f t="array" ref="D326">INDEX('Base-2'!$B$2:$J$100,1+B326,C326)</f>
        <v>* differential.element[33].definition = "Chemotherapy"</v>
      </c>
    </row>
    <row r="327" spans="1:4" x14ac:dyDescent="0.75">
      <c r="A327" s="32">
        <v>293</v>
      </c>
      <c r="B327" s="32">
        <f t="shared" si="8"/>
        <v>32</v>
      </c>
      <c r="C327" s="32">
        <f t="shared" si="9"/>
        <v>5</v>
      </c>
      <c r="D327" s="38" t="str" cm="1">
        <f t="array" ref="D327">INDEX('Base-2'!$B$2:$J$100,1+B327,C327)</f>
        <v>* differential.element[33].min = 0</v>
      </c>
    </row>
    <row r="328" spans="1:4" x14ac:dyDescent="0.75">
      <c r="A328" s="32">
        <v>294</v>
      </c>
      <c r="B328" s="32">
        <f t="shared" si="8"/>
        <v>32</v>
      </c>
      <c r="C328" s="32">
        <f t="shared" si="9"/>
        <v>6</v>
      </c>
      <c r="D328" s="38" t="str" cm="1">
        <f t="array" ref="D328">INDEX('Base-2'!$B$2:$J$100,1+B328,C328)</f>
        <v>* differential.element[33].max = "1"</v>
      </c>
    </row>
    <row r="329" spans="1:4" x14ac:dyDescent="0.75">
      <c r="A329" s="32">
        <v>295</v>
      </c>
      <c r="B329" s="32">
        <f t="shared" si="8"/>
        <v>32</v>
      </c>
      <c r="C329" s="32">
        <f t="shared" si="9"/>
        <v>7</v>
      </c>
      <c r="D329" s="38" t="str" cm="1">
        <f t="array" ref="D329">INDEX('Base-2'!$B$2:$J$100,1+B329,C329)</f>
        <v>* differential.element[33].type.code = #http://hl7.eu/fhir/ig/pcsp/StructureDefinition/Chemotherapy</v>
      </c>
    </row>
    <row r="330" spans="1:4" x14ac:dyDescent="0.75">
      <c r="A330" s="32">
        <v>296</v>
      </c>
      <c r="B330" s="32">
        <f t="shared" si="8"/>
        <v>32</v>
      </c>
      <c r="C330" s="32">
        <f t="shared" si="9"/>
        <v>8</v>
      </c>
      <c r="D330" s="38" t="str" cm="1">
        <f t="array" ref="D330">INDEX('Base-2'!$B$2:$J$100,1+B330,C330)</f>
        <v/>
      </c>
    </row>
    <row r="331" spans="1:4" x14ac:dyDescent="0.75">
      <c r="A331" s="32">
        <v>297</v>
      </c>
      <c r="B331" s="32">
        <f t="shared" si="8"/>
        <v>32</v>
      </c>
      <c r="C331" s="32">
        <f t="shared" si="9"/>
        <v>9</v>
      </c>
      <c r="D331" s="38" t="str" cm="1">
        <f t="array" ref="D331">INDEX('Base-2'!$B$2:$J$100,1+B331,C331)</f>
        <v/>
      </c>
    </row>
    <row r="332" spans="1:4" x14ac:dyDescent="0.75">
      <c r="A332" s="32">
        <v>298</v>
      </c>
      <c r="B332" s="32">
        <f t="shared" si="8"/>
        <v>33</v>
      </c>
      <c r="C332" s="32">
        <f t="shared" si="9"/>
        <v>1</v>
      </c>
      <c r="D332" s="38" t="str" cm="1">
        <f t="array" ref="D332">INDEX('Base-2'!$B$2:$J$100,1+B332,C332)</f>
        <v>* differential.element[37].id = "MinimalTreatmentSummary.diagnosis.progressionRelapseAfterEOT.radiotherapy"</v>
      </c>
    </row>
    <row r="333" spans="1:4" x14ac:dyDescent="0.75">
      <c r="A333" s="32">
        <v>299</v>
      </c>
      <c r="B333" s="32">
        <f t="shared" si="8"/>
        <v>33</v>
      </c>
      <c r="C333" s="32">
        <f t="shared" si="9"/>
        <v>2</v>
      </c>
      <c r="D333" s="38" t="str" cm="1">
        <f t="array" ref="D333">INDEX('Base-2'!$B$2:$J$100,1+B333,C333)</f>
        <v>* differential.element[37].path = "MinimalTreatmentSummary.diagnosis.progressionRelapseAfterEOT.radiotherapy"</v>
      </c>
    </row>
    <row r="334" spans="1:4" x14ac:dyDescent="0.75">
      <c r="A334" s="32">
        <v>300</v>
      </c>
      <c r="B334" s="32">
        <f t="shared" si="8"/>
        <v>33</v>
      </c>
      <c r="C334" s="32">
        <f t="shared" si="9"/>
        <v>3</v>
      </c>
      <c r="D334" s="38" t="str" cm="1">
        <f t="array" ref="D334">INDEX('Base-2'!$B$2:$J$100,1+B334,C334)</f>
        <v>* differential.element[37].short = "Radiotherapy"</v>
      </c>
    </row>
    <row r="335" spans="1:4" x14ac:dyDescent="0.75">
      <c r="A335" s="32">
        <v>301</v>
      </c>
      <c r="B335" s="32">
        <f t="shared" si="8"/>
        <v>33</v>
      </c>
      <c r="C335" s="32">
        <f t="shared" si="9"/>
        <v>4</v>
      </c>
      <c r="D335" s="38" t="str" cm="1">
        <f t="array" ref="D335">INDEX('Base-2'!$B$2:$J$100,1+B335,C335)</f>
        <v>* differential.element[37].definition = "Radiotherapy"</v>
      </c>
    </row>
    <row r="336" spans="1:4" x14ac:dyDescent="0.75">
      <c r="A336" s="32">
        <v>302</v>
      </c>
      <c r="B336" s="32">
        <f t="shared" si="8"/>
        <v>33</v>
      </c>
      <c r="C336" s="32">
        <f t="shared" si="9"/>
        <v>5</v>
      </c>
      <c r="D336" s="38" t="str" cm="1">
        <f t="array" ref="D336">INDEX('Base-2'!$B$2:$J$100,1+B336,C336)</f>
        <v>* differential.element[37].min = 0</v>
      </c>
    </row>
    <row r="337" spans="1:4" x14ac:dyDescent="0.75">
      <c r="A337" s="32">
        <v>303</v>
      </c>
      <c r="B337" s="32">
        <f t="shared" si="8"/>
        <v>33</v>
      </c>
      <c r="C337" s="32">
        <f t="shared" si="9"/>
        <v>6</v>
      </c>
      <c r="D337" s="38" t="str" cm="1">
        <f t="array" ref="D337">INDEX('Base-2'!$B$2:$J$100,1+B337,C337)</f>
        <v>* differential.element[37].max = "1"</v>
      </c>
    </row>
    <row r="338" spans="1:4" x14ac:dyDescent="0.75">
      <c r="A338" s="32">
        <v>304</v>
      </c>
      <c r="B338" s="32">
        <f t="shared" si="8"/>
        <v>33</v>
      </c>
      <c r="C338" s="32">
        <f t="shared" si="9"/>
        <v>7</v>
      </c>
      <c r="D338" s="38" t="str" cm="1">
        <f t="array" ref="D338">INDEX('Base-2'!$B$2:$J$100,1+B338,C338)</f>
        <v>* differential.element[37].type.code = #http://hl7.eu/fhir/ig/pcsp/StructureDefinition/Radiotherapy</v>
      </c>
    </row>
    <row r="339" spans="1:4" x14ac:dyDescent="0.75">
      <c r="A339" s="32">
        <v>305</v>
      </c>
      <c r="B339" s="32">
        <f t="shared" si="8"/>
        <v>33</v>
      </c>
      <c r="C339" s="32">
        <f t="shared" si="9"/>
        <v>8</v>
      </c>
      <c r="D339" s="38" t="str" cm="1">
        <f t="array" ref="D339">INDEX('Base-2'!$B$2:$J$100,1+B339,C339)</f>
        <v/>
      </c>
    </row>
    <row r="340" spans="1:4" x14ac:dyDescent="0.75">
      <c r="A340" s="32">
        <v>306</v>
      </c>
      <c r="B340" s="32">
        <f t="shared" si="8"/>
        <v>33</v>
      </c>
      <c r="C340" s="32">
        <f t="shared" si="9"/>
        <v>9</v>
      </c>
      <c r="D340" s="38" t="str" cm="1">
        <f t="array" ref="D340">INDEX('Base-2'!$B$2:$J$100,1+B340,C340)</f>
        <v/>
      </c>
    </row>
    <row r="341" spans="1:4" x14ac:dyDescent="0.75">
      <c r="A341" s="32">
        <v>307</v>
      </c>
      <c r="B341" s="32">
        <f t="shared" si="8"/>
        <v>34</v>
      </c>
      <c r="C341" s="32">
        <f t="shared" si="9"/>
        <v>1</v>
      </c>
      <c r="D341" s="38" t="str" cm="1">
        <f t="array" ref="D341">INDEX('Base-2'!$B$2:$J$100,1+B341,C341)</f>
        <v>* differential.element[34].id = "MinimalTreatmentSummary.diagnosis.progressionRelapseAfterEOT.stemCellTransplantation"</v>
      </c>
    </row>
    <row r="342" spans="1:4" x14ac:dyDescent="0.75">
      <c r="A342" s="32">
        <v>308</v>
      </c>
      <c r="B342" s="32">
        <f t="shared" si="8"/>
        <v>34</v>
      </c>
      <c r="C342" s="32">
        <f t="shared" si="9"/>
        <v>2</v>
      </c>
      <c r="D342" s="38" t="str" cm="1">
        <f t="array" ref="D342">INDEX('Base-2'!$B$2:$J$100,1+B342,C342)</f>
        <v>* differential.element[34].path = "MinimalTreatmentSummary.diagnosis.progressionRelapseAfterEOT.stemCellTransplantation"</v>
      </c>
    </row>
    <row r="343" spans="1:4" x14ac:dyDescent="0.75">
      <c r="A343" s="32">
        <v>309</v>
      </c>
      <c r="B343" s="32">
        <f t="shared" si="8"/>
        <v>34</v>
      </c>
      <c r="C343" s="32">
        <f t="shared" si="9"/>
        <v>3</v>
      </c>
      <c r="D343" s="38" t="str" cm="1">
        <f t="array" ref="D343">INDEX('Base-2'!$B$2:$J$100,1+B343,C343)</f>
        <v>* differential.element[34].short = "Stem Cell transplantation"</v>
      </c>
    </row>
    <row r="344" spans="1:4" x14ac:dyDescent="0.75">
      <c r="A344" s="32">
        <v>310</v>
      </c>
      <c r="B344" s="32">
        <f t="shared" si="8"/>
        <v>34</v>
      </c>
      <c r="C344" s="32">
        <f t="shared" si="9"/>
        <v>4</v>
      </c>
      <c r="D344" s="38" t="str" cm="1">
        <f t="array" ref="D344">INDEX('Base-2'!$B$2:$J$100,1+B344,C344)</f>
        <v>* differential.element[34].definition = "Stem Cell transplantation"</v>
      </c>
    </row>
    <row r="345" spans="1:4" x14ac:dyDescent="0.75">
      <c r="A345" s="32">
        <v>311</v>
      </c>
      <c r="B345" s="32">
        <f t="shared" si="8"/>
        <v>34</v>
      </c>
      <c r="C345" s="32">
        <f t="shared" si="9"/>
        <v>5</v>
      </c>
      <c r="D345" s="38" t="str" cm="1">
        <f t="array" ref="D345">INDEX('Base-2'!$B$2:$J$100,1+B345,C345)</f>
        <v>* differential.element[34].min = 0</v>
      </c>
    </row>
    <row r="346" spans="1:4" x14ac:dyDescent="0.75">
      <c r="A346" s="32">
        <v>312</v>
      </c>
      <c r="B346" s="32">
        <f t="shared" si="8"/>
        <v>34</v>
      </c>
      <c r="C346" s="32">
        <f t="shared" si="9"/>
        <v>6</v>
      </c>
      <c r="D346" s="38" t="str" cm="1">
        <f t="array" ref="D346">INDEX('Base-2'!$B$2:$J$100,1+B346,C346)</f>
        <v>* differential.element[34].max = "*"</v>
      </c>
    </row>
    <row r="347" spans="1:4" x14ac:dyDescent="0.75">
      <c r="A347" s="32">
        <v>313</v>
      </c>
      <c r="B347" s="32">
        <f t="shared" si="8"/>
        <v>34</v>
      </c>
      <c r="C347" s="32">
        <f t="shared" si="9"/>
        <v>7</v>
      </c>
      <c r="D347" s="38" t="str" cm="1">
        <f t="array" ref="D347">INDEX('Base-2'!$B$2:$J$100,1+B347,C347)</f>
        <v>* differential.element[34].type.code = #BackboneElement</v>
      </c>
    </row>
    <row r="348" spans="1:4" x14ac:dyDescent="0.75">
      <c r="A348" s="32">
        <v>314</v>
      </c>
      <c r="B348" s="32">
        <f t="shared" si="8"/>
        <v>34</v>
      </c>
      <c r="C348" s="32">
        <f t="shared" si="9"/>
        <v>8</v>
      </c>
      <c r="D348" s="38" t="str" cm="1">
        <f t="array" ref="D348">INDEX('Base-2'!$B$2:$J$100,1+B348,C348)</f>
        <v/>
      </c>
    </row>
    <row r="349" spans="1:4" x14ac:dyDescent="0.75">
      <c r="A349" s="32">
        <v>315</v>
      </c>
      <c r="B349" s="32">
        <f t="shared" si="8"/>
        <v>34</v>
      </c>
      <c r="C349" s="32">
        <f t="shared" si="9"/>
        <v>9</v>
      </c>
      <c r="D349" s="38" t="str" cm="1">
        <f t="array" ref="D349">INDEX('Base-2'!$B$2:$J$100,1+B349,C349)</f>
        <v/>
      </c>
    </row>
    <row r="350" spans="1:4" x14ac:dyDescent="0.75">
      <c r="A350" s="32">
        <v>316</v>
      </c>
      <c r="B350" s="32">
        <f t="shared" si="8"/>
        <v>35</v>
      </c>
      <c r="C350" s="32">
        <f t="shared" si="9"/>
        <v>1</v>
      </c>
      <c r="D350" s="38" t="str" cm="1">
        <f t="array" ref="D350">INDEX('Base-2'!$B$2:$J$100,1+B350,C350)</f>
        <v>* differential.element[35].id = "MinimalTreatmentSummary.diagnosis.progressionRelapseAfterEOT.stemCellTransplantation.type"</v>
      </c>
    </row>
    <row r="351" spans="1:4" x14ac:dyDescent="0.75">
      <c r="A351" s="32">
        <v>317</v>
      </c>
      <c r="B351" s="32">
        <f t="shared" si="8"/>
        <v>35</v>
      </c>
      <c r="C351" s="32">
        <f t="shared" si="9"/>
        <v>2</v>
      </c>
      <c r="D351" s="38" t="str" cm="1">
        <f t="array" ref="D351">INDEX('Base-2'!$B$2:$J$100,1+B351,C351)</f>
        <v>* differential.element[35].path = "MinimalTreatmentSummary.diagnosis.progressionRelapseAfterEOT.stemCellTransplantation.type"</v>
      </c>
    </row>
    <row r="352" spans="1:4" x14ac:dyDescent="0.75">
      <c r="A352" s="32">
        <v>318</v>
      </c>
      <c r="B352" s="32">
        <f t="shared" si="8"/>
        <v>35</v>
      </c>
      <c r="C352" s="32">
        <f t="shared" si="9"/>
        <v>3</v>
      </c>
      <c r="D352" s="38" t="str" cm="1">
        <f t="array" ref="D352">INDEX('Base-2'!$B$2:$J$100,1+B352,C352)</f>
        <v>* differential.element[35].short = "Type of transplant"</v>
      </c>
    </row>
    <row r="353" spans="1:4" ht="59" x14ac:dyDescent="0.75">
      <c r="A353" s="32">
        <v>319</v>
      </c>
      <c r="B353" s="32">
        <f t="shared" si="8"/>
        <v>35</v>
      </c>
      <c r="C353" s="32">
        <f t="shared" si="9"/>
        <v>4</v>
      </c>
      <c r="D353" s="38" t="str" cm="1">
        <f t="array" ref="D353">INDEX('Base-2'!$B$2:$J$100,1+B353,C353)</f>
        <v>* differential.element[35].definition = "Indicate if the transplant was autologous or allogeneic.
1 = Autologous
2 = Allogeneic
-9922 = NK"</v>
      </c>
    </row>
    <row r="354" spans="1:4" x14ac:dyDescent="0.75">
      <c r="A354" s="32">
        <v>320</v>
      </c>
      <c r="B354" s="32">
        <f t="shared" si="8"/>
        <v>35</v>
      </c>
      <c r="C354" s="32">
        <f t="shared" si="9"/>
        <v>5</v>
      </c>
      <c r="D354" s="38" t="str" cm="1">
        <f t="array" ref="D354">INDEX('Base-2'!$B$2:$J$100,1+B354,C354)</f>
        <v>* differential.element[35].min = 0</v>
      </c>
    </row>
    <row r="355" spans="1:4" x14ac:dyDescent="0.75">
      <c r="A355" s="32">
        <v>321</v>
      </c>
      <c r="B355" s="32">
        <f t="shared" si="8"/>
        <v>35</v>
      </c>
      <c r="C355" s="32">
        <f t="shared" si="9"/>
        <v>6</v>
      </c>
      <c r="D355" s="38" t="str" cm="1">
        <f t="array" ref="D355">INDEX('Base-2'!$B$2:$J$100,1+B355,C355)</f>
        <v>* differential.element[35].max = "1"</v>
      </c>
    </row>
    <row r="356" spans="1:4" x14ac:dyDescent="0.75">
      <c r="A356" s="32">
        <v>322</v>
      </c>
      <c r="B356" s="32">
        <f t="shared" ref="B356:B419" si="10">IF(MOD(A356,$B$25)=0,A356/$B$25-1,INT(A356/$B$25))</f>
        <v>35</v>
      </c>
      <c r="C356" s="32">
        <f t="shared" ref="C356:C419" si="11">IF(MOD(A356,$B$25)=0,$B$25,MOD(A356,$B$25))</f>
        <v>7</v>
      </c>
      <c r="D356" s="38" t="str" cm="1">
        <f t="array" ref="D356">INDEX('Base-2'!$B$2:$J$100,1+B356,C356)</f>
        <v>* differential.element[35].type.code = #CodeableConcept</v>
      </c>
    </row>
    <row r="357" spans="1:4" x14ac:dyDescent="0.75">
      <c r="A357" s="32">
        <v>323</v>
      </c>
      <c r="B357" s="32">
        <f t="shared" si="10"/>
        <v>35</v>
      </c>
      <c r="C357" s="32">
        <f t="shared" si="11"/>
        <v>8</v>
      </c>
      <c r="D357" s="38" t="str" cm="1">
        <f t="array" ref="D357">INDEX('Base-2'!$B$2:$J$100,1+B357,C357)</f>
        <v/>
      </c>
    </row>
    <row r="358" spans="1:4" x14ac:dyDescent="0.75">
      <c r="A358" s="32">
        <v>324</v>
      </c>
      <c r="B358" s="32">
        <f t="shared" si="10"/>
        <v>35</v>
      </c>
      <c r="C358" s="32">
        <f t="shared" si="11"/>
        <v>9</v>
      </c>
      <c r="D358" s="38" t="str" cm="1">
        <f t="array" ref="D358">INDEX('Base-2'!$B$2:$J$100,1+B358,C358)</f>
        <v/>
      </c>
    </row>
    <row r="359" spans="1:4" x14ac:dyDescent="0.75">
      <c r="A359" s="32">
        <v>325</v>
      </c>
      <c r="B359" s="32">
        <f t="shared" si="10"/>
        <v>36</v>
      </c>
      <c r="C359" s="32">
        <f t="shared" si="11"/>
        <v>1</v>
      </c>
      <c r="D359" s="38" t="str" cm="1">
        <f t="array" ref="D359">INDEX('Base-2'!$B$2:$J$100,1+B359,C359)</f>
        <v>* differential.element[36].id = "MinimalTreatmentSummary.diagnosis.progressionRelapseAfterEOT.stemCellTransplantation.gvhdChronic"</v>
      </c>
    </row>
    <row r="360" spans="1:4" x14ac:dyDescent="0.75">
      <c r="A360" s="32">
        <v>326</v>
      </c>
      <c r="B360" s="32">
        <f t="shared" si="10"/>
        <v>36</v>
      </c>
      <c r="C360" s="32">
        <f t="shared" si="11"/>
        <v>2</v>
      </c>
      <c r="D360" s="38" t="str" cm="1">
        <f t="array" ref="D360">INDEX('Base-2'!$B$2:$J$100,1+B360,C360)</f>
        <v>* differential.element[36].path = "MinimalTreatmentSummary.diagnosis.progressionRelapseAfterEOT.stemCellTransplantation.gvhdChronic"</v>
      </c>
    </row>
    <row r="361" spans="1:4" x14ac:dyDescent="0.75">
      <c r="A361" s="32">
        <v>327</v>
      </c>
      <c r="B361" s="32">
        <f t="shared" si="10"/>
        <v>36</v>
      </c>
      <c r="C361" s="32">
        <f t="shared" si="11"/>
        <v>3</v>
      </c>
      <c r="D361" s="38" t="str" cm="1">
        <f t="array" ref="D361">INDEX('Base-2'!$B$2:$J$100,1+B361,C361)</f>
        <v>* differential.element[36].short = "GVHD Chronic"</v>
      </c>
    </row>
    <row r="362" spans="1:4" ht="29.5" x14ac:dyDescent="0.75">
      <c r="A362" s="32">
        <v>328</v>
      </c>
      <c r="B362" s="32">
        <f t="shared" si="10"/>
        <v>36</v>
      </c>
      <c r="C362" s="32">
        <f t="shared" si="11"/>
        <v>4</v>
      </c>
      <c r="D362" s="38" t="str" cm="1">
        <f t="array" ref="D362">INDEX('Base-2'!$B$2:$J$100,1+B362,C362)</f>
        <v>* differential.element[36].definition = "Please State if chronic GVHD occurred
Required if DONOR1 = 2 (Type of transplant = Allogenic)"</v>
      </c>
    </row>
    <row r="363" spans="1:4" x14ac:dyDescent="0.75">
      <c r="A363" s="32">
        <v>329</v>
      </c>
      <c r="B363" s="32">
        <f t="shared" si="10"/>
        <v>36</v>
      </c>
      <c r="C363" s="32">
        <f t="shared" si="11"/>
        <v>5</v>
      </c>
      <c r="D363" s="38" t="str" cm="1">
        <f t="array" ref="D363">INDEX('Base-2'!$B$2:$J$100,1+B363,C363)</f>
        <v>* differential.element[36].min = 0</v>
      </c>
    </row>
    <row r="364" spans="1:4" x14ac:dyDescent="0.75">
      <c r="A364" s="32">
        <v>330</v>
      </c>
      <c r="B364" s="32">
        <f t="shared" si="10"/>
        <v>36</v>
      </c>
      <c r="C364" s="32">
        <f t="shared" si="11"/>
        <v>6</v>
      </c>
      <c r="D364" s="38" t="str" cm="1">
        <f t="array" ref="D364">INDEX('Base-2'!$B$2:$J$100,1+B364,C364)</f>
        <v>* differential.element[36].max = "1"</v>
      </c>
    </row>
    <row r="365" spans="1:4" x14ac:dyDescent="0.75">
      <c r="A365" s="32">
        <v>331</v>
      </c>
      <c r="B365" s="32">
        <f t="shared" si="10"/>
        <v>36</v>
      </c>
      <c r="C365" s="32">
        <f t="shared" si="11"/>
        <v>7</v>
      </c>
      <c r="D365" s="38" t="str" cm="1">
        <f t="array" ref="D365">INDEX('Base-2'!$B$2:$J$100,1+B365,C365)</f>
        <v>* differential.element[36].type.code = #CodeableConcept</v>
      </c>
    </row>
    <row r="366" spans="1:4" x14ac:dyDescent="0.75">
      <c r="A366" s="32">
        <v>332</v>
      </c>
      <c r="B366" s="32">
        <f t="shared" si="10"/>
        <v>36</v>
      </c>
      <c r="C366" s="32">
        <f t="shared" si="11"/>
        <v>8</v>
      </c>
      <c r="D366" s="38" t="str" cm="1">
        <f t="array" ref="D366">INDEX('Base-2'!$B$2:$J$100,1+B366,C366)</f>
        <v/>
      </c>
    </row>
    <row r="367" spans="1:4" x14ac:dyDescent="0.75">
      <c r="A367" s="32">
        <v>333</v>
      </c>
      <c r="B367" s="32">
        <f t="shared" si="10"/>
        <v>36</v>
      </c>
      <c r="C367" s="32">
        <f t="shared" si="11"/>
        <v>9</v>
      </c>
      <c r="D367" s="38" t="str" cm="1">
        <f t="array" ref="D367">INDEX('Base-2'!$B$2:$J$100,1+B367,C367)</f>
        <v/>
      </c>
    </row>
    <row r="368" spans="1:4" x14ac:dyDescent="0.75">
      <c r="A368" s="32">
        <v>334</v>
      </c>
      <c r="B368" s="32">
        <f t="shared" si="10"/>
        <v>37</v>
      </c>
      <c r="C368" s="32">
        <f t="shared" si="11"/>
        <v>1</v>
      </c>
      <c r="D368" s="38" t="str" cm="1">
        <f t="array" ref="D368">INDEX('Base-2'!$B$2:$J$100,1+B368,C368)</f>
        <v>* differential.element[38].id = "MinimalTreatmentSummary.diagnosis.progressionRelapseAfterEOT.majorSurgery"</v>
      </c>
    </row>
    <row r="369" spans="1:4" x14ac:dyDescent="0.75">
      <c r="A369" s="32">
        <v>335</v>
      </c>
      <c r="B369" s="32">
        <f t="shared" si="10"/>
        <v>37</v>
      </c>
      <c r="C369" s="32">
        <f t="shared" si="11"/>
        <v>2</v>
      </c>
      <c r="D369" s="38" t="str" cm="1">
        <f t="array" ref="D369">INDEX('Base-2'!$B$2:$J$100,1+B369,C369)</f>
        <v>* differential.element[38].path = "MinimalTreatmentSummary.diagnosis.progressionRelapseAfterEOT.majorSurgery"</v>
      </c>
    </row>
    <row r="370" spans="1:4" x14ac:dyDescent="0.75">
      <c r="A370" s="32">
        <v>336</v>
      </c>
      <c r="B370" s="32">
        <f t="shared" si="10"/>
        <v>37</v>
      </c>
      <c r="C370" s="32">
        <f t="shared" si="11"/>
        <v>3</v>
      </c>
      <c r="D370" s="38" t="str" cm="1">
        <f t="array" ref="D370">INDEX('Base-2'!$B$2:$J$100,1+B370,C370)</f>
        <v>* differential.element[38].short = "Major Surgery"</v>
      </c>
    </row>
    <row r="371" spans="1:4" x14ac:dyDescent="0.75">
      <c r="A371" s="32">
        <v>337</v>
      </c>
      <c r="B371" s="32">
        <f t="shared" si="10"/>
        <v>37</v>
      </c>
      <c r="C371" s="32">
        <f t="shared" si="11"/>
        <v>4</v>
      </c>
      <c r="D371" s="38" t="str" cm="1">
        <f t="array" ref="D371">INDEX('Base-2'!$B$2:$J$100,1+B371,C371)</f>
        <v>* differential.element[38].definition = "Major Surgery"</v>
      </c>
    </row>
    <row r="372" spans="1:4" x14ac:dyDescent="0.75">
      <c r="A372" s="32">
        <v>338</v>
      </c>
      <c r="B372" s="32">
        <f t="shared" si="10"/>
        <v>37</v>
      </c>
      <c r="C372" s="32">
        <f t="shared" si="11"/>
        <v>5</v>
      </c>
      <c r="D372" s="38" t="str" cm="1">
        <f t="array" ref="D372">INDEX('Base-2'!$B$2:$J$100,1+B372,C372)</f>
        <v>* differential.element[38].min = 0</v>
      </c>
    </row>
    <row r="373" spans="1:4" x14ac:dyDescent="0.75">
      <c r="A373" s="32">
        <v>339</v>
      </c>
      <c r="B373" s="32">
        <f t="shared" si="10"/>
        <v>37</v>
      </c>
      <c r="C373" s="32">
        <f t="shared" si="11"/>
        <v>6</v>
      </c>
      <c r="D373" s="38" t="str" cm="1">
        <f t="array" ref="D373">INDEX('Base-2'!$B$2:$J$100,1+B373,C373)</f>
        <v>* differential.element[38].max = "*"</v>
      </c>
    </row>
    <row r="374" spans="1:4" x14ac:dyDescent="0.75">
      <c r="A374" s="32">
        <v>340</v>
      </c>
      <c r="B374" s="32">
        <f t="shared" si="10"/>
        <v>37</v>
      </c>
      <c r="C374" s="32">
        <f t="shared" si="11"/>
        <v>7</v>
      </c>
      <c r="D374" s="38" t="str" cm="1">
        <f t="array" ref="D374">INDEX('Base-2'!$B$2:$J$100,1+B374,C374)</f>
        <v>* differential.element[38].type.code = #BackboneElement</v>
      </c>
    </row>
    <row r="375" spans="1:4" x14ac:dyDescent="0.75">
      <c r="A375" s="32">
        <v>341</v>
      </c>
      <c r="B375" s="32">
        <f t="shared" si="10"/>
        <v>37</v>
      </c>
      <c r="C375" s="32">
        <f t="shared" si="11"/>
        <v>8</v>
      </c>
      <c r="D375" s="38" t="str" cm="1">
        <f t="array" ref="D375">INDEX('Base-2'!$B$2:$J$100,1+B375,C375)</f>
        <v/>
      </c>
    </row>
    <row r="376" spans="1:4" x14ac:dyDescent="0.75">
      <c r="A376" s="32">
        <v>342</v>
      </c>
      <c r="B376" s="32">
        <f t="shared" si="10"/>
        <v>37</v>
      </c>
      <c r="C376" s="32">
        <f t="shared" si="11"/>
        <v>9</v>
      </c>
      <c r="D376" s="38" t="str" cm="1">
        <f t="array" ref="D376">INDEX('Base-2'!$B$2:$J$100,1+B376,C376)</f>
        <v/>
      </c>
    </row>
    <row r="377" spans="1:4" x14ac:dyDescent="0.75">
      <c r="A377" s="32">
        <v>343</v>
      </c>
      <c r="B377" s="32">
        <f t="shared" si="10"/>
        <v>38</v>
      </c>
      <c r="C377" s="32">
        <f t="shared" si="11"/>
        <v>1</v>
      </c>
      <c r="D377" s="38" t="str" cm="1">
        <f t="array" ref="D377">INDEX('Base-2'!$B$2:$J$100,1+B377,C377)</f>
        <v>* differential.element[39].id = "MinimalTreatmentSummary.diagnosis.progressionRelapseAfterEOT.majorSurgery.isOesophagus"</v>
      </c>
    </row>
    <row r="378" spans="1:4" x14ac:dyDescent="0.75">
      <c r="A378" s="32">
        <v>344</v>
      </c>
      <c r="B378" s="32">
        <f t="shared" si="10"/>
        <v>38</v>
      </c>
      <c r="C378" s="32">
        <f t="shared" si="11"/>
        <v>2</v>
      </c>
      <c r="D378" s="38" t="str" cm="1">
        <f t="array" ref="D378">INDEX('Base-2'!$B$2:$J$100,1+B378,C378)</f>
        <v>* differential.element[39].path = "MinimalTreatmentSummary.diagnosis.progressionRelapseAfterEOT.majorSurgery.isOesophagus"</v>
      </c>
    </row>
    <row r="379" spans="1:4" x14ac:dyDescent="0.75">
      <c r="A379" s="32">
        <v>345</v>
      </c>
      <c r="B379" s="32">
        <f t="shared" si="10"/>
        <v>38</v>
      </c>
      <c r="C379" s="32">
        <f t="shared" si="11"/>
        <v>3</v>
      </c>
      <c r="D379" s="38" t="str" cm="1">
        <f t="array" ref="D379">INDEX('Base-2'!$B$2:$J$100,1+B379,C379)</f>
        <v>* differential.element[39].short = "Oesophagus involved?"</v>
      </c>
    </row>
    <row r="380" spans="1:4" x14ac:dyDescent="0.75">
      <c r="A380" s="32">
        <v>346</v>
      </c>
      <c r="B380" s="32">
        <f t="shared" si="10"/>
        <v>38</v>
      </c>
      <c r="C380" s="32">
        <f t="shared" si="11"/>
        <v>4</v>
      </c>
      <c r="D380" s="38" t="str" cm="1">
        <f t="array" ref="D380">INDEX('Base-2'!$B$2:$J$100,1+B380,C380)</f>
        <v>* differential.element[39].definition = "Was the oesophagus involved in the surgery?"</v>
      </c>
    </row>
    <row r="381" spans="1:4" x14ac:dyDescent="0.75">
      <c r="A381" s="32">
        <v>347</v>
      </c>
      <c r="B381" s="32">
        <f t="shared" si="10"/>
        <v>38</v>
      </c>
      <c r="C381" s="32">
        <f t="shared" si="11"/>
        <v>5</v>
      </c>
      <c r="D381" s="38" t="str" cm="1">
        <f t="array" ref="D381">INDEX('Base-2'!$B$2:$J$100,1+B381,C381)</f>
        <v>* differential.element[39].min = 0</v>
      </c>
    </row>
    <row r="382" spans="1:4" x14ac:dyDescent="0.75">
      <c r="A382" s="32">
        <v>348</v>
      </c>
      <c r="B382" s="32">
        <f t="shared" si="10"/>
        <v>38</v>
      </c>
      <c r="C382" s="32">
        <f t="shared" si="11"/>
        <v>6</v>
      </c>
      <c r="D382" s="38" t="str" cm="1">
        <f t="array" ref="D382">INDEX('Base-2'!$B$2:$J$100,1+B382,C382)</f>
        <v>* differential.element[39].max = "1"</v>
      </c>
    </row>
    <row r="383" spans="1:4" x14ac:dyDescent="0.75">
      <c r="A383" s="32">
        <v>349</v>
      </c>
      <c r="B383" s="32">
        <f t="shared" si="10"/>
        <v>38</v>
      </c>
      <c r="C383" s="32">
        <f t="shared" si="11"/>
        <v>7</v>
      </c>
      <c r="D383" s="38" t="str" cm="1">
        <f t="array" ref="D383">INDEX('Base-2'!$B$2:$J$100,1+B383,C383)</f>
        <v>* differential.element[39].type.code = #CodeableConcept</v>
      </c>
    </row>
    <row r="384" spans="1:4" x14ac:dyDescent="0.75">
      <c r="A384" s="32">
        <v>350</v>
      </c>
      <c r="B384" s="32">
        <f t="shared" si="10"/>
        <v>38</v>
      </c>
      <c r="C384" s="32">
        <f t="shared" si="11"/>
        <v>8</v>
      </c>
      <c r="D384" s="38" t="str" cm="1">
        <f t="array" ref="D384">INDEX('Base-2'!$B$2:$J$100,1+B384,C384)</f>
        <v/>
      </c>
    </row>
    <row r="385" spans="1:4" x14ac:dyDescent="0.75">
      <c r="A385" s="32">
        <v>351</v>
      </c>
      <c r="B385" s="32">
        <f t="shared" si="10"/>
        <v>38</v>
      </c>
      <c r="C385" s="32">
        <f t="shared" si="11"/>
        <v>9</v>
      </c>
      <c r="D385" s="38" t="str" cm="1">
        <f t="array" ref="D385">INDEX('Base-2'!$B$2:$J$100,1+B385,C385)</f>
        <v/>
      </c>
    </row>
    <row r="386" spans="1:4" x14ac:dyDescent="0.75">
      <c r="A386" s="32">
        <v>352</v>
      </c>
      <c r="B386" s="32">
        <f t="shared" si="10"/>
        <v>39</v>
      </c>
      <c r="C386" s="32">
        <f t="shared" si="11"/>
        <v>1</v>
      </c>
      <c r="D386" s="38" t="str" cm="1">
        <f t="array" ref="D386">INDEX('Base-2'!$B$2:$J$100,1+B386,C386)</f>
        <v>* differential.element[40].id = "MinimalTreatmentSummary.diagnosis.progressionRelapseAfterEOT.majorSurgery.isAbdomen"</v>
      </c>
    </row>
    <row r="387" spans="1:4" x14ac:dyDescent="0.75">
      <c r="A387" s="32">
        <v>353</v>
      </c>
      <c r="B387" s="32">
        <f t="shared" si="10"/>
        <v>39</v>
      </c>
      <c r="C387" s="32">
        <f t="shared" si="11"/>
        <v>2</v>
      </c>
      <c r="D387" s="38" t="str" cm="1">
        <f t="array" ref="D387">INDEX('Base-2'!$B$2:$J$100,1+B387,C387)</f>
        <v>* differential.element[40].path = "MinimalTreatmentSummary.diagnosis.progressionRelapseAfterEOT.majorSurgery.isAbdomen"</v>
      </c>
    </row>
    <row r="388" spans="1:4" x14ac:dyDescent="0.75">
      <c r="A388" s="32">
        <v>354</v>
      </c>
      <c r="B388" s="32">
        <f t="shared" si="10"/>
        <v>39</v>
      </c>
      <c r="C388" s="32">
        <f t="shared" si="11"/>
        <v>3</v>
      </c>
      <c r="D388" s="38" t="str" cm="1">
        <f t="array" ref="D388">INDEX('Base-2'!$B$2:$J$100,1+B388,C388)</f>
        <v>* differential.element[40].short = "Abdomen involved?"</v>
      </c>
    </row>
    <row r="389" spans="1:4" x14ac:dyDescent="0.75">
      <c r="A389" s="32">
        <v>355</v>
      </c>
      <c r="B389" s="32">
        <f t="shared" si="10"/>
        <v>39</v>
      </c>
      <c r="C389" s="32">
        <f t="shared" si="11"/>
        <v>4</v>
      </c>
      <c r="D389" s="38" t="str" cm="1">
        <f t="array" ref="D389">INDEX('Base-2'!$B$2:$J$100,1+B389,C389)</f>
        <v>* differential.element[40].definition = "Was the abdomen involved in the surgery?"</v>
      </c>
    </row>
    <row r="390" spans="1:4" x14ac:dyDescent="0.75">
      <c r="A390" s="32">
        <v>356</v>
      </c>
      <c r="B390" s="32">
        <f t="shared" si="10"/>
        <v>39</v>
      </c>
      <c r="C390" s="32">
        <f t="shared" si="11"/>
        <v>5</v>
      </c>
      <c r="D390" s="38" t="str" cm="1">
        <f t="array" ref="D390">INDEX('Base-2'!$B$2:$J$100,1+B390,C390)</f>
        <v>* differential.element[40].min = 0</v>
      </c>
    </row>
    <row r="391" spans="1:4" x14ac:dyDescent="0.75">
      <c r="A391" s="32">
        <v>357</v>
      </c>
      <c r="B391" s="32">
        <f t="shared" si="10"/>
        <v>39</v>
      </c>
      <c r="C391" s="32">
        <f t="shared" si="11"/>
        <v>6</v>
      </c>
      <c r="D391" s="38" t="str" cm="1">
        <f t="array" ref="D391">INDEX('Base-2'!$B$2:$J$100,1+B391,C391)</f>
        <v>* differential.element[40].max = "1"</v>
      </c>
    </row>
    <row r="392" spans="1:4" x14ac:dyDescent="0.75">
      <c r="A392" s="32">
        <v>358</v>
      </c>
      <c r="B392" s="32">
        <f t="shared" si="10"/>
        <v>39</v>
      </c>
      <c r="C392" s="32">
        <f t="shared" si="11"/>
        <v>7</v>
      </c>
      <c r="D392" s="38" t="str" cm="1">
        <f t="array" ref="D392">INDEX('Base-2'!$B$2:$J$100,1+B392,C392)</f>
        <v>* differential.element[40].type.code = #CodeableConcept</v>
      </c>
    </row>
    <row r="393" spans="1:4" x14ac:dyDescent="0.75">
      <c r="A393" s="32">
        <v>359</v>
      </c>
      <c r="B393" s="32">
        <f t="shared" si="10"/>
        <v>39</v>
      </c>
      <c r="C393" s="32">
        <f t="shared" si="11"/>
        <v>8</v>
      </c>
      <c r="D393" s="38" t="str" cm="1">
        <f t="array" ref="D393">INDEX('Base-2'!$B$2:$J$100,1+B393,C393)</f>
        <v/>
      </c>
    </row>
    <row r="394" spans="1:4" x14ac:dyDescent="0.75">
      <c r="A394" s="32">
        <v>360</v>
      </c>
      <c r="B394" s="32">
        <f t="shared" si="10"/>
        <v>39</v>
      </c>
      <c r="C394" s="32">
        <f t="shared" si="11"/>
        <v>9</v>
      </c>
      <c r="D394" s="38" t="str" cm="1">
        <f t="array" ref="D394">INDEX('Base-2'!$B$2:$J$100,1+B394,C394)</f>
        <v/>
      </c>
    </row>
    <row r="395" spans="1:4" x14ac:dyDescent="0.75">
      <c r="A395" s="32">
        <v>361</v>
      </c>
      <c r="B395" s="32">
        <f t="shared" si="10"/>
        <v>40</v>
      </c>
      <c r="C395" s="32">
        <f t="shared" si="11"/>
        <v>1</v>
      </c>
      <c r="D395" s="38" t="str" cm="1">
        <f t="array" ref="D395">INDEX('Base-2'!$B$2:$J$100,1+B395,C395)</f>
        <v>* differential.element[41].id = "MinimalTreatmentSummary.diagnosis.progressionRelapseAfterEOT.majorSurgery.isBrain"</v>
      </c>
    </row>
    <row r="396" spans="1:4" x14ac:dyDescent="0.75">
      <c r="A396" s="32">
        <v>362</v>
      </c>
      <c r="B396" s="32">
        <f t="shared" si="10"/>
        <v>40</v>
      </c>
      <c r="C396" s="32">
        <f t="shared" si="11"/>
        <v>2</v>
      </c>
      <c r="D396" s="38" t="str" cm="1">
        <f t="array" ref="D396">INDEX('Base-2'!$B$2:$J$100,1+B396,C396)</f>
        <v>* differential.element[41].path = "MinimalTreatmentSummary.diagnosis.progressionRelapseAfterEOT.majorSurgery.isBrain"</v>
      </c>
    </row>
    <row r="397" spans="1:4" x14ac:dyDescent="0.75">
      <c r="A397" s="32">
        <v>363</v>
      </c>
      <c r="B397" s="32">
        <f t="shared" si="10"/>
        <v>40</v>
      </c>
      <c r="C397" s="32">
        <f t="shared" si="11"/>
        <v>3</v>
      </c>
      <c r="D397" s="38" t="str" cm="1">
        <f t="array" ref="D397">INDEX('Base-2'!$B$2:$J$100,1+B397,C397)</f>
        <v>* differential.element[41].short = "Brain involved?"</v>
      </c>
    </row>
    <row r="398" spans="1:4" x14ac:dyDescent="0.75">
      <c r="A398" s="32">
        <v>364</v>
      </c>
      <c r="B398" s="32">
        <f t="shared" si="10"/>
        <v>40</v>
      </c>
      <c r="C398" s="32">
        <f t="shared" si="11"/>
        <v>4</v>
      </c>
      <c r="D398" s="38" t="str" cm="1">
        <f t="array" ref="D398">INDEX('Base-2'!$B$2:$J$100,1+B398,C398)</f>
        <v>* differential.element[41].definition = "Was the brain involved in the surgery?"</v>
      </c>
    </row>
    <row r="399" spans="1:4" x14ac:dyDescent="0.75">
      <c r="A399" s="32">
        <v>365</v>
      </c>
      <c r="B399" s="32">
        <f t="shared" si="10"/>
        <v>40</v>
      </c>
      <c r="C399" s="32">
        <f t="shared" si="11"/>
        <v>5</v>
      </c>
      <c r="D399" s="38" t="str" cm="1">
        <f t="array" ref="D399">INDEX('Base-2'!$B$2:$J$100,1+B399,C399)</f>
        <v>* differential.element[41].min = 0</v>
      </c>
    </row>
    <row r="400" spans="1:4" x14ac:dyDescent="0.75">
      <c r="A400" s="32">
        <v>366</v>
      </c>
      <c r="B400" s="32">
        <f t="shared" si="10"/>
        <v>40</v>
      </c>
      <c r="C400" s="32">
        <f t="shared" si="11"/>
        <v>6</v>
      </c>
      <c r="D400" s="38" t="str" cm="1">
        <f t="array" ref="D400">INDEX('Base-2'!$B$2:$J$100,1+B400,C400)</f>
        <v>* differential.element[41].max = "1"</v>
      </c>
    </row>
    <row r="401" spans="1:4" x14ac:dyDescent="0.75">
      <c r="A401" s="32">
        <v>367</v>
      </c>
      <c r="B401" s="32">
        <f t="shared" si="10"/>
        <v>40</v>
      </c>
      <c r="C401" s="32">
        <f t="shared" si="11"/>
        <v>7</v>
      </c>
      <c r="D401" s="38" t="str" cm="1">
        <f t="array" ref="D401">INDEX('Base-2'!$B$2:$J$100,1+B401,C401)</f>
        <v>* differential.element[41].type.code = #CodeableConcept</v>
      </c>
    </row>
    <row r="402" spans="1:4" x14ac:dyDescent="0.75">
      <c r="A402" s="32">
        <v>368</v>
      </c>
      <c r="B402" s="32">
        <f t="shared" si="10"/>
        <v>40</v>
      </c>
      <c r="C402" s="32">
        <f t="shared" si="11"/>
        <v>8</v>
      </c>
      <c r="D402" s="38" t="str" cm="1">
        <f t="array" ref="D402">INDEX('Base-2'!$B$2:$J$100,1+B402,C402)</f>
        <v/>
      </c>
    </row>
    <row r="403" spans="1:4" x14ac:dyDescent="0.75">
      <c r="A403" s="32">
        <v>369</v>
      </c>
      <c r="B403" s="32">
        <f t="shared" si="10"/>
        <v>40</v>
      </c>
      <c r="C403" s="32">
        <f t="shared" si="11"/>
        <v>9</v>
      </c>
      <c r="D403" s="38" t="str" cm="1">
        <f t="array" ref="D403">INDEX('Base-2'!$B$2:$J$100,1+B403,C403)</f>
        <v/>
      </c>
    </row>
    <row r="404" spans="1:4" x14ac:dyDescent="0.75">
      <c r="A404" s="32">
        <v>370</v>
      </c>
      <c r="B404" s="32">
        <f t="shared" si="10"/>
        <v>41</v>
      </c>
      <c r="C404" s="32">
        <f t="shared" si="11"/>
        <v>1</v>
      </c>
      <c r="D404" s="38" t="str" cm="1">
        <f t="array" ref="D404">INDEX('Base-2'!$B$2:$J$100,1+B404,C404)</f>
        <v>* differential.element[42].id = "MinimalTreatmentSummary.diagnosis.progressionRelapseAfterEOT.majorSurgery.isFace"</v>
      </c>
    </row>
    <row r="405" spans="1:4" x14ac:dyDescent="0.75">
      <c r="A405" s="32">
        <v>371</v>
      </c>
      <c r="B405" s="32">
        <f t="shared" si="10"/>
        <v>41</v>
      </c>
      <c r="C405" s="32">
        <f t="shared" si="11"/>
        <v>2</v>
      </c>
      <c r="D405" s="38" t="str" cm="1">
        <f t="array" ref="D405">INDEX('Base-2'!$B$2:$J$100,1+B405,C405)</f>
        <v>* differential.element[42].path = "MinimalTreatmentSummary.diagnosis.progressionRelapseAfterEOT.majorSurgery.isFace"</v>
      </c>
    </row>
    <row r="406" spans="1:4" x14ac:dyDescent="0.75">
      <c r="A406" s="32">
        <v>372</v>
      </c>
      <c r="B406" s="32">
        <f t="shared" si="10"/>
        <v>41</v>
      </c>
      <c r="C406" s="32">
        <f t="shared" si="11"/>
        <v>3</v>
      </c>
      <c r="D406" s="38" t="str" cm="1">
        <f t="array" ref="D406">INDEX('Base-2'!$B$2:$J$100,1+B406,C406)</f>
        <v>* differential.element[42].short = "Face involved?"</v>
      </c>
    </row>
    <row r="407" spans="1:4" x14ac:dyDescent="0.75">
      <c r="A407" s="32">
        <v>373</v>
      </c>
      <c r="B407" s="32">
        <f t="shared" si="10"/>
        <v>41</v>
      </c>
      <c r="C407" s="32">
        <f t="shared" si="11"/>
        <v>4</v>
      </c>
      <c r="D407" s="38" t="str" cm="1">
        <f t="array" ref="D407">INDEX('Base-2'!$B$2:$J$100,1+B407,C407)</f>
        <v>* differential.element[42].definition = "Was the face involved in the surgery?"</v>
      </c>
    </row>
    <row r="408" spans="1:4" x14ac:dyDescent="0.75">
      <c r="A408" s="32">
        <v>374</v>
      </c>
      <c r="B408" s="32">
        <f t="shared" si="10"/>
        <v>41</v>
      </c>
      <c r="C408" s="32">
        <f t="shared" si="11"/>
        <v>5</v>
      </c>
      <c r="D408" s="38" t="str" cm="1">
        <f t="array" ref="D408">INDEX('Base-2'!$B$2:$J$100,1+B408,C408)</f>
        <v>* differential.element[42].min = 0</v>
      </c>
    </row>
    <row r="409" spans="1:4" x14ac:dyDescent="0.75">
      <c r="A409" s="32">
        <v>375</v>
      </c>
      <c r="B409" s="32">
        <f t="shared" si="10"/>
        <v>41</v>
      </c>
      <c r="C409" s="32">
        <f t="shared" si="11"/>
        <v>6</v>
      </c>
      <c r="D409" s="38" t="str" cm="1">
        <f t="array" ref="D409">INDEX('Base-2'!$B$2:$J$100,1+B409,C409)</f>
        <v>* differential.element[42].max = "1"</v>
      </c>
    </row>
    <row r="410" spans="1:4" x14ac:dyDescent="0.75">
      <c r="A410" s="32">
        <v>376</v>
      </c>
      <c r="B410" s="32">
        <f t="shared" si="10"/>
        <v>41</v>
      </c>
      <c r="C410" s="32">
        <f t="shared" si="11"/>
        <v>7</v>
      </c>
      <c r="D410" s="38" t="str" cm="1">
        <f t="array" ref="D410">INDEX('Base-2'!$B$2:$J$100,1+B410,C410)</f>
        <v>* differential.element[42].type.code = #CodeableConcept</v>
      </c>
    </row>
    <row r="411" spans="1:4" x14ac:dyDescent="0.75">
      <c r="A411" s="32">
        <v>377</v>
      </c>
      <c r="B411" s="32">
        <f t="shared" si="10"/>
        <v>41</v>
      </c>
      <c r="C411" s="32">
        <f t="shared" si="11"/>
        <v>8</v>
      </c>
      <c r="D411" s="38" t="str" cm="1">
        <f t="array" ref="D411">INDEX('Base-2'!$B$2:$J$100,1+B411,C411)</f>
        <v/>
      </c>
    </row>
    <row r="412" spans="1:4" x14ac:dyDescent="0.75">
      <c r="A412" s="32">
        <v>378</v>
      </c>
      <c r="B412" s="32">
        <f t="shared" si="10"/>
        <v>41</v>
      </c>
      <c r="C412" s="32">
        <f t="shared" si="11"/>
        <v>9</v>
      </c>
      <c r="D412" s="38" t="str" cm="1">
        <f t="array" ref="D412">INDEX('Base-2'!$B$2:$J$100,1+B412,C412)</f>
        <v/>
      </c>
    </row>
    <row r="413" spans="1:4" x14ac:dyDescent="0.75">
      <c r="A413" s="32">
        <v>379</v>
      </c>
      <c r="B413" s="32">
        <f t="shared" si="10"/>
        <v>42</v>
      </c>
      <c r="C413" s="32">
        <f t="shared" si="11"/>
        <v>1</v>
      </c>
      <c r="D413" s="38" t="str" cm="1">
        <f t="array" ref="D413">INDEX('Base-2'!$B$2:$J$100,1+B413,C413)</f>
        <v>* differential.element[43].id = "MinimalTreatmentSummary.diagnosis.progressionRelapseAfterEOT.majorSurgery.isLiver"</v>
      </c>
    </row>
    <row r="414" spans="1:4" x14ac:dyDescent="0.75">
      <c r="A414" s="32">
        <v>380</v>
      </c>
      <c r="B414" s="32">
        <f t="shared" si="10"/>
        <v>42</v>
      </c>
      <c r="C414" s="32">
        <f t="shared" si="11"/>
        <v>2</v>
      </c>
      <c r="D414" s="38" t="str" cm="1">
        <f t="array" ref="D414">INDEX('Base-2'!$B$2:$J$100,1+B414,C414)</f>
        <v>* differential.element[43].path = "MinimalTreatmentSummary.diagnosis.progressionRelapseAfterEOT.majorSurgery.isLiver"</v>
      </c>
    </row>
    <row r="415" spans="1:4" x14ac:dyDescent="0.75">
      <c r="A415" s="32">
        <v>381</v>
      </c>
      <c r="B415" s="32">
        <f t="shared" si="10"/>
        <v>42</v>
      </c>
      <c r="C415" s="32">
        <f t="shared" si="11"/>
        <v>3</v>
      </c>
      <c r="D415" s="38" t="str" cm="1">
        <f t="array" ref="D415">INDEX('Base-2'!$B$2:$J$100,1+B415,C415)</f>
        <v>* differential.element[43].short = "Liver involved?"</v>
      </c>
    </row>
    <row r="416" spans="1:4" x14ac:dyDescent="0.75">
      <c r="A416" s="32">
        <v>382</v>
      </c>
      <c r="B416" s="32">
        <f t="shared" si="10"/>
        <v>42</v>
      </c>
      <c r="C416" s="32">
        <f t="shared" si="11"/>
        <v>4</v>
      </c>
      <c r="D416" s="38" t="str" cm="1">
        <f t="array" ref="D416">INDEX('Base-2'!$B$2:$J$100,1+B416,C416)</f>
        <v>* differential.element[43].definition = "Was the liver involved in the surgery?"</v>
      </c>
    </row>
    <row r="417" spans="1:4" x14ac:dyDescent="0.75">
      <c r="A417" s="32">
        <v>383</v>
      </c>
      <c r="B417" s="32">
        <f t="shared" si="10"/>
        <v>42</v>
      </c>
      <c r="C417" s="32">
        <f t="shared" si="11"/>
        <v>5</v>
      </c>
      <c r="D417" s="38" t="str" cm="1">
        <f t="array" ref="D417">INDEX('Base-2'!$B$2:$J$100,1+B417,C417)</f>
        <v>* differential.element[43].min = 0</v>
      </c>
    </row>
    <row r="418" spans="1:4" x14ac:dyDescent="0.75">
      <c r="A418" s="32">
        <v>384</v>
      </c>
      <c r="B418" s="32">
        <f t="shared" si="10"/>
        <v>42</v>
      </c>
      <c r="C418" s="32">
        <f t="shared" si="11"/>
        <v>6</v>
      </c>
      <c r="D418" s="38" t="str" cm="1">
        <f t="array" ref="D418">INDEX('Base-2'!$B$2:$J$100,1+B418,C418)</f>
        <v>* differential.element[43].max = "1"</v>
      </c>
    </row>
    <row r="419" spans="1:4" x14ac:dyDescent="0.75">
      <c r="A419" s="32">
        <v>385</v>
      </c>
      <c r="B419" s="32">
        <f t="shared" si="10"/>
        <v>42</v>
      </c>
      <c r="C419" s="32">
        <f t="shared" si="11"/>
        <v>7</v>
      </c>
      <c r="D419" s="38" t="str" cm="1">
        <f t="array" ref="D419">INDEX('Base-2'!$B$2:$J$100,1+B419,C419)</f>
        <v>* differential.element[43].type.code = #CodeableConcept</v>
      </c>
    </row>
    <row r="420" spans="1:4" x14ac:dyDescent="0.75">
      <c r="A420" s="32">
        <v>386</v>
      </c>
      <c r="B420" s="32">
        <f t="shared" ref="B420:B450" si="12">IF(MOD(A420,$B$25)=0,A420/$B$25-1,INT(A420/$B$25))</f>
        <v>42</v>
      </c>
      <c r="C420" s="32">
        <f t="shared" ref="C420:C450" si="13">IF(MOD(A420,$B$25)=0,$B$25,MOD(A420,$B$25))</f>
        <v>8</v>
      </c>
      <c r="D420" s="38" t="str" cm="1">
        <f t="array" ref="D420">INDEX('Base-2'!$B$2:$J$100,1+B420,C420)</f>
        <v/>
      </c>
    </row>
    <row r="421" spans="1:4" x14ac:dyDescent="0.75">
      <c r="A421" s="32">
        <v>387</v>
      </c>
      <c r="B421" s="32">
        <f t="shared" si="12"/>
        <v>42</v>
      </c>
      <c r="C421" s="32">
        <f t="shared" si="13"/>
        <v>9</v>
      </c>
      <c r="D421" s="38" t="str" cm="1">
        <f t="array" ref="D421">INDEX('Base-2'!$B$2:$J$100,1+B421,C421)</f>
        <v/>
      </c>
    </row>
    <row r="422" spans="1:4" x14ac:dyDescent="0.75">
      <c r="A422" s="32">
        <v>388</v>
      </c>
      <c r="B422" s="32">
        <f t="shared" si="12"/>
        <v>43</v>
      </c>
      <c r="C422" s="32">
        <f t="shared" si="13"/>
        <v>1</v>
      </c>
      <c r="D422" s="38" t="str" cm="1">
        <f t="array" ref="D422">INDEX('Base-2'!$B$2:$J$100,1+B422,C422)</f>
        <v>* differential.element[44].id = "MinimalTreatmentSummary.diagnosis.progressionRelapseAfterEOT.majorSurgery.isSpine"</v>
      </c>
    </row>
    <row r="423" spans="1:4" x14ac:dyDescent="0.75">
      <c r="A423" s="32">
        <v>389</v>
      </c>
      <c r="B423" s="32">
        <f t="shared" si="12"/>
        <v>43</v>
      </c>
      <c r="C423" s="32">
        <f t="shared" si="13"/>
        <v>2</v>
      </c>
      <c r="D423" s="38" t="str" cm="1">
        <f t="array" ref="D423">INDEX('Base-2'!$B$2:$J$100,1+B423,C423)</f>
        <v>* differential.element[44].path = "MinimalTreatmentSummary.diagnosis.progressionRelapseAfterEOT.majorSurgery.isSpine"</v>
      </c>
    </row>
    <row r="424" spans="1:4" x14ac:dyDescent="0.75">
      <c r="A424" s="32">
        <v>390</v>
      </c>
      <c r="B424" s="32">
        <f t="shared" si="12"/>
        <v>43</v>
      </c>
      <c r="C424" s="32">
        <f t="shared" si="13"/>
        <v>3</v>
      </c>
      <c r="D424" s="38" t="str" cm="1">
        <f t="array" ref="D424">INDEX('Base-2'!$B$2:$J$100,1+B424,C424)</f>
        <v>* differential.element[44].short = "Spine involved?"</v>
      </c>
    </row>
    <row r="425" spans="1:4" x14ac:dyDescent="0.75">
      <c r="A425" s="32">
        <v>391</v>
      </c>
      <c r="B425" s="32">
        <f t="shared" si="12"/>
        <v>43</v>
      </c>
      <c r="C425" s="32">
        <f t="shared" si="13"/>
        <v>4</v>
      </c>
      <c r="D425" s="38" t="str" cm="1">
        <f t="array" ref="D425">INDEX('Base-2'!$B$2:$J$100,1+B425,C425)</f>
        <v>* differential.element[44].definition = "Was the spine involved in the surgery?"</v>
      </c>
    </row>
    <row r="426" spans="1:4" x14ac:dyDescent="0.75">
      <c r="A426" s="32">
        <v>392</v>
      </c>
      <c r="B426" s="32">
        <f t="shared" si="12"/>
        <v>43</v>
      </c>
      <c r="C426" s="32">
        <f t="shared" si="13"/>
        <v>5</v>
      </c>
      <c r="D426" s="38" t="str" cm="1">
        <f t="array" ref="D426">INDEX('Base-2'!$B$2:$J$100,1+B426,C426)</f>
        <v>* differential.element[44].min = 0</v>
      </c>
    </row>
    <row r="427" spans="1:4" x14ac:dyDescent="0.75">
      <c r="A427" s="32">
        <v>393</v>
      </c>
      <c r="B427" s="32">
        <f t="shared" si="12"/>
        <v>43</v>
      </c>
      <c r="C427" s="32">
        <f t="shared" si="13"/>
        <v>6</v>
      </c>
      <c r="D427" s="38" t="str" cm="1">
        <f t="array" ref="D427">INDEX('Base-2'!$B$2:$J$100,1+B427,C427)</f>
        <v>* differential.element[44].max = "1"</v>
      </c>
    </row>
    <row r="428" spans="1:4" x14ac:dyDescent="0.75">
      <c r="A428" s="32">
        <v>394</v>
      </c>
      <c r="B428" s="32">
        <f t="shared" si="12"/>
        <v>43</v>
      </c>
      <c r="C428" s="32">
        <f t="shared" si="13"/>
        <v>7</v>
      </c>
      <c r="D428" s="38" t="str" cm="1">
        <f t="array" ref="D428">INDEX('Base-2'!$B$2:$J$100,1+B428,C428)</f>
        <v>* differential.element[44].type.code = #CodeableConcept</v>
      </c>
    </row>
    <row r="429" spans="1:4" x14ac:dyDescent="0.75">
      <c r="A429" s="32">
        <v>395</v>
      </c>
      <c r="B429" s="32">
        <f t="shared" si="12"/>
        <v>43</v>
      </c>
      <c r="C429" s="32">
        <f t="shared" si="13"/>
        <v>8</v>
      </c>
      <c r="D429" s="38" t="str" cm="1">
        <f t="array" ref="D429">INDEX('Base-2'!$B$2:$J$100,1+B429,C429)</f>
        <v/>
      </c>
    </row>
    <row r="430" spans="1:4" x14ac:dyDescent="0.75">
      <c r="A430" s="32">
        <v>396</v>
      </c>
      <c r="B430" s="32">
        <f t="shared" si="12"/>
        <v>43</v>
      </c>
      <c r="C430" s="32">
        <f t="shared" si="13"/>
        <v>9</v>
      </c>
      <c r="D430" s="38" t="str" cm="1">
        <f t="array" ref="D430">INDEX('Base-2'!$B$2:$J$100,1+B430,C430)</f>
        <v/>
      </c>
    </row>
    <row r="431" spans="1:4" x14ac:dyDescent="0.75">
      <c r="A431" s="32">
        <v>397</v>
      </c>
      <c r="B431" s="32">
        <f t="shared" si="12"/>
        <v>44</v>
      </c>
      <c r="C431" s="32">
        <f t="shared" si="13"/>
        <v>1</v>
      </c>
      <c r="D431" s="38" t="str" cm="1">
        <f t="array" ref="D431">INDEX('Base-2'!$B$2:$J$100,1+B431,C431)</f>
        <v>* differential.element[45].id = "MinimalTreatmentSummary.diagnosis.progressionRelapseAfterEOT.majorSurgery.isSpinalCord"</v>
      </c>
    </row>
    <row r="432" spans="1:4" x14ac:dyDescent="0.75">
      <c r="A432" s="32">
        <v>398</v>
      </c>
      <c r="B432" s="32">
        <f t="shared" si="12"/>
        <v>44</v>
      </c>
      <c r="C432" s="32">
        <f t="shared" si="13"/>
        <v>2</v>
      </c>
      <c r="D432" s="38" t="str" cm="1">
        <f t="array" ref="D432">INDEX('Base-2'!$B$2:$J$100,1+B432,C432)</f>
        <v>* differential.element[45].path = "MinimalTreatmentSummary.diagnosis.progressionRelapseAfterEOT.majorSurgery.isSpinalCord"</v>
      </c>
    </row>
    <row r="433" spans="1:4" x14ac:dyDescent="0.75">
      <c r="A433" s="32">
        <v>399</v>
      </c>
      <c r="B433" s="32">
        <f t="shared" si="12"/>
        <v>44</v>
      </c>
      <c r="C433" s="32">
        <f t="shared" si="13"/>
        <v>3</v>
      </c>
      <c r="D433" s="38" t="str" cm="1">
        <f t="array" ref="D433">INDEX('Base-2'!$B$2:$J$100,1+B433,C433)</f>
        <v>* differential.element[45].short = "Spinal Cord involved?"</v>
      </c>
    </row>
    <row r="434" spans="1:4" ht="29.5" x14ac:dyDescent="0.75">
      <c r="A434" s="32">
        <v>400</v>
      </c>
      <c r="B434" s="32">
        <f t="shared" si="12"/>
        <v>44</v>
      </c>
      <c r="C434" s="32">
        <f t="shared" si="13"/>
        <v>4</v>
      </c>
      <c r="D434" s="38" t="str" cm="1">
        <f t="array" ref="D434">INDEX('Base-2'!$B$2:$J$100,1+B434,C434)</f>
        <v>* differential.element[45].definition = "Was the spinal cord involved in the surgery ?
"</v>
      </c>
    </row>
    <row r="435" spans="1:4" x14ac:dyDescent="0.75">
      <c r="A435" s="32">
        <v>401</v>
      </c>
      <c r="B435" s="32">
        <f t="shared" si="12"/>
        <v>44</v>
      </c>
      <c r="C435" s="32">
        <f t="shared" si="13"/>
        <v>5</v>
      </c>
      <c r="D435" s="38" t="str" cm="1">
        <f t="array" ref="D435">INDEX('Base-2'!$B$2:$J$100,1+B435,C435)</f>
        <v>* differential.element[45].min = 0</v>
      </c>
    </row>
    <row r="436" spans="1:4" x14ac:dyDescent="0.75">
      <c r="A436" s="32">
        <v>402</v>
      </c>
      <c r="B436" s="32">
        <f t="shared" si="12"/>
        <v>44</v>
      </c>
      <c r="C436" s="32">
        <f t="shared" si="13"/>
        <v>6</v>
      </c>
      <c r="D436" s="38" t="str" cm="1">
        <f t="array" ref="D436">INDEX('Base-2'!$B$2:$J$100,1+B436,C436)</f>
        <v>* differential.element[45].max = "1"</v>
      </c>
    </row>
    <row r="437" spans="1:4" x14ac:dyDescent="0.75">
      <c r="A437" s="32">
        <v>403</v>
      </c>
      <c r="B437" s="32">
        <f t="shared" si="12"/>
        <v>44</v>
      </c>
      <c r="C437" s="32">
        <f t="shared" si="13"/>
        <v>7</v>
      </c>
      <c r="D437" s="38" t="str" cm="1">
        <f t="array" ref="D437">INDEX('Base-2'!$B$2:$J$100,1+B437,C437)</f>
        <v>* differential.element[45].type.code = #CodeableConcept</v>
      </c>
    </row>
    <row r="438" spans="1:4" x14ac:dyDescent="0.75">
      <c r="A438" s="32">
        <v>404</v>
      </c>
      <c r="B438" s="32">
        <f t="shared" si="12"/>
        <v>44</v>
      </c>
      <c r="C438" s="32">
        <f t="shared" si="13"/>
        <v>8</v>
      </c>
      <c r="D438" s="38" t="str" cm="1">
        <f t="array" ref="D438">INDEX('Base-2'!$B$2:$J$100,1+B438,C438)</f>
        <v/>
      </c>
    </row>
    <row r="439" spans="1:4" x14ac:dyDescent="0.75">
      <c r="A439" s="32">
        <v>405</v>
      </c>
      <c r="B439" s="32">
        <f t="shared" si="12"/>
        <v>44</v>
      </c>
      <c r="C439" s="32">
        <f t="shared" si="13"/>
        <v>9</v>
      </c>
      <c r="D439" s="38" t="str" cm="1">
        <f t="array" ref="D439">INDEX('Base-2'!$B$2:$J$100,1+B439,C439)</f>
        <v/>
      </c>
    </row>
    <row r="440" spans="1:4" x14ac:dyDescent="0.75">
      <c r="A440" s="32">
        <v>406</v>
      </c>
      <c r="B440" s="32">
        <f t="shared" si="12"/>
        <v>45</v>
      </c>
      <c r="C440" s="32">
        <f t="shared" si="13"/>
        <v>1</v>
      </c>
      <c r="D440" s="38" t="str" cm="1">
        <f t="array" ref="D440">INDEX('Base-2'!$B$2:$J$100,1+B440,C440)</f>
        <v>* differential.element[46].id = "MinimalTreatmentSummary.diagnosis.progressionRelapseAfterEOT.majorSurgery.isSympatheticNerves"</v>
      </c>
    </row>
    <row r="441" spans="1:4" x14ac:dyDescent="0.75">
      <c r="A441" s="32">
        <v>407</v>
      </c>
      <c r="B441" s="32">
        <f t="shared" si="12"/>
        <v>45</v>
      </c>
      <c r="C441" s="32">
        <f t="shared" si="13"/>
        <v>2</v>
      </c>
      <c r="D441" s="38" t="str" cm="1">
        <f t="array" ref="D441">INDEX('Base-2'!$B$2:$J$100,1+B441,C441)</f>
        <v>* differential.element[46].path = "MinimalTreatmentSummary.diagnosis.progressionRelapseAfterEOT.majorSurgery.isSympatheticNerves"</v>
      </c>
    </row>
    <row r="442" spans="1:4" x14ac:dyDescent="0.75">
      <c r="A442" s="32">
        <v>408</v>
      </c>
      <c r="B442" s="32">
        <f t="shared" si="12"/>
        <v>45</v>
      </c>
      <c r="C442" s="32">
        <f t="shared" si="13"/>
        <v>3</v>
      </c>
      <c r="D442" s="38" t="str" cm="1">
        <f t="array" ref="D442">INDEX('Base-2'!$B$2:$J$100,1+B442,C442)</f>
        <v>* differential.element[46].short = "Sympathetic nerves involved?"</v>
      </c>
    </row>
    <row r="443" spans="1:4" x14ac:dyDescent="0.75">
      <c r="A443" s="32">
        <v>409</v>
      </c>
      <c r="B443" s="32">
        <f t="shared" si="12"/>
        <v>45</v>
      </c>
      <c r="C443" s="32">
        <f t="shared" si="13"/>
        <v>4</v>
      </c>
      <c r="D443" s="38" t="str" cm="1">
        <f t="array" ref="D443">INDEX('Base-2'!$B$2:$J$100,1+B443,C443)</f>
        <v>* differential.element[46].definition = "Were the sympathetic nerves involved in the surgery ?"</v>
      </c>
    </row>
    <row r="444" spans="1:4" x14ac:dyDescent="0.75">
      <c r="A444" s="32">
        <v>410</v>
      </c>
      <c r="B444" s="32">
        <f t="shared" si="12"/>
        <v>45</v>
      </c>
      <c r="C444" s="32">
        <f t="shared" si="13"/>
        <v>5</v>
      </c>
      <c r="D444" s="38" t="str" cm="1">
        <f t="array" ref="D444">INDEX('Base-2'!$B$2:$J$100,1+B444,C444)</f>
        <v>* differential.element[46].min = 0</v>
      </c>
    </row>
    <row r="445" spans="1:4" x14ac:dyDescent="0.75">
      <c r="A445" s="32">
        <v>411</v>
      </c>
      <c r="B445" s="32">
        <f t="shared" si="12"/>
        <v>45</v>
      </c>
      <c r="C445" s="32">
        <f t="shared" si="13"/>
        <v>6</v>
      </c>
      <c r="D445" s="38" t="str" cm="1">
        <f t="array" ref="D445">INDEX('Base-2'!$B$2:$J$100,1+B445,C445)</f>
        <v>* differential.element[46].max = "1"</v>
      </c>
    </row>
    <row r="446" spans="1:4" x14ac:dyDescent="0.75">
      <c r="A446" s="32">
        <v>412</v>
      </c>
      <c r="B446" s="32">
        <f t="shared" si="12"/>
        <v>45</v>
      </c>
      <c r="C446" s="32">
        <f t="shared" si="13"/>
        <v>7</v>
      </c>
      <c r="D446" s="38" t="str" cm="1">
        <f t="array" ref="D446">INDEX('Base-2'!$B$2:$J$100,1+B446,C446)</f>
        <v>* differential.element[46].type.code = #CodeableConcept</v>
      </c>
    </row>
    <row r="447" spans="1:4" x14ac:dyDescent="0.75">
      <c r="A447" s="32">
        <v>413</v>
      </c>
      <c r="B447" s="32">
        <f t="shared" si="12"/>
        <v>45</v>
      </c>
      <c r="C447" s="32">
        <f t="shared" si="13"/>
        <v>8</v>
      </c>
      <c r="D447" s="38" t="str" cm="1">
        <f t="array" ref="D447">INDEX('Base-2'!$B$2:$J$100,1+B447,C447)</f>
        <v/>
      </c>
    </row>
    <row r="448" spans="1:4" x14ac:dyDescent="0.75">
      <c r="A448" s="32">
        <v>414</v>
      </c>
      <c r="B448" s="32">
        <f t="shared" si="12"/>
        <v>45</v>
      </c>
      <c r="C448" s="32">
        <f t="shared" si="13"/>
        <v>9</v>
      </c>
      <c r="D448" s="38" t="str" cm="1">
        <f t="array" ref="D448">INDEX('Base-2'!$B$2:$J$100,1+B448,C448)</f>
        <v/>
      </c>
    </row>
    <row r="449" spans="1:4" x14ac:dyDescent="0.75">
      <c r="A449" s="32">
        <v>415</v>
      </c>
      <c r="B449" s="32">
        <f t="shared" si="12"/>
        <v>46</v>
      </c>
      <c r="C449" s="32">
        <f t="shared" si="13"/>
        <v>1</v>
      </c>
      <c r="D449" s="38" t="str" cm="1">
        <f t="array" ref="D449">INDEX('Base-2'!$B$2:$J$100,1+B449,C449)</f>
        <v>* differential.element[47].id = "MinimalTreatmentSummary.diagnosis.progressionRelapseAfterEOT.majorSurgery.isChestThorax"</v>
      </c>
    </row>
    <row r="450" spans="1:4" x14ac:dyDescent="0.75">
      <c r="A450" s="32">
        <v>416</v>
      </c>
      <c r="B450" s="32">
        <f t="shared" si="12"/>
        <v>46</v>
      </c>
      <c r="C450" s="32">
        <f t="shared" si="13"/>
        <v>2</v>
      </c>
      <c r="D450" s="38" t="str" cm="1">
        <f t="array" ref="D450">INDEX('Base-2'!$B$2:$J$100,1+B450,C450)</f>
        <v>* differential.element[47].path = "MinimalTreatmentSummary.diagnosis.progressionRelapseAfterEOT.majorSurgery.isChestThorax"</v>
      </c>
    </row>
    <row r="451" spans="1:4" x14ac:dyDescent="0.75">
      <c r="A451" s="32">
        <v>417</v>
      </c>
      <c r="B451" s="32">
        <f t="shared" ref="B451:B462" si="14">IF(MOD(A451,$B$25)=0,A451/$B$25-1,INT(A451/$B$25))</f>
        <v>46</v>
      </c>
      <c r="C451" s="32">
        <f t="shared" ref="C451:C462" si="15">IF(MOD(A451,$B$25)=0,$B$25,MOD(A451,$B$25))</f>
        <v>3</v>
      </c>
      <c r="D451" s="38" t="str" cm="1">
        <f t="array" ref="D451">INDEX('Base-2'!$B$2:$J$100,1+B451,C451)</f>
        <v>* differential.element[47].short = "Chest/thorax involved?"</v>
      </c>
    </row>
    <row r="452" spans="1:4" ht="29.5" x14ac:dyDescent="0.75">
      <c r="A452" s="32">
        <v>418</v>
      </c>
      <c r="B452" s="32">
        <f t="shared" si="14"/>
        <v>46</v>
      </c>
      <c r="C452" s="32">
        <f t="shared" si="15"/>
        <v>4</v>
      </c>
      <c r="D452" s="38" t="str" cm="1">
        <f t="array" ref="D452">INDEX('Base-2'!$B$2:$J$100,1+B452,C452)</f>
        <v>* differential.element[47].definition = "Was the chest or thorax involved in the surgery?
This does not include a central venous catheter (CVC)"</v>
      </c>
    </row>
    <row r="453" spans="1:4" x14ac:dyDescent="0.75">
      <c r="A453" s="32">
        <v>419</v>
      </c>
      <c r="B453" s="32">
        <f t="shared" si="14"/>
        <v>46</v>
      </c>
      <c r="C453" s="32">
        <f t="shared" si="15"/>
        <v>5</v>
      </c>
      <c r="D453" s="38" t="str" cm="1">
        <f t="array" ref="D453">INDEX('Base-2'!$B$2:$J$100,1+B453,C453)</f>
        <v>* differential.element[47].min = 0</v>
      </c>
    </row>
    <row r="454" spans="1:4" x14ac:dyDescent="0.75">
      <c r="A454" s="32">
        <v>420</v>
      </c>
      <c r="B454" s="32">
        <f t="shared" si="14"/>
        <v>46</v>
      </c>
      <c r="C454" s="32">
        <f t="shared" si="15"/>
        <v>6</v>
      </c>
      <c r="D454" s="38" t="str" cm="1">
        <f t="array" ref="D454">INDEX('Base-2'!$B$2:$J$100,1+B454,C454)</f>
        <v>* differential.element[47].max = "1"</v>
      </c>
    </row>
    <row r="455" spans="1:4" x14ac:dyDescent="0.75">
      <c r="A455" s="32">
        <v>421</v>
      </c>
      <c r="B455" s="32">
        <f t="shared" si="14"/>
        <v>46</v>
      </c>
      <c r="C455" s="32">
        <f t="shared" si="15"/>
        <v>7</v>
      </c>
      <c r="D455" s="38" t="str" cm="1">
        <f t="array" ref="D455">INDEX('Base-2'!$B$2:$J$100,1+B455,C455)</f>
        <v>* differential.element[47].type.code = #CodeableConcept</v>
      </c>
    </row>
    <row r="456" spans="1:4" x14ac:dyDescent="0.75">
      <c r="A456" s="32">
        <v>422</v>
      </c>
      <c r="B456" s="32">
        <f t="shared" si="14"/>
        <v>46</v>
      </c>
      <c r="C456" s="32">
        <f t="shared" si="15"/>
        <v>8</v>
      </c>
      <c r="D456" s="38" t="str" cm="1">
        <f t="array" ref="D456">INDEX('Base-2'!$B$2:$J$100,1+B456,C456)</f>
        <v/>
      </c>
    </row>
    <row r="457" spans="1:4" x14ac:dyDescent="0.75">
      <c r="A457" s="32">
        <v>423</v>
      </c>
      <c r="B457" s="32">
        <f t="shared" si="14"/>
        <v>46</v>
      </c>
      <c r="C457" s="32">
        <f t="shared" si="15"/>
        <v>9</v>
      </c>
      <c r="D457" s="38" t="str" cm="1">
        <f t="array" ref="D457">INDEX('Base-2'!$B$2:$J$100,1+B457,C457)</f>
        <v/>
      </c>
    </row>
    <row r="458" spans="1:4" x14ac:dyDescent="0.75">
      <c r="A458" s="32">
        <v>424</v>
      </c>
      <c r="B458" s="32">
        <f t="shared" si="14"/>
        <v>47</v>
      </c>
      <c r="C458" s="32">
        <f t="shared" si="15"/>
        <v>1</v>
      </c>
      <c r="D458" s="38" t="str" cm="1">
        <f t="array" ref="D458">INDEX('Base-2'!$B$2:$J$100,1+B458,C458)</f>
        <v>* differential.element[48].id = "MinimalTreatmentSummary.diagnosis.progressionRelapseAfterEOT.majorSurgery.isPelvis"</v>
      </c>
    </row>
    <row r="459" spans="1:4" x14ac:dyDescent="0.75">
      <c r="A459" s="32">
        <v>425</v>
      </c>
      <c r="B459" s="32">
        <f t="shared" si="14"/>
        <v>47</v>
      </c>
      <c r="C459" s="32">
        <f t="shared" si="15"/>
        <v>2</v>
      </c>
      <c r="D459" s="38" t="str" cm="1">
        <f t="array" ref="D459">INDEX('Base-2'!$B$2:$J$100,1+B459,C459)</f>
        <v>* differential.element[48].path = "MinimalTreatmentSummary.diagnosis.progressionRelapseAfterEOT.majorSurgery.isPelvis"</v>
      </c>
    </row>
    <row r="460" spans="1:4" x14ac:dyDescent="0.75">
      <c r="A460" s="32">
        <v>426</v>
      </c>
      <c r="B460" s="32">
        <f t="shared" si="14"/>
        <v>47</v>
      </c>
      <c r="C460" s="32">
        <f t="shared" si="15"/>
        <v>3</v>
      </c>
      <c r="D460" s="38" t="str" cm="1">
        <f t="array" ref="D460">INDEX('Base-2'!$B$2:$J$100,1+B460,C460)</f>
        <v>* differential.element[48].short = "Pelvis involved?"</v>
      </c>
    </row>
    <row r="461" spans="1:4" x14ac:dyDescent="0.75">
      <c r="A461" s="32">
        <v>427</v>
      </c>
      <c r="B461" s="32">
        <f t="shared" si="14"/>
        <v>47</v>
      </c>
      <c r="C461" s="32">
        <f t="shared" si="15"/>
        <v>4</v>
      </c>
      <c r="D461" s="38" t="str" cm="1">
        <f t="array" ref="D461">INDEX('Base-2'!$B$2:$J$100,1+B461,C461)</f>
        <v>* differential.element[48].definition = "Was the pelvis involved in the surgery ?"</v>
      </c>
    </row>
    <row r="462" spans="1:4" x14ac:dyDescent="0.75">
      <c r="A462" s="32">
        <v>428</v>
      </c>
      <c r="B462" s="32">
        <f t="shared" si="14"/>
        <v>47</v>
      </c>
      <c r="C462" s="32">
        <f t="shared" si="15"/>
        <v>5</v>
      </c>
      <c r="D462" s="38" t="str" cm="1">
        <f t="array" ref="D462">INDEX('Base-2'!$B$2:$J$100,1+B462,C462)</f>
        <v>* differential.element[48].min = 0</v>
      </c>
    </row>
    <row r="463" spans="1:4" x14ac:dyDescent="0.75">
      <c r="A463" s="32">
        <v>429</v>
      </c>
      <c r="B463" s="32">
        <f t="shared" ref="B463:B526" si="16">IF(MOD(A463,$B$25)=0,A463/$B$25-1,INT(A463/$B$25))</f>
        <v>47</v>
      </c>
      <c r="C463" s="32">
        <f t="shared" ref="C463:C526" si="17">IF(MOD(A463,$B$25)=0,$B$25,MOD(A463,$B$25))</f>
        <v>6</v>
      </c>
      <c r="D463" s="38" t="str" cm="1">
        <f t="array" ref="D463">INDEX('Base-2'!$B$2:$J$100,1+B463,C463)</f>
        <v>* differential.element[48].max = "1"</v>
      </c>
    </row>
    <row r="464" spans="1:4" x14ac:dyDescent="0.75">
      <c r="A464" s="32">
        <v>430</v>
      </c>
      <c r="B464" s="32">
        <f t="shared" si="16"/>
        <v>47</v>
      </c>
      <c r="C464" s="32">
        <f t="shared" si="17"/>
        <v>7</v>
      </c>
      <c r="D464" s="38" t="str" cm="1">
        <f t="array" ref="D464">INDEX('Base-2'!$B$2:$J$100,1+B464,C464)</f>
        <v>* differential.element[48].type.code = #CodeableConcept</v>
      </c>
    </row>
    <row r="465" spans="1:4" x14ac:dyDescent="0.75">
      <c r="A465" s="32">
        <v>431</v>
      </c>
      <c r="B465" s="32">
        <f t="shared" si="16"/>
        <v>47</v>
      </c>
      <c r="C465" s="32">
        <f t="shared" si="17"/>
        <v>8</v>
      </c>
      <c r="D465" s="38" t="str" cm="1">
        <f t="array" ref="D465">INDEX('Base-2'!$B$2:$J$100,1+B465,C465)</f>
        <v/>
      </c>
    </row>
    <row r="466" spans="1:4" x14ac:dyDescent="0.75">
      <c r="A466" s="32">
        <v>432</v>
      </c>
      <c r="B466" s="32">
        <f t="shared" si="16"/>
        <v>47</v>
      </c>
      <c r="C466" s="32">
        <f t="shared" si="17"/>
        <v>9</v>
      </c>
      <c r="D466" s="38" t="str" cm="1">
        <f t="array" ref="D466">INDEX('Base-2'!$B$2:$J$100,1+B466,C466)</f>
        <v/>
      </c>
    </row>
    <row r="467" spans="1:4" x14ac:dyDescent="0.75">
      <c r="A467" s="32">
        <v>433</v>
      </c>
      <c r="B467" s="32">
        <f t="shared" si="16"/>
        <v>48</v>
      </c>
      <c r="C467" s="32">
        <f t="shared" si="17"/>
        <v>1</v>
      </c>
      <c r="D467" s="38" t="str" cm="1">
        <f t="array" ref="D467">INDEX('Base-2'!$B$2:$J$100,1+B467,C467)</f>
        <v>* differential.element[49].id = "MinimalTreatmentSummary.diagnosis.progressionRelapseAfterEOT.majorSurgery.sacrifiedOrgans"</v>
      </c>
    </row>
    <row r="468" spans="1:4" x14ac:dyDescent="0.75">
      <c r="A468" s="32">
        <v>434</v>
      </c>
      <c r="B468" s="32">
        <f t="shared" si="16"/>
        <v>48</v>
      </c>
      <c r="C468" s="32">
        <f t="shared" si="17"/>
        <v>2</v>
      </c>
      <c r="D468" s="38" t="str" cm="1">
        <f t="array" ref="D468">INDEX('Base-2'!$B$2:$J$100,1+B468,C468)</f>
        <v>* differential.element[49].path = "MinimalTreatmentSummary.diagnosis.progressionRelapseAfterEOT.majorSurgery.sacrifiedOrgans"</v>
      </c>
    </row>
    <row r="469" spans="1:4" x14ac:dyDescent="0.75">
      <c r="A469" s="32">
        <v>435</v>
      </c>
      <c r="B469" s="32">
        <f t="shared" si="16"/>
        <v>48</v>
      </c>
      <c r="C469" s="32">
        <f t="shared" si="17"/>
        <v>3</v>
      </c>
      <c r="D469" s="38" t="str" cm="1">
        <f t="array" ref="D469">INDEX('Base-2'!$B$2:$J$100,1+B469,C469)</f>
        <v>* differential.element[49].short = "Sacrified Organs"</v>
      </c>
    </row>
    <row r="470" spans="1:4" ht="88.5" x14ac:dyDescent="0.75">
      <c r="A470" s="32">
        <v>436</v>
      </c>
      <c r="B470" s="32">
        <f t="shared" si="16"/>
        <v>48</v>
      </c>
      <c r="C470" s="32">
        <f t="shared" si="17"/>
        <v>4</v>
      </c>
      <c r="D470" s="38" t="str" cm="1">
        <f t="array" ref="D470">INDEX('Base-2'!$B$2:$J$100,1+B470,C470)</f>
        <v>* differential.element[49].definition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v>
      </c>
    </row>
    <row r="471" spans="1:4" x14ac:dyDescent="0.75">
      <c r="A471" s="32">
        <v>437</v>
      </c>
      <c r="B471" s="32">
        <f t="shared" si="16"/>
        <v>48</v>
      </c>
      <c r="C471" s="32">
        <f t="shared" si="17"/>
        <v>5</v>
      </c>
      <c r="D471" s="38" t="str" cm="1">
        <f t="array" ref="D471">INDEX('Base-2'!$B$2:$J$100,1+B471,C471)</f>
        <v>* differential.element[49].min = 0</v>
      </c>
    </row>
    <row r="472" spans="1:4" x14ac:dyDescent="0.75">
      <c r="A472" s="32">
        <v>438</v>
      </c>
      <c r="B472" s="32">
        <f t="shared" si="16"/>
        <v>48</v>
      </c>
      <c r="C472" s="32">
        <f t="shared" si="17"/>
        <v>6</v>
      </c>
      <c r="D472" s="38" t="str" cm="1">
        <f t="array" ref="D472">INDEX('Base-2'!$B$2:$J$100,1+B472,C472)</f>
        <v>* differential.element[49].max = "*"</v>
      </c>
    </row>
    <row r="473" spans="1:4" x14ac:dyDescent="0.75">
      <c r="A473" s="32">
        <v>439</v>
      </c>
      <c r="B473" s="32">
        <f t="shared" si="16"/>
        <v>48</v>
      </c>
      <c r="C473" s="32">
        <f t="shared" si="17"/>
        <v>7</v>
      </c>
      <c r="D473" s="38" t="str" cm="1">
        <f t="array" ref="D473">INDEX('Base-2'!$B$2:$J$100,1+B473,C473)</f>
        <v>* differential.element[49].type.code = #CodeableConcept</v>
      </c>
    </row>
    <row r="474" spans="1:4" x14ac:dyDescent="0.75">
      <c r="A474" s="32">
        <v>440</v>
      </c>
      <c r="B474" s="32">
        <f t="shared" si="16"/>
        <v>48</v>
      </c>
      <c r="C474" s="32">
        <f t="shared" si="17"/>
        <v>8</v>
      </c>
      <c r="D474" s="38" t="str" cm="1">
        <f t="array" ref="D474">INDEX('Base-2'!$B$2:$J$100,1+B474,C474)</f>
        <v/>
      </c>
    </row>
    <row r="475" spans="1:4" x14ac:dyDescent="0.75">
      <c r="A475" s="32">
        <v>441</v>
      </c>
      <c r="B475" s="32">
        <f t="shared" si="16"/>
        <v>48</v>
      </c>
      <c r="C475" s="32">
        <f t="shared" si="17"/>
        <v>9</v>
      </c>
      <c r="D475" s="38" t="str" cm="1">
        <f t="array" ref="D475">INDEX('Base-2'!$B$2:$J$100,1+B475,C475)</f>
        <v/>
      </c>
    </row>
    <row r="476" spans="1:4" x14ac:dyDescent="0.75">
      <c r="A476" s="32">
        <v>442</v>
      </c>
      <c r="B476" s="32">
        <f t="shared" si="16"/>
        <v>49</v>
      </c>
      <c r="C476" s="32">
        <f t="shared" si="17"/>
        <v>1</v>
      </c>
      <c r="D476" s="38" t="str" cm="1">
        <f t="array" ref="D476">INDEX('Base-2'!$B$2:$J$100,1+B476,C476)</f>
        <v>* differential.element[50].id = "MinimalTreatmentSummary.diagnosis.progressionRelapseAfterEOT.majorSurgery.shuntApplied"</v>
      </c>
    </row>
    <row r="477" spans="1:4" x14ac:dyDescent="0.75">
      <c r="A477" s="32">
        <v>443</v>
      </c>
      <c r="B477" s="32">
        <f t="shared" si="16"/>
        <v>49</v>
      </c>
      <c r="C477" s="32">
        <f t="shared" si="17"/>
        <v>2</v>
      </c>
      <c r="D477" s="38" t="str" cm="1">
        <f t="array" ref="D477">INDEX('Base-2'!$B$2:$J$100,1+B477,C477)</f>
        <v>* differential.element[50].path = "MinimalTreatmentSummary.diagnosis.progressionRelapseAfterEOT.majorSurgery.shuntApplied"</v>
      </c>
    </row>
    <row r="478" spans="1:4" x14ac:dyDescent="0.75">
      <c r="A478" s="32">
        <v>444</v>
      </c>
      <c r="B478" s="32">
        <f t="shared" si="16"/>
        <v>49</v>
      </c>
      <c r="C478" s="32">
        <f t="shared" si="17"/>
        <v>3</v>
      </c>
      <c r="D478" s="38" t="str" cm="1">
        <f t="array" ref="D478">INDEX('Base-2'!$B$2:$J$100,1+B478,C478)</f>
        <v>* differential.element[50].short = "Shunt application"</v>
      </c>
    </row>
    <row r="479" spans="1:4" ht="88.5" x14ac:dyDescent="0.75">
      <c r="A479" s="32">
        <v>445</v>
      </c>
      <c r="B479" s="32">
        <f t="shared" si="16"/>
        <v>49</v>
      </c>
      <c r="C479" s="32">
        <f t="shared" si="17"/>
        <v>4</v>
      </c>
      <c r="D479" s="38" t="str" cm="1">
        <f t="array" ref="D479">INDEX('Base-2'!$B$2:$J$100,1+B479,C479)</f>
        <v>* differential.element[50].definition = "Please report if a cerebrovascular shunt was inserted 
1 =&gt; Yes 
2 =&gt; No
 -9911 =&gt; NA
 -9922 =&gt; NK"</v>
      </c>
    </row>
    <row r="480" spans="1:4" x14ac:dyDescent="0.75">
      <c r="A480" s="32">
        <v>446</v>
      </c>
      <c r="B480" s="32">
        <f t="shared" si="16"/>
        <v>49</v>
      </c>
      <c r="C480" s="32">
        <f t="shared" si="17"/>
        <v>5</v>
      </c>
      <c r="D480" s="38" t="str" cm="1">
        <f t="array" ref="D480">INDEX('Base-2'!$B$2:$J$100,1+B480,C480)</f>
        <v>* differential.element[50].min = 0</v>
      </c>
    </row>
    <row r="481" spans="1:4" x14ac:dyDescent="0.75">
      <c r="A481" s="32">
        <v>447</v>
      </c>
      <c r="B481" s="32">
        <f t="shared" si="16"/>
        <v>49</v>
      </c>
      <c r="C481" s="32">
        <f t="shared" si="17"/>
        <v>6</v>
      </c>
      <c r="D481" s="38" t="str" cm="1">
        <f t="array" ref="D481">INDEX('Base-2'!$B$2:$J$100,1+B481,C481)</f>
        <v>* differential.element[50].max = "1"</v>
      </c>
    </row>
    <row r="482" spans="1:4" x14ac:dyDescent="0.75">
      <c r="A482" s="32">
        <v>448</v>
      </c>
      <c r="B482" s="32">
        <f t="shared" si="16"/>
        <v>49</v>
      </c>
      <c r="C482" s="32">
        <f t="shared" si="17"/>
        <v>7</v>
      </c>
      <c r="D482" s="38" t="str" cm="1">
        <f t="array" ref="D482">INDEX('Base-2'!$B$2:$J$100,1+B482,C482)</f>
        <v>* differential.element[50].type.code = #CodeableConcept</v>
      </c>
    </row>
    <row r="483" spans="1:4" x14ac:dyDescent="0.75">
      <c r="A483" s="32">
        <v>449</v>
      </c>
      <c r="B483" s="32">
        <f t="shared" si="16"/>
        <v>49</v>
      </c>
      <c r="C483" s="32">
        <f t="shared" si="17"/>
        <v>8</v>
      </c>
      <c r="D483" s="38" t="str" cm="1">
        <f t="array" ref="D483">INDEX('Base-2'!$B$2:$J$100,1+B483,C483)</f>
        <v/>
      </c>
    </row>
    <row r="484" spans="1:4" x14ac:dyDescent="0.75">
      <c r="A484" s="32">
        <v>450</v>
      </c>
      <c r="B484" s="32">
        <f t="shared" si="16"/>
        <v>49</v>
      </c>
      <c r="C484" s="32">
        <f t="shared" si="17"/>
        <v>9</v>
      </c>
      <c r="D484" s="38" t="str" cm="1">
        <f t="array" ref="D484">INDEX('Base-2'!$B$2:$J$100,1+B484,C484)</f>
        <v/>
      </c>
    </row>
    <row r="485" spans="1:4" x14ac:dyDescent="0.75">
      <c r="A485" s="32">
        <v>451</v>
      </c>
      <c r="B485" s="32">
        <f t="shared" si="16"/>
        <v>50</v>
      </c>
      <c r="C485" s="32">
        <f t="shared" si="17"/>
        <v>1</v>
      </c>
      <c r="D485" s="38" t="str" cm="1">
        <f t="array" ref="D485">INDEX('Base-2'!$B$2:$J$100,1+B485,C485)</f>
        <v>* differential.element[51].id = "MinimalTreatmentSummary.diagnosis.progressionRelapseAfterEOT.otherInfo"</v>
      </c>
    </row>
    <row r="486" spans="1:4" x14ac:dyDescent="0.75">
      <c r="A486" s="32">
        <v>452</v>
      </c>
      <c r="B486" s="32">
        <f t="shared" si="16"/>
        <v>50</v>
      </c>
      <c r="C486" s="32">
        <f t="shared" si="17"/>
        <v>2</v>
      </c>
      <c r="D486" s="38" t="str" cm="1">
        <f t="array" ref="D486">INDEX('Base-2'!$B$2:$J$100,1+B486,C486)</f>
        <v>* differential.element[51].path = "MinimalTreatmentSummary.diagnosis.progressionRelapseAfterEOT.otherInfo"</v>
      </c>
    </row>
    <row r="487" spans="1:4" x14ac:dyDescent="0.75">
      <c r="A487" s="32">
        <v>453</v>
      </c>
      <c r="B487" s="32">
        <f t="shared" si="16"/>
        <v>50</v>
      </c>
      <c r="C487" s="32">
        <f t="shared" si="17"/>
        <v>3</v>
      </c>
      <c r="D487" s="38" t="str" cm="1">
        <f t="array" ref="D487">INDEX('Base-2'!$B$2:$J$100,1+B487,C487)</f>
        <v>* differential.element[51].short = "Other info and relevant events"</v>
      </c>
    </row>
    <row r="488" spans="1:4" x14ac:dyDescent="0.75">
      <c r="A488" s="32">
        <v>454</v>
      </c>
      <c r="B488" s="32">
        <f t="shared" si="16"/>
        <v>50</v>
      </c>
      <c r="C488" s="32">
        <f t="shared" si="17"/>
        <v>4</v>
      </c>
      <c r="D488" s="38" t="str" cm="1">
        <f t="array" ref="D488">INDEX('Base-2'!$B$2:$J$100,1+B488,C488)</f>
        <v>* differential.element[51].definition = "Other info and relevant events"</v>
      </c>
    </row>
    <row r="489" spans="1:4" x14ac:dyDescent="0.75">
      <c r="A489" s="32">
        <v>455</v>
      </c>
      <c r="B489" s="32">
        <f t="shared" si="16"/>
        <v>50</v>
      </c>
      <c r="C489" s="32">
        <f t="shared" si="17"/>
        <v>5</v>
      </c>
      <c r="D489" s="38" t="str" cm="1">
        <f t="array" ref="D489">INDEX('Base-2'!$B$2:$J$100,1+B489,C489)</f>
        <v>* differential.element[51].min = 1</v>
      </c>
    </row>
    <row r="490" spans="1:4" x14ac:dyDescent="0.75">
      <c r="A490" s="32">
        <v>456</v>
      </c>
      <c r="B490" s="32">
        <f t="shared" si="16"/>
        <v>50</v>
      </c>
      <c r="C490" s="32">
        <f t="shared" si="17"/>
        <v>6</v>
      </c>
      <c r="D490" s="38" t="str" cm="1">
        <f t="array" ref="D490">INDEX('Base-2'!$B$2:$J$100,1+B490,C490)</f>
        <v>* differential.element[51].max = "1"</v>
      </c>
    </row>
    <row r="491" spans="1:4" x14ac:dyDescent="0.75">
      <c r="A491" s="32">
        <v>457</v>
      </c>
      <c r="B491" s="32">
        <f t="shared" si="16"/>
        <v>50</v>
      </c>
      <c r="C491" s="32">
        <f t="shared" si="17"/>
        <v>7</v>
      </c>
      <c r="D491" s="38" t="str" cm="1">
        <f t="array" ref="D491">INDEX('Base-2'!$B$2:$J$100,1+B491,C491)</f>
        <v>* differential.element[51].type.code = #BackboneElement</v>
      </c>
    </row>
    <row r="492" spans="1:4" x14ac:dyDescent="0.75">
      <c r="A492" s="32">
        <v>458</v>
      </c>
      <c r="B492" s="32">
        <f t="shared" si="16"/>
        <v>50</v>
      </c>
      <c r="C492" s="32">
        <f t="shared" si="17"/>
        <v>8</v>
      </c>
      <c r="D492" s="38" t="str" cm="1">
        <f t="array" ref="D492">INDEX('Base-2'!$B$2:$J$100,1+B492,C492)</f>
        <v/>
      </c>
    </row>
    <row r="493" spans="1:4" x14ac:dyDescent="0.75">
      <c r="A493" s="32">
        <v>459</v>
      </c>
      <c r="B493" s="32">
        <f t="shared" si="16"/>
        <v>50</v>
      </c>
      <c r="C493" s="32">
        <f t="shared" si="17"/>
        <v>9</v>
      </c>
      <c r="D493" s="38" t="str" cm="1">
        <f t="array" ref="D493">INDEX('Base-2'!$B$2:$J$100,1+B493,C493)</f>
        <v/>
      </c>
    </row>
    <row r="494" spans="1:4" x14ac:dyDescent="0.75">
      <c r="A494" s="32">
        <v>460</v>
      </c>
      <c r="B494" s="32">
        <f t="shared" si="16"/>
        <v>51</v>
      </c>
      <c r="C494" s="32">
        <f t="shared" si="17"/>
        <v>1</v>
      </c>
      <c r="D494" s="38" t="str" cm="1">
        <f t="array" ref="D494">INDEX('Base-2'!$B$2:$J$100,1+B494,C494)</f>
        <v>* differential.element[52].id = "MinimalTreatmentSummary.diagnosis.progressionRelapseAfterEOT.otherInfo.hypogonadal"</v>
      </c>
    </row>
    <row r="495" spans="1:4" x14ac:dyDescent="0.75">
      <c r="A495" s="32">
        <v>461</v>
      </c>
      <c r="B495" s="32">
        <f t="shared" si="16"/>
        <v>51</v>
      </c>
      <c r="C495" s="32">
        <f t="shared" si="17"/>
        <v>2</v>
      </c>
      <c r="D495" s="38" t="str" cm="1">
        <f t="array" ref="D495">INDEX('Base-2'!$B$2:$J$100,1+B495,C495)</f>
        <v>* differential.element[52].path = "MinimalTreatmentSummary.diagnosis.progressionRelapseAfterEOT.otherInfo.hypogonadal"</v>
      </c>
    </row>
    <row r="496" spans="1:4" x14ac:dyDescent="0.75">
      <c r="A496" s="32">
        <v>462</v>
      </c>
      <c r="B496" s="32">
        <f t="shared" si="16"/>
        <v>51</v>
      </c>
      <c r="C496" s="32">
        <f t="shared" si="17"/>
        <v>3</v>
      </c>
      <c r="D496" s="38" t="str" cm="1">
        <f t="array" ref="D496">INDEX('Base-2'!$B$2:$J$100,1+B496,C496)</f>
        <v>* differential.element[52].short = "Hypogonadal ?"</v>
      </c>
    </row>
    <row r="497" spans="1:4" ht="59" x14ac:dyDescent="0.75">
      <c r="A497" s="32">
        <v>463</v>
      </c>
      <c r="B497" s="32">
        <f t="shared" si="16"/>
        <v>51</v>
      </c>
      <c r="C497" s="32">
        <f t="shared" si="17"/>
        <v>4</v>
      </c>
      <c r="D497" s="38" t="str" cm="1">
        <f t="array" ref="D497">INDEX('Base-2'!$B$2:$J$100,1+B497,C497)</f>
        <v>* differential.element[52].definition = "Please specify if hypogonadal occured during therapy
1 =&gt; Yes
2 =&gt; No
-9922 =&gt; NK"</v>
      </c>
    </row>
    <row r="498" spans="1:4" x14ac:dyDescent="0.75">
      <c r="A498" s="32">
        <v>464</v>
      </c>
      <c r="B498" s="32">
        <f t="shared" si="16"/>
        <v>51</v>
      </c>
      <c r="C498" s="32">
        <f t="shared" si="17"/>
        <v>5</v>
      </c>
      <c r="D498" s="38" t="str" cm="1">
        <f t="array" ref="D498">INDEX('Base-2'!$B$2:$J$100,1+B498,C498)</f>
        <v>* differential.element[52].min = 0</v>
      </c>
    </row>
    <row r="499" spans="1:4" x14ac:dyDescent="0.75">
      <c r="A499" s="32">
        <v>465</v>
      </c>
      <c r="B499" s="32">
        <f t="shared" si="16"/>
        <v>51</v>
      </c>
      <c r="C499" s="32">
        <f t="shared" si="17"/>
        <v>6</v>
      </c>
      <c r="D499" s="38" t="str" cm="1">
        <f t="array" ref="D499">INDEX('Base-2'!$B$2:$J$100,1+B499,C499)</f>
        <v>* differential.element[52].max = "1"</v>
      </c>
    </row>
    <row r="500" spans="1:4" x14ac:dyDescent="0.75">
      <c r="A500" s="32">
        <v>466</v>
      </c>
      <c r="B500" s="32">
        <f t="shared" si="16"/>
        <v>51</v>
      </c>
      <c r="C500" s="32">
        <f t="shared" si="17"/>
        <v>7</v>
      </c>
      <c r="D500" s="38" t="str" cm="1">
        <f t="array" ref="D500">INDEX('Base-2'!$B$2:$J$100,1+B500,C500)</f>
        <v>* differential.element[52].type.code = #CodeableConcept</v>
      </c>
    </row>
    <row r="501" spans="1:4" x14ac:dyDescent="0.75">
      <c r="A501" s="32">
        <v>467</v>
      </c>
      <c r="B501" s="32">
        <f t="shared" si="16"/>
        <v>51</v>
      </c>
      <c r="C501" s="32">
        <f t="shared" si="17"/>
        <v>8</v>
      </c>
      <c r="D501" s="38" t="str" cm="1">
        <f t="array" ref="D501">INDEX('Base-2'!$B$2:$J$100,1+B501,C501)</f>
        <v/>
      </c>
    </row>
    <row r="502" spans="1:4" x14ac:dyDescent="0.75">
      <c r="A502" s="32">
        <v>468</v>
      </c>
      <c r="B502" s="32">
        <f t="shared" si="16"/>
        <v>51</v>
      </c>
      <c r="C502" s="32">
        <f t="shared" si="17"/>
        <v>9</v>
      </c>
      <c r="D502" s="38" t="str" cm="1">
        <f t="array" ref="D502">INDEX('Base-2'!$B$2:$J$100,1+B502,C502)</f>
        <v/>
      </c>
    </row>
    <row r="503" spans="1:4" x14ac:dyDescent="0.75">
      <c r="A503" s="32">
        <v>469</v>
      </c>
      <c r="B503" s="32">
        <f t="shared" si="16"/>
        <v>52</v>
      </c>
      <c r="C503" s="32">
        <f t="shared" si="17"/>
        <v>1</v>
      </c>
      <c r="D503" s="38" t="str" cm="1">
        <f t="array" ref="D503">INDEX('Base-2'!$B$2:$J$100,1+B503,C503)</f>
        <v>* differential.element[53].id = "MinimalTreatmentSummary.diagnosis.progressionRelapseAfterEOT.otherInfo.growthHormoneDeficiency"</v>
      </c>
    </row>
    <row r="504" spans="1:4" x14ac:dyDescent="0.75">
      <c r="A504" s="32">
        <v>470</v>
      </c>
      <c r="B504" s="32">
        <f t="shared" si="16"/>
        <v>52</v>
      </c>
      <c r="C504" s="32">
        <f t="shared" si="17"/>
        <v>2</v>
      </c>
      <c r="D504" s="38" t="str" cm="1">
        <f t="array" ref="D504">INDEX('Base-2'!$B$2:$J$100,1+B504,C504)</f>
        <v>* differential.element[53].path = "MinimalTreatmentSummary.diagnosis.progressionRelapseAfterEOT.otherInfo.growthHormoneDeficiency"</v>
      </c>
    </row>
    <row r="505" spans="1:4" x14ac:dyDescent="0.75">
      <c r="A505" s="32">
        <v>471</v>
      </c>
      <c r="B505" s="32">
        <f t="shared" si="16"/>
        <v>52</v>
      </c>
      <c r="C505" s="32">
        <f t="shared" si="17"/>
        <v>3</v>
      </c>
      <c r="D505" s="38" t="str" cm="1">
        <f t="array" ref="D505">INDEX('Base-2'!$B$2:$J$100,1+B505,C505)</f>
        <v>* differential.element[53].short = "Growth hormone deficiency ?"</v>
      </c>
    </row>
    <row r="506" spans="1:4" x14ac:dyDescent="0.75">
      <c r="A506" s="32">
        <v>472</v>
      </c>
      <c r="B506" s="32">
        <f t="shared" si="16"/>
        <v>52</v>
      </c>
      <c r="C506" s="32">
        <f t="shared" si="17"/>
        <v>4</v>
      </c>
      <c r="D506" s="38" t="str" cm="1">
        <f t="array" ref="D506">INDEX('Base-2'!$B$2:$J$100,1+B506,C506)</f>
        <v>* differential.element[53].definition = "Please specify if growth hormon deficiency occured during therapy"</v>
      </c>
    </row>
    <row r="507" spans="1:4" x14ac:dyDescent="0.75">
      <c r="A507" s="32">
        <v>473</v>
      </c>
      <c r="B507" s="32">
        <f t="shared" si="16"/>
        <v>52</v>
      </c>
      <c r="C507" s="32">
        <f t="shared" si="17"/>
        <v>5</v>
      </c>
      <c r="D507" s="38" t="str" cm="1">
        <f t="array" ref="D507">INDEX('Base-2'!$B$2:$J$100,1+B507,C507)</f>
        <v>* differential.element[53].min = 0</v>
      </c>
    </row>
    <row r="508" spans="1:4" x14ac:dyDescent="0.75">
      <c r="A508" s="32">
        <v>474</v>
      </c>
      <c r="B508" s="32">
        <f t="shared" si="16"/>
        <v>52</v>
      </c>
      <c r="C508" s="32">
        <f t="shared" si="17"/>
        <v>6</v>
      </c>
      <c r="D508" s="38" t="str" cm="1">
        <f t="array" ref="D508">INDEX('Base-2'!$B$2:$J$100,1+B508,C508)</f>
        <v>* differential.element[53].max = "1"</v>
      </c>
    </row>
    <row r="509" spans="1:4" x14ac:dyDescent="0.75">
      <c r="A509" s="32">
        <v>475</v>
      </c>
      <c r="B509" s="32">
        <f t="shared" si="16"/>
        <v>52</v>
      </c>
      <c r="C509" s="32">
        <f t="shared" si="17"/>
        <v>7</v>
      </c>
      <c r="D509" s="38" t="str" cm="1">
        <f t="array" ref="D509">INDEX('Base-2'!$B$2:$J$100,1+B509,C509)</f>
        <v>* differential.element[53].type.code = #CodeableConcept</v>
      </c>
    </row>
    <row r="510" spans="1:4" x14ac:dyDescent="0.75">
      <c r="A510" s="32">
        <v>476</v>
      </c>
      <c r="B510" s="32">
        <f t="shared" si="16"/>
        <v>52</v>
      </c>
      <c r="C510" s="32">
        <f t="shared" si="17"/>
        <v>8</v>
      </c>
      <c r="D510" s="38" t="str" cm="1">
        <f t="array" ref="D510">INDEX('Base-2'!$B$2:$J$100,1+B510,C510)</f>
        <v/>
      </c>
    </row>
    <row r="511" spans="1:4" x14ac:dyDescent="0.75">
      <c r="A511" s="32">
        <v>477</v>
      </c>
      <c r="B511" s="32">
        <f t="shared" si="16"/>
        <v>52</v>
      </c>
      <c r="C511" s="32">
        <f t="shared" si="17"/>
        <v>9</v>
      </c>
      <c r="D511" s="38" t="str" cm="1">
        <f t="array" ref="D511">INDEX('Base-2'!$B$2:$J$100,1+B511,C511)</f>
        <v/>
      </c>
    </row>
    <row r="512" spans="1:4" x14ac:dyDescent="0.75">
      <c r="A512" s="32">
        <v>478</v>
      </c>
      <c r="B512" s="32">
        <f t="shared" si="16"/>
        <v>53</v>
      </c>
      <c r="C512" s="32">
        <f t="shared" si="17"/>
        <v>1</v>
      </c>
      <c r="D512" s="38" t="str" cm="1">
        <f t="array" ref="D512">INDEX('Base-2'!$B$2:$J$100,1+B512,C512)</f>
        <v>* differential.element[54].id = "MinimalTreatmentSummary.diagnosis.progressionRelapseAfterEOT.otherInfo.hydrocephalus"</v>
      </c>
    </row>
    <row r="513" spans="1:4" x14ac:dyDescent="0.75">
      <c r="A513" s="32">
        <v>479</v>
      </c>
      <c r="B513" s="32">
        <f t="shared" si="16"/>
        <v>53</v>
      </c>
      <c r="C513" s="32">
        <f t="shared" si="17"/>
        <v>2</v>
      </c>
      <c r="D513" s="38" t="str" cm="1">
        <f t="array" ref="D513">INDEX('Base-2'!$B$2:$J$100,1+B513,C513)</f>
        <v>* differential.element[54].path = "MinimalTreatmentSummary.diagnosis.progressionRelapseAfterEOT.otherInfo.hydrocephalus"</v>
      </c>
    </row>
    <row r="514" spans="1:4" x14ac:dyDescent="0.75">
      <c r="A514" s="32">
        <v>480</v>
      </c>
      <c r="B514" s="32">
        <f t="shared" si="16"/>
        <v>53</v>
      </c>
      <c r="C514" s="32">
        <f t="shared" si="17"/>
        <v>3</v>
      </c>
      <c r="D514" s="38" t="str" cm="1">
        <f t="array" ref="D514">INDEX('Base-2'!$B$2:$J$100,1+B514,C514)</f>
        <v>* differential.element[54].short = "Hydrocephalus ?"</v>
      </c>
    </row>
    <row r="515" spans="1:4" x14ac:dyDescent="0.75">
      <c r="A515" s="32">
        <v>481</v>
      </c>
      <c r="B515" s="32">
        <f t="shared" si="16"/>
        <v>53</v>
      </c>
      <c r="C515" s="32">
        <f t="shared" si="17"/>
        <v>4</v>
      </c>
      <c r="D515" s="38" t="str" cm="1">
        <f t="array" ref="D515">INDEX('Base-2'!$B$2:$J$100,1+B515,C515)</f>
        <v>* differential.element[54].definition = "Please specify if hydrocephalus occured during therapy"</v>
      </c>
    </row>
    <row r="516" spans="1:4" x14ac:dyDescent="0.75">
      <c r="A516" s="32">
        <v>482</v>
      </c>
      <c r="B516" s="32">
        <f t="shared" si="16"/>
        <v>53</v>
      </c>
      <c r="C516" s="32">
        <f t="shared" si="17"/>
        <v>5</v>
      </c>
      <c r="D516" s="38" t="str" cm="1">
        <f t="array" ref="D516">INDEX('Base-2'!$B$2:$J$100,1+B516,C516)</f>
        <v>* differential.element[54].min = 0</v>
      </c>
    </row>
    <row r="517" spans="1:4" x14ac:dyDescent="0.75">
      <c r="A517" s="32">
        <v>483</v>
      </c>
      <c r="B517" s="32">
        <f t="shared" si="16"/>
        <v>53</v>
      </c>
      <c r="C517" s="32">
        <f t="shared" si="17"/>
        <v>6</v>
      </c>
      <c r="D517" s="38" t="str" cm="1">
        <f t="array" ref="D517">INDEX('Base-2'!$B$2:$J$100,1+B517,C517)</f>
        <v>* differential.element[54].max = "1"</v>
      </c>
    </row>
    <row r="518" spans="1:4" x14ac:dyDescent="0.75">
      <c r="A518" s="32">
        <v>484</v>
      </c>
      <c r="B518" s="32">
        <f t="shared" si="16"/>
        <v>53</v>
      </c>
      <c r="C518" s="32">
        <f t="shared" si="17"/>
        <v>7</v>
      </c>
      <c r="D518" s="38" t="str" cm="1">
        <f t="array" ref="D518">INDEX('Base-2'!$B$2:$J$100,1+B518,C518)</f>
        <v>* differential.element[54].type.code = #CodeableConcept</v>
      </c>
    </row>
    <row r="519" spans="1:4" x14ac:dyDescent="0.75">
      <c r="A519" s="32">
        <v>485</v>
      </c>
      <c r="B519" s="32">
        <f t="shared" si="16"/>
        <v>53</v>
      </c>
      <c r="C519" s="32">
        <f t="shared" si="17"/>
        <v>8</v>
      </c>
      <c r="D519" s="38" t="str" cm="1">
        <f t="array" ref="D519">INDEX('Base-2'!$B$2:$J$100,1+B519,C519)</f>
        <v/>
      </c>
    </row>
    <row r="520" spans="1:4" x14ac:dyDescent="0.75">
      <c r="A520" s="32">
        <v>486</v>
      </c>
      <c r="B520" s="32">
        <f t="shared" si="16"/>
        <v>53</v>
      </c>
      <c r="C520" s="32">
        <f t="shared" si="17"/>
        <v>9</v>
      </c>
      <c r="D520" s="38" t="str" cm="1">
        <f t="array" ref="D520">INDEX('Base-2'!$B$2:$J$100,1+B520,C520)</f>
        <v/>
      </c>
    </row>
    <row r="521" spans="1:4" x14ac:dyDescent="0.75">
      <c r="A521" s="32">
        <v>487</v>
      </c>
      <c r="B521" s="32">
        <f t="shared" si="16"/>
        <v>54</v>
      </c>
      <c r="C521" s="32">
        <f t="shared" si="17"/>
        <v>1</v>
      </c>
      <c r="D521" s="38" t="str" cm="1">
        <f t="array" ref="D521">INDEX('Base-2'!$B$2:$J$100,1+B521,C521)</f>
        <v>* differential.element[55].id = "MinimalTreatmentSummary.diagnosis.progressionRelapseAfterEOT.otherInfo.chronicViralHepatitis"</v>
      </c>
    </row>
    <row r="522" spans="1:4" x14ac:dyDescent="0.75">
      <c r="A522" s="32">
        <v>488</v>
      </c>
      <c r="B522" s="32">
        <f t="shared" si="16"/>
        <v>54</v>
      </c>
      <c r="C522" s="32">
        <f t="shared" si="17"/>
        <v>2</v>
      </c>
      <c r="D522" s="38" t="str" cm="1">
        <f t="array" ref="D522">INDEX('Base-2'!$B$2:$J$100,1+B522,C522)</f>
        <v>* differential.element[55].path = "MinimalTreatmentSummary.diagnosis.progressionRelapseAfterEOT.otherInfo.chronicViralHepatitis"</v>
      </c>
    </row>
    <row r="523" spans="1:4" x14ac:dyDescent="0.75">
      <c r="A523" s="32">
        <v>489</v>
      </c>
      <c r="B523" s="32">
        <f t="shared" si="16"/>
        <v>54</v>
      </c>
      <c r="C523" s="32">
        <f t="shared" si="17"/>
        <v>3</v>
      </c>
      <c r="D523" s="38" t="str" cm="1">
        <f t="array" ref="D523">INDEX('Base-2'!$B$2:$J$100,1+B523,C523)</f>
        <v>* differential.element[55].short = "Chronic viral hepatitis ?"</v>
      </c>
    </row>
    <row r="524" spans="1:4" x14ac:dyDescent="0.75">
      <c r="A524" s="32">
        <v>490</v>
      </c>
      <c r="B524" s="32">
        <f t="shared" si="16"/>
        <v>54</v>
      </c>
      <c r="C524" s="32">
        <f t="shared" si="17"/>
        <v>4</v>
      </c>
      <c r="D524" s="38" t="str" cm="1">
        <f t="array" ref="D524">INDEX('Base-2'!$B$2:$J$100,1+B524,C524)</f>
        <v>* differential.element[55].definition = "Please specify if chronic viral hepatitis occured during therapy"</v>
      </c>
    </row>
    <row r="525" spans="1:4" x14ac:dyDescent="0.75">
      <c r="A525" s="32">
        <v>491</v>
      </c>
      <c r="B525" s="32">
        <f t="shared" si="16"/>
        <v>54</v>
      </c>
      <c r="C525" s="32">
        <f t="shared" si="17"/>
        <v>5</v>
      </c>
      <c r="D525" s="38" t="str" cm="1">
        <f t="array" ref="D525">INDEX('Base-2'!$B$2:$J$100,1+B525,C525)</f>
        <v>* differential.element[55].min = 0</v>
      </c>
    </row>
    <row r="526" spans="1:4" x14ac:dyDescent="0.75">
      <c r="A526" s="32">
        <v>492</v>
      </c>
      <c r="B526" s="32">
        <f t="shared" si="16"/>
        <v>54</v>
      </c>
      <c r="C526" s="32">
        <f t="shared" si="17"/>
        <v>6</v>
      </c>
      <c r="D526" s="38" t="str" cm="1">
        <f t="array" ref="D526">INDEX('Base-2'!$B$2:$J$100,1+B526,C526)</f>
        <v>* differential.element[55].max = "1"</v>
      </c>
    </row>
    <row r="527" spans="1:4" x14ac:dyDescent="0.75">
      <c r="A527" s="32">
        <v>493</v>
      </c>
      <c r="B527" s="32">
        <f t="shared" ref="B527:B583" si="18">IF(MOD(A527,$B$25)=0,A527/$B$25-1,INT(A527/$B$25))</f>
        <v>54</v>
      </c>
      <c r="C527" s="32">
        <f t="shared" ref="C527:C583" si="19">IF(MOD(A527,$B$25)=0,$B$25,MOD(A527,$B$25))</f>
        <v>7</v>
      </c>
      <c r="D527" s="38" t="str" cm="1">
        <f t="array" ref="D527">INDEX('Base-2'!$B$2:$J$100,1+B527,C527)</f>
        <v>* differential.element[55].type.code = #CodeableConcept</v>
      </c>
    </row>
    <row r="528" spans="1:4" x14ac:dyDescent="0.75">
      <c r="A528" s="32">
        <v>494</v>
      </c>
      <c r="B528" s="32">
        <f t="shared" si="18"/>
        <v>54</v>
      </c>
      <c r="C528" s="32">
        <f t="shared" si="19"/>
        <v>8</v>
      </c>
      <c r="D528" s="38" t="str" cm="1">
        <f t="array" ref="D528">INDEX('Base-2'!$B$2:$J$100,1+B528,C528)</f>
        <v/>
      </c>
    </row>
    <row r="529" spans="1:4" x14ac:dyDescent="0.75">
      <c r="A529" s="32">
        <v>495</v>
      </c>
      <c r="B529" s="32">
        <f t="shared" si="18"/>
        <v>54</v>
      </c>
      <c r="C529" s="32">
        <f t="shared" si="19"/>
        <v>9</v>
      </c>
      <c r="D529" s="38" t="str" cm="1">
        <f t="array" ref="D529">INDEX('Base-2'!$B$2:$J$100,1+B529,C529)</f>
        <v/>
      </c>
    </row>
    <row r="530" spans="1:4" x14ac:dyDescent="0.75">
      <c r="A530" s="32">
        <v>496</v>
      </c>
      <c r="B530" s="32">
        <f t="shared" si="18"/>
        <v>55</v>
      </c>
      <c r="C530" s="32">
        <f t="shared" si="19"/>
        <v>1</v>
      </c>
      <c r="D530" s="38" t="str" cm="1">
        <f t="array" ref="D530">INDEX('Base-2'!$B$2:$J$100,1+B530,C530)</f>
        <v>* differential.element[56].id = "MinimalTreatmentSummary.diagnosis.progressionRelapseAfterEOT.otherInfo.sinusoidalObstructionSyndrome"</v>
      </c>
    </row>
    <row r="531" spans="1:4" x14ac:dyDescent="0.75">
      <c r="A531" s="32">
        <v>497</v>
      </c>
      <c r="B531" s="32">
        <f t="shared" si="18"/>
        <v>55</v>
      </c>
      <c r="C531" s="32">
        <f t="shared" si="19"/>
        <v>2</v>
      </c>
      <c r="D531" s="38" t="str" cm="1">
        <f t="array" ref="D531">INDEX('Base-2'!$B$2:$J$100,1+B531,C531)</f>
        <v>* differential.element[56].path = "MinimalTreatmentSummary.diagnosis.progressionRelapseAfterEOT.otherInfo.sinusoidalObstructionSyndrome"</v>
      </c>
    </row>
    <row r="532" spans="1:4" x14ac:dyDescent="0.75">
      <c r="A532" s="32">
        <v>498</v>
      </c>
      <c r="B532" s="32">
        <f t="shared" si="18"/>
        <v>55</v>
      </c>
      <c r="C532" s="32">
        <f t="shared" si="19"/>
        <v>3</v>
      </c>
      <c r="D532" s="38" t="str" cm="1">
        <f t="array" ref="D532">INDEX('Base-2'!$B$2:$J$100,1+B532,C532)</f>
        <v>* differential.element[56].short = "Sinusoidal obstruction syndrome ?"</v>
      </c>
    </row>
    <row r="533" spans="1:4" x14ac:dyDescent="0.75">
      <c r="A533" s="32">
        <v>499</v>
      </c>
      <c r="B533" s="32">
        <f t="shared" si="18"/>
        <v>55</v>
      </c>
      <c r="C533" s="32">
        <f t="shared" si="19"/>
        <v>4</v>
      </c>
      <c r="D533" s="38" t="str" cm="1">
        <f t="array" ref="D533">INDEX('Base-2'!$B$2:$J$100,1+B533,C533)</f>
        <v>* differential.element[56].definition = "Please specify if sinusoidal obstruction syndrome occuredduring therapy"</v>
      </c>
    </row>
    <row r="534" spans="1:4" x14ac:dyDescent="0.75">
      <c r="A534" s="32">
        <v>500</v>
      </c>
      <c r="B534" s="32">
        <f t="shared" si="18"/>
        <v>55</v>
      </c>
      <c r="C534" s="32">
        <f t="shared" si="19"/>
        <v>5</v>
      </c>
      <c r="D534" s="38" t="str" cm="1">
        <f t="array" ref="D534">INDEX('Base-2'!$B$2:$J$100,1+B534,C534)</f>
        <v>* differential.element[56].min = 0</v>
      </c>
    </row>
    <row r="535" spans="1:4" x14ac:dyDescent="0.75">
      <c r="A535" s="32">
        <v>501</v>
      </c>
      <c r="B535" s="32">
        <f t="shared" si="18"/>
        <v>55</v>
      </c>
      <c r="C535" s="32">
        <f t="shared" si="19"/>
        <v>6</v>
      </c>
      <c r="D535" s="38" t="str" cm="1">
        <f t="array" ref="D535">INDEX('Base-2'!$B$2:$J$100,1+B535,C535)</f>
        <v>* differential.element[56].max = "1"</v>
      </c>
    </row>
    <row r="536" spans="1:4" x14ac:dyDescent="0.75">
      <c r="A536" s="32">
        <v>502</v>
      </c>
      <c r="B536" s="32">
        <f t="shared" si="18"/>
        <v>55</v>
      </c>
      <c r="C536" s="32">
        <f t="shared" si="19"/>
        <v>7</v>
      </c>
      <c r="D536" s="38" t="str" cm="1">
        <f t="array" ref="D536">INDEX('Base-2'!$B$2:$J$100,1+B536,C536)</f>
        <v>* differential.element[56].type.code = #CodeableConcept</v>
      </c>
    </row>
    <row r="537" spans="1:4" x14ac:dyDescent="0.75">
      <c r="A537" s="32">
        <v>503</v>
      </c>
      <c r="B537" s="32">
        <f t="shared" si="18"/>
        <v>55</v>
      </c>
      <c r="C537" s="32">
        <f t="shared" si="19"/>
        <v>8</v>
      </c>
      <c r="D537" s="38" t="str" cm="1">
        <f t="array" ref="D537">INDEX('Base-2'!$B$2:$J$100,1+B537,C537)</f>
        <v/>
      </c>
    </row>
    <row r="538" spans="1:4" x14ac:dyDescent="0.75">
      <c r="A538" s="32">
        <v>504</v>
      </c>
      <c r="B538" s="32">
        <f t="shared" si="18"/>
        <v>55</v>
      </c>
      <c r="C538" s="32">
        <f t="shared" si="19"/>
        <v>9</v>
      </c>
      <c r="D538" s="38" t="str" cm="1">
        <f t="array" ref="D538">INDEX('Base-2'!$B$2:$J$100,1+B538,C538)</f>
        <v/>
      </c>
    </row>
    <row r="539" spans="1:4" x14ac:dyDescent="0.75">
      <c r="A539" s="32">
        <v>505</v>
      </c>
      <c r="B539" s="32">
        <f t="shared" si="18"/>
        <v>56</v>
      </c>
      <c r="C539" s="32">
        <f t="shared" si="19"/>
        <v>1</v>
      </c>
      <c r="D539" s="38" t="str" cm="1">
        <f t="array" ref="D539">INDEX('Base-2'!$B$2:$J$100,1+B539,C539)</f>
        <v>* differential.element[57].id = "MinimalTreatmentSummary.diagnosis.progressionRelapseAfterEOT.otherInfo.moreOf10Transfusions"</v>
      </c>
    </row>
    <row r="540" spans="1:4" x14ac:dyDescent="0.75">
      <c r="A540" s="32">
        <v>506</v>
      </c>
      <c r="B540" s="32">
        <f t="shared" si="18"/>
        <v>56</v>
      </c>
      <c r="C540" s="32">
        <f t="shared" si="19"/>
        <v>2</v>
      </c>
      <c r="D540" s="38" t="str" cm="1">
        <f t="array" ref="D540">INDEX('Base-2'!$B$2:$J$100,1+B540,C540)</f>
        <v>* differential.element[57].path = "MinimalTreatmentSummary.diagnosis.progressionRelapseAfterEOT.otherInfo.moreOf10Transfusions"</v>
      </c>
    </row>
    <row r="541" spans="1:4" x14ac:dyDescent="0.75">
      <c r="A541" s="32">
        <v>507</v>
      </c>
      <c r="B541" s="32">
        <f t="shared" si="18"/>
        <v>56</v>
      </c>
      <c r="C541" s="32">
        <f t="shared" si="19"/>
        <v>3</v>
      </c>
      <c r="D541" s="38" t="str" cm="1">
        <f t="array" ref="D541">INDEX('Base-2'!$B$2:$J$100,1+B541,C541)</f>
        <v>* differential.element[57].short = "&gt;= 10 Transfusions ?"</v>
      </c>
    </row>
    <row r="542" spans="1:4" x14ac:dyDescent="0.75">
      <c r="A542" s="32">
        <v>508</v>
      </c>
      <c r="B542" s="32">
        <f t="shared" si="18"/>
        <v>56</v>
      </c>
      <c r="C542" s="32">
        <f t="shared" si="19"/>
        <v>4</v>
      </c>
      <c r="D542" s="38" t="str" cm="1">
        <f t="array" ref="D542">INDEX('Base-2'!$B$2:$J$100,1+B542,C542)</f>
        <v>* differential.element[57].definition = "Please specify if patient recieved 10 or more than 10 trasfusions during therapy"</v>
      </c>
    </row>
    <row r="543" spans="1:4" x14ac:dyDescent="0.75">
      <c r="A543" s="32">
        <v>509</v>
      </c>
      <c r="B543" s="32">
        <f t="shared" si="18"/>
        <v>56</v>
      </c>
      <c r="C543" s="32">
        <f t="shared" si="19"/>
        <v>5</v>
      </c>
      <c r="D543" s="38" t="str" cm="1">
        <f t="array" ref="D543">INDEX('Base-2'!$B$2:$J$100,1+B543,C543)</f>
        <v>* differential.element[57].min = 0</v>
      </c>
    </row>
    <row r="544" spans="1:4" x14ac:dyDescent="0.75">
      <c r="A544" s="32">
        <v>510</v>
      </c>
      <c r="B544" s="32">
        <f t="shared" si="18"/>
        <v>56</v>
      </c>
      <c r="C544" s="32">
        <f t="shared" si="19"/>
        <v>6</v>
      </c>
      <c r="D544" s="38" t="str" cm="1">
        <f t="array" ref="D544">INDEX('Base-2'!$B$2:$J$100,1+B544,C544)</f>
        <v>* differential.element[57].max = "1"</v>
      </c>
    </row>
    <row r="545" spans="1:4" x14ac:dyDescent="0.75">
      <c r="A545" s="32">
        <v>511</v>
      </c>
      <c r="B545" s="32">
        <f t="shared" si="18"/>
        <v>56</v>
      </c>
      <c r="C545" s="32">
        <f t="shared" si="19"/>
        <v>7</v>
      </c>
      <c r="D545" s="38" t="str" cm="1">
        <f t="array" ref="D545">INDEX('Base-2'!$B$2:$J$100,1+B545,C545)</f>
        <v>* differential.element[57].type.code = #CodeableConcept</v>
      </c>
    </row>
    <row r="546" spans="1:4" x14ac:dyDescent="0.75">
      <c r="A546" s="32">
        <v>512</v>
      </c>
      <c r="B546" s="32">
        <f t="shared" si="18"/>
        <v>56</v>
      </c>
      <c r="C546" s="32">
        <f t="shared" si="19"/>
        <v>8</v>
      </c>
      <c r="D546" s="38" t="str" cm="1">
        <f t="array" ref="D546">INDEX('Base-2'!$B$2:$J$100,1+B546,C546)</f>
        <v/>
      </c>
    </row>
    <row r="547" spans="1:4" x14ac:dyDescent="0.75">
      <c r="A547" s="32">
        <v>513</v>
      </c>
      <c r="B547" s="32">
        <f t="shared" si="18"/>
        <v>56</v>
      </c>
      <c r="C547" s="32">
        <f t="shared" si="19"/>
        <v>9</v>
      </c>
      <c r="D547" s="38" t="str" cm="1">
        <f t="array" ref="D547">INDEX('Base-2'!$B$2:$J$100,1+B547,C547)</f>
        <v/>
      </c>
    </row>
    <row r="548" spans="1:4" x14ac:dyDescent="0.75">
      <c r="A548" s="32">
        <v>514</v>
      </c>
      <c r="B548" s="32">
        <f t="shared" si="18"/>
        <v>57</v>
      </c>
      <c r="C548" s="32">
        <f t="shared" si="19"/>
        <v>1</v>
      </c>
      <c r="D548" s="38" cm="1">
        <f t="array" ref="D548">INDEX('Base-2'!$B$2:$J$100,1+B548,C548)</f>
        <v>0</v>
      </c>
    </row>
    <row r="549" spans="1:4" x14ac:dyDescent="0.75">
      <c r="A549" s="32">
        <v>515</v>
      </c>
      <c r="B549" s="32">
        <f t="shared" si="18"/>
        <v>57</v>
      </c>
      <c r="C549" s="32">
        <f t="shared" si="19"/>
        <v>2</v>
      </c>
      <c r="D549" s="38" cm="1">
        <f t="array" ref="D549">INDEX('Base-2'!$B$2:$J$100,1+B549,C549)</f>
        <v>0</v>
      </c>
    </row>
    <row r="550" spans="1:4" x14ac:dyDescent="0.75">
      <c r="A550" s="32">
        <v>516</v>
      </c>
      <c r="B550" s="32">
        <f t="shared" si="18"/>
        <v>57</v>
      </c>
      <c r="C550" s="32">
        <f t="shared" si="19"/>
        <v>3</v>
      </c>
      <c r="D550" s="38" cm="1">
        <f t="array" ref="D550">INDEX('Base-2'!$B$2:$J$100,1+B550,C550)</f>
        <v>0</v>
      </c>
    </row>
    <row r="551" spans="1:4" x14ac:dyDescent="0.75">
      <c r="A551" s="32">
        <v>517</v>
      </c>
      <c r="B551" s="32">
        <f t="shared" si="18"/>
        <v>57</v>
      </c>
      <c r="C551" s="32">
        <f t="shared" si="19"/>
        <v>4</v>
      </c>
      <c r="D551" s="38" cm="1">
        <f t="array" ref="D551">INDEX('Base-2'!$B$2:$J$100,1+B551,C551)</f>
        <v>0</v>
      </c>
    </row>
    <row r="552" spans="1:4" x14ac:dyDescent="0.75">
      <c r="A552" s="32">
        <v>518</v>
      </c>
      <c r="B552" s="32">
        <f t="shared" si="18"/>
        <v>57</v>
      </c>
      <c r="C552" s="32">
        <f t="shared" si="19"/>
        <v>5</v>
      </c>
      <c r="D552" s="38" cm="1">
        <f t="array" ref="D552">INDEX('Base-2'!$B$2:$J$100,1+B552,C552)</f>
        <v>0</v>
      </c>
    </row>
    <row r="553" spans="1:4" x14ac:dyDescent="0.75">
      <c r="A553" s="32">
        <v>519</v>
      </c>
      <c r="B553" s="32">
        <f t="shared" si="18"/>
        <v>57</v>
      </c>
      <c r="C553" s="32">
        <f t="shared" si="19"/>
        <v>6</v>
      </c>
      <c r="D553" s="38" cm="1">
        <f t="array" ref="D553">INDEX('Base-2'!$B$2:$J$100,1+B553,C553)</f>
        <v>0</v>
      </c>
    </row>
    <row r="554" spans="1:4" x14ac:dyDescent="0.75">
      <c r="A554" s="32">
        <v>520</v>
      </c>
      <c r="B554" s="32">
        <f t="shared" si="18"/>
        <v>57</v>
      </c>
      <c r="C554" s="32">
        <f t="shared" si="19"/>
        <v>7</v>
      </c>
      <c r="D554" s="38" cm="1">
        <f t="array" ref="D554">INDEX('Base-2'!$B$2:$J$100,1+B554,C554)</f>
        <v>0</v>
      </c>
    </row>
    <row r="555" spans="1:4" x14ac:dyDescent="0.75">
      <c r="A555" s="32">
        <v>521</v>
      </c>
      <c r="B555" s="32">
        <f t="shared" si="18"/>
        <v>57</v>
      </c>
      <c r="C555" s="32">
        <f t="shared" si="19"/>
        <v>8</v>
      </c>
      <c r="D555" s="38" cm="1">
        <f t="array" ref="D555">INDEX('Base-2'!$B$2:$J$100,1+B555,C555)</f>
        <v>0</v>
      </c>
    </row>
    <row r="556" spans="1:4" x14ac:dyDescent="0.75">
      <c r="A556" s="32">
        <v>522</v>
      </c>
      <c r="B556" s="32">
        <f t="shared" si="18"/>
        <v>57</v>
      </c>
      <c r="C556" s="32">
        <f t="shared" si="19"/>
        <v>9</v>
      </c>
      <c r="D556" s="38" cm="1">
        <f t="array" ref="D556">INDEX('Base-2'!$B$2:$J$100,1+B556,C556)</f>
        <v>0</v>
      </c>
    </row>
    <row r="557" spans="1:4" x14ac:dyDescent="0.75">
      <c r="A557" s="32">
        <v>523</v>
      </c>
      <c r="B557" s="32">
        <f t="shared" si="18"/>
        <v>58</v>
      </c>
      <c r="C557" s="32">
        <f t="shared" si="19"/>
        <v>1</v>
      </c>
      <c r="D557" s="38" cm="1">
        <f t="array" ref="D557">INDEX('Base-2'!$B$2:$J$100,1+B557,C557)</f>
        <v>0</v>
      </c>
    </row>
    <row r="558" spans="1:4" x14ac:dyDescent="0.75">
      <c r="A558" s="32">
        <v>524</v>
      </c>
      <c r="B558" s="32">
        <f t="shared" si="18"/>
        <v>58</v>
      </c>
      <c r="C558" s="32">
        <f t="shared" si="19"/>
        <v>2</v>
      </c>
      <c r="D558" s="38" cm="1">
        <f t="array" ref="D558">INDEX('Base-2'!$B$2:$J$100,1+B558,C558)</f>
        <v>0</v>
      </c>
    </row>
    <row r="559" spans="1:4" x14ac:dyDescent="0.75">
      <c r="A559" s="32">
        <v>525</v>
      </c>
      <c r="B559" s="32">
        <f t="shared" si="18"/>
        <v>58</v>
      </c>
      <c r="C559" s="32">
        <f t="shared" si="19"/>
        <v>3</v>
      </c>
      <c r="D559" s="38" cm="1">
        <f t="array" ref="D559">INDEX('Base-2'!$B$2:$J$100,1+B559,C559)</f>
        <v>0</v>
      </c>
    </row>
    <row r="560" spans="1:4" x14ac:dyDescent="0.75">
      <c r="A560" s="32">
        <v>526</v>
      </c>
      <c r="B560" s="32">
        <f t="shared" si="18"/>
        <v>58</v>
      </c>
      <c r="C560" s="32">
        <f t="shared" si="19"/>
        <v>4</v>
      </c>
      <c r="D560" s="38" cm="1">
        <f t="array" ref="D560">INDEX('Base-2'!$B$2:$J$100,1+B560,C560)</f>
        <v>0</v>
      </c>
    </row>
    <row r="561" spans="1:4" x14ac:dyDescent="0.75">
      <c r="A561" s="32">
        <v>527</v>
      </c>
      <c r="B561" s="32">
        <f t="shared" si="18"/>
        <v>58</v>
      </c>
      <c r="C561" s="32">
        <f t="shared" si="19"/>
        <v>5</v>
      </c>
      <c r="D561" s="38" cm="1">
        <f t="array" ref="D561">INDEX('Base-2'!$B$2:$J$100,1+B561,C561)</f>
        <v>0</v>
      </c>
    </row>
    <row r="562" spans="1:4" x14ac:dyDescent="0.75">
      <c r="A562" s="32">
        <v>528</v>
      </c>
      <c r="B562" s="32">
        <f t="shared" si="18"/>
        <v>58</v>
      </c>
      <c r="C562" s="32">
        <f t="shared" si="19"/>
        <v>6</v>
      </c>
      <c r="D562" s="38" cm="1">
        <f t="array" ref="D562">INDEX('Base-2'!$B$2:$J$100,1+B562,C562)</f>
        <v>0</v>
      </c>
    </row>
    <row r="563" spans="1:4" x14ac:dyDescent="0.75">
      <c r="A563" s="32">
        <v>529</v>
      </c>
      <c r="B563" s="32">
        <f t="shared" si="18"/>
        <v>58</v>
      </c>
      <c r="C563" s="32">
        <f t="shared" si="19"/>
        <v>7</v>
      </c>
      <c r="D563" s="38" cm="1">
        <f t="array" ref="D563">INDEX('Base-2'!$B$2:$J$100,1+B563,C563)</f>
        <v>0</v>
      </c>
    </row>
    <row r="564" spans="1:4" x14ac:dyDescent="0.75">
      <c r="A564" s="32">
        <v>530</v>
      </c>
      <c r="B564" s="32">
        <f t="shared" si="18"/>
        <v>58</v>
      </c>
      <c r="C564" s="32">
        <f t="shared" si="19"/>
        <v>8</v>
      </c>
      <c r="D564" s="38" cm="1">
        <f t="array" ref="D564">INDEX('Base-2'!$B$2:$J$100,1+B564,C564)</f>
        <v>0</v>
      </c>
    </row>
    <row r="565" spans="1:4" x14ac:dyDescent="0.75">
      <c r="A565" s="32">
        <v>531</v>
      </c>
      <c r="B565" s="32">
        <f t="shared" si="18"/>
        <v>58</v>
      </c>
      <c r="C565" s="32">
        <f t="shared" si="19"/>
        <v>9</v>
      </c>
      <c r="D565" s="38" cm="1">
        <f t="array" ref="D565">INDEX('Base-2'!$B$2:$J$100,1+B565,C565)</f>
        <v>0</v>
      </c>
    </row>
    <row r="566" spans="1:4" x14ac:dyDescent="0.75">
      <c r="A566" s="32">
        <v>532</v>
      </c>
      <c r="B566" s="32">
        <f t="shared" si="18"/>
        <v>59</v>
      </c>
      <c r="C566" s="32">
        <f t="shared" si="19"/>
        <v>1</v>
      </c>
      <c r="D566" s="38" cm="1">
        <f t="array" ref="D566">INDEX('Base-2'!$B$2:$J$100,1+B566,C566)</f>
        <v>0</v>
      </c>
    </row>
    <row r="567" spans="1:4" x14ac:dyDescent="0.75">
      <c r="A567" s="32">
        <v>533</v>
      </c>
      <c r="B567" s="32">
        <f t="shared" si="18"/>
        <v>59</v>
      </c>
      <c r="C567" s="32">
        <f t="shared" si="19"/>
        <v>2</v>
      </c>
      <c r="D567" s="38" cm="1">
        <f t="array" ref="D567">INDEX('Base-2'!$B$2:$J$100,1+B567,C567)</f>
        <v>0</v>
      </c>
    </row>
    <row r="568" spans="1:4" x14ac:dyDescent="0.75">
      <c r="A568" s="32">
        <v>534</v>
      </c>
      <c r="B568" s="32">
        <f t="shared" si="18"/>
        <v>59</v>
      </c>
      <c r="C568" s="32">
        <f t="shared" si="19"/>
        <v>3</v>
      </c>
      <c r="D568" s="38" cm="1">
        <f t="array" ref="D568">INDEX('Base-2'!$B$2:$J$100,1+B568,C568)</f>
        <v>0</v>
      </c>
    </row>
    <row r="569" spans="1:4" x14ac:dyDescent="0.75">
      <c r="A569" s="32">
        <v>535</v>
      </c>
      <c r="B569" s="32">
        <f t="shared" si="18"/>
        <v>59</v>
      </c>
      <c r="C569" s="32">
        <f t="shared" si="19"/>
        <v>4</v>
      </c>
      <c r="D569" s="38" cm="1">
        <f t="array" ref="D569">INDEX('Base-2'!$B$2:$J$100,1+B569,C569)</f>
        <v>0</v>
      </c>
    </row>
    <row r="570" spans="1:4" x14ac:dyDescent="0.75">
      <c r="A570" s="32">
        <v>536</v>
      </c>
      <c r="B570" s="32">
        <f t="shared" si="18"/>
        <v>59</v>
      </c>
      <c r="C570" s="32">
        <f t="shared" si="19"/>
        <v>5</v>
      </c>
      <c r="D570" s="38" cm="1">
        <f t="array" ref="D570">INDEX('Base-2'!$B$2:$J$100,1+B570,C570)</f>
        <v>0</v>
      </c>
    </row>
    <row r="571" spans="1:4" x14ac:dyDescent="0.75">
      <c r="A571" s="32">
        <v>537</v>
      </c>
      <c r="B571" s="32">
        <f t="shared" si="18"/>
        <v>59</v>
      </c>
      <c r="C571" s="32">
        <f t="shared" si="19"/>
        <v>6</v>
      </c>
      <c r="D571" s="38" cm="1">
        <f t="array" ref="D571">INDEX('Base-2'!$B$2:$J$100,1+B571,C571)</f>
        <v>0</v>
      </c>
    </row>
    <row r="572" spans="1:4" x14ac:dyDescent="0.75">
      <c r="A572" s="32">
        <v>538</v>
      </c>
      <c r="B572" s="32">
        <f t="shared" si="18"/>
        <v>59</v>
      </c>
      <c r="C572" s="32">
        <f t="shared" si="19"/>
        <v>7</v>
      </c>
      <c r="D572" s="38" cm="1">
        <f t="array" ref="D572">INDEX('Base-2'!$B$2:$J$100,1+B572,C572)</f>
        <v>0</v>
      </c>
    </row>
    <row r="573" spans="1:4" x14ac:dyDescent="0.75">
      <c r="A573" s="32">
        <v>539</v>
      </c>
      <c r="B573" s="32">
        <f t="shared" si="18"/>
        <v>59</v>
      </c>
      <c r="C573" s="32">
        <f t="shared" si="19"/>
        <v>8</v>
      </c>
      <c r="D573" s="38" cm="1">
        <f t="array" ref="D573">INDEX('Base-2'!$B$2:$J$100,1+B573,C573)</f>
        <v>0</v>
      </c>
    </row>
    <row r="574" spans="1:4" x14ac:dyDescent="0.75">
      <c r="A574" s="32">
        <v>540</v>
      </c>
      <c r="B574" s="32">
        <f t="shared" si="18"/>
        <v>59</v>
      </c>
      <c r="C574" s="32">
        <f t="shared" si="19"/>
        <v>9</v>
      </c>
      <c r="D574" s="38" cm="1">
        <f t="array" ref="D574">INDEX('Base-2'!$B$2:$J$100,1+B574,C574)</f>
        <v>0</v>
      </c>
    </row>
    <row r="575" spans="1:4" x14ac:dyDescent="0.75">
      <c r="A575" s="32">
        <v>541</v>
      </c>
      <c r="B575" s="32">
        <f t="shared" si="18"/>
        <v>60</v>
      </c>
      <c r="C575" s="32">
        <f t="shared" si="19"/>
        <v>1</v>
      </c>
      <c r="D575" s="38" cm="1">
        <f t="array" ref="D575">INDEX('Base-2'!$B$2:$J$100,1+B575,C575)</f>
        <v>0</v>
      </c>
    </row>
    <row r="576" spans="1:4" x14ac:dyDescent="0.75">
      <c r="A576" s="32">
        <v>542</v>
      </c>
      <c r="B576" s="32">
        <f t="shared" si="18"/>
        <v>60</v>
      </c>
      <c r="C576" s="32">
        <f t="shared" si="19"/>
        <v>2</v>
      </c>
      <c r="D576" s="38" cm="1">
        <f t="array" ref="D576">INDEX('Base-2'!$B$2:$J$100,1+B576,C576)</f>
        <v>0</v>
      </c>
    </row>
    <row r="577" spans="1:4" x14ac:dyDescent="0.75">
      <c r="A577" s="32">
        <v>543</v>
      </c>
      <c r="B577" s="32">
        <f t="shared" si="18"/>
        <v>60</v>
      </c>
      <c r="C577" s="32">
        <f t="shared" si="19"/>
        <v>3</v>
      </c>
      <c r="D577" s="38" cm="1">
        <f t="array" ref="D577">INDEX('Base-2'!$B$2:$J$100,1+B577,C577)</f>
        <v>0</v>
      </c>
    </row>
    <row r="578" spans="1:4" x14ac:dyDescent="0.75">
      <c r="A578" s="32">
        <v>544</v>
      </c>
      <c r="B578" s="32">
        <f t="shared" si="18"/>
        <v>60</v>
      </c>
      <c r="C578" s="32">
        <f t="shared" si="19"/>
        <v>4</v>
      </c>
      <c r="D578" s="38" cm="1">
        <f t="array" ref="D578">INDEX('Base-2'!$B$2:$J$100,1+B578,C578)</f>
        <v>0</v>
      </c>
    </row>
    <row r="579" spans="1:4" x14ac:dyDescent="0.75">
      <c r="A579" s="32">
        <v>545</v>
      </c>
      <c r="B579" s="32">
        <f t="shared" si="18"/>
        <v>60</v>
      </c>
      <c r="C579" s="32">
        <f t="shared" si="19"/>
        <v>5</v>
      </c>
      <c r="D579" s="38" cm="1">
        <f t="array" ref="D579">INDEX('Base-2'!$B$2:$J$100,1+B579,C579)</f>
        <v>0</v>
      </c>
    </row>
    <row r="580" spans="1:4" x14ac:dyDescent="0.75">
      <c r="A580" s="32">
        <v>546</v>
      </c>
      <c r="B580" s="32">
        <f t="shared" si="18"/>
        <v>60</v>
      </c>
      <c r="C580" s="32">
        <f t="shared" si="19"/>
        <v>6</v>
      </c>
      <c r="D580" s="38" cm="1">
        <f t="array" ref="D580">INDEX('Base-2'!$B$2:$J$100,1+B580,C580)</f>
        <v>0</v>
      </c>
    </row>
    <row r="581" spans="1:4" x14ac:dyDescent="0.75">
      <c r="A581" s="32">
        <v>547</v>
      </c>
      <c r="B581" s="32">
        <f t="shared" si="18"/>
        <v>60</v>
      </c>
      <c r="C581" s="32">
        <f t="shared" si="19"/>
        <v>7</v>
      </c>
      <c r="D581" s="38" cm="1">
        <f t="array" ref="D581">INDEX('Base-2'!$B$2:$J$100,1+B581,C581)</f>
        <v>0</v>
      </c>
    </row>
    <row r="582" spans="1:4" x14ac:dyDescent="0.75">
      <c r="A582" s="32">
        <v>548</v>
      </c>
      <c r="B582" s="32">
        <f t="shared" si="18"/>
        <v>60</v>
      </c>
      <c r="C582" s="32">
        <f t="shared" si="19"/>
        <v>8</v>
      </c>
      <c r="D582" s="38" cm="1">
        <f t="array" ref="D582">INDEX('Base-2'!$B$2:$J$100,1+B582,C582)</f>
        <v>0</v>
      </c>
    </row>
    <row r="583" spans="1:4" x14ac:dyDescent="0.75">
      <c r="A583" s="32">
        <v>549</v>
      </c>
      <c r="B583" s="32">
        <f t="shared" si="18"/>
        <v>60</v>
      </c>
      <c r="C583" s="32">
        <f t="shared" si="19"/>
        <v>9</v>
      </c>
      <c r="D583" s="38" cm="1">
        <f t="array" ref="D583">INDEX('Base-2'!$B$2:$J$100,1+B583,C583)</f>
        <v>0</v>
      </c>
    </row>
    <row r="584" spans="1:4" x14ac:dyDescent="0.75">
      <c r="A584" s="32">
        <v>550</v>
      </c>
      <c r="B584" s="32">
        <f t="shared" ref="B584:B647" si="20">IF(MOD(A584,$B$25)=0,A584/$B$25-1,INT(A584/$B$25))</f>
        <v>61</v>
      </c>
      <c r="C584" s="32">
        <f t="shared" ref="C584:C647" si="21">IF(MOD(A584,$B$25)=0,$B$25,MOD(A584,$B$25))</f>
        <v>1</v>
      </c>
      <c r="D584" s="38" cm="1">
        <f t="array" ref="D584">INDEX('Base-2'!$B$2:$J$100,1+B584,C584)</f>
        <v>0</v>
      </c>
    </row>
    <row r="585" spans="1:4" x14ac:dyDescent="0.75">
      <c r="A585" s="32">
        <v>551</v>
      </c>
      <c r="B585" s="32">
        <f t="shared" si="20"/>
        <v>61</v>
      </c>
      <c r="C585" s="32">
        <f t="shared" si="21"/>
        <v>2</v>
      </c>
      <c r="D585" s="38" cm="1">
        <f t="array" ref="D585">INDEX('Base-2'!$B$2:$J$100,1+B585,C585)</f>
        <v>0</v>
      </c>
    </row>
    <row r="586" spans="1:4" x14ac:dyDescent="0.75">
      <c r="A586" s="32">
        <v>552</v>
      </c>
      <c r="B586" s="32">
        <f t="shared" si="20"/>
        <v>61</v>
      </c>
      <c r="C586" s="32">
        <f t="shared" si="21"/>
        <v>3</v>
      </c>
      <c r="D586" s="38" cm="1">
        <f t="array" ref="D586">INDEX('Base-2'!$B$2:$J$100,1+B586,C586)</f>
        <v>0</v>
      </c>
    </row>
    <row r="587" spans="1:4" x14ac:dyDescent="0.75">
      <c r="A587" s="32">
        <v>553</v>
      </c>
      <c r="B587" s="32">
        <f t="shared" si="20"/>
        <v>61</v>
      </c>
      <c r="C587" s="32">
        <f t="shared" si="21"/>
        <v>4</v>
      </c>
      <c r="D587" s="38" cm="1">
        <f t="array" ref="D587">INDEX('Base-2'!$B$2:$J$100,1+B587,C587)</f>
        <v>0</v>
      </c>
    </row>
    <row r="588" spans="1:4" x14ac:dyDescent="0.75">
      <c r="A588" s="32">
        <v>554</v>
      </c>
      <c r="B588" s="32">
        <f t="shared" si="20"/>
        <v>61</v>
      </c>
      <c r="C588" s="32">
        <f t="shared" si="21"/>
        <v>5</v>
      </c>
      <c r="D588" s="38" cm="1">
        <f t="array" ref="D588">INDEX('Base-2'!$B$2:$J$100,1+B588,C588)</f>
        <v>0</v>
      </c>
    </row>
    <row r="589" spans="1:4" x14ac:dyDescent="0.75">
      <c r="A589" s="32">
        <v>555</v>
      </c>
      <c r="B589" s="32">
        <f t="shared" si="20"/>
        <v>61</v>
      </c>
      <c r="C589" s="32">
        <f t="shared" si="21"/>
        <v>6</v>
      </c>
      <c r="D589" s="38" cm="1">
        <f t="array" ref="D589">INDEX('Base-2'!$B$2:$J$100,1+B589,C589)</f>
        <v>0</v>
      </c>
    </row>
    <row r="590" spans="1:4" x14ac:dyDescent="0.75">
      <c r="A590" s="32">
        <v>556</v>
      </c>
      <c r="B590" s="32">
        <f t="shared" si="20"/>
        <v>61</v>
      </c>
      <c r="C590" s="32">
        <f t="shared" si="21"/>
        <v>7</v>
      </c>
      <c r="D590" s="38" cm="1">
        <f t="array" ref="D590">INDEX('Base-2'!$B$2:$J$100,1+B590,C590)</f>
        <v>0</v>
      </c>
    </row>
    <row r="591" spans="1:4" x14ac:dyDescent="0.75">
      <c r="A591" s="32">
        <v>557</v>
      </c>
      <c r="B591" s="32">
        <f t="shared" si="20"/>
        <v>61</v>
      </c>
      <c r="C591" s="32">
        <f t="shared" si="21"/>
        <v>8</v>
      </c>
      <c r="D591" s="38" cm="1">
        <f t="array" ref="D591">INDEX('Base-2'!$B$2:$J$100,1+B591,C591)</f>
        <v>0</v>
      </c>
    </row>
    <row r="592" spans="1:4" x14ac:dyDescent="0.75">
      <c r="A592" s="32">
        <v>558</v>
      </c>
      <c r="B592" s="32">
        <f t="shared" si="20"/>
        <v>61</v>
      </c>
      <c r="C592" s="32">
        <f t="shared" si="21"/>
        <v>9</v>
      </c>
      <c r="D592" s="38" cm="1">
        <f t="array" ref="D592">INDEX('Base-2'!$B$2:$J$100,1+B592,C592)</f>
        <v>0</v>
      </c>
    </row>
    <row r="593" spans="1:4" x14ac:dyDescent="0.75">
      <c r="A593" s="32">
        <v>559</v>
      </c>
      <c r="B593" s="32">
        <f t="shared" si="20"/>
        <v>62</v>
      </c>
      <c r="C593" s="32">
        <f t="shared" si="21"/>
        <v>1</v>
      </c>
      <c r="D593" s="38" cm="1">
        <f t="array" ref="D593">INDEX('Base-2'!$B$2:$J$100,1+B593,C593)</f>
        <v>0</v>
      </c>
    </row>
    <row r="594" spans="1:4" x14ac:dyDescent="0.75">
      <c r="A594" s="32">
        <v>560</v>
      </c>
      <c r="B594" s="32">
        <f t="shared" si="20"/>
        <v>62</v>
      </c>
      <c r="C594" s="32">
        <f t="shared" si="21"/>
        <v>2</v>
      </c>
      <c r="D594" s="38" cm="1">
        <f t="array" ref="D594">INDEX('Base-2'!$B$2:$J$100,1+B594,C594)</f>
        <v>0</v>
      </c>
    </row>
    <row r="595" spans="1:4" x14ac:dyDescent="0.75">
      <c r="A595" s="32">
        <v>561</v>
      </c>
      <c r="B595" s="32">
        <f t="shared" si="20"/>
        <v>62</v>
      </c>
      <c r="C595" s="32">
        <f t="shared" si="21"/>
        <v>3</v>
      </c>
      <c r="D595" s="38" cm="1">
        <f t="array" ref="D595">INDEX('Base-2'!$B$2:$J$100,1+B595,C595)</f>
        <v>0</v>
      </c>
    </row>
    <row r="596" spans="1:4" x14ac:dyDescent="0.75">
      <c r="A596" s="32">
        <v>562</v>
      </c>
      <c r="B596" s="32">
        <f t="shared" si="20"/>
        <v>62</v>
      </c>
      <c r="C596" s="32">
        <f t="shared" si="21"/>
        <v>4</v>
      </c>
      <c r="D596" s="38" cm="1">
        <f t="array" ref="D596">INDEX('Base-2'!$B$2:$J$100,1+B596,C596)</f>
        <v>0</v>
      </c>
    </row>
    <row r="597" spans="1:4" x14ac:dyDescent="0.75">
      <c r="A597" s="32">
        <v>563</v>
      </c>
      <c r="B597" s="32">
        <f t="shared" si="20"/>
        <v>62</v>
      </c>
      <c r="C597" s="32">
        <f t="shared" si="21"/>
        <v>5</v>
      </c>
      <c r="D597" s="38" cm="1">
        <f t="array" ref="D597">INDEX('Base-2'!$B$2:$J$100,1+B597,C597)</f>
        <v>0</v>
      </c>
    </row>
    <row r="598" spans="1:4" x14ac:dyDescent="0.75">
      <c r="A598" s="32">
        <v>564</v>
      </c>
      <c r="B598" s="32">
        <f t="shared" si="20"/>
        <v>62</v>
      </c>
      <c r="C598" s="32">
        <f t="shared" si="21"/>
        <v>6</v>
      </c>
      <c r="D598" s="38" cm="1">
        <f t="array" ref="D598">INDEX('Base-2'!$B$2:$J$100,1+B598,C598)</f>
        <v>0</v>
      </c>
    </row>
    <row r="599" spans="1:4" x14ac:dyDescent="0.75">
      <c r="A599" s="32">
        <v>565</v>
      </c>
      <c r="B599" s="32">
        <f t="shared" si="20"/>
        <v>62</v>
      </c>
      <c r="C599" s="32">
        <f t="shared" si="21"/>
        <v>7</v>
      </c>
      <c r="D599" s="38" cm="1">
        <f t="array" ref="D599">INDEX('Base-2'!$B$2:$J$100,1+B599,C599)</f>
        <v>0</v>
      </c>
    </row>
    <row r="600" spans="1:4" x14ac:dyDescent="0.75">
      <c r="A600" s="32">
        <v>566</v>
      </c>
      <c r="B600" s="32">
        <f t="shared" si="20"/>
        <v>62</v>
      </c>
      <c r="C600" s="32">
        <f t="shared" si="21"/>
        <v>8</v>
      </c>
      <c r="D600" s="38" cm="1">
        <f t="array" ref="D600">INDEX('Base-2'!$B$2:$J$100,1+B600,C600)</f>
        <v>0</v>
      </c>
    </row>
    <row r="601" spans="1:4" x14ac:dyDescent="0.75">
      <c r="A601" s="32">
        <v>567</v>
      </c>
      <c r="B601" s="32">
        <f t="shared" si="20"/>
        <v>62</v>
      </c>
      <c r="C601" s="32">
        <f t="shared" si="21"/>
        <v>9</v>
      </c>
      <c r="D601" s="38" cm="1">
        <f t="array" ref="D601">INDEX('Base-2'!$B$2:$J$100,1+B601,C601)</f>
        <v>0</v>
      </c>
    </row>
    <row r="602" spans="1:4" x14ac:dyDescent="0.75">
      <c r="A602" s="32">
        <v>568</v>
      </c>
      <c r="B602" s="32">
        <f t="shared" si="20"/>
        <v>63</v>
      </c>
      <c r="C602" s="32">
        <f t="shared" si="21"/>
        <v>1</v>
      </c>
      <c r="D602" s="38" cm="1">
        <f t="array" ref="D602">INDEX('Base-2'!$B$2:$J$100,1+B602,C602)</f>
        <v>0</v>
      </c>
    </row>
    <row r="603" spans="1:4" x14ac:dyDescent="0.75">
      <c r="A603" s="32">
        <v>569</v>
      </c>
      <c r="B603" s="32">
        <f t="shared" si="20"/>
        <v>63</v>
      </c>
      <c r="C603" s="32">
        <f t="shared" si="21"/>
        <v>2</v>
      </c>
      <c r="D603" s="38" cm="1">
        <f t="array" ref="D603">INDEX('Base-2'!$B$2:$J$100,1+B603,C603)</f>
        <v>0</v>
      </c>
    </row>
    <row r="604" spans="1:4" x14ac:dyDescent="0.75">
      <c r="A604" s="32">
        <v>570</v>
      </c>
      <c r="B604" s="32">
        <f t="shared" si="20"/>
        <v>63</v>
      </c>
      <c r="C604" s="32">
        <f t="shared" si="21"/>
        <v>3</v>
      </c>
      <c r="D604" s="38" cm="1">
        <f t="array" ref="D604">INDEX('Base-2'!$B$2:$J$100,1+B604,C604)</f>
        <v>0</v>
      </c>
    </row>
    <row r="605" spans="1:4" x14ac:dyDescent="0.75">
      <c r="A605" s="32">
        <v>571</v>
      </c>
      <c r="B605" s="32">
        <f t="shared" si="20"/>
        <v>63</v>
      </c>
      <c r="C605" s="32">
        <f t="shared" si="21"/>
        <v>4</v>
      </c>
      <c r="D605" s="38" cm="1">
        <f t="array" ref="D605">INDEX('Base-2'!$B$2:$J$100,1+B605,C605)</f>
        <v>0</v>
      </c>
    </row>
    <row r="606" spans="1:4" x14ac:dyDescent="0.75">
      <c r="A606" s="32">
        <v>572</v>
      </c>
      <c r="B606" s="32">
        <f t="shared" si="20"/>
        <v>63</v>
      </c>
      <c r="C606" s="32">
        <f t="shared" si="21"/>
        <v>5</v>
      </c>
      <c r="D606" s="38" cm="1">
        <f t="array" ref="D606">INDEX('Base-2'!$B$2:$J$100,1+B606,C606)</f>
        <v>0</v>
      </c>
    </row>
    <row r="607" spans="1:4" x14ac:dyDescent="0.75">
      <c r="A607" s="32">
        <v>573</v>
      </c>
      <c r="B607" s="32">
        <f t="shared" si="20"/>
        <v>63</v>
      </c>
      <c r="C607" s="32">
        <f t="shared" si="21"/>
        <v>6</v>
      </c>
      <c r="D607" s="38" cm="1">
        <f t="array" ref="D607">INDEX('Base-2'!$B$2:$J$100,1+B607,C607)</f>
        <v>0</v>
      </c>
    </row>
    <row r="608" spans="1:4" x14ac:dyDescent="0.75">
      <c r="A608" s="32">
        <v>574</v>
      </c>
      <c r="B608" s="32">
        <f t="shared" si="20"/>
        <v>63</v>
      </c>
      <c r="C608" s="32">
        <f t="shared" si="21"/>
        <v>7</v>
      </c>
      <c r="D608" s="38" cm="1">
        <f t="array" ref="D608">INDEX('Base-2'!$B$2:$J$100,1+B608,C608)</f>
        <v>0</v>
      </c>
    </row>
    <row r="609" spans="1:4" x14ac:dyDescent="0.75">
      <c r="A609" s="32">
        <v>575</v>
      </c>
      <c r="B609" s="32">
        <f t="shared" si="20"/>
        <v>63</v>
      </c>
      <c r="C609" s="32">
        <f t="shared" si="21"/>
        <v>8</v>
      </c>
      <c r="D609" s="38" cm="1">
        <f t="array" ref="D609">INDEX('Base-2'!$B$2:$J$100,1+B609,C609)</f>
        <v>0</v>
      </c>
    </row>
    <row r="610" spans="1:4" x14ac:dyDescent="0.75">
      <c r="A610" s="32">
        <v>576</v>
      </c>
      <c r="B610" s="32">
        <f t="shared" si="20"/>
        <v>63</v>
      </c>
      <c r="C610" s="32">
        <f t="shared" si="21"/>
        <v>9</v>
      </c>
      <c r="D610" s="38" cm="1">
        <f t="array" ref="D610">INDEX('Base-2'!$B$2:$J$100,1+B610,C610)</f>
        <v>0</v>
      </c>
    </row>
    <row r="611" spans="1:4" x14ac:dyDescent="0.75">
      <c r="A611" s="32">
        <v>577</v>
      </c>
      <c r="B611" s="32">
        <f t="shared" si="20"/>
        <v>64</v>
      </c>
      <c r="C611" s="32">
        <f t="shared" si="21"/>
        <v>1</v>
      </c>
      <c r="D611" s="38" cm="1">
        <f t="array" ref="D611">INDEX('Base-2'!$B$2:$J$100,1+B611,C611)</f>
        <v>0</v>
      </c>
    </row>
    <row r="612" spans="1:4" x14ac:dyDescent="0.75">
      <c r="A612" s="32">
        <v>578</v>
      </c>
      <c r="B612" s="32">
        <f t="shared" si="20"/>
        <v>64</v>
      </c>
      <c r="C612" s="32">
        <f t="shared" si="21"/>
        <v>2</v>
      </c>
      <c r="D612" s="38" cm="1">
        <f t="array" ref="D612">INDEX('Base-2'!$B$2:$J$100,1+B612,C612)</f>
        <v>0</v>
      </c>
    </row>
    <row r="613" spans="1:4" x14ac:dyDescent="0.75">
      <c r="A613" s="32">
        <v>579</v>
      </c>
      <c r="B613" s="32">
        <f t="shared" si="20"/>
        <v>64</v>
      </c>
      <c r="C613" s="32">
        <f t="shared" si="21"/>
        <v>3</v>
      </c>
      <c r="D613" s="38" cm="1">
        <f t="array" ref="D613">INDEX('Base-2'!$B$2:$J$100,1+B613,C613)</f>
        <v>0</v>
      </c>
    </row>
    <row r="614" spans="1:4" x14ac:dyDescent="0.75">
      <c r="A614" s="32">
        <v>580</v>
      </c>
      <c r="B614" s="32">
        <f t="shared" si="20"/>
        <v>64</v>
      </c>
      <c r="C614" s="32">
        <f t="shared" si="21"/>
        <v>4</v>
      </c>
      <c r="D614" s="38" cm="1">
        <f t="array" ref="D614">INDEX('Base-2'!$B$2:$J$100,1+B614,C614)</f>
        <v>0</v>
      </c>
    </row>
    <row r="615" spans="1:4" x14ac:dyDescent="0.75">
      <c r="A615" s="32">
        <v>581</v>
      </c>
      <c r="B615" s="32">
        <f t="shared" si="20"/>
        <v>64</v>
      </c>
      <c r="C615" s="32">
        <f t="shared" si="21"/>
        <v>5</v>
      </c>
      <c r="D615" s="38" cm="1">
        <f t="array" ref="D615">INDEX('Base-2'!$B$2:$J$100,1+B615,C615)</f>
        <v>0</v>
      </c>
    </row>
    <row r="616" spans="1:4" x14ac:dyDescent="0.75">
      <c r="A616" s="32">
        <v>582</v>
      </c>
      <c r="B616" s="32">
        <f t="shared" si="20"/>
        <v>64</v>
      </c>
      <c r="C616" s="32">
        <f t="shared" si="21"/>
        <v>6</v>
      </c>
      <c r="D616" s="38" cm="1">
        <f t="array" ref="D616">INDEX('Base-2'!$B$2:$J$100,1+B616,C616)</f>
        <v>0</v>
      </c>
    </row>
    <row r="617" spans="1:4" x14ac:dyDescent="0.75">
      <c r="A617" s="32">
        <v>583</v>
      </c>
      <c r="B617" s="32">
        <f t="shared" si="20"/>
        <v>64</v>
      </c>
      <c r="C617" s="32">
        <f t="shared" si="21"/>
        <v>7</v>
      </c>
      <c r="D617" s="38" cm="1">
        <f t="array" ref="D617">INDEX('Base-2'!$B$2:$J$100,1+B617,C617)</f>
        <v>0</v>
      </c>
    </row>
    <row r="618" spans="1:4" x14ac:dyDescent="0.75">
      <c r="A618" s="32">
        <v>584</v>
      </c>
      <c r="B618" s="32">
        <f t="shared" si="20"/>
        <v>64</v>
      </c>
      <c r="C618" s="32">
        <f t="shared" si="21"/>
        <v>8</v>
      </c>
      <c r="D618" s="38" cm="1">
        <f t="array" ref="D618">INDEX('Base-2'!$B$2:$J$100,1+B618,C618)</f>
        <v>0</v>
      </c>
    </row>
    <row r="619" spans="1:4" x14ac:dyDescent="0.75">
      <c r="A619" s="32">
        <v>585</v>
      </c>
      <c r="B619" s="32">
        <f t="shared" si="20"/>
        <v>64</v>
      </c>
      <c r="C619" s="32">
        <f t="shared" si="21"/>
        <v>9</v>
      </c>
      <c r="D619" s="38" cm="1">
        <f t="array" ref="D619">INDEX('Base-2'!$B$2:$J$100,1+B619,C619)</f>
        <v>0</v>
      </c>
    </row>
    <row r="620" spans="1:4" x14ac:dyDescent="0.75">
      <c r="A620" s="32">
        <v>586</v>
      </c>
      <c r="B620" s="32">
        <f t="shared" si="20"/>
        <v>65</v>
      </c>
      <c r="C620" s="32">
        <f t="shared" si="21"/>
        <v>1</v>
      </c>
      <c r="D620" s="38" cm="1">
        <f t="array" ref="D620">INDEX('Base-2'!$B$2:$J$100,1+B620,C620)</f>
        <v>0</v>
      </c>
    </row>
    <row r="621" spans="1:4" x14ac:dyDescent="0.75">
      <c r="A621" s="32">
        <v>587</v>
      </c>
      <c r="B621" s="32">
        <f t="shared" si="20"/>
        <v>65</v>
      </c>
      <c r="C621" s="32">
        <f t="shared" si="21"/>
        <v>2</v>
      </c>
      <c r="D621" s="38" cm="1">
        <f t="array" ref="D621">INDEX('Base-2'!$B$2:$J$100,1+B621,C621)</f>
        <v>0</v>
      </c>
    </row>
    <row r="622" spans="1:4" x14ac:dyDescent="0.75">
      <c r="A622" s="32">
        <v>588</v>
      </c>
      <c r="B622" s="32">
        <f t="shared" si="20"/>
        <v>65</v>
      </c>
      <c r="C622" s="32">
        <f t="shared" si="21"/>
        <v>3</v>
      </c>
      <c r="D622" s="38" cm="1">
        <f t="array" ref="D622">INDEX('Base-2'!$B$2:$J$100,1+B622,C622)</f>
        <v>0</v>
      </c>
    </row>
    <row r="623" spans="1:4" x14ac:dyDescent="0.75">
      <c r="A623" s="32">
        <v>589</v>
      </c>
      <c r="B623" s="32">
        <f t="shared" si="20"/>
        <v>65</v>
      </c>
      <c r="C623" s="32">
        <f t="shared" si="21"/>
        <v>4</v>
      </c>
      <c r="D623" s="38" cm="1">
        <f t="array" ref="D623">INDEX('Base-2'!$B$2:$J$100,1+B623,C623)</f>
        <v>0</v>
      </c>
    </row>
    <row r="624" spans="1:4" x14ac:dyDescent="0.75">
      <c r="A624" s="32">
        <v>590</v>
      </c>
      <c r="B624" s="32">
        <f t="shared" si="20"/>
        <v>65</v>
      </c>
      <c r="C624" s="32">
        <f t="shared" si="21"/>
        <v>5</v>
      </c>
      <c r="D624" s="38" cm="1">
        <f t="array" ref="D624">INDEX('Base-2'!$B$2:$J$100,1+B624,C624)</f>
        <v>0</v>
      </c>
    </row>
    <row r="625" spans="1:4" x14ac:dyDescent="0.75">
      <c r="A625" s="32">
        <v>591</v>
      </c>
      <c r="B625" s="32">
        <f t="shared" si="20"/>
        <v>65</v>
      </c>
      <c r="C625" s="32">
        <f t="shared" si="21"/>
        <v>6</v>
      </c>
      <c r="D625" s="38" cm="1">
        <f t="array" ref="D625">INDEX('Base-2'!$B$2:$J$100,1+B625,C625)</f>
        <v>0</v>
      </c>
    </row>
    <row r="626" spans="1:4" x14ac:dyDescent="0.75">
      <c r="A626" s="32">
        <v>592</v>
      </c>
      <c r="B626" s="32">
        <f t="shared" si="20"/>
        <v>65</v>
      </c>
      <c r="C626" s="32">
        <f t="shared" si="21"/>
        <v>7</v>
      </c>
      <c r="D626" s="38" cm="1">
        <f t="array" ref="D626">INDEX('Base-2'!$B$2:$J$100,1+B626,C626)</f>
        <v>0</v>
      </c>
    </row>
    <row r="627" spans="1:4" x14ac:dyDescent="0.75">
      <c r="A627" s="32">
        <v>593</v>
      </c>
      <c r="B627" s="32">
        <f t="shared" si="20"/>
        <v>65</v>
      </c>
      <c r="C627" s="32">
        <f t="shared" si="21"/>
        <v>8</v>
      </c>
      <c r="D627" s="38" cm="1">
        <f t="array" ref="D627">INDEX('Base-2'!$B$2:$J$100,1+B627,C627)</f>
        <v>0</v>
      </c>
    </row>
    <row r="628" spans="1:4" x14ac:dyDescent="0.75">
      <c r="A628" s="32">
        <v>594</v>
      </c>
      <c r="B628" s="32">
        <f t="shared" si="20"/>
        <v>65</v>
      </c>
      <c r="C628" s="32">
        <f t="shared" si="21"/>
        <v>9</v>
      </c>
      <c r="D628" s="38" cm="1">
        <f t="array" ref="D628">INDEX('Base-2'!$B$2:$J$100,1+B628,C628)</f>
        <v>0</v>
      </c>
    </row>
    <row r="629" spans="1:4" x14ac:dyDescent="0.75">
      <c r="A629" s="32">
        <v>595</v>
      </c>
      <c r="B629" s="32">
        <f t="shared" si="20"/>
        <v>66</v>
      </c>
      <c r="C629" s="32">
        <f t="shared" si="21"/>
        <v>1</v>
      </c>
      <c r="D629" s="38" cm="1">
        <f t="array" ref="D629">INDEX('Base-2'!$B$2:$J$100,1+B629,C629)</f>
        <v>0</v>
      </c>
    </row>
    <row r="630" spans="1:4" x14ac:dyDescent="0.75">
      <c r="A630" s="32">
        <v>596</v>
      </c>
      <c r="B630" s="32">
        <f t="shared" si="20"/>
        <v>66</v>
      </c>
      <c r="C630" s="32">
        <f t="shared" si="21"/>
        <v>2</v>
      </c>
      <c r="D630" s="38" cm="1">
        <f t="array" ref="D630">INDEX('Base-2'!$B$2:$J$100,1+B630,C630)</f>
        <v>0</v>
      </c>
    </row>
    <row r="631" spans="1:4" x14ac:dyDescent="0.75">
      <c r="A631" s="32">
        <v>597</v>
      </c>
      <c r="B631" s="32">
        <f t="shared" si="20"/>
        <v>66</v>
      </c>
      <c r="C631" s="32">
        <f t="shared" si="21"/>
        <v>3</v>
      </c>
      <c r="D631" s="38" cm="1">
        <f t="array" ref="D631">INDEX('Base-2'!$B$2:$J$100,1+B631,C631)</f>
        <v>0</v>
      </c>
    </row>
    <row r="632" spans="1:4" x14ac:dyDescent="0.75">
      <c r="A632" s="32">
        <v>598</v>
      </c>
      <c r="B632" s="32">
        <f t="shared" si="20"/>
        <v>66</v>
      </c>
      <c r="C632" s="32">
        <f t="shared" si="21"/>
        <v>4</v>
      </c>
      <c r="D632" s="38" cm="1">
        <f t="array" ref="D632">INDEX('Base-2'!$B$2:$J$100,1+B632,C632)</f>
        <v>0</v>
      </c>
    </row>
    <row r="633" spans="1:4" x14ac:dyDescent="0.75">
      <c r="A633" s="32">
        <v>599</v>
      </c>
      <c r="B633" s="32">
        <f t="shared" si="20"/>
        <v>66</v>
      </c>
      <c r="C633" s="32">
        <f t="shared" si="21"/>
        <v>5</v>
      </c>
      <c r="D633" s="38" cm="1">
        <f t="array" ref="D633">INDEX('Base-2'!$B$2:$J$100,1+B633,C633)</f>
        <v>0</v>
      </c>
    </row>
    <row r="634" spans="1:4" x14ac:dyDescent="0.75">
      <c r="A634" s="32">
        <v>600</v>
      </c>
      <c r="B634" s="32">
        <f t="shared" si="20"/>
        <v>66</v>
      </c>
      <c r="C634" s="32">
        <f t="shared" si="21"/>
        <v>6</v>
      </c>
      <c r="D634" s="38" cm="1">
        <f t="array" ref="D634">INDEX('Base-2'!$B$2:$J$100,1+B634,C634)</f>
        <v>0</v>
      </c>
    </row>
    <row r="635" spans="1:4" x14ac:dyDescent="0.75">
      <c r="A635" s="32">
        <v>601</v>
      </c>
      <c r="B635" s="32">
        <f t="shared" si="20"/>
        <v>66</v>
      </c>
      <c r="C635" s="32">
        <f t="shared" si="21"/>
        <v>7</v>
      </c>
      <c r="D635" s="38" cm="1">
        <f t="array" ref="D635">INDEX('Base-2'!$B$2:$J$100,1+B635,C635)</f>
        <v>0</v>
      </c>
    </row>
    <row r="636" spans="1:4" x14ac:dyDescent="0.75">
      <c r="A636" s="32">
        <v>602</v>
      </c>
      <c r="B636" s="32">
        <f t="shared" si="20"/>
        <v>66</v>
      </c>
      <c r="C636" s="32">
        <f t="shared" si="21"/>
        <v>8</v>
      </c>
      <c r="D636" s="38" cm="1">
        <f t="array" ref="D636">INDEX('Base-2'!$B$2:$J$100,1+B636,C636)</f>
        <v>0</v>
      </c>
    </row>
    <row r="637" spans="1:4" x14ac:dyDescent="0.75">
      <c r="A637" s="32">
        <v>603</v>
      </c>
      <c r="B637" s="32">
        <f t="shared" si="20"/>
        <v>66</v>
      </c>
      <c r="C637" s="32">
        <f t="shared" si="21"/>
        <v>9</v>
      </c>
      <c r="D637" s="38" cm="1">
        <f t="array" ref="D637">INDEX('Base-2'!$B$2:$J$100,1+B637,C637)</f>
        <v>0</v>
      </c>
    </row>
    <row r="638" spans="1:4" x14ac:dyDescent="0.75">
      <c r="A638" s="32">
        <v>604</v>
      </c>
      <c r="B638" s="32">
        <f t="shared" si="20"/>
        <v>67</v>
      </c>
      <c r="C638" s="32">
        <f t="shared" si="21"/>
        <v>1</v>
      </c>
      <c r="D638" s="38" cm="1">
        <f t="array" ref="D638">INDEX('Base-2'!$B$2:$J$100,1+B638,C638)</f>
        <v>0</v>
      </c>
    </row>
    <row r="639" spans="1:4" x14ac:dyDescent="0.75">
      <c r="A639" s="32">
        <v>605</v>
      </c>
      <c r="B639" s="32">
        <f t="shared" si="20"/>
        <v>67</v>
      </c>
      <c r="C639" s="32">
        <f t="shared" si="21"/>
        <v>2</v>
      </c>
      <c r="D639" s="38" cm="1">
        <f t="array" ref="D639">INDEX('Base-2'!$B$2:$J$100,1+B639,C639)</f>
        <v>0</v>
      </c>
    </row>
    <row r="640" spans="1:4" x14ac:dyDescent="0.75">
      <c r="A640" s="32">
        <v>606</v>
      </c>
      <c r="B640" s="32">
        <f t="shared" si="20"/>
        <v>67</v>
      </c>
      <c r="C640" s="32">
        <f t="shared" si="21"/>
        <v>3</v>
      </c>
      <c r="D640" s="38" cm="1">
        <f t="array" ref="D640">INDEX('Base-2'!$B$2:$J$100,1+B640,C640)</f>
        <v>0</v>
      </c>
    </row>
    <row r="641" spans="1:4" x14ac:dyDescent="0.75">
      <c r="A641" s="32">
        <v>607</v>
      </c>
      <c r="B641" s="32">
        <f t="shared" si="20"/>
        <v>67</v>
      </c>
      <c r="C641" s="32">
        <f t="shared" si="21"/>
        <v>4</v>
      </c>
      <c r="D641" s="38" cm="1">
        <f t="array" ref="D641">INDEX('Base-2'!$B$2:$J$100,1+B641,C641)</f>
        <v>0</v>
      </c>
    </row>
    <row r="642" spans="1:4" x14ac:dyDescent="0.75">
      <c r="A642" s="32">
        <v>608</v>
      </c>
      <c r="B642" s="32">
        <f t="shared" si="20"/>
        <v>67</v>
      </c>
      <c r="C642" s="32">
        <f t="shared" si="21"/>
        <v>5</v>
      </c>
      <c r="D642" s="38" cm="1">
        <f t="array" ref="D642">INDEX('Base-2'!$B$2:$J$100,1+B642,C642)</f>
        <v>0</v>
      </c>
    </row>
    <row r="643" spans="1:4" x14ac:dyDescent="0.75">
      <c r="A643" s="32">
        <v>609</v>
      </c>
      <c r="B643" s="32">
        <f t="shared" si="20"/>
        <v>67</v>
      </c>
      <c r="C643" s="32">
        <f t="shared" si="21"/>
        <v>6</v>
      </c>
      <c r="D643" s="38" cm="1">
        <f t="array" ref="D643">INDEX('Base-2'!$B$2:$J$100,1+B643,C643)</f>
        <v>0</v>
      </c>
    </row>
    <row r="644" spans="1:4" x14ac:dyDescent="0.75">
      <c r="A644" s="32">
        <v>610</v>
      </c>
      <c r="B644" s="32">
        <f t="shared" si="20"/>
        <v>67</v>
      </c>
      <c r="C644" s="32">
        <f t="shared" si="21"/>
        <v>7</v>
      </c>
      <c r="D644" s="38" cm="1">
        <f t="array" ref="D644">INDEX('Base-2'!$B$2:$J$100,1+B644,C644)</f>
        <v>0</v>
      </c>
    </row>
    <row r="645" spans="1:4" x14ac:dyDescent="0.75">
      <c r="A645" s="32">
        <v>611</v>
      </c>
      <c r="B645" s="32">
        <f t="shared" si="20"/>
        <v>67</v>
      </c>
      <c r="C645" s="32">
        <f t="shared" si="21"/>
        <v>8</v>
      </c>
      <c r="D645" s="38" cm="1">
        <f t="array" ref="D645">INDEX('Base-2'!$B$2:$J$100,1+B645,C645)</f>
        <v>0</v>
      </c>
    </row>
    <row r="646" spans="1:4" x14ac:dyDescent="0.75">
      <c r="A646" s="32">
        <v>612</v>
      </c>
      <c r="B646" s="32">
        <f t="shared" si="20"/>
        <v>67</v>
      </c>
      <c r="C646" s="32">
        <f t="shared" si="21"/>
        <v>9</v>
      </c>
      <c r="D646" s="38" cm="1">
        <f t="array" ref="D646">INDEX('Base-2'!$B$2:$J$100,1+B646,C646)</f>
        <v>0</v>
      </c>
    </row>
    <row r="647" spans="1:4" x14ac:dyDescent="0.75">
      <c r="A647" s="32">
        <v>613</v>
      </c>
      <c r="B647" s="32">
        <f t="shared" si="20"/>
        <v>68</v>
      </c>
      <c r="C647" s="32">
        <f t="shared" si="21"/>
        <v>1</v>
      </c>
      <c r="D647" s="38" cm="1">
        <f t="array" ref="D647">INDEX('Base-2'!$B$2:$J$100,1+B647,C647)</f>
        <v>0</v>
      </c>
    </row>
    <row r="648" spans="1:4" x14ac:dyDescent="0.75">
      <c r="A648" s="32">
        <v>614</v>
      </c>
      <c r="B648" s="32">
        <f t="shared" ref="B648:B711" si="22">IF(MOD(A648,$B$25)=0,A648/$B$25-1,INT(A648/$B$25))</f>
        <v>68</v>
      </c>
      <c r="C648" s="32">
        <f t="shared" ref="C648:C711" si="23">IF(MOD(A648,$B$25)=0,$B$25,MOD(A648,$B$25))</f>
        <v>2</v>
      </c>
      <c r="D648" s="38" cm="1">
        <f t="array" ref="D648">INDEX('Base-2'!$B$2:$J$100,1+B648,C648)</f>
        <v>0</v>
      </c>
    </row>
    <row r="649" spans="1:4" x14ac:dyDescent="0.75">
      <c r="A649" s="32">
        <v>615</v>
      </c>
      <c r="B649" s="32">
        <f t="shared" si="22"/>
        <v>68</v>
      </c>
      <c r="C649" s="32">
        <f t="shared" si="23"/>
        <v>3</v>
      </c>
      <c r="D649" s="38" cm="1">
        <f t="array" ref="D649">INDEX('Base-2'!$B$2:$J$100,1+B649,C649)</f>
        <v>0</v>
      </c>
    </row>
    <row r="650" spans="1:4" x14ac:dyDescent="0.75">
      <c r="A650" s="32">
        <v>616</v>
      </c>
      <c r="B650" s="32">
        <f t="shared" si="22"/>
        <v>68</v>
      </c>
      <c r="C650" s="32">
        <f t="shared" si="23"/>
        <v>4</v>
      </c>
      <c r="D650" s="38" cm="1">
        <f t="array" ref="D650">INDEX('Base-2'!$B$2:$J$100,1+B650,C650)</f>
        <v>0</v>
      </c>
    </row>
    <row r="651" spans="1:4" x14ac:dyDescent="0.75">
      <c r="A651" s="32">
        <v>617</v>
      </c>
      <c r="B651" s="32">
        <f t="shared" si="22"/>
        <v>68</v>
      </c>
      <c r="C651" s="32">
        <f t="shared" si="23"/>
        <v>5</v>
      </c>
      <c r="D651" s="38" cm="1">
        <f t="array" ref="D651">INDEX('Base-2'!$B$2:$J$100,1+B651,C651)</f>
        <v>0</v>
      </c>
    </row>
    <row r="652" spans="1:4" x14ac:dyDescent="0.75">
      <c r="A652" s="32">
        <v>618</v>
      </c>
      <c r="B652" s="32">
        <f t="shared" si="22"/>
        <v>68</v>
      </c>
      <c r="C652" s="32">
        <f t="shared" si="23"/>
        <v>6</v>
      </c>
      <c r="D652" s="38" cm="1">
        <f t="array" ref="D652">INDEX('Base-2'!$B$2:$J$100,1+B652,C652)</f>
        <v>0</v>
      </c>
    </row>
    <row r="653" spans="1:4" x14ac:dyDescent="0.75">
      <c r="A653" s="32">
        <v>619</v>
      </c>
      <c r="B653" s="32">
        <f t="shared" si="22"/>
        <v>68</v>
      </c>
      <c r="C653" s="32">
        <f t="shared" si="23"/>
        <v>7</v>
      </c>
      <c r="D653" s="38" cm="1">
        <f t="array" ref="D653">INDEX('Base-2'!$B$2:$J$100,1+B653,C653)</f>
        <v>0</v>
      </c>
    </row>
    <row r="654" spans="1:4" x14ac:dyDescent="0.75">
      <c r="A654" s="32">
        <v>620</v>
      </c>
      <c r="B654" s="32">
        <f t="shared" si="22"/>
        <v>68</v>
      </c>
      <c r="C654" s="32">
        <f t="shared" si="23"/>
        <v>8</v>
      </c>
      <c r="D654" s="38" cm="1">
        <f t="array" ref="D654">INDEX('Base-2'!$B$2:$J$100,1+B654,C654)</f>
        <v>0</v>
      </c>
    </row>
    <row r="655" spans="1:4" x14ac:dyDescent="0.75">
      <c r="A655" s="32">
        <v>621</v>
      </c>
      <c r="B655" s="32">
        <f t="shared" si="22"/>
        <v>68</v>
      </c>
      <c r="C655" s="32">
        <f t="shared" si="23"/>
        <v>9</v>
      </c>
      <c r="D655" s="38" cm="1">
        <f t="array" ref="D655">INDEX('Base-2'!$B$2:$J$100,1+B655,C655)</f>
        <v>0</v>
      </c>
    </row>
    <row r="656" spans="1:4" x14ac:dyDescent="0.75">
      <c r="A656" s="32">
        <v>622</v>
      </c>
      <c r="B656" s="32">
        <f t="shared" si="22"/>
        <v>69</v>
      </c>
      <c r="C656" s="32">
        <f t="shared" si="23"/>
        <v>1</v>
      </c>
      <c r="D656" s="38" cm="1">
        <f t="array" ref="D656">INDEX('Base-2'!$B$2:$J$100,1+B656,C656)</f>
        <v>0</v>
      </c>
    </row>
    <row r="657" spans="1:4" x14ac:dyDescent="0.75">
      <c r="A657" s="32">
        <v>623</v>
      </c>
      <c r="B657" s="32">
        <f t="shared" si="22"/>
        <v>69</v>
      </c>
      <c r="C657" s="32">
        <f t="shared" si="23"/>
        <v>2</v>
      </c>
      <c r="D657" s="38" cm="1">
        <f t="array" ref="D657">INDEX('Base-2'!$B$2:$J$100,1+B657,C657)</f>
        <v>0</v>
      </c>
    </row>
    <row r="658" spans="1:4" x14ac:dyDescent="0.75">
      <c r="A658" s="32">
        <v>624</v>
      </c>
      <c r="B658" s="32">
        <f t="shared" si="22"/>
        <v>69</v>
      </c>
      <c r="C658" s="32">
        <f t="shared" si="23"/>
        <v>3</v>
      </c>
      <c r="D658" s="38" cm="1">
        <f t="array" ref="D658">INDEX('Base-2'!$B$2:$J$100,1+B658,C658)</f>
        <v>0</v>
      </c>
    </row>
    <row r="659" spans="1:4" x14ac:dyDescent="0.75">
      <c r="A659" s="32">
        <v>625</v>
      </c>
      <c r="B659" s="32">
        <f t="shared" si="22"/>
        <v>69</v>
      </c>
      <c r="C659" s="32">
        <f t="shared" si="23"/>
        <v>4</v>
      </c>
      <c r="D659" s="38" cm="1">
        <f t="array" ref="D659">INDEX('Base-2'!$B$2:$J$100,1+B659,C659)</f>
        <v>0</v>
      </c>
    </row>
    <row r="660" spans="1:4" x14ac:dyDescent="0.75">
      <c r="A660" s="32">
        <v>626</v>
      </c>
      <c r="B660" s="32">
        <f t="shared" si="22"/>
        <v>69</v>
      </c>
      <c r="C660" s="32">
        <f t="shared" si="23"/>
        <v>5</v>
      </c>
      <c r="D660" s="38" cm="1">
        <f t="array" ref="D660">INDEX('Base-2'!$B$2:$J$100,1+B660,C660)</f>
        <v>0</v>
      </c>
    </row>
    <row r="661" spans="1:4" x14ac:dyDescent="0.75">
      <c r="A661" s="32">
        <v>627</v>
      </c>
      <c r="B661" s="32">
        <f t="shared" si="22"/>
        <v>69</v>
      </c>
      <c r="C661" s="32">
        <f t="shared" si="23"/>
        <v>6</v>
      </c>
      <c r="D661" s="38" cm="1">
        <f t="array" ref="D661">INDEX('Base-2'!$B$2:$J$100,1+B661,C661)</f>
        <v>0</v>
      </c>
    </row>
    <row r="662" spans="1:4" x14ac:dyDescent="0.75">
      <c r="A662" s="32">
        <v>628</v>
      </c>
      <c r="B662" s="32">
        <f t="shared" si="22"/>
        <v>69</v>
      </c>
      <c r="C662" s="32">
        <f t="shared" si="23"/>
        <v>7</v>
      </c>
      <c r="D662" s="38" cm="1">
        <f t="array" ref="D662">INDEX('Base-2'!$B$2:$J$100,1+B662,C662)</f>
        <v>0</v>
      </c>
    </row>
    <row r="663" spans="1:4" x14ac:dyDescent="0.75">
      <c r="A663" s="32">
        <v>629</v>
      </c>
      <c r="B663" s="32">
        <f t="shared" si="22"/>
        <v>69</v>
      </c>
      <c r="C663" s="32">
        <f t="shared" si="23"/>
        <v>8</v>
      </c>
      <c r="D663" s="38" cm="1">
        <f t="array" ref="D663">INDEX('Base-2'!$B$2:$J$100,1+B663,C663)</f>
        <v>0</v>
      </c>
    </row>
    <row r="664" spans="1:4" x14ac:dyDescent="0.75">
      <c r="A664" s="32">
        <v>630</v>
      </c>
      <c r="B664" s="32">
        <f t="shared" si="22"/>
        <v>69</v>
      </c>
      <c r="C664" s="32">
        <f t="shared" si="23"/>
        <v>9</v>
      </c>
      <c r="D664" s="38" cm="1">
        <f t="array" ref="D664">INDEX('Base-2'!$B$2:$J$100,1+B664,C664)</f>
        <v>0</v>
      </c>
    </row>
    <row r="665" spans="1:4" x14ac:dyDescent="0.75">
      <c r="A665" s="32">
        <v>631</v>
      </c>
      <c r="B665" s="32">
        <f t="shared" si="22"/>
        <v>70</v>
      </c>
      <c r="C665" s="32">
        <f t="shared" si="23"/>
        <v>1</v>
      </c>
      <c r="D665" s="38" cm="1">
        <f t="array" ref="D665">INDEX('Base-2'!$B$2:$J$100,1+B665,C665)</f>
        <v>0</v>
      </c>
    </row>
    <row r="666" spans="1:4" x14ac:dyDescent="0.75">
      <c r="A666" s="32">
        <v>632</v>
      </c>
      <c r="B666" s="32">
        <f t="shared" si="22"/>
        <v>70</v>
      </c>
      <c r="C666" s="32">
        <f t="shared" si="23"/>
        <v>2</v>
      </c>
      <c r="D666" s="38" cm="1">
        <f t="array" ref="D666">INDEX('Base-2'!$B$2:$J$100,1+B666,C666)</f>
        <v>0</v>
      </c>
    </row>
    <row r="667" spans="1:4" x14ac:dyDescent="0.75">
      <c r="A667" s="32">
        <v>633</v>
      </c>
      <c r="B667" s="32">
        <f t="shared" si="22"/>
        <v>70</v>
      </c>
      <c r="C667" s="32">
        <f t="shared" si="23"/>
        <v>3</v>
      </c>
      <c r="D667" s="38" cm="1">
        <f t="array" ref="D667">INDEX('Base-2'!$B$2:$J$100,1+B667,C667)</f>
        <v>0</v>
      </c>
    </row>
    <row r="668" spans="1:4" x14ac:dyDescent="0.75">
      <c r="A668" s="32">
        <v>634</v>
      </c>
      <c r="B668" s="32">
        <f t="shared" si="22"/>
        <v>70</v>
      </c>
      <c r="C668" s="32">
        <f t="shared" si="23"/>
        <v>4</v>
      </c>
      <c r="D668" s="38" cm="1">
        <f t="array" ref="D668">INDEX('Base-2'!$B$2:$J$100,1+B668,C668)</f>
        <v>0</v>
      </c>
    </row>
    <row r="669" spans="1:4" x14ac:dyDescent="0.75">
      <c r="A669" s="32">
        <v>635</v>
      </c>
      <c r="B669" s="32">
        <f t="shared" si="22"/>
        <v>70</v>
      </c>
      <c r="C669" s="32">
        <f t="shared" si="23"/>
        <v>5</v>
      </c>
      <c r="D669" s="38" cm="1">
        <f t="array" ref="D669">INDEX('Base-2'!$B$2:$J$100,1+B669,C669)</f>
        <v>0</v>
      </c>
    </row>
    <row r="670" spans="1:4" x14ac:dyDescent="0.75">
      <c r="A670" s="32">
        <v>636</v>
      </c>
      <c r="B670" s="32">
        <f t="shared" si="22"/>
        <v>70</v>
      </c>
      <c r="C670" s="32">
        <f t="shared" si="23"/>
        <v>6</v>
      </c>
      <c r="D670" s="38" cm="1">
        <f t="array" ref="D670">INDEX('Base-2'!$B$2:$J$100,1+B670,C670)</f>
        <v>0</v>
      </c>
    </row>
    <row r="671" spans="1:4" x14ac:dyDescent="0.75">
      <c r="A671" s="32">
        <v>637</v>
      </c>
      <c r="B671" s="32">
        <f t="shared" si="22"/>
        <v>70</v>
      </c>
      <c r="C671" s="32">
        <f t="shared" si="23"/>
        <v>7</v>
      </c>
      <c r="D671" s="38" cm="1">
        <f t="array" ref="D671">INDEX('Base-2'!$B$2:$J$100,1+B671,C671)</f>
        <v>0</v>
      </c>
    </row>
    <row r="672" spans="1:4" x14ac:dyDescent="0.75">
      <c r="A672" s="32">
        <v>638</v>
      </c>
      <c r="B672" s="32">
        <f t="shared" si="22"/>
        <v>70</v>
      </c>
      <c r="C672" s="32">
        <f t="shared" si="23"/>
        <v>8</v>
      </c>
      <c r="D672" s="38" cm="1">
        <f t="array" ref="D672">INDEX('Base-2'!$B$2:$J$100,1+B672,C672)</f>
        <v>0</v>
      </c>
    </row>
    <row r="673" spans="1:4" x14ac:dyDescent="0.75">
      <c r="A673" s="32">
        <v>639</v>
      </c>
      <c r="B673" s="32">
        <f t="shared" si="22"/>
        <v>70</v>
      </c>
      <c r="C673" s="32">
        <f t="shared" si="23"/>
        <v>9</v>
      </c>
      <c r="D673" s="38" cm="1">
        <f t="array" ref="D673">INDEX('Base-2'!$B$2:$J$100,1+B673,C673)</f>
        <v>0</v>
      </c>
    </row>
    <row r="674" spans="1:4" x14ac:dyDescent="0.75">
      <c r="A674" s="32">
        <v>640</v>
      </c>
      <c r="B674" s="32">
        <f t="shared" si="22"/>
        <v>71</v>
      </c>
      <c r="C674" s="32">
        <f t="shared" si="23"/>
        <v>1</v>
      </c>
      <c r="D674" s="38" cm="1">
        <f t="array" ref="D674">INDEX('Base-2'!$B$2:$J$100,1+B674,C674)</f>
        <v>0</v>
      </c>
    </row>
    <row r="675" spans="1:4" x14ac:dyDescent="0.75">
      <c r="A675" s="32">
        <v>641</v>
      </c>
      <c r="B675" s="32">
        <f t="shared" si="22"/>
        <v>71</v>
      </c>
      <c r="C675" s="32">
        <f t="shared" si="23"/>
        <v>2</v>
      </c>
      <c r="D675" s="38" cm="1">
        <f t="array" ref="D675">INDEX('Base-2'!$B$2:$J$100,1+B675,C675)</f>
        <v>0</v>
      </c>
    </row>
    <row r="676" spans="1:4" x14ac:dyDescent="0.75">
      <c r="A676" s="32">
        <v>642</v>
      </c>
      <c r="B676" s="32">
        <f t="shared" si="22"/>
        <v>71</v>
      </c>
      <c r="C676" s="32">
        <f t="shared" si="23"/>
        <v>3</v>
      </c>
      <c r="D676" s="38" cm="1">
        <f t="array" ref="D676">INDEX('Base-2'!$B$2:$J$100,1+B676,C676)</f>
        <v>0</v>
      </c>
    </row>
    <row r="677" spans="1:4" x14ac:dyDescent="0.75">
      <c r="A677" s="32">
        <v>643</v>
      </c>
      <c r="B677" s="32">
        <f t="shared" si="22"/>
        <v>71</v>
      </c>
      <c r="C677" s="32">
        <f t="shared" si="23"/>
        <v>4</v>
      </c>
      <c r="D677" s="38" cm="1">
        <f t="array" ref="D677">INDEX('Base-2'!$B$2:$J$100,1+B677,C677)</f>
        <v>0</v>
      </c>
    </row>
    <row r="678" spans="1:4" x14ac:dyDescent="0.75">
      <c r="A678" s="32">
        <v>644</v>
      </c>
      <c r="B678" s="32">
        <f t="shared" si="22"/>
        <v>71</v>
      </c>
      <c r="C678" s="32">
        <f t="shared" si="23"/>
        <v>5</v>
      </c>
      <c r="D678" s="38" cm="1">
        <f t="array" ref="D678">INDEX('Base-2'!$B$2:$J$100,1+B678,C678)</f>
        <v>0</v>
      </c>
    </row>
    <row r="679" spans="1:4" x14ac:dyDescent="0.75">
      <c r="A679" s="32">
        <v>645</v>
      </c>
      <c r="B679" s="32">
        <f t="shared" si="22"/>
        <v>71</v>
      </c>
      <c r="C679" s="32">
        <f t="shared" si="23"/>
        <v>6</v>
      </c>
      <c r="D679" s="38" cm="1">
        <f t="array" ref="D679">INDEX('Base-2'!$B$2:$J$100,1+B679,C679)</f>
        <v>0</v>
      </c>
    </row>
    <row r="680" spans="1:4" x14ac:dyDescent="0.75">
      <c r="A680" s="32">
        <v>646</v>
      </c>
      <c r="B680" s="32">
        <f t="shared" si="22"/>
        <v>71</v>
      </c>
      <c r="C680" s="32">
        <f t="shared" si="23"/>
        <v>7</v>
      </c>
      <c r="D680" s="38" cm="1">
        <f t="array" ref="D680">INDEX('Base-2'!$B$2:$J$100,1+B680,C680)</f>
        <v>0</v>
      </c>
    </row>
    <row r="681" spans="1:4" x14ac:dyDescent="0.75">
      <c r="A681" s="32">
        <v>647</v>
      </c>
      <c r="B681" s="32">
        <f t="shared" si="22"/>
        <v>71</v>
      </c>
      <c r="C681" s="32">
        <f t="shared" si="23"/>
        <v>8</v>
      </c>
      <c r="D681" s="38" cm="1">
        <f t="array" ref="D681">INDEX('Base-2'!$B$2:$J$100,1+B681,C681)</f>
        <v>0</v>
      </c>
    </row>
    <row r="682" spans="1:4" x14ac:dyDescent="0.75">
      <c r="A682" s="32">
        <v>648</v>
      </c>
      <c r="B682" s="32">
        <f t="shared" si="22"/>
        <v>71</v>
      </c>
      <c r="C682" s="32">
        <f t="shared" si="23"/>
        <v>9</v>
      </c>
      <c r="D682" s="38" cm="1">
        <f t="array" ref="D682">INDEX('Base-2'!$B$2:$J$100,1+B682,C682)</f>
        <v>0</v>
      </c>
    </row>
    <row r="683" spans="1:4" x14ac:dyDescent="0.75">
      <c r="A683" s="32">
        <v>649</v>
      </c>
      <c r="B683" s="32">
        <f t="shared" si="22"/>
        <v>72</v>
      </c>
      <c r="C683" s="32">
        <f t="shared" si="23"/>
        <v>1</v>
      </c>
      <c r="D683" s="38" cm="1">
        <f t="array" ref="D683">INDEX('Base-2'!$B$2:$J$100,1+B683,C683)</f>
        <v>0</v>
      </c>
    </row>
    <row r="684" spans="1:4" x14ac:dyDescent="0.75">
      <c r="A684" s="32">
        <v>650</v>
      </c>
      <c r="B684" s="32">
        <f t="shared" si="22"/>
        <v>72</v>
      </c>
      <c r="C684" s="32">
        <f t="shared" si="23"/>
        <v>2</v>
      </c>
      <c r="D684" s="38" cm="1">
        <f t="array" ref="D684">INDEX('Base-2'!$B$2:$J$100,1+B684,C684)</f>
        <v>0</v>
      </c>
    </row>
    <row r="685" spans="1:4" x14ac:dyDescent="0.75">
      <c r="A685" s="32">
        <v>651</v>
      </c>
      <c r="B685" s="32">
        <f t="shared" si="22"/>
        <v>72</v>
      </c>
      <c r="C685" s="32">
        <f t="shared" si="23"/>
        <v>3</v>
      </c>
      <c r="D685" s="38" cm="1">
        <f t="array" ref="D685">INDEX('Base-2'!$B$2:$J$100,1+B685,C685)</f>
        <v>0</v>
      </c>
    </row>
    <row r="686" spans="1:4" x14ac:dyDescent="0.75">
      <c r="A686" s="32">
        <v>652</v>
      </c>
      <c r="B686" s="32">
        <f t="shared" si="22"/>
        <v>72</v>
      </c>
      <c r="C686" s="32">
        <f t="shared" si="23"/>
        <v>4</v>
      </c>
      <c r="D686" s="38" cm="1">
        <f t="array" ref="D686">INDEX('Base-2'!$B$2:$J$100,1+B686,C686)</f>
        <v>0</v>
      </c>
    </row>
    <row r="687" spans="1:4" x14ac:dyDescent="0.75">
      <c r="A687" s="32">
        <v>653</v>
      </c>
      <c r="B687" s="32">
        <f t="shared" si="22"/>
        <v>72</v>
      </c>
      <c r="C687" s="32">
        <f t="shared" si="23"/>
        <v>5</v>
      </c>
      <c r="D687" s="38" cm="1">
        <f t="array" ref="D687">INDEX('Base-2'!$B$2:$J$100,1+B687,C687)</f>
        <v>0</v>
      </c>
    </row>
    <row r="688" spans="1:4" x14ac:dyDescent="0.75">
      <c r="A688" s="32">
        <v>654</v>
      </c>
      <c r="B688" s="32">
        <f t="shared" si="22"/>
        <v>72</v>
      </c>
      <c r="C688" s="32">
        <f t="shared" si="23"/>
        <v>6</v>
      </c>
      <c r="D688" s="38" cm="1">
        <f t="array" ref="D688">INDEX('Base-2'!$B$2:$J$100,1+B688,C688)</f>
        <v>0</v>
      </c>
    </row>
    <row r="689" spans="1:4" x14ac:dyDescent="0.75">
      <c r="A689" s="32">
        <v>655</v>
      </c>
      <c r="B689" s="32">
        <f t="shared" si="22"/>
        <v>72</v>
      </c>
      <c r="C689" s="32">
        <f t="shared" si="23"/>
        <v>7</v>
      </c>
      <c r="D689" s="38" cm="1">
        <f t="array" ref="D689">INDEX('Base-2'!$B$2:$J$100,1+B689,C689)</f>
        <v>0</v>
      </c>
    </row>
    <row r="690" spans="1:4" x14ac:dyDescent="0.75">
      <c r="A690" s="32">
        <v>656</v>
      </c>
      <c r="B690" s="32">
        <f t="shared" si="22"/>
        <v>72</v>
      </c>
      <c r="C690" s="32">
        <f t="shared" si="23"/>
        <v>8</v>
      </c>
      <c r="D690" s="38" cm="1">
        <f t="array" ref="D690">INDEX('Base-2'!$B$2:$J$100,1+B690,C690)</f>
        <v>0</v>
      </c>
    </row>
    <row r="691" spans="1:4" x14ac:dyDescent="0.75">
      <c r="A691" s="32">
        <v>657</v>
      </c>
      <c r="B691" s="32">
        <f t="shared" si="22"/>
        <v>72</v>
      </c>
      <c r="C691" s="32">
        <f t="shared" si="23"/>
        <v>9</v>
      </c>
      <c r="D691" s="38" cm="1">
        <f t="array" ref="D691">INDEX('Base-2'!$B$2:$J$100,1+B691,C691)</f>
        <v>0</v>
      </c>
    </row>
    <row r="692" spans="1:4" x14ac:dyDescent="0.75">
      <c r="A692" s="32">
        <v>658</v>
      </c>
      <c r="B692" s="32">
        <f t="shared" si="22"/>
        <v>73</v>
      </c>
      <c r="C692" s="32">
        <f t="shared" si="23"/>
        <v>1</v>
      </c>
      <c r="D692" s="38" cm="1">
        <f t="array" ref="D692">INDEX('Base-2'!$B$2:$J$100,1+B692,C692)</f>
        <v>0</v>
      </c>
    </row>
    <row r="693" spans="1:4" x14ac:dyDescent="0.75">
      <c r="A693" s="32">
        <v>659</v>
      </c>
      <c r="B693" s="32">
        <f t="shared" si="22"/>
        <v>73</v>
      </c>
      <c r="C693" s="32">
        <f t="shared" si="23"/>
        <v>2</v>
      </c>
      <c r="D693" s="38" cm="1">
        <f t="array" ref="D693">INDEX('Base-2'!$B$2:$J$100,1+B693,C693)</f>
        <v>0</v>
      </c>
    </row>
    <row r="694" spans="1:4" x14ac:dyDescent="0.75">
      <c r="A694" s="32">
        <v>660</v>
      </c>
      <c r="B694" s="32">
        <f t="shared" si="22"/>
        <v>73</v>
      </c>
      <c r="C694" s="32">
        <f t="shared" si="23"/>
        <v>3</v>
      </c>
      <c r="D694" s="38" cm="1">
        <f t="array" ref="D694">INDEX('Base-2'!$B$2:$J$100,1+B694,C694)</f>
        <v>0</v>
      </c>
    </row>
    <row r="695" spans="1:4" x14ac:dyDescent="0.75">
      <c r="A695" s="32">
        <v>661</v>
      </c>
      <c r="B695" s="32">
        <f t="shared" si="22"/>
        <v>73</v>
      </c>
      <c r="C695" s="32">
        <f t="shared" si="23"/>
        <v>4</v>
      </c>
      <c r="D695" s="38" cm="1">
        <f t="array" ref="D695">INDEX('Base-2'!$B$2:$J$100,1+B695,C695)</f>
        <v>0</v>
      </c>
    </row>
    <row r="696" spans="1:4" x14ac:dyDescent="0.75">
      <c r="A696" s="32">
        <v>662</v>
      </c>
      <c r="B696" s="32">
        <f t="shared" si="22"/>
        <v>73</v>
      </c>
      <c r="C696" s="32">
        <f t="shared" si="23"/>
        <v>5</v>
      </c>
      <c r="D696" s="38" cm="1">
        <f t="array" ref="D696">INDEX('Base-2'!$B$2:$J$100,1+B696,C696)</f>
        <v>0</v>
      </c>
    </row>
    <row r="697" spans="1:4" x14ac:dyDescent="0.75">
      <c r="A697" s="32">
        <v>663</v>
      </c>
      <c r="B697" s="32">
        <f t="shared" si="22"/>
        <v>73</v>
      </c>
      <c r="C697" s="32">
        <f t="shared" si="23"/>
        <v>6</v>
      </c>
      <c r="D697" s="38" cm="1">
        <f t="array" ref="D697">INDEX('Base-2'!$B$2:$J$100,1+B697,C697)</f>
        <v>0</v>
      </c>
    </row>
    <row r="698" spans="1:4" x14ac:dyDescent="0.75">
      <c r="A698" s="32">
        <v>664</v>
      </c>
      <c r="B698" s="32">
        <f t="shared" si="22"/>
        <v>73</v>
      </c>
      <c r="C698" s="32">
        <f t="shared" si="23"/>
        <v>7</v>
      </c>
      <c r="D698" s="38" cm="1">
        <f t="array" ref="D698">INDEX('Base-2'!$B$2:$J$100,1+B698,C698)</f>
        <v>0</v>
      </c>
    </row>
    <row r="699" spans="1:4" x14ac:dyDescent="0.75">
      <c r="A699" s="32">
        <v>665</v>
      </c>
      <c r="B699" s="32">
        <f t="shared" si="22"/>
        <v>73</v>
      </c>
      <c r="C699" s="32">
        <f t="shared" si="23"/>
        <v>8</v>
      </c>
      <c r="D699" s="38" cm="1">
        <f t="array" ref="D699">INDEX('Base-2'!$B$2:$J$100,1+B699,C699)</f>
        <v>0</v>
      </c>
    </row>
    <row r="700" spans="1:4" x14ac:dyDescent="0.75">
      <c r="A700" s="32">
        <v>666</v>
      </c>
      <c r="B700" s="32">
        <f t="shared" si="22"/>
        <v>73</v>
      </c>
      <c r="C700" s="32">
        <f t="shared" si="23"/>
        <v>9</v>
      </c>
      <c r="D700" s="38" cm="1">
        <f t="array" ref="D700">INDEX('Base-2'!$B$2:$J$100,1+B700,C700)</f>
        <v>0</v>
      </c>
    </row>
    <row r="701" spans="1:4" x14ac:dyDescent="0.75">
      <c r="A701" s="32">
        <v>667</v>
      </c>
      <c r="B701" s="32">
        <f t="shared" si="22"/>
        <v>74</v>
      </c>
      <c r="C701" s="32">
        <f t="shared" si="23"/>
        <v>1</v>
      </c>
      <c r="D701" s="38" cm="1">
        <f t="array" ref="D701">INDEX('Base-2'!$B$2:$J$100,1+B701,C701)</f>
        <v>0</v>
      </c>
    </row>
    <row r="702" spans="1:4" x14ac:dyDescent="0.75">
      <c r="A702" s="32">
        <v>668</v>
      </c>
      <c r="B702" s="32">
        <f t="shared" si="22"/>
        <v>74</v>
      </c>
      <c r="C702" s="32">
        <f t="shared" si="23"/>
        <v>2</v>
      </c>
      <c r="D702" s="38" cm="1">
        <f t="array" ref="D702">INDEX('Base-2'!$B$2:$J$100,1+B702,C702)</f>
        <v>0</v>
      </c>
    </row>
    <row r="703" spans="1:4" x14ac:dyDescent="0.75">
      <c r="A703" s="32">
        <v>669</v>
      </c>
      <c r="B703" s="32">
        <f t="shared" si="22"/>
        <v>74</v>
      </c>
      <c r="C703" s="32">
        <f t="shared" si="23"/>
        <v>3</v>
      </c>
      <c r="D703" s="38" cm="1">
        <f t="array" ref="D703">INDEX('Base-2'!$B$2:$J$100,1+B703,C703)</f>
        <v>0</v>
      </c>
    </row>
    <row r="704" spans="1:4" x14ac:dyDescent="0.75">
      <c r="A704" s="32">
        <v>670</v>
      </c>
      <c r="B704" s="32">
        <f t="shared" si="22"/>
        <v>74</v>
      </c>
      <c r="C704" s="32">
        <f t="shared" si="23"/>
        <v>4</v>
      </c>
      <c r="D704" s="38" cm="1">
        <f t="array" ref="D704">INDEX('Base-2'!$B$2:$J$100,1+B704,C704)</f>
        <v>0</v>
      </c>
    </row>
    <row r="705" spans="1:4" x14ac:dyDescent="0.75">
      <c r="A705" s="32">
        <v>671</v>
      </c>
      <c r="B705" s="32">
        <f t="shared" si="22"/>
        <v>74</v>
      </c>
      <c r="C705" s="32">
        <f t="shared" si="23"/>
        <v>5</v>
      </c>
      <c r="D705" s="38" cm="1">
        <f t="array" ref="D705">INDEX('Base-2'!$B$2:$J$100,1+B705,C705)</f>
        <v>0</v>
      </c>
    </row>
    <row r="706" spans="1:4" x14ac:dyDescent="0.75">
      <c r="A706" s="32">
        <v>672</v>
      </c>
      <c r="B706" s="32">
        <f t="shared" si="22"/>
        <v>74</v>
      </c>
      <c r="C706" s="32">
        <f t="shared" si="23"/>
        <v>6</v>
      </c>
      <c r="D706" s="38" cm="1">
        <f t="array" ref="D706">INDEX('Base-2'!$B$2:$J$100,1+B706,C706)</f>
        <v>0</v>
      </c>
    </row>
    <row r="707" spans="1:4" x14ac:dyDescent="0.75">
      <c r="A707" s="32">
        <v>673</v>
      </c>
      <c r="B707" s="32">
        <f t="shared" si="22"/>
        <v>74</v>
      </c>
      <c r="C707" s="32">
        <f t="shared" si="23"/>
        <v>7</v>
      </c>
      <c r="D707" s="38" cm="1">
        <f t="array" ref="D707">INDEX('Base-2'!$B$2:$J$100,1+B707,C707)</f>
        <v>0</v>
      </c>
    </row>
    <row r="708" spans="1:4" x14ac:dyDescent="0.75">
      <c r="A708" s="32">
        <v>674</v>
      </c>
      <c r="B708" s="32">
        <f t="shared" si="22"/>
        <v>74</v>
      </c>
      <c r="C708" s="32">
        <f t="shared" si="23"/>
        <v>8</v>
      </c>
      <c r="D708" s="38" cm="1">
        <f t="array" ref="D708">INDEX('Base-2'!$B$2:$J$100,1+B708,C708)</f>
        <v>0</v>
      </c>
    </row>
    <row r="709" spans="1:4" x14ac:dyDescent="0.75">
      <c r="A709" s="32">
        <v>675</v>
      </c>
      <c r="B709" s="32">
        <f t="shared" si="22"/>
        <v>74</v>
      </c>
      <c r="C709" s="32">
        <f t="shared" si="23"/>
        <v>9</v>
      </c>
      <c r="D709" s="38" cm="1">
        <f t="array" ref="D709">INDEX('Base-2'!$B$2:$J$100,1+B709,C709)</f>
        <v>0</v>
      </c>
    </row>
    <row r="710" spans="1:4" x14ac:dyDescent="0.75">
      <c r="A710" s="32">
        <v>676</v>
      </c>
      <c r="B710" s="32">
        <f t="shared" si="22"/>
        <v>75</v>
      </c>
      <c r="C710" s="32">
        <f t="shared" si="23"/>
        <v>1</v>
      </c>
      <c r="D710" s="38" cm="1">
        <f t="array" ref="D710">INDEX('Base-2'!$B$2:$J$100,1+B710,C710)</f>
        <v>0</v>
      </c>
    </row>
    <row r="711" spans="1:4" x14ac:dyDescent="0.75">
      <c r="A711" s="32">
        <v>677</v>
      </c>
      <c r="B711" s="32">
        <f t="shared" si="22"/>
        <v>75</v>
      </c>
      <c r="C711" s="32">
        <f t="shared" si="23"/>
        <v>2</v>
      </c>
      <c r="D711" s="38" cm="1">
        <f t="array" ref="D711">INDEX('Base-2'!$B$2:$J$100,1+B711,C711)</f>
        <v>0</v>
      </c>
    </row>
    <row r="712" spans="1:4" x14ac:dyDescent="0.75">
      <c r="A712" s="32">
        <v>678</v>
      </c>
      <c r="B712" s="32">
        <f t="shared" ref="B712:B775" si="24">IF(MOD(A712,$B$25)=0,A712/$B$25-1,INT(A712/$B$25))</f>
        <v>75</v>
      </c>
      <c r="C712" s="32">
        <f t="shared" ref="C712:C775" si="25">IF(MOD(A712,$B$25)=0,$B$25,MOD(A712,$B$25))</f>
        <v>3</v>
      </c>
      <c r="D712" s="38" cm="1">
        <f t="array" ref="D712">INDEX('Base-2'!$B$2:$J$100,1+B712,C712)</f>
        <v>0</v>
      </c>
    </row>
    <row r="713" spans="1:4" x14ac:dyDescent="0.75">
      <c r="A713" s="32">
        <v>679</v>
      </c>
      <c r="B713" s="32">
        <f t="shared" si="24"/>
        <v>75</v>
      </c>
      <c r="C713" s="32">
        <f t="shared" si="25"/>
        <v>4</v>
      </c>
      <c r="D713" s="38" cm="1">
        <f t="array" ref="D713">INDEX('Base-2'!$B$2:$J$100,1+B713,C713)</f>
        <v>0</v>
      </c>
    </row>
    <row r="714" spans="1:4" x14ac:dyDescent="0.75">
      <c r="A714" s="32">
        <v>680</v>
      </c>
      <c r="B714" s="32">
        <f t="shared" si="24"/>
        <v>75</v>
      </c>
      <c r="C714" s="32">
        <f t="shared" si="25"/>
        <v>5</v>
      </c>
      <c r="D714" s="38" cm="1">
        <f t="array" ref="D714">INDEX('Base-2'!$B$2:$J$100,1+B714,C714)</f>
        <v>0</v>
      </c>
    </row>
    <row r="715" spans="1:4" x14ac:dyDescent="0.75">
      <c r="A715" s="32">
        <v>681</v>
      </c>
      <c r="B715" s="32">
        <f t="shared" si="24"/>
        <v>75</v>
      </c>
      <c r="C715" s="32">
        <f t="shared" si="25"/>
        <v>6</v>
      </c>
      <c r="D715" s="38" cm="1">
        <f t="array" ref="D715">INDEX('Base-2'!$B$2:$J$100,1+B715,C715)</f>
        <v>0</v>
      </c>
    </row>
    <row r="716" spans="1:4" x14ac:dyDescent="0.75">
      <c r="A716" s="32">
        <v>682</v>
      </c>
      <c r="B716" s="32">
        <f t="shared" si="24"/>
        <v>75</v>
      </c>
      <c r="C716" s="32">
        <f t="shared" si="25"/>
        <v>7</v>
      </c>
      <c r="D716" s="38" cm="1">
        <f t="array" ref="D716">INDEX('Base-2'!$B$2:$J$100,1+B716,C716)</f>
        <v>0</v>
      </c>
    </row>
    <row r="717" spans="1:4" x14ac:dyDescent="0.75">
      <c r="A717" s="32">
        <v>683</v>
      </c>
      <c r="B717" s="32">
        <f t="shared" si="24"/>
        <v>75</v>
      </c>
      <c r="C717" s="32">
        <f t="shared" si="25"/>
        <v>8</v>
      </c>
      <c r="D717" s="38" cm="1">
        <f t="array" ref="D717">INDEX('Base-2'!$B$2:$J$100,1+B717,C717)</f>
        <v>0</v>
      </c>
    </row>
    <row r="718" spans="1:4" x14ac:dyDescent="0.75">
      <c r="A718" s="32">
        <v>684</v>
      </c>
      <c r="B718" s="32">
        <f t="shared" si="24"/>
        <v>75</v>
      </c>
      <c r="C718" s="32">
        <f t="shared" si="25"/>
        <v>9</v>
      </c>
      <c r="D718" s="38" cm="1">
        <f t="array" ref="D718">INDEX('Base-2'!$B$2:$J$100,1+B718,C718)</f>
        <v>0</v>
      </c>
    </row>
    <row r="719" spans="1:4" x14ac:dyDescent="0.75">
      <c r="A719" s="32">
        <v>685</v>
      </c>
      <c r="B719" s="32">
        <f t="shared" si="24"/>
        <v>76</v>
      </c>
      <c r="C719" s="32">
        <f t="shared" si="25"/>
        <v>1</v>
      </c>
      <c r="D719" s="38" cm="1">
        <f t="array" ref="D719">INDEX('Base-2'!$B$2:$J$100,1+B719,C719)</f>
        <v>0</v>
      </c>
    </row>
    <row r="720" spans="1:4" x14ac:dyDescent="0.75">
      <c r="A720" s="32">
        <v>686</v>
      </c>
      <c r="B720" s="32">
        <f t="shared" si="24"/>
        <v>76</v>
      </c>
      <c r="C720" s="32">
        <f t="shared" si="25"/>
        <v>2</v>
      </c>
      <c r="D720" s="38" cm="1">
        <f t="array" ref="D720">INDEX('Base-2'!$B$2:$J$100,1+B720,C720)</f>
        <v>0</v>
      </c>
    </row>
    <row r="721" spans="1:4" x14ac:dyDescent="0.75">
      <c r="A721" s="32">
        <v>687</v>
      </c>
      <c r="B721" s="32">
        <f t="shared" si="24"/>
        <v>76</v>
      </c>
      <c r="C721" s="32">
        <f t="shared" si="25"/>
        <v>3</v>
      </c>
      <c r="D721" s="38" cm="1">
        <f t="array" ref="D721">INDEX('Base-2'!$B$2:$J$100,1+B721,C721)</f>
        <v>0</v>
      </c>
    </row>
    <row r="722" spans="1:4" x14ac:dyDescent="0.75">
      <c r="A722" s="32">
        <v>688</v>
      </c>
      <c r="B722" s="32">
        <f t="shared" si="24"/>
        <v>76</v>
      </c>
      <c r="C722" s="32">
        <f t="shared" si="25"/>
        <v>4</v>
      </c>
      <c r="D722" s="38" cm="1">
        <f t="array" ref="D722">INDEX('Base-2'!$B$2:$J$100,1+B722,C722)</f>
        <v>0</v>
      </c>
    </row>
    <row r="723" spans="1:4" x14ac:dyDescent="0.75">
      <c r="A723" s="32">
        <v>689</v>
      </c>
      <c r="B723" s="32">
        <f t="shared" si="24"/>
        <v>76</v>
      </c>
      <c r="C723" s="32">
        <f t="shared" si="25"/>
        <v>5</v>
      </c>
      <c r="D723" s="38" cm="1">
        <f t="array" ref="D723">INDEX('Base-2'!$B$2:$J$100,1+B723,C723)</f>
        <v>0</v>
      </c>
    </row>
    <row r="724" spans="1:4" x14ac:dyDescent="0.75">
      <c r="A724" s="32">
        <v>690</v>
      </c>
      <c r="B724" s="32">
        <f t="shared" si="24"/>
        <v>76</v>
      </c>
      <c r="C724" s="32">
        <f t="shared" si="25"/>
        <v>6</v>
      </c>
      <c r="D724" s="38" cm="1">
        <f t="array" ref="D724">INDEX('Base-2'!$B$2:$J$100,1+B724,C724)</f>
        <v>0</v>
      </c>
    </row>
    <row r="725" spans="1:4" x14ac:dyDescent="0.75">
      <c r="A725" s="32">
        <v>691</v>
      </c>
      <c r="B725" s="32">
        <f t="shared" si="24"/>
        <v>76</v>
      </c>
      <c r="C725" s="32">
        <f t="shared" si="25"/>
        <v>7</v>
      </c>
      <c r="D725" s="38" cm="1">
        <f t="array" ref="D725">INDEX('Base-2'!$B$2:$J$100,1+B725,C725)</f>
        <v>0</v>
      </c>
    </row>
    <row r="726" spans="1:4" x14ac:dyDescent="0.75">
      <c r="A726" s="32">
        <v>692</v>
      </c>
      <c r="B726" s="32">
        <f t="shared" si="24"/>
        <v>76</v>
      </c>
      <c r="C726" s="32">
        <f t="shared" si="25"/>
        <v>8</v>
      </c>
      <c r="D726" s="38" cm="1">
        <f t="array" ref="D726">INDEX('Base-2'!$B$2:$J$100,1+B726,C726)</f>
        <v>0</v>
      </c>
    </row>
    <row r="727" spans="1:4" x14ac:dyDescent="0.75">
      <c r="A727" s="32">
        <v>693</v>
      </c>
      <c r="B727" s="32">
        <f t="shared" si="24"/>
        <v>76</v>
      </c>
      <c r="C727" s="32">
        <f t="shared" si="25"/>
        <v>9</v>
      </c>
      <c r="D727" s="38" cm="1">
        <f t="array" ref="D727">INDEX('Base-2'!$B$2:$J$100,1+B727,C727)</f>
        <v>0</v>
      </c>
    </row>
    <row r="728" spans="1:4" x14ac:dyDescent="0.75">
      <c r="A728" s="32">
        <v>694</v>
      </c>
      <c r="B728" s="32">
        <f t="shared" si="24"/>
        <v>77</v>
      </c>
      <c r="C728" s="32">
        <f t="shared" si="25"/>
        <v>1</v>
      </c>
      <c r="D728" s="38" cm="1">
        <f t="array" ref="D728">INDEX('Base-2'!$B$2:$J$100,1+B728,C728)</f>
        <v>0</v>
      </c>
    </row>
    <row r="729" spans="1:4" x14ac:dyDescent="0.75">
      <c r="A729" s="32">
        <v>695</v>
      </c>
      <c r="B729" s="32">
        <f t="shared" si="24"/>
        <v>77</v>
      </c>
      <c r="C729" s="32">
        <f t="shared" si="25"/>
        <v>2</v>
      </c>
      <c r="D729" s="38" cm="1">
        <f t="array" ref="D729">INDEX('Base-2'!$B$2:$J$100,1+B729,C729)</f>
        <v>0</v>
      </c>
    </row>
    <row r="730" spans="1:4" x14ac:dyDescent="0.75">
      <c r="A730" s="32">
        <v>696</v>
      </c>
      <c r="B730" s="32">
        <f t="shared" si="24"/>
        <v>77</v>
      </c>
      <c r="C730" s="32">
        <f t="shared" si="25"/>
        <v>3</v>
      </c>
      <c r="D730" s="38" cm="1">
        <f t="array" ref="D730">INDEX('Base-2'!$B$2:$J$100,1+B730,C730)</f>
        <v>0</v>
      </c>
    </row>
    <row r="731" spans="1:4" x14ac:dyDescent="0.75">
      <c r="A731" s="32">
        <v>697</v>
      </c>
      <c r="B731" s="32">
        <f t="shared" si="24"/>
        <v>77</v>
      </c>
      <c r="C731" s="32">
        <f t="shared" si="25"/>
        <v>4</v>
      </c>
      <c r="D731" s="38" cm="1">
        <f t="array" ref="D731">INDEX('Base-2'!$B$2:$J$100,1+B731,C731)</f>
        <v>0</v>
      </c>
    </row>
    <row r="732" spans="1:4" x14ac:dyDescent="0.75">
      <c r="A732" s="32">
        <v>698</v>
      </c>
      <c r="B732" s="32">
        <f t="shared" si="24"/>
        <v>77</v>
      </c>
      <c r="C732" s="32">
        <f t="shared" si="25"/>
        <v>5</v>
      </c>
      <c r="D732" s="38" cm="1">
        <f t="array" ref="D732">INDEX('Base-2'!$B$2:$J$100,1+B732,C732)</f>
        <v>0</v>
      </c>
    </row>
    <row r="733" spans="1:4" x14ac:dyDescent="0.75">
      <c r="A733" s="32">
        <v>699</v>
      </c>
      <c r="B733" s="32">
        <f t="shared" si="24"/>
        <v>77</v>
      </c>
      <c r="C733" s="32">
        <f t="shared" si="25"/>
        <v>6</v>
      </c>
      <c r="D733" s="38" cm="1">
        <f t="array" ref="D733">INDEX('Base-2'!$B$2:$J$100,1+B733,C733)</f>
        <v>0</v>
      </c>
    </row>
    <row r="734" spans="1:4" x14ac:dyDescent="0.75">
      <c r="A734" s="32">
        <v>700</v>
      </c>
      <c r="B734" s="32">
        <f t="shared" si="24"/>
        <v>77</v>
      </c>
      <c r="C734" s="32">
        <f t="shared" si="25"/>
        <v>7</v>
      </c>
      <c r="D734" s="38" cm="1">
        <f t="array" ref="D734">INDEX('Base-2'!$B$2:$J$100,1+B734,C734)</f>
        <v>0</v>
      </c>
    </row>
    <row r="735" spans="1:4" x14ac:dyDescent="0.75">
      <c r="A735" s="32">
        <v>701</v>
      </c>
      <c r="B735" s="32">
        <f t="shared" si="24"/>
        <v>77</v>
      </c>
      <c r="C735" s="32">
        <f t="shared" si="25"/>
        <v>8</v>
      </c>
      <c r="D735" s="38" cm="1">
        <f t="array" ref="D735">INDEX('Base-2'!$B$2:$J$100,1+B735,C735)</f>
        <v>0</v>
      </c>
    </row>
    <row r="736" spans="1:4" x14ac:dyDescent="0.75">
      <c r="A736" s="32">
        <v>702</v>
      </c>
      <c r="B736" s="32">
        <f t="shared" si="24"/>
        <v>77</v>
      </c>
      <c r="C736" s="32">
        <f t="shared" si="25"/>
        <v>9</v>
      </c>
      <c r="D736" s="38" cm="1">
        <f t="array" ref="D736">INDEX('Base-2'!$B$2:$J$100,1+B736,C736)</f>
        <v>0</v>
      </c>
    </row>
    <row r="737" spans="1:4" x14ac:dyDescent="0.75">
      <c r="A737" s="32">
        <v>703</v>
      </c>
      <c r="B737" s="32">
        <f t="shared" si="24"/>
        <v>78</v>
      </c>
      <c r="C737" s="32">
        <f t="shared" si="25"/>
        <v>1</v>
      </c>
      <c r="D737" s="38" cm="1">
        <f t="array" ref="D737">INDEX('Base-2'!$B$2:$J$100,1+B737,C737)</f>
        <v>0</v>
      </c>
    </row>
    <row r="738" spans="1:4" x14ac:dyDescent="0.75">
      <c r="A738" s="32">
        <v>704</v>
      </c>
      <c r="B738" s="32">
        <f t="shared" si="24"/>
        <v>78</v>
      </c>
      <c r="C738" s="32">
        <f t="shared" si="25"/>
        <v>2</v>
      </c>
      <c r="D738" s="38" cm="1">
        <f t="array" ref="D738">INDEX('Base-2'!$B$2:$J$100,1+B738,C738)</f>
        <v>0</v>
      </c>
    </row>
    <row r="739" spans="1:4" x14ac:dyDescent="0.75">
      <c r="A739" s="32">
        <v>705</v>
      </c>
      <c r="B739" s="32">
        <f t="shared" si="24"/>
        <v>78</v>
      </c>
      <c r="C739" s="32">
        <f t="shared" si="25"/>
        <v>3</v>
      </c>
      <c r="D739" s="38" cm="1">
        <f t="array" ref="D739">INDEX('Base-2'!$B$2:$J$100,1+B739,C739)</f>
        <v>0</v>
      </c>
    </row>
    <row r="740" spans="1:4" x14ac:dyDescent="0.75">
      <c r="A740" s="32">
        <v>706</v>
      </c>
      <c r="B740" s="32">
        <f t="shared" si="24"/>
        <v>78</v>
      </c>
      <c r="C740" s="32">
        <f t="shared" si="25"/>
        <v>4</v>
      </c>
      <c r="D740" s="38" cm="1">
        <f t="array" ref="D740">INDEX('Base-2'!$B$2:$J$100,1+B740,C740)</f>
        <v>0</v>
      </c>
    </row>
    <row r="741" spans="1:4" x14ac:dyDescent="0.75">
      <c r="A741" s="32">
        <v>707</v>
      </c>
      <c r="B741" s="32">
        <f t="shared" si="24"/>
        <v>78</v>
      </c>
      <c r="C741" s="32">
        <f t="shared" si="25"/>
        <v>5</v>
      </c>
      <c r="D741" s="38" cm="1">
        <f t="array" ref="D741">INDEX('Base-2'!$B$2:$J$100,1+B741,C741)</f>
        <v>0</v>
      </c>
    </row>
    <row r="742" spans="1:4" x14ac:dyDescent="0.75">
      <c r="A742" s="32">
        <v>708</v>
      </c>
      <c r="B742" s="32">
        <f t="shared" si="24"/>
        <v>78</v>
      </c>
      <c r="C742" s="32">
        <f t="shared" si="25"/>
        <v>6</v>
      </c>
      <c r="D742" s="38" cm="1">
        <f t="array" ref="D742">INDEX('Base-2'!$B$2:$J$100,1+B742,C742)</f>
        <v>0</v>
      </c>
    </row>
    <row r="743" spans="1:4" x14ac:dyDescent="0.75">
      <c r="A743" s="32">
        <v>709</v>
      </c>
      <c r="B743" s="32">
        <f t="shared" si="24"/>
        <v>78</v>
      </c>
      <c r="C743" s="32">
        <f t="shared" si="25"/>
        <v>7</v>
      </c>
      <c r="D743" s="38" cm="1">
        <f t="array" ref="D743">INDEX('Base-2'!$B$2:$J$100,1+B743,C743)</f>
        <v>0</v>
      </c>
    </row>
    <row r="744" spans="1:4" x14ac:dyDescent="0.75">
      <c r="A744" s="32">
        <v>710</v>
      </c>
      <c r="B744" s="32">
        <f t="shared" si="24"/>
        <v>78</v>
      </c>
      <c r="C744" s="32">
        <f t="shared" si="25"/>
        <v>8</v>
      </c>
      <c r="D744" s="38" cm="1">
        <f t="array" ref="D744">INDEX('Base-2'!$B$2:$J$100,1+B744,C744)</f>
        <v>0</v>
      </c>
    </row>
    <row r="745" spans="1:4" x14ac:dyDescent="0.75">
      <c r="A745" s="32">
        <v>711</v>
      </c>
      <c r="B745" s="32">
        <f t="shared" si="24"/>
        <v>78</v>
      </c>
      <c r="C745" s="32">
        <f t="shared" si="25"/>
        <v>9</v>
      </c>
      <c r="D745" s="38" cm="1">
        <f t="array" ref="D745">INDEX('Base-2'!$B$2:$J$100,1+B745,C745)</f>
        <v>0</v>
      </c>
    </row>
    <row r="746" spans="1:4" x14ac:dyDescent="0.75">
      <c r="A746" s="32">
        <v>712</v>
      </c>
      <c r="B746" s="32">
        <f t="shared" si="24"/>
        <v>79</v>
      </c>
      <c r="C746" s="32">
        <f t="shared" si="25"/>
        <v>1</v>
      </c>
      <c r="D746" s="38" cm="1">
        <f t="array" ref="D746">INDEX('Base-2'!$B$2:$J$100,1+B746,C746)</f>
        <v>0</v>
      </c>
    </row>
    <row r="747" spans="1:4" x14ac:dyDescent="0.75">
      <c r="A747" s="32">
        <v>713</v>
      </c>
      <c r="B747" s="32">
        <f t="shared" si="24"/>
        <v>79</v>
      </c>
      <c r="C747" s="32">
        <f t="shared" si="25"/>
        <v>2</v>
      </c>
      <c r="D747" s="38" cm="1">
        <f t="array" ref="D747">INDEX('Base-2'!$B$2:$J$100,1+B747,C747)</f>
        <v>0</v>
      </c>
    </row>
    <row r="748" spans="1:4" x14ac:dyDescent="0.75">
      <c r="A748" s="32">
        <v>714</v>
      </c>
      <c r="B748" s="32">
        <f t="shared" si="24"/>
        <v>79</v>
      </c>
      <c r="C748" s="32">
        <f t="shared" si="25"/>
        <v>3</v>
      </c>
      <c r="D748" s="38" cm="1">
        <f t="array" ref="D748">INDEX('Base-2'!$B$2:$J$100,1+B748,C748)</f>
        <v>0</v>
      </c>
    </row>
    <row r="749" spans="1:4" x14ac:dyDescent="0.75">
      <c r="A749" s="32">
        <v>715</v>
      </c>
      <c r="B749" s="32">
        <f t="shared" si="24"/>
        <v>79</v>
      </c>
      <c r="C749" s="32">
        <f t="shared" si="25"/>
        <v>4</v>
      </c>
      <c r="D749" s="38" cm="1">
        <f t="array" ref="D749">INDEX('Base-2'!$B$2:$J$100,1+B749,C749)</f>
        <v>0</v>
      </c>
    </row>
    <row r="750" spans="1:4" x14ac:dyDescent="0.75">
      <c r="A750" s="32">
        <v>716</v>
      </c>
      <c r="B750" s="32">
        <f t="shared" si="24"/>
        <v>79</v>
      </c>
      <c r="C750" s="32">
        <f t="shared" si="25"/>
        <v>5</v>
      </c>
      <c r="D750" s="38" cm="1">
        <f t="array" ref="D750">INDEX('Base-2'!$B$2:$J$100,1+B750,C750)</f>
        <v>0</v>
      </c>
    </row>
    <row r="751" spans="1:4" x14ac:dyDescent="0.75">
      <c r="A751" s="32">
        <v>717</v>
      </c>
      <c r="B751" s="32">
        <f t="shared" si="24"/>
        <v>79</v>
      </c>
      <c r="C751" s="32">
        <f t="shared" si="25"/>
        <v>6</v>
      </c>
      <c r="D751" s="38" cm="1">
        <f t="array" ref="D751">INDEX('Base-2'!$B$2:$J$100,1+B751,C751)</f>
        <v>0</v>
      </c>
    </row>
    <row r="752" spans="1:4" x14ac:dyDescent="0.75">
      <c r="A752" s="32">
        <v>718</v>
      </c>
      <c r="B752" s="32">
        <f t="shared" si="24"/>
        <v>79</v>
      </c>
      <c r="C752" s="32">
        <f t="shared" si="25"/>
        <v>7</v>
      </c>
      <c r="D752" s="38" cm="1">
        <f t="array" ref="D752">INDEX('Base-2'!$B$2:$J$100,1+B752,C752)</f>
        <v>0</v>
      </c>
    </row>
    <row r="753" spans="1:4" x14ac:dyDescent="0.75">
      <c r="A753" s="32">
        <v>719</v>
      </c>
      <c r="B753" s="32">
        <f t="shared" si="24"/>
        <v>79</v>
      </c>
      <c r="C753" s="32">
        <f t="shared" si="25"/>
        <v>8</v>
      </c>
      <c r="D753" s="38" cm="1">
        <f t="array" ref="D753">INDEX('Base-2'!$B$2:$J$100,1+B753,C753)</f>
        <v>0</v>
      </c>
    </row>
    <row r="754" spans="1:4" x14ac:dyDescent="0.75">
      <c r="A754" s="32">
        <v>720</v>
      </c>
      <c r="B754" s="32">
        <f t="shared" si="24"/>
        <v>79</v>
      </c>
      <c r="C754" s="32">
        <f t="shared" si="25"/>
        <v>9</v>
      </c>
      <c r="D754" s="38" cm="1">
        <f t="array" ref="D754">INDEX('Base-2'!$B$2:$J$100,1+B754,C754)</f>
        <v>0</v>
      </c>
    </row>
    <row r="755" spans="1:4" x14ac:dyDescent="0.75">
      <c r="A755" s="32">
        <v>721</v>
      </c>
      <c r="B755" s="32">
        <f t="shared" si="24"/>
        <v>80</v>
      </c>
      <c r="C755" s="32">
        <f t="shared" si="25"/>
        <v>1</v>
      </c>
      <c r="D755" s="38" cm="1">
        <f t="array" ref="D755">INDEX('Base-2'!$B$2:$J$100,1+B755,C755)</f>
        <v>0</v>
      </c>
    </row>
    <row r="756" spans="1:4" x14ac:dyDescent="0.75">
      <c r="A756" s="32">
        <v>722</v>
      </c>
      <c r="B756" s="32">
        <f t="shared" si="24"/>
        <v>80</v>
      </c>
      <c r="C756" s="32">
        <f t="shared" si="25"/>
        <v>2</v>
      </c>
      <c r="D756" s="38" cm="1">
        <f t="array" ref="D756">INDEX('Base-2'!$B$2:$J$100,1+B756,C756)</f>
        <v>0</v>
      </c>
    </row>
    <row r="757" spans="1:4" x14ac:dyDescent="0.75">
      <c r="A757" s="32">
        <v>723</v>
      </c>
      <c r="B757" s="32">
        <f t="shared" si="24"/>
        <v>80</v>
      </c>
      <c r="C757" s="32">
        <f t="shared" si="25"/>
        <v>3</v>
      </c>
      <c r="D757" s="38" cm="1">
        <f t="array" ref="D757">INDEX('Base-2'!$B$2:$J$100,1+B757,C757)</f>
        <v>0</v>
      </c>
    </row>
    <row r="758" spans="1:4" x14ac:dyDescent="0.75">
      <c r="A758" s="32">
        <v>724</v>
      </c>
      <c r="B758" s="32">
        <f t="shared" si="24"/>
        <v>80</v>
      </c>
      <c r="C758" s="32">
        <f t="shared" si="25"/>
        <v>4</v>
      </c>
      <c r="D758" s="38" cm="1">
        <f t="array" ref="D758">INDEX('Base-2'!$B$2:$J$100,1+B758,C758)</f>
        <v>0</v>
      </c>
    </row>
    <row r="759" spans="1:4" x14ac:dyDescent="0.75">
      <c r="A759" s="32">
        <v>725</v>
      </c>
      <c r="B759" s="32">
        <f t="shared" si="24"/>
        <v>80</v>
      </c>
      <c r="C759" s="32">
        <f t="shared" si="25"/>
        <v>5</v>
      </c>
      <c r="D759" s="38" cm="1">
        <f t="array" ref="D759">INDEX('Base-2'!$B$2:$J$100,1+B759,C759)</f>
        <v>0</v>
      </c>
    </row>
    <row r="760" spans="1:4" x14ac:dyDescent="0.75">
      <c r="A760" s="32">
        <v>726</v>
      </c>
      <c r="B760" s="32">
        <f t="shared" si="24"/>
        <v>80</v>
      </c>
      <c r="C760" s="32">
        <f t="shared" si="25"/>
        <v>6</v>
      </c>
      <c r="D760" s="38" cm="1">
        <f t="array" ref="D760">INDEX('Base-2'!$B$2:$J$100,1+B760,C760)</f>
        <v>0</v>
      </c>
    </row>
    <row r="761" spans="1:4" x14ac:dyDescent="0.75">
      <c r="A761" s="32">
        <v>727</v>
      </c>
      <c r="B761" s="32">
        <f t="shared" si="24"/>
        <v>80</v>
      </c>
      <c r="C761" s="32">
        <f t="shared" si="25"/>
        <v>7</v>
      </c>
      <c r="D761" s="38" cm="1">
        <f t="array" ref="D761">INDEX('Base-2'!$B$2:$J$100,1+B761,C761)</f>
        <v>0</v>
      </c>
    </row>
    <row r="762" spans="1:4" x14ac:dyDescent="0.75">
      <c r="A762" s="32">
        <v>728</v>
      </c>
      <c r="B762" s="32">
        <f t="shared" si="24"/>
        <v>80</v>
      </c>
      <c r="C762" s="32">
        <f t="shared" si="25"/>
        <v>8</v>
      </c>
      <c r="D762" s="38" cm="1">
        <f t="array" ref="D762">INDEX('Base-2'!$B$2:$J$100,1+B762,C762)</f>
        <v>0</v>
      </c>
    </row>
    <row r="763" spans="1:4" x14ac:dyDescent="0.75">
      <c r="A763" s="32">
        <v>729</v>
      </c>
      <c r="B763" s="32">
        <f t="shared" si="24"/>
        <v>80</v>
      </c>
      <c r="C763" s="32">
        <f t="shared" si="25"/>
        <v>9</v>
      </c>
      <c r="D763" s="38" cm="1">
        <f t="array" ref="D763">INDEX('Base-2'!$B$2:$J$100,1+B763,C763)</f>
        <v>0</v>
      </c>
    </row>
    <row r="764" spans="1:4" x14ac:dyDescent="0.75">
      <c r="A764" s="32">
        <v>730</v>
      </c>
      <c r="B764" s="32">
        <f t="shared" si="24"/>
        <v>81</v>
      </c>
      <c r="C764" s="32">
        <f t="shared" si="25"/>
        <v>1</v>
      </c>
      <c r="D764" s="38" cm="1">
        <f t="array" ref="D764">INDEX('Base-2'!$B$2:$J$100,1+B764,C764)</f>
        <v>0</v>
      </c>
    </row>
    <row r="765" spans="1:4" x14ac:dyDescent="0.75">
      <c r="A765" s="32">
        <v>731</v>
      </c>
      <c r="B765" s="32">
        <f t="shared" si="24"/>
        <v>81</v>
      </c>
      <c r="C765" s="32">
        <f t="shared" si="25"/>
        <v>2</v>
      </c>
      <c r="D765" s="38" cm="1">
        <f t="array" ref="D765">INDEX('Base-2'!$B$2:$J$100,1+B765,C765)</f>
        <v>0</v>
      </c>
    </row>
    <row r="766" spans="1:4" x14ac:dyDescent="0.75">
      <c r="A766" s="32">
        <v>732</v>
      </c>
      <c r="B766" s="32">
        <f t="shared" si="24"/>
        <v>81</v>
      </c>
      <c r="C766" s="32">
        <f t="shared" si="25"/>
        <v>3</v>
      </c>
      <c r="D766" s="38" cm="1">
        <f t="array" ref="D766">INDEX('Base-2'!$B$2:$J$100,1+B766,C766)</f>
        <v>0</v>
      </c>
    </row>
    <row r="767" spans="1:4" x14ac:dyDescent="0.75">
      <c r="A767" s="32">
        <v>733</v>
      </c>
      <c r="B767" s="32">
        <f t="shared" si="24"/>
        <v>81</v>
      </c>
      <c r="C767" s="32">
        <f t="shared" si="25"/>
        <v>4</v>
      </c>
      <c r="D767" s="38" cm="1">
        <f t="array" ref="D767">INDEX('Base-2'!$B$2:$J$100,1+B767,C767)</f>
        <v>0</v>
      </c>
    </row>
    <row r="768" spans="1:4" x14ac:dyDescent="0.75">
      <c r="A768" s="32">
        <v>734</v>
      </c>
      <c r="B768" s="32">
        <f t="shared" si="24"/>
        <v>81</v>
      </c>
      <c r="C768" s="32">
        <f t="shared" si="25"/>
        <v>5</v>
      </c>
      <c r="D768" s="38" cm="1">
        <f t="array" ref="D768">INDEX('Base-2'!$B$2:$J$100,1+B768,C768)</f>
        <v>0</v>
      </c>
    </row>
    <row r="769" spans="1:4" x14ac:dyDescent="0.75">
      <c r="A769" s="32">
        <v>735</v>
      </c>
      <c r="B769" s="32">
        <f t="shared" si="24"/>
        <v>81</v>
      </c>
      <c r="C769" s="32">
        <f t="shared" si="25"/>
        <v>6</v>
      </c>
      <c r="D769" s="38" cm="1">
        <f t="array" ref="D769">INDEX('Base-2'!$B$2:$J$100,1+B769,C769)</f>
        <v>0</v>
      </c>
    </row>
    <row r="770" spans="1:4" x14ac:dyDescent="0.75">
      <c r="A770" s="32">
        <v>736</v>
      </c>
      <c r="B770" s="32">
        <f t="shared" si="24"/>
        <v>81</v>
      </c>
      <c r="C770" s="32">
        <f t="shared" si="25"/>
        <v>7</v>
      </c>
      <c r="D770" s="38" cm="1">
        <f t="array" ref="D770">INDEX('Base-2'!$B$2:$J$100,1+B770,C770)</f>
        <v>0</v>
      </c>
    </row>
    <row r="771" spans="1:4" x14ac:dyDescent="0.75">
      <c r="A771" s="32">
        <v>737</v>
      </c>
      <c r="B771" s="32">
        <f t="shared" si="24"/>
        <v>81</v>
      </c>
      <c r="C771" s="32">
        <f t="shared" si="25"/>
        <v>8</v>
      </c>
      <c r="D771" s="38" cm="1">
        <f t="array" ref="D771">INDEX('Base-2'!$B$2:$J$100,1+B771,C771)</f>
        <v>0</v>
      </c>
    </row>
    <row r="772" spans="1:4" x14ac:dyDescent="0.75">
      <c r="A772" s="32">
        <v>738</v>
      </c>
      <c r="B772" s="32">
        <f t="shared" si="24"/>
        <v>81</v>
      </c>
      <c r="C772" s="32">
        <f t="shared" si="25"/>
        <v>9</v>
      </c>
      <c r="D772" s="38" cm="1">
        <f t="array" ref="D772">INDEX('Base-2'!$B$2:$J$100,1+B772,C772)</f>
        <v>0</v>
      </c>
    </row>
    <row r="773" spans="1:4" x14ac:dyDescent="0.75">
      <c r="A773" s="32">
        <v>739</v>
      </c>
      <c r="B773" s="32">
        <f t="shared" si="24"/>
        <v>82</v>
      </c>
      <c r="C773" s="32">
        <f t="shared" si="25"/>
        <v>1</v>
      </c>
      <c r="D773" s="38" cm="1">
        <f t="array" ref="D773">INDEX('Base-2'!$B$2:$J$100,1+B773,C773)</f>
        <v>0</v>
      </c>
    </row>
    <row r="774" spans="1:4" x14ac:dyDescent="0.75">
      <c r="A774" s="32">
        <v>740</v>
      </c>
      <c r="B774" s="32">
        <f t="shared" si="24"/>
        <v>82</v>
      </c>
      <c r="C774" s="32">
        <f t="shared" si="25"/>
        <v>2</v>
      </c>
      <c r="D774" s="38" cm="1">
        <f t="array" ref="D774">INDEX('Base-2'!$B$2:$J$100,1+B774,C774)</f>
        <v>0</v>
      </c>
    </row>
    <row r="775" spans="1:4" x14ac:dyDescent="0.75">
      <c r="A775" s="32">
        <v>741</v>
      </c>
      <c r="B775" s="32">
        <f t="shared" si="24"/>
        <v>82</v>
      </c>
      <c r="C775" s="32">
        <f t="shared" si="25"/>
        <v>3</v>
      </c>
      <c r="D775" s="38" cm="1">
        <f t="array" ref="D775">INDEX('Base-2'!$B$2:$J$100,1+B775,C775)</f>
        <v>0</v>
      </c>
    </row>
    <row r="776" spans="1:4" x14ac:dyDescent="0.75">
      <c r="A776" s="32">
        <v>742</v>
      </c>
      <c r="B776" s="32">
        <f t="shared" ref="B776:B839" si="26">IF(MOD(A776,$B$25)=0,A776/$B$25-1,INT(A776/$B$25))</f>
        <v>82</v>
      </c>
      <c r="C776" s="32">
        <f t="shared" ref="C776:C839" si="27">IF(MOD(A776,$B$25)=0,$B$25,MOD(A776,$B$25))</f>
        <v>4</v>
      </c>
      <c r="D776" s="38" cm="1">
        <f t="array" ref="D776">INDEX('Base-2'!$B$2:$J$100,1+B776,C776)</f>
        <v>0</v>
      </c>
    </row>
    <row r="777" spans="1:4" x14ac:dyDescent="0.75">
      <c r="A777" s="32">
        <v>743</v>
      </c>
      <c r="B777" s="32">
        <f t="shared" si="26"/>
        <v>82</v>
      </c>
      <c r="C777" s="32">
        <f t="shared" si="27"/>
        <v>5</v>
      </c>
      <c r="D777" s="38" cm="1">
        <f t="array" ref="D777">INDEX('Base-2'!$B$2:$J$100,1+B777,C777)</f>
        <v>0</v>
      </c>
    </row>
    <row r="778" spans="1:4" x14ac:dyDescent="0.75">
      <c r="A778" s="32">
        <v>744</v>
      </c>
      <c r="B778" s="32">
        <f t="shared" si="26"/>
        <v>82</v>
      </c>
      <c r="C778" s="32">
        <f t="shared" si="27"/>
        <v>6</v>
      </c>
      <c r="D778" s="38" cm="1">
        <f t="array" ref="D778">INDEX('Base-2'!$B$2:$J$100,1+B778,C778)</f>
        <v>0</v>
      </c>
    </row>
    <row r="779" spans="1:4" x14ac:dyDescent="0.75">
      <c r="A779" s="32">
        <v>745</v>
      </c>
      <c r="B779" s="32">
        <f t="shared" si="26"/>
        <v>82</v>
      </c>
      <c r="C779" s="32">
        <f t="shared" si="27"/>
        <v>7</v>
      </c>
      <c r="D779" s="38" cm="1">
        <f t="array" ref="D779">INDEX('Base-2'!$B$2:$J$100,1+B779,C779)</f>
        <v>0</v>
      </c>
    </row>
    <row r="780" spans="1:4" x14ac:dyDescent="0.75">
      <c r="A780" s="32">
        <v>746</v>
      </c>
      <c r="B780" s="32">
        <f t="shared" si="26"/>
        <v>82</v>
      </c>
      <c r="C780" s="32">
        <f t="shared" si="27"/>
        <v>8</v>
      </c>
      <c r="D780" s="38" cm="1">
        <f t="array" ref="D780">INDEX('Base-2'!$B$2:$J$100,1+B780,C780)</f>
        <v>0</v>
      </c>
    </row>
    <row r="781" spans="1:4" x14ac:dyDescent="0.75">
      <c r="A781" s="32">
        <v>747</v>
      </c>
      <c r="B781" s="32">
        <f t="shared" si="26"/>
        <v>82</v>
      </c>
      <c r="C781" s="32">
        <f t="shared" si="27"/>
        <v>9</v>
      </c>
      <c r="D781" s="38" cm="1">
        <f t="array" ref="D781">INDEX('Base-2'!$B$2:$J$100,1+B781,C781)</f>
        <v>0</v>
      </c>
    </row>
    <row r="782" spans="1:4" x14ac:dyDescent="0.75">
      <c r="A782" s="32">
        <v>748</v>
      </c>
      <c r="B782" s="32">
        <f t="shared" si="26"/>
        <v>83</v>
      </c>
      <c r="C782" s="32">
        <f t="shared" si="27"/>
        <v>1</v>
      </c>
      <c r="D782" s="38" cm="1">
        <f t="array" ref="D782">INDEX('Base-2'!$B$2:$J$100,1+B782,C782)</f>
        <v>0</v>
      </c>
    </row>
    <row r="783" spans="1:4" x14ac:dyDescent="0.75">
      <c r="A783" s="32">
        <v>749</v>
      </c>
      <c r="B783" s="32">
        <f t="shared" si="26"/>
        <v>83</v>
      </c>
      <c r="C783" s="32">
        <f t="shared" si="27"/>
        <v>2</v>
      </c>
      <c r="D783" s="38" cm="1">
        <f t="array" ref="D783">INDEX('Base-2'!$B$2:$J$100,1+B783,C783)</f>
        <v>0</v>
      </c>
    </row>
    <row r="784" spans="1:4" x14ac:dyDescent="0.75">
      <c r="A784" s="32">
        <v>750</v>
      </c>
      <c r="B784" s="32">
        <f t="shared" si="26"/>
        <v>83</v>
      </c>
      <c r="C784" s="32">
        <f t="shared" si="27"/>
        <v>3</v>
      </c>
      <c r="D784" s="38" cm="1">
        <f t="array" ref="D784">INDEX('Base-2'!$B$2:$J$100,1+B784,C784)</f>
        <v>0</v>
      </c>
    </row>
    <row r="785" spans="1:4" x14ac:dyDescent="0.75">
      <c r="A785" s="32">
        <v>751</v>
      </c>
      <c r="B785" s="32">
        <f t="shared" si="26"/>
        <v>83</v>
      </c>
      <c r="C785" s="32">
        <f t="shared" si="27"/>
        <v>4</v>
      </c>
      <c r="D785" s="38" cm="1">
        <f t="array" ref="D785">INDEX('Base-2'!$B$2:$J$100,1+B785,C785)</f>
        <v>0</v>
      </c>
    </row>
    <row r="786" spans="1:4" x14ac:dyDescent="0.75">
      <c r="A786" s="32">
        <v>752</v>
      </c>
      <c r="B786" s="32">
        <f t="shared" si="26"/>
        <v>83</v>
      </c>
      <c r="C786" s="32">
        <f t="shared" si="27"/>
        <v>5</v>
      </c>
      <c r="D786" s="38" cm="1">
        <f t="array" ref="D786">INDEX('Base-2'!$B$2:$J$100,1+B786,C786)</f>
        <v>0</v>
      </c>
    </row>
    <row r="787" spans="1:4" x14ac:dyDescent="0.75">
      <c r="A787" s="32">
        <v>753</v>
      </c>
      <c r="B787" s="32">
        <f t="shared" si="26"/>
        <v>83</v>
      </c>
      <c r="C787" s="32">
        <f t="shared" si="27"/>
        <v>6</v>
      </c>
      <c r="D787" s="38" cm="1">
        <f t="array" ref="D787">INDEX('Base-2'!$B$2:$J$100,1+B787,C787)</f>
        <v>0</v>
      </c>
    </row>
    <row r="788" spans="1:4" x14ac:dyDescent="0.75">
      <c r="A788" s="32">
        <v>754</v>
      </c>
      <c r="B788" s="32">
        <f t="shared" si="26"/>
        <v>83</v>
      </c>
      <c r="C788" s="32">
        <f t="shared" si="27"/>
        <v>7</v>
      </c>
      <c r="D788" s="38" cm="1">
        <f t="array" ref="D788">INDEX('Base-2'!$B$2:$J$100,1+B788,C788)</f>
        <v>0</v>
      </c>
    </row>
    <row r="789" spans="1:4" x14ac:dyDescent="0.75">
      <c r="A789" s="32">
        <v>755</v>
      </c>
      <c r="B789" s="32">
        <f t="shared" si="26"/>
        <v>83</v>
      </c>
      <c r="C789" s="32">
        <f t="shared" si="27"/>
        <v>8</v>
      </c>
      <c r="D789" s="38" cm="1">
        <f t="array" ref="D789">INDEX('Base-2'!$B$2:$J$100,1+B789,C789)</f>
        <v>0</v>
      </c>
    </row>
    <row r="790" spans="1:4" x14ac:dyDescent="0.75">
      <c r="A790" s="32">
        <v>756</v>
      </c>
      <c r="B790" s="32">
        <f t="shared" si="26"/>
        <v>83</v>
      </c>
      <c r="C790" s="32">
        <f t="shared" si="27"/>
        <v>9</v>
      </c>
      <c r="D790" s="38" cm="1">
        <f t="array" ref="D790">INDEX('Base-2'!$B$2:$J$100,1+B790,C790)</f>
        <v>0</v>
      </c>
    </row>
    <row r="791" spans="1:4" x14ac:dyDescent="0.75">
      <c r="A791" s="32">
        <v>757</v>
      </c>
      <c r="B791" s="32">
        <f t="shared" si="26"/>
        <v>84</v>
      </c>
      <c r="C791" s="32">
        <f t="shared" si="27"/>
        <v>1</v>
      </c>
      <c r="D791" s="38" cm="1">
        <f t="array" ref="D791">INDEX('Base-2'!$B$2:$J$100,1+B791,C791)</f>
        <v>0</v>
      </c>
    </row>
    <row r="792" spans="1:4" x14ac:dyDescent="0.75">
      <c r="A792" s="32">
        <v>758</v>
      </c>
      <c r="B792" s="32">
        <f t="shared" si="26"/>
        <v>84</v>
      </c>
      <c r="C792" s="32">
        <f t="shared" si="27"/>
        <v>2</v>
      </c>
      <c r="D792" s="38" cm="1">
        <f t="array" ref="D792">INDEX('Base-2'!$B$2:$J$100,1+B792,C792)</f>
        <v>0</v>
      </c>
    </row>
    <row r="793" spans="1:4" x14ac:dyDescent="0.75">
      <c r="A793" s="32">
        <v>759</v>
      </c>
      <c r="B793" s="32">
        <f t="shared" si="26"/>
        <v>84</v>
      </c>
      <c r="C793" s="32">
        <f t="shared" si="27"/>
        <v>3</v>
      </c>
      <c r="D793" s="38" cm="1">
        <f t="array" ref="D793">INDEX('Base-2'!$B$2:$J$100,1+B793,C793)</f>
        <v>0</v>
      </c>
    </row>
    <row r="794" spans="1:4" x14ac:dyDescent="0.75">
      <c r="A794" s="32">
        <v>760</v>
      </c>
      <c r="B794" s="32">
        <f t="shared" si="26"/>
        <v>84</v>
      </c>
      <c r="C794" s="32">
        <f t="shared" si="27"/>
        <v>4</v>
      </c>
      <c r="D794" s="38" cm="1">
        <f t="array" ref="D794">INDEX('Base-2'!$B$2:$J$100,1+B794,C794)</f>
        <v>0</v>
      </c>
    </row>
    <row r="795" spans="1:4" x14ac:dyDescent="0.75">
      <c r="A795" s="32">
        <v>761</v>
      </c>
      <c r="B795" s="32">
        <f t="shared" si="26"/>
        <v>84</v>
      </c>
      <c r="C795" s="32">
        <f t="shared" si="27"/>
        <v>5</v>
      </c>
      <c r="D795" s="38" cm="1">
        <f t="array" ref="D795">INDEX('Base-2'!$B$2:$J$100,1+B795,C795)</f>
        <v>0</v>
      </c>
    </row>
    <row r="796" spans="1:4" x14ac:dyDescent="0.75">
      <c r="A796" s="32">
        <v>762</v>
      </c>
      <c r="B796" s="32">
        <f t="shared" si="26"/>
        <v>84</v>
      </c>
      <c r="C796" s="32">
        <f t="shared" si="27"/>
        <v>6</v>
      </c>
      <c r="D796" s="38" cm="1">
        <f t="array" ref="D796">INDEX('Base-2'!$B$2:$J$100,1+B796,C796)</f>
        <v>0</v>
      </c>
    </row>
    <row r="797" spans="1:4" x14ac:dyDescent="0.75">
      <c r="A797" s="32">
        <v>763</v>
      </c>
      <c r="B797" s="32">
        <f t="shared" si="26"/>
        <v>84</v>
      </c>
      <c r="C797" s="32">
        <f t="shared" si="27"/>
        <v>7</v>
      </c>
      <c r="D797" s="38" cm="1">
        <f t="array" ref="D797">INDEX('Base-2'!$B$2:$J$100,1+B797,C797)</f>
        <v>0</v>
      </c>
    </row>
    <row r="798" spans="1:4" x14ac:dyDescent="0.75">
      <c r="A798" s="32">
        <v>764</v>
      </c>
      <c r="B798" s="32">
        <f t="shared" si="26"/>
        <v>84</v>
      </c>
      <c r="C798" s="32">
        <f t="shared" si="27"/>
        <v>8</v>
      </c>
      <c r="D798" s="38" cm="1">
        <f t="array" ref="D798">INDEX('Base-2'!$B$2:$J$100,1+B798,C798)</f>
        <v>0</v>
      </c>
    </row>
    <row r="799" spans="1:4" x14ac:dyDescent="0.75">
      <c r="A799" s="32">
        <v>765</v>
      </c>
      <c r="B799" s="32">
        <f t="shared" si="26"/>
        <v>84</v>
      </c>
      <c r="C799" s="32">
        <f t="shared" si="27"/>
        <v>9</v>
      </c>
      <c r="D799" s="38" cm="1">
        <f t="array" ref="D799">INDEX('Base-2'!$B$2:$J$100,1+B799,C799)</f>
        <v>0</v>
      </c>
    </row>
    <row r="800" spans="1:4" x14ac:dyDescent="0.75">
      <c r="A800" s="32">
        <v>766</v>
      </c>
      <c r="B800" s="32">
        <f t="shared" si="26"/>
        <v>85</v>
      </c>
      <c r="C800" s="32">
        <f t="shared" si="27"/>
        <v>1</v>
      </c>
      <c r="D800" s="38" cm="1">
        <f t="array" ref="D800">INDEX('Base-2'!$B$2:$J$100,1+B800,C800)</f>
        <v>0</v>
      </c>
    </row>
    <row r="801" spans="1:4" x14ac:dyDescent="0.75">
      <c r="A801" s="32">
        <v>767</v>
      </c>
      <c r="B801" s="32">
        <f t="shared" si="26"/>
        <v>85</v>
      </c>
      <c r="C801" s="32">
        <f t="shared" si="27"/>
        <v>2</v>
      </c>
      <c r="D801" s="38" cm="1">
        <f t="array" ref="D801">INDEX('Base-2'!$B$2:$J$100,1+B801,C801)</f>
        <v>0</v>
      </c>
    </row>
    <row r="802" spans="1:4" x14ac:dyDescent="0.75">
      <c r="A802" s="32">
        <v>768</v>
      </c>
      <c r="B802" s="32">
        <f t="shared" si="26"/>
        <v>85</v>
      </c>
      <c r="C802" s="32">
        <f t="shared" si="27"/>
        <v>3</v>
      </c>
      <c r="D802" s="38" cm="1">
        <f t="array" ref="D802">INDEX('Base-2'!$B$2:$J$100,1+B802,C802)</f>
        <v>0</v>
      </c>
    </row>
    <row r="803" spans="1:4" x14ac:dyDescent="0.75">
      <c r="A803" s="32">
        <v>769</v>
      </c>
      <c r="B803" s="32">
        <f t="shared" si="26"/>
        <v>85</v>
      </c>
      <c r="C803" s="32">
        <f t="shared" si="27"/>
        <v>4</v>
      </c>
      <c r="D803" s="38" cm="1">
        <f t="array" ref="D803">INDEX('Base-2'!$B$2:$J$100,1+B803,C803)</f>
        <v>0</v>
      </c>
    </row>
    <row r="804" spans="1:4" x14ac:dyDescent="0.75">
      <c r="A804" s="32">
        <v>770</v>
      </c>
      <c r="B804" s="32">
        <f t="shared" si="26"/>
        <v>85</v>
      </c>
      <c r="C804" s="32">
        <f t="shared" si="27"/>
        <v>5</v>
      </c>
      <c r="D804" s="38" cm="1">
        <f t="array" ref="D804">INDEX('Base-2'!$B$2:$J$100,1+B804,C804)</f>
        <v>0</v>
      </c>
    </row>
    <row r="805" spans="1:4" x14ac:dyDescent="0.75">
      <c r="A805" s="32">
        <v>771</v>
      </c>
      <c r="B805" s="32">
        <f t="shared" si="26"/>
        <v>85</v>
      </c>
      <c r="C805" s="32">
        <f t="shared" si="27"/>
        <v>6</v>
      </c>
      <c r="D805" s="38" cm="1">
        <f t="array" ref="D805">INDEX('Base-2'!$B$2:$J$100,1+B805,C805)</f>
        <v>0</v>
      </c>
    </row>
    <row r="806" spans="1:4" x14ac:dyDescent="0.75">
      <c r="A806" s="32">
        <v>772</v>
      </c>
      <c r="B806" s="32">
        <f t="shared" si="26"/>
        <v>85</v>
      </c>
      <c r="C806" s="32">
        <f t="shared" si="27"/>
        <v>7</v>
      </c>
      <c r="D806" s="38" cm="1">
        <f t="array" ref="D806">INDEX('Base-2'!$B$2:$J$100,1+B806,C806)</f>
        <v>0</v>
      </c>
    </row>
    <row r="807" spans="1:4" x14ac:dyDescent="0.75">
      <c r="A807" s="32">
        <v>773</v>
      </c>
      <c r="B807" s="32">
        <f t="shared" si="26"/>
        <v>85</v>
      </c>
      <c r="C807" s="32">
        <f t="shared" si="27"/>
        <v>8</v>
      </c>
      <c r="D807" s="38" cm="1">
        <f t="array" ref="D807">INDEX('Base-2'!$B$2:$J$100,1+B807,C807)</f>
        <v>0</v>
      </c>
    </row>
    <row r="808" spans="1:4" x14ac:dyDescent="0.75">
      <c r="A808" s="32">
        <v>774</v>
      </c>
      <c r="B808" s="32">
        <f t="shared" si="26"/>
        <v>85</v>
      </c>
      <c r="C808" s="32">
        <f t="shared" si="27"/>
        <v>9</v>
      </c>
      <c r="D808" s="38" cm="1">
        <f t="array" ref="D808">INDEX('Base-2'!$B$2:$J$100,1+B808,C808)</f>
        <v>0</v>
      </c>
    </row>
    <row r="809" spans="1:4" x14ac:dyDescent="0.75">
      <c r="A809" s="32">
        <v>775</v>
      </c>
      <c r="B809" s="32">
        <f t="shared" si="26"/>
        <v>86</v>
      </c>
      <c r="C809" s="32">
        <f t="shared" si="27"/>
        <v>1</v>
      </c>
      <c r="D809" s="38" cm="1">
        <f t="array" ref="D809">INDEX('Base-2'!$B$2:$J$100,1+B809,C809)</f>
        <v>0</v>
      </c>
    </row>
    <row r="810" spans="1:4" x14ac:dyDescent="0.75">
      <c r="A810" s="32">
        <v>776</v>
      </c>
      <c r="B810" s="32">
        <f t="shared" si="26"/>
        <v>86</v>
      </c>
      <c r="C810" s="32">
        <f t="shared" si="27"/>
        <v>2</v>
      </c>
      <c r="D810" s="38" cm="1">
        <f t="array" ref="D810">INDEX('Base-2'!$B$2:$J$100,1+B810,C810)</f>
        <v>0</v>
      </c>
    </row>
    <row r="811" spans="1:4" x14ac:dyDescent="0.75">
      <c r="A811" s="32">
        <v>777</v>
      </c>
      <c r="B811" s="32">
        <f t="shared" si="26"/>
        <v>86</v>
      </c>
      <c r="C811" s="32">
        <f t="shared" si="27"/>
        <v>3</v>
      </c>
      <c r="D811" s="38" cm="1">
        <f t="array" ref="D811">INDEX('Base-2'!$B$2:$J$100,1+B811,C811)</f>
        <v>0</v>
      </c>
    </row>
    <row r="812" spans="1:4" x14ac:dyDescent="0.75">
      <c r="A812" s="32">
        <v>778</v>
      </c>
      <c r="B812" s="32">
        <f t="shared" si="26"/>
        <v>86</v>
      </c>
      <c r="C812" s="32">
        <f t="shared" si="27"/>
        <v>4</v>
      </c>
      <c r="D812" s="38" cm="1">
        <f t="array" ref="D812">INDEX('Base-2'!$B$2:$J$100,1+B812,C812)</f>
        <v>0</v>
      </c>
    </row>
    <row r="813" spans="1:4" x14ac:dyDescent="0.75">
      <c r="A813" s="32">
        <v>779</v>
      </c>
      <c r="B813" s="32">
        <f t="shared" si="26"/>
        <v>86</v>
      </c>
      <c r="C813" s="32">
        <f t="shared" si="27"/>
        <v>5</v>
      </c>
      <c r="D813" s="38" cm="1">
        <f t="array" ref="D813">INDEX('Base-2'!$B$2:$J$100,1+B813,C813)</f>
        <v>0</v>
      </c>
    </row>
    <row r="814" spans="1:4" x14ac:dyDescent="0.75">
      <c r="A814" s="32">
        <v>780</v>
      </c>
      <c r="B814" s="32">
        <f t="shared" si="26"/>
        <v>86</v>
      </c>
      <c r="C814" s="32">
        <f t="shared" si="27"/>
        <v>6</v>
      </c>
      <c r="D814" s="38" cm="1">
        <f t="array" ref="D814">INDEX('Base-2'!$B$2:$J$100,1+B814,C814)</f>
        <v>0</v>
      </c>
    </row>
    <row r="815" spans="1:4" x14ac:dyDescent="0.75">
      <c r="A815" s="32">
        <v>781</v>
      </c>
      <c r="B815" s="32">
        <f t="shared" si="26"/>
        <v>86</v>
      </c>
      <c r="C815" s="32">
        <f t="shared" si="27"/>
        <v>7</v>
      </c>
      <c r="D815" s="38" cm="1">
        <f t="array" ref="D815">INDEX('Base-2'!$B$2:$J$100,1+B815,C815)</f>
        <v>0</v>
      </c>
    </row>
    <row r="816" spans="1:4" x14ac:dyDescent="0.75">
      <c r="A816" s="32">
        <v>782</v>
      </c>
      <c r="B816" s="32">
        <f t="shared" si="26"/>
        <v>86</v>
      </c>
      <c r="C816" s="32">
        <f t="shared" si="27"/>
        <v>8</v>
      </c>
      <c r="D816" s="38" cm="1">
        <f t="array" ref="D816">INDEX('Base-2'!$B$2:$J$100,1+B816,C816)</f>
        <v>0</v>
      </c>
    </row>
    <row r="817" spans="1:4" x14ac:dyDescent="0.75">
      <c r="A817" s="32">
        <v>783</v>
      </c>
      <c r="B817" s="32">
        <f t="shared" si="26"/>
        <v>86</v>
      </c>
      <c r="C817" s="32">
        <f t="shared" si="27"/>
        <v>9</v>
      </c>
      <c r="D817" s="38" cm="1">
        <f t="array" ref="D817">INDEX('Base-2'!$B$2:$J$100,1+B817,C817)</f>
        <v>0</v>
      </c>
    </row>
    <row r="818" spans="1:4" x14ac:dyDescent="0.75">
      <c r="A818" s="32">
        <v>784</v>
      </c>
      <c r="B818" s="32">
        <f t="shared" si="26"/>
        <v>87</v>
      </c>
      <c r="C818" s="32">
        <f t="shared" si="27"/>
        <v>1</v>
      </c>
      <c r="D818" s="38" cm="1">
        <f t="array" ref="D818">INDEX('Base-2'!$B$2:$J$100,1+B818,C818)</f>
        <v>0</v>
      </c>
    </row>
    <row r="819" spans="1:4" x14ac:dyDescent="0.75">
      <c r="A819" s="32">
        <v>785</v>
      </c>
      <c r="B819" s="32">
        <f t="shared" si="26"/>
        <v>87</v>
      </c>
      <c r="C819" s="32">
        <f t="shared" si="27"/>
        <v>2</v>
      </c>
      <c r="D819" s="38" cm="1">
        <f t="array" ref="D819">INDEX('Base-2'!$B$2:$J$100,1+B819,C819)</f>
        <v>0</v>
      </c>
    </row>
    <row r="820" spans="1:4" x14ac:dyDescent="0.75">
      <c r="A820" s="32">
        <v>786</v>
      </c>
      <c r="B820" s="32">
        <f t="shared" si="26"/>
        <v>87</v>
      </c>
      <c r="C820" s="32">
        <f t="shared" si="27"/>
        <v>3</v>
      </c>
      <c r="D820" s="38" cm="1">
        <f t="array" ref="D820">INDEX('Base-2'!$B$2:$J$100,1+B820,C820)</f>
        <v>0</v>
      </c>
    </row>
    <row r="821" spans="1:4" x14ac:dyDescent="0.75">
      <c r="A821" s="32">
        <v>787</v>
      </c>
      <c r="B821" s="32">
        <f t="shared" si="26"/>
        <v>87</v>
      </c>
      <c r="C821" s="32">
        <f t="shared" si="27"/>
        <v>4</v>
      </c>
      <c r="D821" s="38" cm="1">
        <f t="array" ref="D821">INDEX('Base-2'!$B$2:$J$100,1+B821,C821)</f>
        <v>0</v>
      </c>
    </row>
    <row r="822" spans="1:4" x14ac:dyDescent="0.75">
      <c r="A822" s="32">
        <v>788</v>
      </c>
      <c r="B822" s="32">
        <f t="shared" si="26"/>
        <v>87</v>
      </c>
      <c r="C822" s="32">
        <f t="shared" si="27"/>
        <v>5</v>
      </c>
      <c r="D822" s="38" cm="1">
        <f t="array" ref="D822">INDEX('Base-2'!$B$2:$J$100,1+B822,C822)</f>
        <v>0</v>
      </c>
    </row>
    <row r="823" spans="1:4" x14ac:dyDescent="0.75">
      <c r="A823" s="32">
        <v>789</v>
      </c>
      <c r="B823" s="32">
        <f t="shared" si="26"/>
        <v>87</v>
      </c>
      <c r="C823" s="32">
        <f t="shared" si="27"/>
        <v>6</v>
      </c>
      <c r="D823" s="38" cm="1">
        <f t="array" ref="D823">INDEX('Base-2'!$B$2:$J$100,1+B823,C823)</f>
        <v>0</v>
      </c>
    </row>
    <row r="824" spans="1:4" x14ac:dyDescent="0.75">
      <c r="A824" s="32">
        <v>790</v>
      </c>
      <c r="B824" s="32">
        <f t="shared" si="26"/>
        <v>87</v>
      </c>
      <c r="C824" s="32">
        <f t="shared" si="27"/>
        <v>7</v>
      </c>
      <c r="D824" s="38" cm="1">
        <f t="array" ref="D824">INDEX('Base-2'!$B$2:$J$100,1+B824,C824)</f>
        <v>0</v>
      </c>
    </row>
    <row r="825" spans="1:4" x14ac:dyDescent="0.75">
      <c r="A825" s="32">
        <v>791</v>
      </c>
      <c r="B825" s="32">
        <f t="shared" si="26"/>
        <v>87</v>
      </c>
      <c r="C825" s="32">
        <f t="shared" si="27"/>
        <v>8</v>
      </c>
      <c r="D825" s="38" cm="1">
        <f t="array" ref="D825">INDEX('Base-2'!$B$2:$J$100,1+B825,C825)</f>
        <v>0</v>
      </c>
    </row>
    <row r="826" spans="1:4" x14ac:dyDescent="0.75">
      <c r="A826" s="32">
        <v>792</v>
      </c>
      <c r="B826" s="32">
        <f t="shared" si="26"/>
        <v>87</v>
      </c>
      <c r="C826" s="32">
        <f t="shared" si="27"/>
        <v>9</v>
      </c>
      <c r="D826" s="38" cm="1">
        <f t="array" ref="D826">INDEX('Base-2'!$B$2:$J$100,1+B826,C826)</f>
        <v>0</v>
      </c>
    </row>
    <row r="827" spans="1:4" x14ac:dyDescent="0.75">
      <c r="A827" s="32">
        <v>793</v>
      </c>
      <c r="B827" s="32">
        <f t="shared" si="26"/>
        <v>88</v>
      </c>
      <c r="C827" s="32">
        <f t="shared" si="27"/>
        <v>1</v>
      </c>
      <c r="D827" s="38" cm="1">
        <f t="array" ref="D827">INDEX('Base-2'!$B$2:$J$100,1+B827,C827)</f>
        <v>0</v>
      </c>
    </row>
    <row r="828" spans="1:4" x14ac:dyDescent="0.75">
      <c r="A828" s="32">
        <v>794</v>
      </c>
      <c r="B828" s="32">
        <f t="shared" si="26"/>
        <v>88</v>
      </c>
      <c r="C828" s="32">
        <f t="shared" si="27"/>
        <v>2</v>
      </c>
      <c r="D828" s="38" cm="1">
        <f t="array" ref="D828">INDEX('Base-2'!$B$2:$J$100,1+B828,C828)</f>
        <v>0</v>
      </c>
    </row>
    <row r="829" spans="1:4" x14ac:dyDescent="0.75">
      <c r="A829" s="32">
        <v>795</v>
      </c>
      <c r="B829" s="32">
        <f t="shared" si="26"/>
        <v>88</v>
      </c>
      <c r="C829" s="32">
        <f t="shared" si="27"/>
        <v>3</v>
      </c>
      <c r="D829" s="38" cm="1">
        <f t="array" ref="D829">INDEX('Base-2'!$B$2:$J$100,1+B829,C829)</f>
        <v>0</v>
      </c>
    </row>
    <row r="830" spans="1:4" x14ac:dyDescent="0.75">
      <c r="A830" s="32">
        <v>796</v>
      </c>
      <c r="B830" s="32">
        <f t="shared" si="26"/>
        <v>88</v>
      </c>
      <c r="C830" s="32">
        <f t="shared" si="27"/>
        <v>4</v>
      </c>
      <c r="D830" s="38" cm="1">
        <f t="array" ref="D830">INDEX('Base-2'!$B$2:$J$100,1+B830,C830)</f>
        <v>0</v>
      </c>
    </row>
    <row r="831" spans="1:4" x14ac:dyDescent="0.75">
      <c r="A831" s="32">
        <v>797</v>
      </c>
      <c r="B831" s="32">
        <f t="shared" si="26"/>
        <v>88</v>
      </c>
      <c r="C831" s="32">
        <f t="shared" si="27"/>
        <v>5</v>
      </c>
      <c r="D831" s="38" cm="1">
        <f t="array" ref="D831">INDEX('Base-2'!$B$2:$J$100,1+B831,C831)</f>
        <v>0</v>
      </c>
    </row>
    <row r="832" spans="1:4" x14ac:dyDescent="0.75">
      <c r="A832" s="32">
        <v>798</v>
      </c>
      <c r="B832" s="32">
        <f t="shared" si="26"/>
        <v>88</v>
      </c>
      <c r="C832" s="32">
        <f t="shared" si="27"/>
        <v>6</v>
      </c>
      <c r="D832" s="38" cm="1">
        <f t="array" ref="D832">INDEX('Base-2'!$B$2:$J$100,1+B832,C832)</f>
        <v>0</v>
      </c>
    </row>
    <row r="833" spans="1:4" x14ac:dyDescent="0.75">
      <c r="A833" s="32">
        <v>799</v>
      </c>
      <c r="B833" s="32">
        <f t="shared" si="26"/>
        <v>88</v>
      </c>
      <c r="C833" s="32">
        <f t="shared" si="27"/>
        <v>7</v>
      </c>
      <c r="D833" s="38" cm="1">
        <f t="array" ref="D833">INDEX('Base-2'!$B$2:$J$100,1+B833,C833)</f>
        <v>0</v>
      </c>
    </row>
    <row r="834" spans="1:4" x14ac:dyDescent="0.75">
      <c r="A834" s="32">
        <v>800</v>
      </c>
      <c r="B834" s="32">
        <f t="shared" si="26"/>
        <v>88</v>
      </c>
      <c r="C834" s="32">
        <f t="shared" si="27"/>
        <v>8</v>
      </c>
      <c r="D834" s="38" cm="1">
        <f t="array" ref="D834">INDEX('Base-2'!$B$2:$J$100,1+B834,C834)</f>
        <v>0</v>
      </c>
    </row>
    <row r="835" spans="1:4" x14ac:dyDescent="0.75">
      <c r="A835" s="32">
        <v>801</v>
      </c>
      <c r="B835" s="32">
        <f t="shared" si="26"/>
        <v>88</v>
      </c>
      <c r="C835" s="32">
        <f t="shared" si="27"/>
        <v>9</v>
      </c>
      <c r="D835" s="38" cm="1">
        <f t="array" ref="D835">INDEX('Base-2'!$B$2:$J$100,1+B835,C835)</f>
        <v>0</v>
      </c>
    </row>
    <row r="836" spans="1:4" x14ac:dyDescent="0.75">
      <c r="A836" s="32">
        <v>802</v>
      </c>
      <c r="B836" s="32">
        <f t="shared" si="26"/>
        <v>89</v>
      </c>
      <c r="C836" s="32">
        <f t="shared" si="27"/>
        <v>1</v>
      </c>
      <c r="D836" s="38" cm="1">
        <f t="array" ref="D836">INDEX('Base-2'!$B$2:$J$100,1+B836,C836)</f>
        <v>0</v>
      </c>
    </row>
    <row r="837" spans="1:4" x14ac:dyDescent="0.75">
      <c r="A837" s="32">
        <v>803</v>
      </c>
      <c r="B837" s="32">
        <f t="shared" si="26"/>
        <v>89</v>
      </c>
      <c r="C837" s="32">
        <f t="shared" si="27"/>
        <v>2</v>
      </c>
      <c r="D837" s="38" cm="1">
        <f t="array" ref="D837">INDEX('Base-2'!$B$2:$J$100,1+B837,C837)</f>
        <v>0</v>
      </c>
    </row>
    <row r="838" spans="1:4" x14ac:dyDescent="0.75">
      <c r="A838" s="32">
        <v>804</v>
      </c>
      <c r="B838" s="32">
        <f t="shared" si="26"/>
        <v>89</v>
      </c>
      <c r="C838" s="32">
        <f t="shared" si="27"/>
        <v>3</v>
      </c>
      <c r="D838" s="38" cm="1">
        <f t="array" ref="D838">INDEX('Base-2'!$B$2:$J$100,1+B838,C838)</f>
        <v>0</v>
      </c>
    </row>
    <row r="839" spans="1:4" x14ac:dyDescent="0.75">
      <c r="A839" s="32">
        <v>805</v>
      </c>
      <c r="B839" s="32">
        <f t="shared" si="26"/>
        <v>89</v>
      </c>
      <c r="C839" s="32">
        <f t="shared" si="27"/>
        <v>4</v>
      </c>
      <c r="D839" s="38" cm="1">
        <f t="array" ref="D839">INDEX('Base-2'!$B$2:$J$100,1+B839,C839)</f>
        <v>0</v>
      </c>
    </row>
    <row r="840" spans="1:4" x14ac:dyDescent="0.75">
      <c r="A840" s="32">
        <v>806</v>
      </c>
      <c r="B840" s="32">
        <f t="shared" ref="B840:B843" si="28">IF(MOD(A840,$B$25)=0,A840/$B$25-1,INT(A840/$B$25))</f>
        <v>89</v>
      </c>
      <c r="C840" s="32">
        <f t="shared" ref="C840:C843" si="29">IF(MOD(A840,$B$25)=0,$B$25,MOD(A840,$B$25))</f>
        <v>5</v>
      </c>
      <c r="D840" s="38" cm="1">
        <f t="array" ref="D840">INDEX('Base-2'!$B$2:$J$100,1+B840,C840)</f>
        <v>0</v>
      </c>
    </row>
    <row r="841" spans="1:4" x14ac:dyDescent="0.75">
      <c r="A841" s="32">
        <v>807</v>
      </c>
      <c r="B841" s="32">
        <f t="shared" si="28"/>
        <v>89</v>
      </c>
      <c r="C841" s="32">
        <f t="shared" si="29"/>
        <v>6</v>
      </c>
      <c r="D841" s="38" cm="1">
        <f t="array" ref="D841">INDEX('Base-2'!$B$2:$J$100,1+B841,C841)</f>
        <v>0</v>
      </c>
    </row>
    <row r="842" spans="1:4" x14ac:dyDescent="0.75">
      <c r="A842" s="32">
        <v>808</v>
      </c>
      <c r="B842" s="32">
        <f t="shared" si="28"/>
        <v>89</v>
      </c>
      <c r="C842" s="32">
        <f t="shared" si="29"/>
        <v>7</v>
      </c>
      <c r="D842" s="38" cm="1">
        <f t="array" ref="D842">INDEX('Base-2'!$B$2:$J$100,1+B842,C842)</f>
        <v>0</v>
      </c>
    </row>
    <row r="843" spans="1:4" x14ac:dyDescent="0.75">
      <c r="A843" s="32">
        <v>809</v>
      </c>
      <c r="B843" s="32">
        <f t="shared" si="28"/>
        <v>89</v>
      </c>
      <c r="C843" s="32">
        <f t="shared" si="29"/>
        <v>8</v>
      </c>
      <c r="D843" s="38" cm="1">
        <f t="array" ref="D843">INDEX('Base-2'!$B$2:$J$100,1+B843,C843)</f>
        <v>0</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D27" sqref="D27"/>
    </sheetView>
  </sheetViews>
  <sheetFormatPr defaultRowHeight="14.75" x14ac:dyDescent="0.75"/>
  <cols>
    <col min="1" max="1" width="8.7265625" style="31"/>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45" t="str">
        <f>'Base-1'!B1</f>
        <v>canonical</v>
      </c>
      <c r="D1" s="20" t="s">
        <v>31</v>
      </c>
      <c r="E1" s="21"/>
      <c r="F1" s="59" t="s">
        <v>89</v>
      </c>
      <c r="L1" s="31"/>
      <c r="M1" s="31" t="s">
        <v>87</v>
      </c>
      <c r="N1" s="31"/>
    </row>
    <row r="2" spans="1:14" ht="15.5" thickBot="1" x14ac:dyDescent="0.9">
      <c r="C2" s="146" t="str">
        <f>'Base-1'!B2</f>
        <v>http://hl7.eu/fhir/ig/pcsp</v>
      </c>
      <c r="D2" s="18" t="s">
        <v>95</v>
      </c>
      <c r="E2" s="44"/>
      <c r="F2" t="s">
        <v>71</v>
      </c>
      <c r="L2" s="62"/>
      <c r="M2" t="str">
        <f>CONCATENATE("Mapping: ",E2)</f>
        <v xml:space="preserve">Mapping: </v>
      </c>
    </row>
    <row r="3" spans="1:14" ht="15.5" thickBot="1" x14ac:dyDescent="0.9">
      <c r="C3" s="145" t="str">
        <f>'Base-1'!B3</f>
        <v>Publisher</v>
      </c>
      <c r="D3" s="52"/>
      <c r="E3" s="45"/>
      <c r="L3" s="62"/>
      <c r="M3" t="str">
        <f>CONCATENATE("Id: ",E2)</f>
        <v xml:space="preserve">Id: </v>
      </c>
    </row>
    <row r="4" spans="1:14" ht="15.5" thickBot="1" x14ac:dyDescent="0.9">
      <c r="C4" s="146" t="str">
        <f>'Base-1'!B4</f>
        <v>PanCareSurPass project</v>
      </c>
      <c r="D4" s="61"/>
      <c r="E4" s="46"/>
      <c r="L4" s="62"/>
      <c r="M4" t="str">
        <f>CONCATENATE("Title: """,D2,"""")</f>
        <v>Title: "FHIR"</v>
      </c>
    </row>
    <row r="5" spans="1:14" x14ac:dyDescent="0.75">
      <c r="L5" s="62"/>
      <c r="M5" t="str">
        <f>CONCATENATE("Source: ",C2,"/",C7)</f>
        <v>Source: http://hl7.eu/fhir/ig/pcsp/MinimalTreatmentSummary</v>
      </c>
    </row>
    <row r="6" spans="1:14" s="31" customFormat="1" x14ac:dyDescent="0.75">
      <c r="D6" s="31" t="s">
        <v>70</v>
      </c>
      <c r="I6" s="1"/>
      <c r="J6" s="1"/>
      <c r="K6" s="1"/>
      <c r="L6" s="62"/>
      <c r="M6" t="str">
        <f>CONCATENATE("Target: """,D4,"""")</f>
        <v>Target: ""</v>
      </c>
      <c r="N6"/>
    </row>
    <row r="7" spans="1:14" x14ac:dyDescent="0.75">
      <c r="A7" s="32"/>
      <c r="B7" s="32">
        <f>'Base-1'!A6</f>
        <v>0</v>
      </c>
      <c r="C7" s="28" t="str">
        <f>'Base-1'!B6</f>
        <v>MinimalTreatmentSummary</v>
      </c>
      <c r="D7" s="28"/>
      <c r="L7" t="s">
        <v>88</v>
      </c>
      <c r="M7" t="s">
        <v>87</v>
      </c>
      <c r="N7" s="31"/>
    </row>
    <row r="8" spans="1:14" ht="44.25" x14ac:dyDescent="0.75">
      <c r="A8" s="32">
        <v>0</v>
      </c>
      <c r="B8" s="32">
        <f>'Base-1'!A7</f>
        <v>1</v>
      </c>
      <c r="C8" s="32" t="str">
        <f>'Base-1'!B7</f>
        <v>subject</v>
      </c>
      <c r="D8" s="32"/>
      <c r="E8" t="s">
        <v>90</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62"/>
      <c r="M8" t="str">
        <f t="shared" ref="M8:M26" si="0">CONCATENATE("* ",C8," -&gt; """,D8,"""")</f>
        <v>* subject -&gt; ""</v>
      </c>
    </row>
    <row r="9" spans="1:14" x14ac:dyDescent="0.75">
      <c r="A9" s="32">
        <v>0</v>
      </c>
      <c r="B9" s="32">
        <f>'Base-1'!A10</f>
        <v>4</v>
      </c>
      <c r="C9" s="32" t="str">
        <f>'Base-1'!B10</f>
        <v>diagnosis</v>
      </c>
      <c r="D9" s="28"/>
      <c r="G9" s="31"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62"/>
      <c r="M9" s="31" t="str">
        <f t="shared" si="0"/>
        <v>* diagnosis -&gt; ""</v>
      </c>
    </row>
    <row r="10" spans="1:14" x14ac:dyDescent="0.75">
      <c r="A10" s="32">
        <v>0</v>
      </c>
      <c r="B10" s="32" t="e">
        <f>'Base-1'!#REF!</f>
        <v>#REF!</v>
      </c>
      <c r="C10" s="32" t="e">
        <f>'Base-1'!#REF!</f>
        <v>#REF!</v>
      </c>
      <c r="D10" s="32"/>
      <c r="G10" s="31" t="b">
        <f t="shared" si="1"/>
        <v>0</v>
      </c>
      <c r="H10" s="1" t="str">
        <f t="shared" si="2"/>
        <v/>
      </c>
      <c r="I10" s="1" t="str">
        <f t="shared" si="3"/>
        <v/>
      </c>
      <c r="J10" s="1" t="str">
        <f t="shared" si="4"/>
        <v/>
      </c>
      <c r="L10" s="62"/>
      <c r="M10" s="31" t="e">
        <f t="shared" si="0"/>
        <v>#REF!</v>
      </c>
    </row>
    <row r="11" spans="1:14" x14ac:dyDescent="0.75">
      <c r="A11" s="32">
        <v>0</v>
      </c>
      <c r="B11" s="32">
        <f>'Base-1'!A13</f>
        <v>7</v>
      </c>
      <c r="C11" s="32" t="str">
        <f>'Base-1'!B13</f>
        <v>diagnosis.chemotherapy</v>
      </c>
      <c r="D11" s="32"/>
      <c r="G11" s="31" t="b">
        <f t="shared" si="1"/>
        <v>0</v>
      </c>
      <c r="H11" s="1" t="str">
        <f t="shared" si="2"/>
        <v/>
      </c>
      <c r="I11" s="1" t="str">
        <f t="shared" si="3"/>
        <v/>
      </c>
      <c r="J11" s="1" t="str">
        <f t="shared" si="4"/>
        <v/>
      </c>
      <c r="L11" s="62"/>
      <c r="M11" s="31" t="str">
        <f t="shared" si="0"/>
        <v>* diagnosis.chemotherapy -&gt; ""</v>
      </c>
    </row>
    <row r="12" spans="1:14" x14ac:dyDescent="0.75">
      <c r="A12" s="32">
        <v>0</v>
      </c>
      <c r="B12" s="32">
        <f>'Base-1'!A22</f>
        <v>16</v>
      </c>
      <c r="C12" s="32" t="str">
        <f>'Base-1'!B22</f>
        <v>diagnosis.majorSurgery.isFace</v>
      </c>
      <c r="D12" s="32"/>
      <c r="G12" s="31" t="b">
        <f t="shared" si="1"/>
        <v>0</v>
      </c>
      <c r="H12" s="1" t="str">
        <f t="shared" si="2"/>
        <v/>
      </c>
      <c r="I12" s="1" t="str">
        <f t="shared" si="3"/>
        <v/>
      </c>
      <c r="J12" s="1" t="str">
        <f t="shared" si="4"/>
        <v/>
      </c>
      <c r="L12" s="62"/>
      <c r="M12" s="31" t="str">
        <f t="shared" si="0"/>
        <v>* diagnosis.majorSurgery.isFace -&gt; ""</v>
      </c>
    </row>
    <row r="13" spans="1:14" x14ac:dyDescent="0.75">
      <c r="A13" s="32">
        <v>0</v>
      </c>
      <c r="B13" s="32">
        <f>'Base-1'!A25</f>
        <v>19</v>
      </c>
      <c r="C13" s="32" t="str">
        <f>'Base-1'!B25</f>
        <v>diagnosis.majorSurgery.isSpinalCord</v>
      </c>
      <c r="D13" s="32"/>
      <c r="G13" s="31" t="b">
        <f t="shared" si="1"/>
        <v>0</v>
      </c>
      <c r="H13" s="1" t="str">
        <f t="shared" si="2"/>
        <v/>
      </c>
      <c r="I13" s="1" t="str">
        <f t="shared" si="3"/>
        <v/>
      </c>
      <c r="J13" s="1" t="str">
        <f t="shared" si="4"/>
        <v/>
      </c>
      <c r="L13" s="62"/>
      <c r="M13" s="31" t="str">
        <f t="shared" si="0"/>
        <v>* diagnosis.majorSurgery.isSpinalCord -&gt; ""</v>
      </c>
    </row>
    <row r="14" spans="1:14" x14ac:dyDescent="0.75">
      <c r="A14" s="32">
        <v>0</v>
      </c>
      <c r="B14" s="32" t="e">
        <f>'Base-1'!#REF!</f>
        <v>#REF!</v>
      </c>
      <c r="C14" s="32" t="e">
        <f>'Base-1'!#REF!</f>
        <v>#REF!</v>
      </c>
      <c r="D14" s="32"/>
      <c r="G14" s="31" t="b">
        <f t="shared" si="1"/>
        <v>0</v>
      </c>
      <c r="H14" s="1" t="str">
        <f t="shared" si="2"/>
        <v/>
      </c>
      <c r="I14" s="1" t="str">
        <f t="shared" si="3"/>
        <v/>
      </c>
      <c r="J14" s="1" t="str">
        <f t="shared" si="4"/>
        <v/>
      </c>
      <c r="L14" s="62"/>
      <c r="M14" s="31" t="e">
        <f t="shared" si="0"/>
        <v>#REF!</v>
      </c>
    </row>
    <row r="15" spans="1:14" x14ac:dyDescent="0.75">
      <c r="A15" s="32">
        <v>0</v>
      </c>
      <c r="B15" s="32" t="e">
        <f>'Base-1'!#REF!</f>
        <v>#REF!</v>
      </c>
      <c r="C15" s="32" t="e">
        <f>'Base-1'!#REF!</f>
        <v>#REF!</v>
      </c>
      <c r="D15" s="32"/>
      <c r="G15" s="31" t="b">
        <f t="shared" si="1"/>
        <v>0</v>
      </c>
      <c r="H15" s="1" t="str">
        <f t="shared" si="2"/>
        <v/>
      </c>
      <c r="I15" s="1" t="str">
        <f t="shared" si="3"/>
        <v/>
      </c>
      <c r="J15" s="1" t="str">
        <f t="shared" si="4"/>
        <v/>
      </c>
      <c r="M15" s="31" t="e">
        <f t="shared" si="0"/>
        <v>#REF!</v>
      </c>
    </row>
    <row r="16" spans="1:14" x14ac:dyDescent="0.75">
      <c r="A16" s="32">
        <v>0</v>
      </c>
      <c r="B16" s="32">
        <f>'Base-1'!A39</f>
        <v>33</v>
      </c>
      <c r="C16" s="32" t="str">
        <f>'Base-1'!B39</f>
        <v>diagnosis.progressionRelapseAfterEOT.chemotherapy</v>
      </c>
      <c r="D16" s="32"/>
      <c r="G16" s="31" t="b">
        <f t="shared" si="1"/>
        <v>0</v>
      </c>
      <c r="H16" s="1" t="str">
        <f t="shared" si="2"/>
        <v/>
      </c>
      <c r="I16" s="1" t="str">
        <f t="shared" si="3"/>
        <v/>
      </c>
      <c r="J16" s="1" t="str">
        <f t="shared" si="4"/>
        <v/>
      </c>
      <c r="M16" s="31" t="str">
        <f t="shared" si="0"/>
        <v>* diagnosis.progressionRelapseAfterEOT.chemotherapy -&gt; ""</v>
      </c>
    </row>
    <row r="17" spans="1:13" x14ac:dyDescent="0.75">
      <c r="A17" s="32">
        <v>0</v>
      </c>
      <c r="B17" s="32" t="e">
        <f>'Base-1'!#REF!</f>
        <v>#REF!</v>
      </c>
      <c r="C17" s="32" t="e">
        <f>'Base-1'!#REF!</f>
        <v>#REF!</v>
      </c>
      <c r="D17" s="32"/>
      <c r="G17" s="31" t="b">
        <f t="shared" si="1"/>
        <v>0</v>
      </c>
      <c r="H17" s="1" t="str">
        <f t="shared" si="2"/>
        <v/>
      </c>
      <c r="I17" s="1" t="str">
        <f t="shared" si="3"/>
        <v/>
      </c>
      <c r="J17" s="1" t="str">
        <f t="shared" si="4"/>
        <v/>
      </c>
      <c r="M17" s="31" t="e">
        <f t="shared" si="0"/>
        <v>#REF!</v>
      </c>
    </row>
    <row r="18" spans="1:13" x14ac:dyDescent="0.75">
      <c r="A18" s="32">
        <v>0</v>
      </c>
      <c r="B18" s="32">
        <f>'Base-1'!A46</f>
        <v>40</v>
      </c>
      <c r="C18" s="32" t="str">
        <f>'Base-1'!B46</f>
        <v>diagnosis.progressionRelapseAfterEOT.majorSurgery.isAbdomen</v>
      </c>
      <c r="D18" s="28"/>
      <c r="G18" s="31" t="b">
        <f t="shared" si="1"/>
        <v>0</v>
      </c>
      <c r="H18" s="1" t="str">
        <f t="shared" si="2"/>
        <v/>
      </c>
      <c r="I18" s="1" t="str">
        <f t="shared" si="3"/>
        <v/>
      </c>
      <c r="J18" s="1" t="str">
        <f t="shared" si="4"/>
        <v/>
      </c>
      <c r="M18" s="31" t="str">
        <f t="shared" si="0"/>
        <v>* diagnosis.progressionRelapseAfterEOT.majorSurgery.isAbdomen -&gt; ""</v>
      </c>
    </row>
    <row r="19" spans="1:13" x14ac:dyDescent="0.75">
      <c r="A19" s="32">
        <v>0</v>
      </c>
      <c r="B19" s="32">
        <f>'Base-1'!A47</f>
        <v>41</v>
      </c>
      <c r="C19" s="32" t="str">
        <f>'Base-1'!B47</f>
        <v>diagnosis.progressionRelapseAfterEOT.majorSurgery.isBrain</v>
      </c>
      <c r="D19" s="32"/>
      <c r="G19" s="31" t="b">
        <f t="shared" si="1"/>
        <v>0</v>
      </c>
      <c r="H19" s="1" t="str">
        <f t="shared" si="2"/>
        <v/>
      </c>
      <c r="I19" s="1" t="str">
        <f t="shared" si="3"/>
        <v/>
      </c>
      <c r="J19" s="1" t="str">
        <f t="shared" si="4"/>
        <v/>
      </c>
      <c r="M19" s="31" t="str">
        <f t="shared" si="0"/>
        <v>* diagnosis.progressionRelapseAfterEOT.majorSurgery.isBrain -&gt; ""</v>
      </c>
    </row>
    <row r="20" spans="1:13" x14ac:dyDescent="0.75">
      <c r="A20" s="32">
        <v>0</v>
      </c>
      <c r="B20" s="32">
        <f>'Base-1'!A48</f>
        <v>42</v>
      </c>
      <c r="C20" s="32" t="str">
        <f>'Base-1'!B48</f>
        <v>diagnosis.progressionRelapseAfterEOT.majorSurgery.isFace</v>
      </c>
      <c r="D20" s="28"/>
      <c r="G20" s="31" t="b">
        <f t="shared" si="1"/>
        <v>0</v>
      </c>
      <c r="H20" s="1" t="str">
        <f t="shared" si="2"/>
        <v/>
      </c>
      <c r="I20" s="1" t="str">
        <f t="shared" si="3"/>
        <v/>
      </c>
      <c r="J20" s="1" t="str">
        <f t="shared" si="4"/>
        <v/>
      </c>
      <c r="M20" s="31" t="str">
        <f t="shared" si="0"/>
        <v>* diagnosis.progressionRelapseAfterEOT.majorSurgery.isFace -&gt; ""</v>
      </c>
    </row>
    <row r="21" spans="1:13" x14ac:dyDescent="0.75">
      <c r="A21" s="32">
        <v>0</v>
      </c>
      <c r="B21" s="32">
        <f>'Base-1'!A49</f>
        <v>43</v>
      </c>
      <c r="C21" s="32" t="str">
        <f>'Base-1'!B49</f>
        <v>diagnosis.progressionRelapseAfterEOT.majorSurgery.isLiver</v>
      </c>
      <c r="D21" s="32"/>
      <c r="G21" s="31" t="b">
        <f t="shared" si="1"/>
        <v>0</v>
      </c>
      <c r="H21" s="1" t="str">
        <f t="shared" si="2"/>
        <v/>
      </c>
      <c r="I21" s="1" t="str">
        <f t="shared" si="3"/>
        <v/>
      </c>
      <c r="J21" s="1" t="str">
        <f t="shared" si="4"/>
        <v/>
      </c>
      <c r="M21" s="31" t="str">
        <f t="shared" si="0"/>
        <v>* diagnosis.progressionRelapseAfterEOT.majorSurgery.isLiver -&gt; ""</v>
      </c>
    </row>
    <row r="22" spans="1:13" x14ac:dyDescent="0.75">
      <c r="A22" s="32">
        <v>0</v>
      </c>
      <c r="B22" s="32">
        <f>'Base-1'!A50</f>
        <v>44</v>
      </c>
      <c r="C22" s="32" t="str">
        <f>'Base-1'!B50</f>
        <v>diagnosis.progressionRelapseAfterEOT.majorSurgery.isSpine</v>
      </c>
      <c r="D22" s="32"/>
      <c r="G22" s="31" t="b">
        <f t="shared" si="1"/>
        <v>0</v>
      </c>
      <c r="H22" s="1" t="str">
        <f t="shared" si="2"/>
        <v/>
      </c>
      <c r="I22" s="1" t="str">
        <f t="shared" si="3"/>
        <v/>
      </c>
      <c r="J22" s="1" t="str">
        <f t="shared" si="4"/>
        <v/>
      </c>
      <c r="M22" s="31" t="str">
        <f t="shared" si="0"/>
        <v>* diagnosis.progressionRelapseAfterEOT.majorSurgery.isSpine -&gt; ""</v>
      </c>
    </row>
    <row r="23" spans="1:13" x14ac:dyDescent="0.75">
      <c r="A23" s="32">
        <v>0</v>
      </c>
      <c r="B23" s="32">
        <f>'Base-1'!A51</f>
        <v>45</v>
      </c>
      <c r="C23" s="32" t="str">
        <f>'Base-1'!C11</f>
        <v>ICD-O-3 code (topography)</v>
      </c>
      <c r="D23" s="32"/>
      <c r="G23" s="31" t="b">
        <f t="shared" si="1"/>
        <v>0</v>
      </c>
      <c r="H23" s="1" t="str">
        <f t="shared" si="2"/>
        <v/>
      </c>
      <c r="I23" s="1" t="str">
        <f t="shared" si="3"/>
        <v/>
      </c>
      <c r="J23" s="1" t="str">
        <f t="shared" si="4"/>
        <v/>
      </c>
      <c r="M23" s="31" t="str">
        <f t="shared" si="0"/>
        <v>* ICD-O-3 code (topography) -&gt; ""</v>
      </c>
    </row>
    <row r="24" spans="1:13" x14ac:dyDescent="0.75">
      <c r="A24" s="32">
        <v>0</v>
      </c>
      <c r="B24" s="32">
        <f>'Base-1'!A52</f>
        <v>46</v>
      </c>
      <c r="C24" s="32" t="str">
        <f>'Base-1'!B52</f>
        <v>diagnosis.progressionRelapseAfterEOT.majorSurgery.isSympatheticNerves</v>
      </c>
      <c r="D24" s="32"/>
      <c r="G24" s="31" t="b">
        <f t="shared" si="1"/>
        <v>0</v>
      </c>
      <c r="H24" s="1" t="str">
        <f t="shared" si="2"/>
        <v/>
      </c>
      <c r="I24" s="1" t="str">
        <f t="shared" si="3"/>
        <v/>
      </c>
      <c r="J24" s="1" t="str">
        <f t="shared" si="4"/>
        <v/>
      </c>
      <c r="M24" s="31" t="str">
        <f t="shared" si="0"/>
        <v>* diagnosis.progressionRelapseAfterEOT.majorSurgery.isSympatheticNerves -&gt; ""</v>
      </c>
    </row>
    <row r="25" spans="1:13" x14ac:dyDescent="0.75">
      <c r="A25" s="32">
        <v>0</v>
      </c>
      <c r="B25" s="32">
        <f>'Base-1'!A53</f>
        <v>47</v>
      </c>
      <c r="C25" s="32" t="str">
        <f>'Base-1'!B53</f>
        <v>diagnosis.progressionRelapseAfterEOT.majorSurgery.isChestThorax</v>
      </c>
      <c r="D25" s="32"/>
      <c r="G25" s="31" t="b">
        <f t="shared" si="1"/>
        <v>0</v>
      </c>
      <c r="H25" s="1" t="str">
        <f t="shared" si="2"/>
        <v/>
      </c>
      <c r="I25" s="1" t="str">
        <f t="shared" si="3"/>
        <v/>
      </c>
      <c r="J25" s="1" t="str">
        <f t="shared" si="4"/>
        <v/>
      </c>
      <c r="M25" s="31" t="str">
        <f t="shared" si="0"/>
        <v>* diagnosis.progressionRelapseAfterEOT.majorSurgery.isChestThorax -&gt; ""</v>
      </c>
    </row>
    <row r="26" spans="1:13" x14ac:dyDescent="0.75">
      <c r="A26" s="32">
        <v>0</v>
      </c>
      <c r="B26" s="32">
        <f>'Base-1'!A54</f>
        <v>48</v>
      </c>
      <c r="C26" s="32" t="str">
        <f>'Base-1'!B54</f>
        <v>diagnosis.progressionRelapseAfterEOT.majorSurgery.isPelvis</v>
      </c>
      <c r="D26" s="32"/>
      <c r="G26" s="31" t="b">
        <f t="shared" si="1"/>
        <v>0</v>
      </c>
      <c r="H26" s="1" t="str">
        <f t="shared" si="2"/>
        <v/>
      </c>
      <c r="I26" s="1" t="str">
        <f t="shared" si="3"/>
        <v/>
      </c>
      <c r="J26" s="1" t="str">
        <f t="shared" si="4"/>
        <v/>
      </c>
      <c r="M26" s="31" t="str">
        <f t="shared" si="0"/>
        <v>* diagnosis.progressionRelapseAfterEOT.majorSurgery.isPelvis -&gt; ""</v>
      </c>
    </row>
    <row r="27" spans="1:13" s="31" customFormat="1" x14ac:dyDescent="0.75">
      <c r="A27" s="68">
        <v>0</v>
      </c>
      <c r="B27" s="68">
        <f>B28</f>
        <v>49</v>
      </c>
      <c r="C27" s="68" t="str">
        <f>C28</f>
        <v>diagnosis.progressionRelapseAfterEOT.majorSurgery.sacrifiedOrgans</v>
      </c>
      <c r="D27" s="68"/>
      <c r="G27" s="31" t="b">
        <f t="shared" si="1"/>
        <v>0</v>
      </c>
      <c r="H27" s="1" t="str">
        <f t="shared" si="2"/>
        <v/>
      </c>
      <c r="I27" s="1" t="str">
        <f t="shared" si="3"/>
        <v/>
      </c>
      <c r="J27" s="1" t="str">
        <f t="shared" si="4"/>
        <v/>
      </c>
      <c r="K27" s="1"/>
    </row>
    <row r="28" spans="1:13" x14ac:dyDescent="0.75">
      <c r="A28" s="32">
        <v>1</v>
      </c>
      <c r="B28" s="32">
        <f>'Base-1'!A55</f>
        <v>49</v>
      </c>
      <c r="C28" s="32" t="str">
        <f>'Base-1'!B55</f>
        <v>diagnosis.progressionRelapseAfterEOT.majorSurgery.sacrifiedOrgans</v>
      </c>
      <c r="D28" s="32"/>
      <c r="G28" s="31" t="b">
        <f t="shared" si="1"/>
        <v>0</v>
      </c>
      <c r="H28" s="1" t="str">
        <f t="shared" si="2"/>
        <v/>
      </c>
      <c r="I28" s="1" t="str">
        <f t="shared" si="3"/>
        <v/>
      </c>
      <c r="J28" s="1" t="str">
        <f t="shared" si="4"/>
        <v/>
      </c>
      <c r="M28" s="31" t="str">
        <f t="shared" ref="M28:M36" si="5">CONCATENATE("* ",C28," -&gt; """,D28,"""")</f>
        <v>* diagnosis.progressionRelapseAfterEOT.majorSurgery.sacrifiedOrgans -&gt; ""</v>
      </c>
    </row>
    <row r="29" spans="1:13" x14ac:dyDescent="0.75">
      <c r="A29" s="32">
        <v>0</v>
      </c>
      <c r="B29" s="32">
        <f>'Base-1'!A56</f>
        <v>50</v>
      </c>
      <c r="C29" s="32" t="str">
        <f>'Base-1'!B56</f>
        <v>diagnosis.progressionRelapseAfterEOT.majorSurgery.shuntApplied</v>
      </c>
      <c r="D29" s="32"/>
      <c r="G29" s="31" t="b">
        <f t="shared" si="1"/>
        <v>0</v>
      </c>
      <c r="H29" s="1" t="str">
        <f t="shared" si="2"/>
        <v/>
      </c>
      <c r="I29" s="1" t="str">
        <f t="shared" si="3"/>
        <v/>
      </c>
      <c r="J29" s="1" t="str">
        <f t="shared" si="4"/>
        <v/>
      </c>
      <c r="M29" s="31" t="str">
        <f t="shared" si="5"/>
        <v>* diagnosis.progressionRelapseAfterEOT.majorSurgery.shuntApplied -&gt; ""</v>
      </c>
    </row>
    <row r="30" spans="1:13" x14ac:dyDescent="0.75">
      <c r="A30" s="32">
        <v>0</v>
      </c>
      <c r="B30" s="32">
        <f>'Base-1'!A57</f>
        <v>51</v>
      </c>
      <c r="C30" s="32" t="str">
        <f>'Base-1'!B57</f>
        <v>diagnosis.progressionRelapseAfterEOT.otherInfo</v>
      </c>
      <c r="D30" s="32"/>
      <c r="G30" s="31" t="b">
        <f t="shared" si="1"/>
        <v>0</v>
      </c>
      <c r="H30" s="1" t="str">
        <f t="shared" si="2"/>
        <v/>
      </c>
      <c r="I30" s="1" t="str">
        <f t="shared" si="3"/>
        <v/>
      </c>
      <c r="J30" s="1" t="str">
        <f t="shared" si="4"/>
        <v/>
      </c>
      <c r="M30" s="31" t="str">
        <f t="shared" si="5"/>
        <v>* diagnosis.progressionRelapseAfterEOT.otherInfo -&gt; ""</v>
      </c>
    </row>
    <row r="31" spans="1:13" x14ac:dyDescent="0.75">
      <c r="A31" s="32">
        <v>0</v>
      </c>
      <c r="B31" s="32">
        <f>'Base-1'!A58</f>
        <v>52</v>
      </c>
      <c r="C31" s="32" t="str">
        <f>'Base-1'!B58</f>
        <v>diagnosis.progressionRelapseAfterEOT.otherInfo.hypogonadal</v>
      </c>
      <c r="D31" s="32"/>
      <c r="G31" s="31" t="b">
        <f t="shared" si="1"/>
        <v>0</v>
      </c>
      <c r="H31" s="1" t="str">
        <f t="shared" si="2"/>
        <v/>
      </c>
      <c r="I31" s="1" t="str">
        <f t="shared" si="3"/>
        <v/>
      </c>
      <c r="J31" s="1" t="str">
        <f t="shared" si="4"/>
        <v/>
      </c>
      <c r="M31" s="31" t="str">
        <f t="shared" si="5"/>
        <v>* diagnosis.progressionRelapseAfterEOT.otherInfo.hypogonadal -&gt; ""</v>
      </c>
    </row>
    <row r="32" spans="1:13" x14ac:dyDescent="0.75">
      <c r="A32" s="32">
        <v>0</v>
      </c>
      <c r="B32" s="32">
        <f>'Base-1'!A59</f>
        <v>53</v>
      </c>
      <c r="C32" s="32" t="str">
        <f>'Base-1'!B59</f>
        <v>diagnosis.progressionRelapseAfterEOT.otherInfo.growthHormoneDeficiency</v>
      </c>
      <c r="D32" s="32"/>
      <c r="G32" s="31" t="b">
        <f t="shared" si="1"/>
        <v>0</v>
      </c>
      <c r="H32" s="1" t="str">
        <f t="shared" si="2"/>
        <v/>
      </c>
      <c r="I32" s="1" t="str">
        <f t="shared" si="3"/>
        <v/>
      </c>
      <c r="J32" s="1" t="str">
        <f t="shared" si="4"/>
        <v/>
      </c>
      <c r="M32" s="31" t="str">
        <f t="shared" si="5"/>
        <v>* diagnosis.progressionRelapseAfterEOT.otherInfo.growthHormoneDeficiency -&gt; ""</v>
      </c>
    </row>
    <row r="33" spans="1:13" x14ac:dyDescent="0.75">
      <c r="A33" s="32">
        <v>0</v>
      </c>
      <c r="B33" s="32">
        <f>'Base-1'!A60</f>
        <v>54</v>
      </c>
      <c r="C33" s="32" t="str">
        <f>'Base-1'!B60</f>
        <v>diagnosis.progressionRelapseAfterEOT.otherInfo.hydrocephalus</v>
      </c>
      <c r="D33" s="32"/>
      <c r="G33" s="31" t="b">
        <f t="shared" si="1"/>
        <v>0</v>
      </c>
      <c r="H33" s="1" t="str">
        <f t="shared" si="2"/>
        <v/>
      </c>
      <c r="I33" s="1" t="str">
        <f t="shared" si="3"/>
        <v/>
      </c>
      <c r="J33" s="1" t="str">
        <f t="shared" si="4"/>
        <v/>
      </c>
      <c r="M33" s="31" t="str">
        <f t="shared" si="5"/>
        <v>* diagnosis.progressionRelapseAfterEOT.otherInfo.hydrocephalus -&gt; ""</v>
      </c>
    </row>
    <row r="34" spans="1:13" x14ac:dyDescent="0.75">
      <c r="A34" s="32">
        <v>0</v>
      </c>
      <c r="B34" s="32">
        <f>'Base-1'!A61</f>
        <v>55</v>
      </c>
      <c r="C34" s="32" t="str">
        <f>'Base-1'!B61</f>
        <v>diagnosis.progressionRelapseAfterEOT.otherInfo.chronicViralHepatitis</v>
      </c>
      <c r="D34" s="32"/>
      <c r="G34" s="31" t="b">
        <f t="shared" si="1"/>
        <v>0</v>
      </c>
      <c r="H34" s="1" t="str">
        <f t="shared" si="2"/>
        <v/>
      </c>
      <c r="I34" s="1" t="str">
        <f t="shared" si="3"/>
        <v/>
      </c>
      <c r="J34" s="1" t="str">
        <f t="shared" si="4"/>
        <v/>
      </c>
      <c r="M34" s="31" t="str">
        <f t="shared" si="5"/>
        <v>* diagnosis.progressionRelapseAfterEOT.otherInfo.chronicViralHepatitis -&gt; ""</v>
      </c>
    </row>
    <row r="35" spans="1:13" x14ac:dyDescent="0.75">
      <c r="A35" s="32">
        <v>0</v>
      </c>
      <c r="B35" s="32">
        <f>'Base-1'!A62</f>
        <v>56</v>
      </c>
      <c r="C35" s="32" t="str">
        <f>'Base-1'!B62</f>
        <v>diagnosis.progressionRelapseAfterEOT.otherInfo.sinusoidalObstructionSyndrome</v>
      </c>
      <c r="D35" s="32"/>
      <c r="G35" s="31" t="b">
        <f t="shared" si="1"/>
        <v>0</v>
      </c>
      <c r="H35" s="1" t="str">
        <f t="shared" si="2"/>
        <v/>
      </c>
      <c r="I35" s="1" t="str">
        <f t="shared" si="3"/>
        <v/>
      </c>
      <c r="J35" s="1" t="str">
        <f t="shared" si="4"/>
        <v/>
      </c>
      <c r="M35" s="31" t="str">
        <f t="shared" si="5"/>
        <v>* diagnosis.progressionRelapseAfterEOT.otherInfo.sinusoidalObstructionSyndrome -&gt; ""</v>
      </c>
    </row>
    <row r="36" spans="1:13" x14ac:dyDescent="0.75">
      <c r="A36" s="32">
        <v>0</v>
      </c>
      <c r="B36" s="32">
        <f>'Base-1'!A63</f>
        <v>57</v>
      </c>
      <c r="C36" s="32" t="str">
        <f>'Base-1'!B63</f>
        <v>diagnosis.progressionRelapseAfterEOT.otherInfo.moreOf10Transfusions</v>
      </c>
      <c r="D36" s="32"/>
      <c r="G36" s="31" t="b">
        <f t="shared" si="1"/>
        <v>0</v>
      </c>
      <c r="H36" s="1" t="str">
        <f t="shared" si="2"/>
        <v/>
      </c>
      <c r="I36" s="1" t="str">
        <f t="shared" si="3"/>
        <v/>
      </c>
      <c r="J36" s="1" t="str">
        <f t="shared" si="4"/>
        <v/>
      </c>
      <c r="M36" s="31" t="str">
        <f t="shared" si="5"/>
        <v>* diagnosis.progressionRelapseAfterEOT.otherInfo.moreOf10Transfusions -&gt; ""</v>
      </c>
    </row>
    <row r="37" spans="1:13" x14ac:dyDescent="0.75">
      <c r="A37" s="32">
        <v>0</v>
      </c>
      <c r="B37" s="32" t="e">
        <f>'Base-1'!#REF!</f>
        <v>#REF!</v>
      </c>
      <c r="C37" s="32" t="e">
        <f>'Base-1'!#REF!</f>
        <v>#REF!</v>
      </c>
      <c r="D37" s="32"/>
      <c r="G37" s="31" t="b">
        <f t="shared" si="1"/>
        <v>0</v>
      </c>
      <c r="H37" s="1" t="str">
        <f t="shared" si="2"/>
        <v/>
      </c>
      <c r="I37" s="1" t="str">
        <f t="shared" si="3"/>
        <v/>
      </c>
      <c r="J37" s="1" t="str">
        <f t="shared" si="4"/>
        <v/>
      </c>
    </row>
    <row r="38" spans="1:13" x14ac:dyDescent="0.75">
      <c r="A38" s="32"/>
      <c r="B38" s="32"/>
      <c r="C38" s="32"/>
      <c r="D38" s="32"/>
      <c r="G38" s="31" t="b">
        <f t="shared" si="1"/>
        <v>0</v>
      </c>
      <c r="H38" s="1" t="str">
        <f t="shared" si="2"/>
        <v/>
      </c>
      <c r="I38" s="1" t="str">
        <f t="shared" si="3"/>
        <v/>
      </c>
      <c r="J38" s="1" t="str">
        <f t="shared" si="4"/>
        <v/>
      </c>
    </row>
    <row r="39" spans="1:13" x14ac:dyDescent="0.75">
      <c r="A39" s="32"/>
      <c r="B39" s="32"/>
      <c r="C39" s="32"/>
      <c r="D39" s="32"/>
      <c r="G39" s="31" t="b">
        <f t="shared" si="1"/>
        <v>0</v>
      </c>
      <c r="H39" s="1" t="str">
        <f t="shared" si="2"/>
        <v/>
      </c>
      <c r="I39" s="1" t="str">
        <f t="shared" si="3"/>
        <v/>
      </c>
      <c r="J39" s="1" t="str">
        <f t="shared" si="4"/>
        <v/>
      </c>
    </row>
    <row r="40" spans="1:13" x14ac:dyDescent="0.75">
      <c r="B40" s="31" t="e">
        <f>'Base-1'!#REF!</f>
        <v>#REF!</v>
      </c>
      <c r="C40" s="31"/>
      <c r="G40" s="31" t="b">
        <f t="shared" si="1"/>
        <v>0</v>
      </c>
      <c r="H40" s="1" t="str">
        <f t="shared" si="2"/>
        <v/>
      </c>
      <c r="I40" s="1" t="str">
        <f t="shared" si="3"/>
        <v/>
      </c>
      <c r="J40" s="1" t="str">
        <f t="shared" si="4"/>
        <v/>
      </c>
    </row>
    <row r="41" spans="1:13" x14ac:dyDescent="0.75">
      <c r="B41" s="31" t="e">
        <f>'Base-1'!#REF!</f>
        <v>#REF!</v>
      </c>
      <c r="C41" s="31" t="e">
        <f>'Base-1'!#REF!</f>
        <v>#REF!</v>
      </c>
      <c r="G41" s="31" t="b">
        <f t="shared" si="1"/>
        <v>0</v>
      </c>
      <c r="H41" s="1" t="str">
        <f t="shared" si="2"/>
        <v/>
      </c>
      <c r="I41" s="1" t="str">
        <f t="shared" si="3"/>
        <v/>
      </c>
      <c r="J41" s="1" t="str">
        <f t="shared" si="4"/>
        <v/>
      </c>
    </row>
    <row r="42" spans="1:13" x14ac:dyDescent="0.75">
      <c r="B42" s="31" t="e">
        <f>'Base-1'!#REF!</f>
        <v>#REF!</v>
      </c>
      <c r="C42" s="31" t="e">
        <f>'Base-1'!#REF!</f>
        <v>#REF!</v>
      </c>
      <c r="G42" s="31" t="b">
        <f t="shared" si="1"/>
        <v>0</v>
      </c>
      <c r="H42" s="1" t="str">
        <f t="shared" si="2"/>
        <v/>
      </c>
      <c r="I42" s="1" t="str">
        <f t="shared" si="3"/>
        <v/>
      </c>
      <c r="J42" s="1" t="str">
        <f t="shared" si="4"/>
        <v/>
      </c>
    </row>
    <row r="43" spans="1:13" x14ac:dyDescent="0.75">
      <c r="B43" s="31" t="e">
        <f>'Base-1'!#REF!</f>
        <v>#REF!</v>
      </c>
      <c r="C43" s="31" t="e">
        <f>'Base-1'!#REF!</f>
        <v>#REF!</v>
      </c>
      <c r="D43" s="63"/>
      <c r="G43" s="31" t="b">
        <f t="shared" si="1"/>
        <v>0</v>
      </c>
      <c r="H43" s="1" t="str">
        <f t="shared" si="2"/>
        <v/>
      </c>
      <c r="I43" s="1" t="str">
        <f t="shared" si="3"/>
        <v/>
      </c>
      <c r="J43" s="1" t="str">
        <f t="shared" si="4"/>
        <v/>
      </c>
    </row>
    <row r="44" spans="1:13" x14ac:dyDescent="0.75">
      <c r="B44" s="31" t="e">
        <f>'Base-1'!#REF!</f>
        <v>#REF!</v>
      </c>
      <c r="C44" s="31" t="e">
        <f>'Base-1'!#REF!</f>
        <v>#REF!</v>
      </c>
      <c r="D44" s="32"/>
      <c r="G44" s="31" t="b">
        <f t="shared" si="1"/>
        <v>0</v>
      </c>
      <c r="H44" s="1" t="str">
        <f t="shared" si="2"/>
        <v/>
      </c>
      <c r="I44" s="1" t="str">
        <f t="shared" si="3"/>
        <v/>
      </c>
      <c r="J44" s="1" t="str">
        <f t="shared" si="4"/>
        <v/>
      </c>
    </row>
    <row r="45" spans="1:13" x14ac:dyDescent="0.75">
      <c r="B45" s="31" t="e">
        <f>'Base-1'!#REF!</f>
        <v>#REF!</v>
      </c>
      <c r="C45" s="31" t="e">
        <f>'Base-1'!#REF!</f>
        <v>#REF!</v>
      </c>
      <c r="D45" s="63"/>
      <c r="G45" s="31" t="b">
        <f t="shared" si="1"/>
        <v>0</v>
      </c>
      <c r="H45" s="1" t="str">
        <f t="shared" si="2"/>
        <v/>
      </c>
      <c r="I45" s="1" t="str">
        <f t="shared" si="3"/>
        <v/>
      </c>
      <c r="J45" s="1" t="str">
        <f t="shared" si="4"/>
        <v/>
      </c>
    </row>
    <row r="46" spans="1:13" x14ac:dyDescent="0.75">
      <c r="B46" s="31" t="e">
        <f>'Base-1'!#REF!</f>
        <v>#REF!</v>
      </c>
      <c r="C46" s="31" t="e">
        <f>'Base-1'!#REF!</f>
        <v>#REF!</v>
      </c>
      <c r="G46" s="31" t="b">
        <f t="shared" si="1"/>
        <v>0</v>
      </c>
      <c r="H46" s="1" t="str">
        <f t="shared" si="2"/>
        <v/>
      </c>
      <c r="I46" s="1" t="str">
        <f t="shared" si="3"/>
        <v/>
      </c>
      <c r="J46" s="1" t="str">
        <f t="shared" si="4"/>
        <v/>
      </c>
    </row>
    <row r="47" spans="1:13" x14ac:dyDescent="0.75">
      <c r="B47" s="31" t="e">
        <f>'Base-1'!#REF!</f>
        <v>#REF!</v>
      </c>
      <c r="C47" s="31" t="e">
        <f>'Base-1'!#REF!</f>
        <v>#REF!</v>
      </c>
      <c r="G47" s="31" t="b">
        <f t="shared" si="1"/>
        <v>0</v>
      </c>
      <c r="H47" s="1" t="str">
        <f t="shared" si="2"/>
        <v/>
      </c>
      <c r="I47" s="1" t="str">
        <f t="shared" si="3"/>
        <v/>
      </c>
      <c r="J47" s="1" t="str">
        <f t="shared" si="4"/>
        <v/>
      </c>
    </row>
    <row r="48" spans="1:13" x14ac:dyDescent="0.75">
      <c r="B48" s="31" t="e">
        <f>'Base-1'!#REF!</f>
        <v>#REF!</v>
      </c>
      <c r="C48" s="31" t="e">
        <f>'Base-1'!#REF!</f>
        <v>#REF!</v>
      </c>
      <c r="G48" s="31" t="b">
        <f t="shared" si="1"/>
        <v>0</v>
      </c>
      <c r="H48" s="1" t="str">
        <f t="shared" si="2"/>
        <v/>
      </c>
      <c r="I48" s="1" t="str">
        <f t="shared" si="3"/>
        <v/>
      </c>
      <c r="J48" s="1" t="str">
        <f t="shared" si="4"/>
        <v/>
      </c>
    </row>
    <row r="49" spans="2:10" x14ac:dyDescent="0.75">
      <c r="B49" s="31" t="e">
        <f>'Base-1'!#REF!</f>
        <v>#REF!</v>
      </c>
      <c r="C49" s="31" t="e">
        <f>'Base-1'!#REF!</f>
        <v>#REF!</v>
      </c>
      <c r="G49" s="31" t="b">
        <f t="shared" si="1"/>
        <v>0</v>
      </c>
      <c r="H49" s="1" t="str">
        <f t="shared" si="2"/>
        <v/>
      </c>
      <c r="I49" s="1" t="str">
        <f t="shared" si="3"/>
        <v/>
      </c>
      <c r="J49" s="1" t="str">
        <f t="shared" si="4"/>
        <v/>
      </c>
    </row>
    <row r="50" spans="2:10" x14ac:dyDescent="0.75">
      <c r="B50" s="31" t="e">
        <f>'Base-1'!#REF!</f>
        <v>#REF!</v>
      </c>
      <c r="C50" s="31" t="e">
        <f>'Base-1'!#REF!</f>
        <v>#REF!</v>
      </c>
      <c r="G50" s="31" t="b">
        <f t="shared" si="1"/>
        <v>0</v>
      </c>
      <c r="H50" s="1" t="str">
        <f t="shared" si="2"/>
        <v/>
      </c>
      <c r="I50" s="1" t="str">
        <f t="shared" si="3"/>
        <v/>
      </c>
      <c r="J50" s="1" t="str">
        <f t="shared" si="4"/>
        <v/>
      </c>
    </row>
    <row r="51" spans="2:10" x14ac:dyDescent="0.75">
      <c r="B51" s="31" t="e">
        <f>'Base-1'!#REF!</f>
        <v>#REF!</v>
      </c>
      <c r="C51" s="31" t="e">
        <f>'Base-1'!#REF!</f>
        <v>#REF!</v>
      </c>
      <c r="G51" s="31" t="b">
        <f t="shared" si="1"/>
        <v>0</v>
      </c>
      <c r="H51" s="1" t="str">
        <f t="shared" si="2"/>
        <v/>
      </c>
      <c r="I51" s="1" t="str">
        <f t="shared" si="3"/>
        <v/>
      </c>
      <c r="J51" s="1" t="str">
        <f t="shared" si="4"/>
        <v/>
      </c>
    </row>
    <row r="52" spans="2:10" x14ac:dyDescent="0.75">
      <c r="B52" s="31" t="e">
        <f>'Base-1'!#REF!</f>
        <v>#REF!</v>
      </c>
      <c r="C52" s="31" t="e">
        <f>'Base-1'!#REF!</f>
        <v>#REF!</v>
      </c>
      <c r="G52" s="31" t="b">
        <f t="shared" si="1"/>
        <v>0</v>
      </c>
      <c r="H52" s="1" t="str">
        <f t="shared" si="2"/>
        <v/>
      </c>
      <c r="I52" s="1" t="str">
        <f t="shared" si="3"/>
        <v/>
      </c>
      <c r="J52" s="1" t="str">
        <f t="shared" si="4"/>
        <v/>
      </c>
    </row>
    <row r="53" spans="2:10" x14ac:dyDescent="0.75">
      <c r="B53" s="31" t="e">
        <f>'Base-1'!#REF!</f>
        <v>#REF!</v>
      </c>
      <c r="C53" s="31" t="e">
        <f>'Base-1'!#REF!</f>
        <v>#REF!</v>
      </c>
      <c r="G53" s="31" t="b">
        <f t="shared" si="1"/>
        <v>0</v>
      </c>
      <c r="H53" s="1" t="str">
        <f t="shared" si="2"/>
        <v/>
      </c>
      <c r="I53" s="1" t="str">
        <f t="shared" si="3"/>
        <v/>
      </c>
      <c r="J53" s="1" t="str">
        <f t="shared" si="4"/>
        <v/>
      </c>
    </row>
    <row r="54" spans="2:10" x14ac:dyDescent="0.75">
      <c r="B54" s="31">
        <f>'Base-1'!A64</f>
        <v>0</v>
      </c>
      <c r="C54" s="31">
        <f>'Base-1'!B64</f>
        <v>0</v>
      </c>
      <c r="G54" s="31" t="b">
        <f t="shared" si="1"/>
        <v>0</v>
      </c>
      <c r="H54" s="1" t="str">
        <f t="shared" si="2"/>
        <v/>
      </c>
      <c r="I54" s="1" t="str">
        <f t="shared" si="3"/>
        <v/>
      </c>
      <c r="J54" s="1" t="str">
        <f t="shared" si="4"/>
        <v/>
      </c>
    </row>
    <row r="55" spans="2:10" x14ac:dyDescent="0.75">
      <c r="B55" s="31">
        <f>'Base-1'!A65</f>
        <v>0</v>
      </c>
      <c r="C55" s="31">
        <f>'Base-1'!B65</f>
        <v>0</v>
      </c>
      <c r="G55" s="31" t="b">
        <f t="shared" si="1"/>
        <v>0</v>
      </c>
      <c r="H55" s="1" t="str">
        <f t="shared" si="2"/>
        <v/>
      </c>
      <c r="I55" s="1" t="str">
        <f t="shared" si="3"/>
        <v/>
      </c>
      <c r="J55" s="1" t="str">
        <f t="shared" si="4"/>
        <v/>
      </c>
    </row>
    <row r="56" spans="2:10" x14ac:dyDescent="0.75">
      <c r="B56" s="31">
        <f>'Base-1'!A66</f>
        <v>0</v>
      </c>
      <c r="C56" s="31">
        <f>'Base-1'!B66</f>
        <v>0</v>
      </c>
      <c r="G56" s="31" t="b">
        <f t="shared" si="1"/>
        <v>0</v>
      </c>
      <c r="H56" s="1" t="str">
        <f t="shared" si="2"/>
        <v/>
      </c>
      <c r="I56" s="1" t="str">
        <f t="shared" si="3"/>
        <v/>
      </c>
      <c r="J56" s="1" t="str">
        <f t="shared" si="4"/>
        <v/>
      </c>
    </row>
    <row r="57" spans="2:10" x14ac:dyDescent="0.75">
      <c r="B57" s="31">
        <f>'Base-1'!A67</f>
        <v>0</v>
      </c>
      <c r="C57" s="31">
        <f>'Base-1'!B67</f>
        <v>0</v>
      </c>
      <c r="G57" s="31" t="b">
        <f t="shared" si="1"/>
        <v>0</v>
      </c>
      <c r="H57" s="1" t="str">
        <f t="shared" si="2"/>
        <v/>
      </c>
      <c r="I57" s="1" t="str">
        <f t="shared" si="3"/>
        <v/>
      </c>
      <c r="J57" s="1" t="str">
        <f t="shared" si="4"/>
        <v/>
      </c>
    </row>
    <row r="58" spans="2:10" x14ac:dyDescent="0.75">
      <c r="B58" s="31">
        <f>'Base-1'!A68</f>
        <v>0</v>
      </c>
      <c r="C58" s="31">
        <f>'Base-1'!B68</f>
        <v>0</v>
      </c>
      <c r="G58" s="31" t="b">
        <f t="shared" si="1"/>
        <v>0</v>
      </c>
      <c r="H58" s="1" t="str">
        <f t="shared" si="2"/>
        <v/>
      </c>
      <c r="I58" s="1" t="str">
        <f t="shared" si="3"/>
        <v/>
      </c>
      <c r="J58" s="1" t="str">
        <f t="shared" si="4"/>
        <v/>
      </c>
    </row>
    <row r="59" spans="2:10" x14ac:dyDescent="0.75">
      <c r="B59" s="31">
        <f>'Base-1'!A69</f>
        <v>0</v>
      </c>
      <c r="C59" s="31">
        <f>'Base-1'!B69</f>
        <v>0</v>
      </c>
      <c r="G59" s="31" t="b">
        <f t="shared" si="1"/>
        <v>0</v>
      </c>
      <c r="H59" s="1" t="str">
        <f t="shared" si="2"/>
        <v/>
      </c>
      <c r="I59" s="1" t="str">
        <f t="shared" si="3"/>
        <v/>
      </c>
      <c r="J59" s="1" t="str">
        <f t="shared" si="4"/>
        <v/>
      </c>
    </row>
    <row r="60" spans="2:10" x14ac:dyDescent="0.75">
      <c r="B60" s="31">
        <f>'Base-1'!A70</f>
        <v>0</v>
      </c>
      <c r="C60" s="31">
        <f>'Base-1'!B70</f>
        <v>0</v>
      </c>
    </row>
    <row r="61" spans="2:10" x14ac:dyDescent="0.75">
      <c r="B61" s="31">
        <f>'Base-1'!A71</f>
        <v>0</v>
      </c>
      <c r="C61" s="31">
        <f>'Base-1'!B71</f>
        <v>0</v>
      </c>
    </row>
    <row r="62" spans="2:10" x14ac:dyDescent="0.75">
      <c r="B62" s="31">
        <f>'Base-1'!A72</f>
        <v>0</v>
      </c>
      <c r="C62" s="31">
        <f>'Base-1'!B72</f>
        <v>0</v>
      </c>
    </row>
    <row r="63" spans="2:10" x14ac:dyDescent="0.75">
      <c r="B63" s="31">
        <f>'Base-1'!A73</f>
        <v>0</v>
      </c>
      <c r="C63" s="31">
        <f>'Base-1'!B73</f>
        <v>0</v>
      </c>
    </row>
    <row r="64" spans="2:10" x14ac:dyDescent="0.75">
      <c r="B64" s="31">
        <f>'Base-1'!A74</f>
        <v>0</v>
      </c>
      <c r="C64" s="31">
        <f>'Base-1'!B74</f>
        <v>0</v>
      </c>
    </row>
    <row r="65" spans="2:3" x14ac:dyDescent="0.75">
      <c r="B65" s="31">
        <f>'Base-1'!A75</f>
        <v>0</v>
      </c>
      <c r="C65" s="31">
        <f>'Base-1'!B75</f>
        <v>0</v>
      </c>
    </row>
    <row r="66" spans="2:3" x14ac:dyDescent="0.75">
      <c r="B66" s="31">
        <f>'Base-1'!A76</f>
        <v>0</v>
      </c>
      <c r="C66" s="31">
        <f>'Base-1'!B76</f>
        <v>0</v>
      </c>
    </row>
    <row r="67" spans="2:3" x14ac:dyDescent="0.75">
      <c r="B67" s="31">
        <f>'Base-1'!A77</f>
        <v>0</v>
      </c>
      <c r="C67" s="31">
        <f>'Base-1'!B77</f>
        <v>0</v>
      </c>
    </row>
    <row r="68" spans="2:3" x14ac:dyDescent="0.75">
      <c r="B68" s="31">
        <f>'Base-1'!A78</f>
        <v>0</v>
      </c>
      <c r="C68" s="31">
        <f>'Base-1'!B78</f>
        <v>0</v>
      </c>
    </row>
    <row r="69" spans="2:3" x14ac:dyDescent="0.75">
      <c r="B69" s="31">
        <f>'Base-1'!A79</f>
        <v>0</v>
      </c>
      <c r="C69" s="31">
        <f>'Base-1'!B79</f>
        <v>0</v>
      </c>
    </row>
    <row r="70" spans="2:3" x14ac:dyDescent="0.75">
      <c r="B70" s="31">
        <f>'Base-1'!A80</f>
        <v>0</v>
      </c>
      <c r="C70" s="31">
        <f>'Base-1'!B80</f>
        <v>0</v>
      </c>
    </row>
    <row r="71" spans="2:3" x14ac:dyDescent="0.75">
      <c r="B71" s="31">
        <f>'Base-1'!A81</f>
        <v>0</v>
      </c>
      <c r="C71" s="31">
        <f>'Base-1'!B81</f>
        <v>0</v>
      </c>
    </row>
    <row r="72" spans="2:3" x14ac:dyDescent="0.75">
      <c r="B72" s="31">
        <f>'Base-1'!A82</f>
        <v>0</v>
      </c>
      <c r="C72" s="31">
        <f>'Base-1'!B82</f>
        <v>0</v>
      </c>
    </row>
    <row r="73" spans="2:3" x14ac:dyDescent="0.75">
      <c r="B73" s="31">
        <f>'Base-1'!A83</f>
        <v>0</v>
      </c>
      <c r="C73" s="31">
        <f>'Base-1'!B83</f>
        <v>0</v>
      </c>
    </row>
    <row r="74" spans="2:3" x14ac:dyDescent="0.75">
      <c r="B74" s="31">
        <f>'Base-1'!A84</f>
        <v>0</v>
      </c>
      <c r="C74" s="31">
        <f>'Base-1'!B84</f>
        <v>0</v>
      </c>
    </row>
    <row r="75" spans="2:3" x14ac:dyDescent="0.75">
      <c r="B75" s="31">
        <f>'Base-1'!A85</f>
        <v>0</v>
      </c>
      <c r="C75" s="31">
        <f>'Base-1'!B85</f>
        <v>0</v>
      </c>
    </row>
    <row r="76" spans="2:3" x14ac:dyDescent="0.75">
      <c r="B76" s="31">
        <f>'Base-1'!A86</f>
        <v>0</v>
      </c>
      <c r="C76" s="31">
        <f>'Base-1'!B86</f>
        <v>0</v>
      </c>
    </row>
    <row r="77" spans="2:3" x14ac:dyDescent="0.75">
      <c r="B77" s="31">
        <f>'Base-1'!A87</f>
        <v>0</v>
      </c>
      <c r="C77" s="31">
        <f>'Base-1'!B87</f>
        <v>0</v>
      </c>
    </row>
    <row r="78" spans="2:3" x14ac:dyDescent="0.75">
      <c r="B78" s="31">
        <f>'Base-1'!A88</f>
        <v>0</v>
      </c>
      <c r="C78" s="31">
        <f>'Base-1'!B88</f>
        <v>0</v>
      </c>
    </row>
    <row r="79" spans="2:3" x14ac:dyDescent="0.75">
      <c r="B79" s="31">
        <f>'Base-1'!A89</f>
        <v>0</v>
      </c>
      <c r="C79" s="31">
        <f>'Base-1'!B89</f>
        <v>0</v>
      </c>
    </row>
    <row r="80" spans="2:3" x14ac:dyDescent="0.75">
      <c r="B80" s="31">
        <f>'Base-1'!A90</f>
        <v>0</v>
      </c>
      <c r="C80" s="31">
        <f>'Base-1'!B90</f>
        <v>0</v>
      </c>
    </row>
    <row r="81" spans="2:3" x14ac:dyDescent="0.75">
      <c r="B81" s="31">
        <f>'Base-1'!A91</f>
        <v>0</v>
      </c>
      <c r="C81" s="31">
        <f>'Base-1'!B91</f>
        <v>0</v>
      </c>
    </row>
    <row r="82" spans="2:3" x14ac:dyDescent="0.75">
      <c r="B82" s="31">
        <f>'Base-1'!A92</f>
        <v>0</v>
      </c>
      <c r="C82" s="31">
        <f>'Base-1'!B92</f>
        <v>0</v>
      </c>
    </row>
    <row r="83" spans="2:3" x14ac:dyDescent="0.75">
      <c r="B83" s="31">
        <f>'Base-1'!A93</f>
        <v>0</v>
      </c>
      <c r="C83" s="31">
        <f>'Base-1'!B93</f>
        <v>0</v>
      </c>
    </row>
    <row r="84" spans="2:3" x14ac:dyDescent="0.75">
      <c r="B84" s="31">
        <f>'Base-1'!A94</f>
        <v>0</v>
      </c>
      <c r="C84" s="31">
        <f>'Base-1'!B94</f>
        <v>0</v>
      </c>
    </row>
    <row r="85" spans="2:3" x14ac:dyDescent="0.75">
      <c r="B85" s="31">
        <f>'Base-1'!A95</f>
        <v>0</v>
      </c>
      <c r="C85" s="31">
        <f>'Base-1'!B95</f>
        <v>0</v>
      </c>
    </row>
    <row r="86" spans="2:3" x14ac:dyDescent="0.75">
      <c r="B86" s="31">
        <f>'Base-1'!A96</f>
        <v>0</v>
      </c>
      <c r="C86" s="31">
        <f>'Base-1'!B96</f>
        <v>0</v>
      </c>
    </row>
    <row r="87" spans="2:3" x14ac:dyDescent="0.75">
      <c r="B87" s="31">
        <f>'Base-1'!A97</f>
        <v>0</v>
      </c>
      <c r="C87" s="31">
        <f>'Base-1'!B97</f>
        <v>0</v>
      </c>
    </row>
    <row r="88" spans="2:3" x14ac:dyDescent="0.75">
      <c r="B88" s="31">
        <f>'Base-1'!A98</f>
        <v>0</v>
      </c>
      <c r="C88" s="31">
        <f>'Base-1'!B98</f>
        <v>0</v>
      </c>
    </row>
    <row r="89" spans="2:3" x14ac:dyDescent="0.75">
      <c r="B89" s="31">
        <f>'Base-1'!A99</f>
        <v>0</v>
      </c>
      <c r="C89" s="31">
        <f>'Base-1'!B99</f>
        <v>0</v>
      </c>
    </row>
    <row r="90" spans="2:3" x14ac:dyDescent="0.75">
      <c r="B90" s="31">
        <f>'Base-1'!A100</f>
        <v>0</v>
      </c>
      <c r="C90" s="31">
        <f>'Base-1'!B100</f>
        <v>0</v>
      </c>
    </row>
    <row r="91" spans="2:3" x14ac:dyDescent="0.75">
      <c r="B91" s="31">
        <f>'Base-1'!A101</f>
        <v>0</v>
      </c>
      <c r="C91" s="31">
        <f>'Base-1'!B101</f>
        <v>0</v>
      </c>
    </row>
    <row r="92" spans="2:3" x14ac:dyDescent="0.75">
      <c r="B92" s="31">
        <f>'Base-1'!A102</f>
        <v>0</v>
      </c>
      <c r="C92" s="31">
        <f>'Base-1'!B102</f>
        <v>0</v>
      </c>
    </row>
    <row r="93" spans="2:3" x14ac:dyDescent="0.75">
      <c r="B93" s="31">
        <f>'Base-1'!A103</f>
        <v>0</v>
      </c>
      <c r="C93" s="31">
        <f>'Base-1'!B103</f>
        <v>0</v>
      </c>
    </row>
    <row r="94" spans="2:3" x14ac:dyDescent="0.75">
      <c r="B94" s="31">
        <f>'Base-1'!A104</f>
        <v>0</v>
      </c>
      <c r="C94" s="31">
        <f>'Base-1'!B104</f>
        <v>0</v>
      </c>
    </row>
    <row r="95" spans="2:3" x14ac:dyDescent="0.75">
      <c r="B95" s="31">
        <f>'Base-1'!A105</f>
        <v>0</v>
      </c>
      <c r="C95" s="31">
        <f>'Base-1'!B105</f>
        <v>0</v>
      </c>
    </row>
    <row r="96" spans="2:3" x14ac:dyDescent="0.75">
      <c r="B96" s="31">
        <f>'Base-1'!A106</f>
        <v>0</v>
      </c>
      <c r="C96" s="31">
        <f>'Base-1'!B106</f>
        <v>0</v>
      </c>
    </row>
    <row r="97" spans="2:3" x14ac:dyDescent="0.75">
      <c r="B97" s="31">
        <f>'Base-1'!A107</f>
        <v>0</v>
      </c>
      <c r="C97" s="31">
        <f>'Base-1'!B107</f>
        <v>0</v>
      </c>
    </row>
    <row r="98" spans="2:3" x14ac:dyDescent="0.75">
      <c r="B98" s="31">
        <f>'Base-1'!A108</f>
        <v>0</v>
      </c>
      <c r="C98" s="31">
        <f>'Base-1'!B108</f>
        <v>0</v>
      </c>
    </row>
    <row r="99" spans="2:3" x14ac:dyDescent="0.75">
      <c r="B99" s="31">
        <f>'Base-1'!A109</f>
        <v>0</v>
      </c>
      <c r="C99" s="31">
        <f>'Base-1'!B109</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topLeftCell="A130" workbookViewId="0">
      <selection activeCell="D27" sqref="D27"/>
    </sheetView>
  </sheetViews>
  <sheetFormatPr defaultRowHeight="14.75" x14ac:dyDescent="0.75"/>
  <cols>
    <col min="1" max="3" width="8.7265625" style="31"/>
    <col min="4" max="4" width="130.81640625" style="31" customWidth="1"/>
    <col min="5" max="5" width="19.86328125" style="31" customWidth="1"/>
    <col min="6" max="6" width="8.7265625" style="31"/>
    <col min="7" max="7" width="69.36328125" style="31" customWidth="1"/>
    <col min="8" max="16384" width="8.7265625" style="31"/>
  </cols>
  <sheetData>
    <row r="2" spans="1:4" x14ac:dyDescent="0.75">
      <c r="D2" s="8"/>
    </row>
    <row r="3" spans="1:4" x14ac:dyDescent="0.75">
      <c r="A3" s="32">
        <v>1</v>
      </c>
      <c r="B3" s="32">
        <f>IF(MOD(A3,3)=0,A3/3-1,INT(A3/3))</f>
        <v>0</v>
      </c>
      <c r="C3" s="32">
        <f>IF(MOD(A3,3)=0,3,MOD(A3,3))</f>
        <v>1</v>
      </c>
      <c r="D3" s="31" t="str" cm="1">
        <f t="array" ref="D3">INDEX('BaseMap-1'!$H$8:$J$94,1+B3,C3)</f>
        <v/>
      </c>
    </row>
    <row r="4" spans="1:4" x14ac:dyDescent="0.75">
      <c r="A4" s="32">
        <v>2</v>
      </c>
      <c r="B4" s="32">
        <f t="shared" ref="B4:B67" si="0">IF(MOD(A4,3)=0,A4/3-1,INT(A4/3))</f>
        <v>0</v>
      </c>
      <c r="C4" s="32">
        <f t="shared" ref="C4:C67" si="1">IF(MOD(A4,3)=0,3,MOD(A4,3))</f>
        <v>2</v>
      </c>
      <c r="D4" s="31" t="str" cm="1">
        <f t="array" ref="D4">INDEX('BaseMap-1'!$H$8:$J$94,1+B4,C4)</f>
        <v/>
      </c>
    </row>
    <row r="5" spans="1:4" x14ac:dyDescent="0.75">
      <c r="A5" s="32">
        <v>3</v>
      </c>
      <c r="B5" s="32">
        <f t="shared" si="0"/>
        <v>0</v>
      </c>
      <c r="C5" s="32">
        <f t="shared" si="1"/>
        <v>3</v>
      </c>
      <c r="D5" s="31" t="str" cm="1">
        <f t="array" ref="D5">INDEX('BaseMap-1'!$H$8:$J$94,1+B5,C5)</f>
        <v>* differential.element[1].mapping[0].comment = "note"</v>
      </c>
    </row>
    <row r="6" spans="1:4" x14ac:dyDescent="0.75">
      <c r="A6" s="32">
        <v>4</v>
      </c>
      <c r="B6" s="32">
        <f t="shared" si="0"/>
        <v>1</v>
      </c>
      <c r="C6" s="32">
        <f t="shared" si="1"/>
        <v>1</v>
      </c>
      <c r="D6" s="31" t="str" cm="1">
        <f t="array" ref="D6">INDEX('BaseMap-1'!$H$8:$J$94,1+B6,C6)</f>
        <v/>
      </c>
    </row>
    <row r="7" spans="1:4" x14ac:dyDescent="0.75">
      <c r="A7" s="32">
        <v>5</v>
      </c>
      <c r="B7" s="32">
        <f t="shared" si="0"/>
        <v>1</v>
      </c>
      <c r="C7" s="32">
        <f t="shared" si="1"/>
        <v>2</v>
      </c>
      <c r="D7" s="31" t="str" cm="1">
        <f t="array" ref="D7">INDEX('BaseMap-1'!$H$8:$J$94,1+B7,C7)</f>
        <v/>
      </c>
    </row>
    <row r="8" spans="1:4" x14ac:dyDescent="0.75">
      <c r="A8" s="32">
        <v>6</v>
      </c>
      <c r="B8" s="32">
        <f t="shared" si="0"/>
        <v>1</v>
      </c>
      <c r="C8" s="32">
        <f t="shared" si="1"/>
        <v>3</v>
      </c>
      <c r="D8" s="31" t="str" cm="1">
        <f t="array" ref="D8">INDEX('BaseMap-1'!$H$8:$J$94,1+B8,C8)</f>
        <v/>
      </c>
    </row>
    <row r="9" spans="1:4" x14ac:dyDescent="0.75">
      <c r="A9" s="32">
        <v>7</v>
      </c>
      <c r="B9" s="32">
        <f t="shared" si="0"/>
        <v>2</v>
      </c>
      <c r="C9" s="32">
        <f t="shared" si="1"/>
        <v>1</v>
      </c>
      <c r="D9" s="31" t="str" cm="1">
        <f t="array" ref="D9">INDEX('BaseMap-1'!$H$8:$J$94,1+B9,C9)</f>
        <v/>
      </c>
    </row>
    <row r="10" spans="1:4" x14ac:dyDescent="0.75">
      <c r="A10" s="32">
        <v>8</v>
      </c>
      <c r="B10" s="32">
        <f t="shared" si="0"/>
        <v>2</v>
      </c>
      <c r="C10" s="32">
        <f t="shared" si="1"/>
        <v>2</v>
      </c>
      <c r="D10" s="31" t="str" cm="1">
        <f t="array" ref="D10">INDEX('BaseMap-1'!$H$8:$J$94,1+B10,C10)</f>
        <v/>
      </c>
    </row>
    <row r="11" spans="1:4" x14ac:dyDescent="0.75">
      <c r="A11" s="32">
        <v>9</v>
      </c>
      <c r="B11" s="32">
        <f t="shared" si="0"/>
        <v>2</v>
      </c>
      <c r="C11" s="32">
        <f t="shared" si="1"/>
        <v>3</v>
      </c>
      <c r="D11" s="31" t="str" cm="1">
        <f t="array" ref="D11">INDEX('BaseMap-1'!$H$8:$J$94,1+B11,C11)</f>
        <v/>
      </c>
    </row>
    <row r="12" spans="1:4" x14ac:dyDescent="0.75">
      <c r="A12" s="32">
        <v>10</v>
      </c>
      <c r="B12" s="32">
        <f t="shared" si="0"/>
        <v>3</v>
      </c>
      <c r="C12" s="32">
        <f t="shared" si="1"/>
        <v>1</v>
      </c>
      <c r="D12" s="31" t="str" cm="1">
        <f t="array" ref="D12">INDEX('BaseMap-1'!$H$8:$J$94,1+B12,C12)</f>
        <v/>
      </c>
    </row>
    <row r="13" spans="1:4" x14ac:dyDescent="0.75">
      <c r="A13" s="32">
        <v>11</v>
      </c>
      <c r="B13" s="32">
        <f t="shared" si="0"/>
        <v>3</v>
      </c>
      <c r="C13" s="32">
        <f t="shared" si="1"/>
        <v>2</v>
      </c>
      <c r="D13" s="31" t="str" cm="1">
        <f t="array" ref="D13">INDEX('BaseMap-1'!$H$8:$J$94,1+B13,C13)</f>
        <v/>
      </c>
    </row>
    <row r="14" spans="1:4" x14ac:dyDescent="0.75">
      <c r="A14" s="32">
        <v>12</v>
      </c>
      <c r="B14" s="32">
        <f t="shared" si="0"/>
        <v>3</v>
      </c>
      <c r="C14" s="32">
        <f t="shared" si="1"/>
        <v>3</v>
      </c>
      <c r="D14" s="31" t="str" cm="1">
        <f t="array" ref="D14">INDEX('BaseMap-1'!$H$8:$J$94,1+B14,C14)</f>
        <v/>
      </c>
    </row>
    <row r="15" spans="1:4" x14ac:dyDescent="0.75">
      <c r="A15" s="32">
        <v>13</v>
      </c>
      <c r="B15" s="32">
        <f t="shared" si="0"/>
        <v>4</v>
      </c>
      <c r="C15" s="32">
        <f t="shared" si="1"/>
        <v>1</v>
      </c>
      <c r="D15" s="31" t="str" cm="1">
        <f t="array" ref="D15">INDEX('BaseMap-1'!$H$8:$J$94,1+B15,C15)</f>
        <v/>
      </c>
    </row>
    <row r="16" spans="1:4" x14ac:dyDescent="0.75">
      <c r="A16" s="32">
        <v>14</v>
      </c>
      <c r="B16" s="32">
        <f t="shared" si="0"/>
        <v>4</v>
      </c>
      <c r="C16" s="32">
        <f t="shared" si="1"/>
        <v>2</v>
      </c>
      <c r="D16" s="31" t="str" cm="1">
        <f t="array" ref="D16">INDEX('BaseMap-1'!$H$8:$J$94,1+B16,C16)</f>
        <v/>
      </c>
    </row>
    <row r="17" spans="1:4" x14ac:dyDescent="0.75">
      <c r="A17" s="32">
        <v>15</v>
      </c>
      <c r="B17" s="32">
        <f t="shared" si="0"/>
        <v>4</v>
      </c>
      <c r="C17" s="32">
        <f t="shared" si="1"/>
        <v>3</v>
      </c>
      <c r="D17" s="31" t="str" cm="1">
        <f t="array" ref="D17">INDEX('BaseMap-1'!$H$8:$J$94,1+B17,C17)</f>
        <v/>
      </c>
    </row>
    <row r="18" spans="1:4" x14ac:dyDescent="0.75">
      <c r="A18" s="32">
        <v>16</v>
      </c>
      <c r="B18" s="32">
        <f t="shared" si="0"/>
        <v>5</v>
      </c>
      <c r="C18" s="32">
        <f t="shared" si="1"/>
        <v>1</v>
      </c>
      <c r="D18" s="31" t="str" cm="1">
        <f t="array" ref="D18">INDEX('BaseMap-1'!$H$8:$J$94,1+B18,C18)</f>
        <v/>
      </c>
    </row>
    <row r="19" spans="1:4" x14ac:dyDescent="0.75">
      <c r="A19" s="32">
        <v>17</v>
      </c>
      <c r="B19" s="32">
        <f t="shared" si="0"/>
        <v>5</v>
      </c>
      <c r="C19" s="32">
        <f t="shared" si="1"/>
        <v>2</v>
      </c>
      <c r="D19" s="31" t="str" cm="1">
        <f t="array" ref="D19">INDEX('BaseMap-1'!$H$8:$J$94,1+B19,C19)</f>
        <v/>
      </c>
    </row>
    <row r="20" spans="1:4" x14ac:dyDescent="0.75">
      <c r="A20" s="32">
        <v>18</v>
      </c>
      <c r="B20" s="32">
        <f t="shared" si="0"/>
        <v>5</v>
      </c>
      <c r="C20" s="32">
        <f t="shared" si="1"/>
        <v>3</v>
      </c>
      <c r="D20" s="31" t="str" cm="1">
        <f t="array" ref="D20">INDEX('BaseMap-1'!$H$8:$J$94,1+B20,C20)</f>
        <v/>
      </c>
    </row>
    <row r="21" spans="1:4" x14ac:dyDescent="0.75">
      <c r="A21" s="32">
        <v>19</v>
      </c>
      <c r="B21" s="32">
        <f t="shared" si="0"/>
        <v>6</v>
      </c>
      <c r="C21" s="32">
        <f t="shared" si="1"/>
        <v>1</v>
      </c>
      <c r="D21" s="31" t="str" cm="1">
        <f t="array" ref="D21">INDEX('BaseMap-1'!$H$8:$J$94,1+B21,C21)</f>
        <v/>
      </c>
    </row>
    <row r="22" spans="1:4" x14ac:dyDescent="0.75">
      <c r="A22" s="32">
        <v>20</v>
      </c>
      <c r="B22" s="32">
        <f t="shared" si="0"/>
        <v>6</v>
      </c>
      <c r="C22" s="32">
        <f t="shared" si="1"/>
        <v>2</v>
      </c>
      <c r="D22" s="31" t="str" cm="1">
        <f t="array" ref="D22">INDEX('BaseMap-1'!$H$8:$J$94,1+B22,C22)</f>
        <v/>
      </c>
    </row>
    <row r="23" spans="1:4" x14ac:dyDescent="0.75">
      <c r="A23" s="32">
        <v>21</v>
      </c>
      <c r="B23" s="32">
        <f t="shared" si="0"/>
        <v>6</v>
      </c>
      <c r="C23" s="32">
        <f t="shared" si="1"/>
        <v>3</v>
      </c>
      <c r="D23" s="31" t="str" cm="1">
        <f t="array" ref="D23">INDEX('BaseMap-1'!$H$8:$J$94,1+B23,C23)</f>
        <v/>
      </c>
    </row>
    <row r="24" spans="1:4" x14ac:dyDescent="0.75">
      <c r="A24" s="32">
        <v>22</v>
      </c>
      <c r="B24" s="32">
        <f t="shared" si="0"/>
        <v>7</v>
      </c>
      <c r="C24" s="32">
        <f t="shared" si="1"/>
        <v>1</v>
      </c>
      <c r="D24" s="31" t="str" cm="1">
        <f t="array" ref="D24">INDEX('BaseMap-1'!$H$8:$J$94,1+B24,C24)</f>
        <v/>
      </c>
    </row>
    <row r="25" spans="1:4" x14ac:dyDescent="0.75">
      <c r="A25" s="32">
        <v>23</v>
      </c>
      <c r="B25" s="32">
        <f t="shared" si="0"/>
        <v>7</v>
      </c>
      <c r="C25" s="32">
        <f t="shared" si="1"/>
        <v>2</v>
      </c>
      <c r="D25" s="31" t="str" cm="1">
        <f t="array" ref="D25">INDEX('BaseMap-1'!$H$8:$J$94,1+B25,C25)</f>
        <v/>
      </c>
    </row>
    <row r="26" spans="1:4" x14ac:dyDescent="0.75">
      <c r="A26" s="32">
        <v>24</v>
      </c>
      <c r="B26" s="32">
        <f t="shared" si="0"/>
        <v>7</v>
      </c>
      <c r="C26" s="32">
        <f t="shared" si="1"/>
        <v>3</v>
      </c>
      <c r="D26" s="31" t="str" cm="1">
        <f t="array" ref="D26">INDEX('BaseMap-1'!$H$8:$J$94,1+B26,C26)</f>
        <v/>
      </c>
    </row>
    <row r="27" spans="1:4" x14ac:dyDescent="0.75">
      <c r="A27" s="32">
        <v>25</v>
      </c>
      <c r="B27" s="32">
        <f t="shared" si="0"/>
        <v>8</v>
      </c>
      <c r="C27" s="32">
        <f t="shared" si="1"/>
        <v>1</v>
      </c>
      <c r="D27" s="31" t="str" cm="1">
        <f t="array" ref="D27">INDEX('BaseMap-1'!$H$8:$J$94,1+B27,C27)</f>
        <v/>
      </c>
    </row>
    <row r="28" spans="1:4" x14ac:dyDescent="0.75">
      <c r="A28" s="32">
        <v>26</v>
      </c>
      <c r="B28" s="32">
        <f t="shared" si="0"/>
        <v>8</v>
      </c>
      <c r="C28" s="32">
        <f t="shared" si="1"/>
        <v>2</v>
      </c>
      <c r="D28" s="31" t="str" cm="1">
        <f t="array" ref="D28">INDEX('BaseMap-1'!$H$8:$J$94,1+B28,C28)</f>
        <v/>
      </c>
    </row>
    <row r="29" spans="1:4" x14ac:dyDescent="0.75">
      <c r="A29" s="32">
        <v>27</v>
      </c>
      <c r="B29" s="32">
        <f t="shared" si="0"/>
        <v>8</v>
      </c>
      <c r="C29" s="32">
        <f t="shared" si="1"/>
        <v>3</v>
      </c>
      <c r="D29" s="31" t="str" cm="1">
        <f t="array" ref="D29">INDEX('BaseMap-1'!$H$8:$J$94,1+B29,C29)</f>
        <v/>
      </c>
    </row>
    <row r="30" spans="1:4" x14ac:dyDescent="0.75">
      <c r="A30" s="32">
        <v>28</v>
      </c>
      <c r="B30" s="32">
        <f t="shared" si="0"/>
        <v>9</v>
      </c>
      <c r="C30" s="32">
        <f t="shared" si="1"/>
        <v>1</v>
      </c>
      <c r="D30" s="31" t="str" cm="1">
        <f t="array" ref="D30">INDEX('BaseMap-1'!$H$8:$J$94,1+B30,C30)</f>
        <v/>
      </c>
    </row>
    <row r="31" spans="1:4" x14ac:dyDescent="0.75">
      <c r="A31" s="32">
        <v>29</v>
      </c>
      <c r="B31" s="32">
        <f t="shared" si="0"/>
        <v>9</v>
      </c>
      <c r="C31" s="32">
        <f t="shared" si="1"/>
        <v>2</v>
      </c>
      <c r="D31" s="31" t="str" cm="1">
        <f t="array" ref="D31">INDEX('BaseMap-1'!$H$8:$J$94,1+B31,C31)</f>
        <v/>
      </c>
    </row>
    <row r="32" spans="1:4" x14ac:dyDescent="0.75">
      <c r="A32" s="32">
        <v>30</v>
      </c>
      <c r="B32" s="32">
        <f t="shared" si="0"/>
        <v>9</v>
      </c>
      <c r="C32" s="32">
        <f t="shared" si="1"/>
        <v>3</v>
      </c>
      <c r="D32" s="31" t="str" cm="1">
        <f t="array" ref="D32">INDEX('BaseMap-1'!$H$8:$J$94,1+B32,C32)</f>
        <v/>
      </c>
    </row>
    <row r="33" spans="1:4" x14ac:dyDescent="0.75">
      <c r="A33" s="32">
        <v>31</v>
      </c>
      <c r="B33" s="32">
        <f t="shared" si="0"/>
        <v>10</v>
      </c>
      <c r="C33" s="32">
        <f t="shared" si="1"/>
        <v>1</v>
      </c>
      <c r="D33" s="31" t="str" cm="1">
        <f t="array" ref="D33">INDEX('BaseMap-1'!$H$8:$J$94,1+B33,C33)</f>
        <v/>
      </c>
    </row>
    <row r="34" spans="1:4" x14ac:dyDescent="0.75">
      <c r="A34" s="32">
        <v>32</v>
      </c>
      <c r="B34" s="32">
        <f t="shared" si="0"/>
        <v>10</v>
      </c>
      <c r="C34" s="32">
        <f t="shared" si="1"/>
        <v>2</v>
      </c>
      <c r="D34" s="31" t="str" cm="1">
        <f t="array" ref="D34">INDEX('BaseMap-1'!$H$8:$J$94,1+B34,C34)</f>
        <v/>
      </c>
    </row>
    <row r="35" spans="1:4" x14ac:dyDescent="0.75">
      <c r="A35" s="32">
        <v>33</v>
      </c>
      <c r="B35" s="32">
        <f t="shared" si="0"/>
        <v>10</v>
      </c>
      <c r="C35" s="32">
        <f t="shared" si="1"/>
        <v>3</v>
      </c>
      <c r="D35" s="31" t="str" cm="1">
        <f t="array" ref="D35">INDEX('BaseMap-1'!$H$8:$J$94,1+B35,C35)</f>
        <v/>
      </c>
    </row>
    <row r="36" spans="1:4" x14ac:dyDescent="0.75">
      <c r="A36" s="32">
        <v>34</v>
      </c>
      <c r="B36" s="32">
        <f t="shared" si="0"/>
        <v>11</v>
      </c>
      <c r="C36" s="32">
        <f t="shared" si="1"/>
        <v>1</v>
      </c>
      <c r="D36" s="31" t="str" cm="1">
        <f t="array" ref="D36">INDEX('BaseMap-1'!$H$8:$J$94,1+B36,C36)</f>
        <v/>
      </c>
    </row>
    <row r="37" spans="1:4" x14ac:dyDescent="0.75">
      <c r="A37" s="32">
        <v>35</v>
      </c>
      <c r="B37" s="32">
        <f t="shared" si="0"/>
        <v>11</v>
      </c>
      <c r="C37" s="32">
        <f t="shared" si="1"/>
        <v>2</v>
      </c>
      <c r="D37" s="31" t="str" cm="1">
        <f t="array" ref="D37">INDEX('BaseMap-1'!$H$8:$J$94,1+B37,C37)</f>
        <v/>
      </c>
    </row>
    <row r="38" spans="1:4" x14ac:dyDescent="0.75">
      <c r="A38" s="32">
        <v>36</v>
      </c>
      <c r="B38" s="32">
        <f t="shared" si="0"/>
        <v>11</v>
      </c>
      <c r="C38" s="32">
        <f t="shared" si="1"/>
        <v>3</v>
      </c>
      <c r="D38" s="31" t="str" cm="1">
        <f t="array" ref="D38">INDEX('BaseMap-1'!$H$8:$J$94,1+B38,C38)</f>
        <v/>
      </c>
    </row>
    <row r="39" spans="1:4" x14ac:dyDescent="0.75">
      <c r="A39" s="32">
        <v>37</v>
      </c>
      <c r="B39" s="32">
        <f t="shared" si="0"/>
        <v>12</v>
      </c>
      <c r="C39" s="32">
        <f t="shared" si="1"/>
        <v>1</v>
      </c>
      <c r="D39" s="31" t="str" cm="1">
        <f t="array" ref="D39">INDEX('BaseMap-1'!$H$8:$J$94,1+B39,C39)</f>
        <v/>
      </c>
    </row>
    <row r="40" spans="1:4" x14ac:dyDescent="0.75">
      <c r="A40" s="32">
        <v>38</v>
      </c>
      <c r="B40" s="32">
        <f t="shared" si="0"/>
        <v>12</v>
      </c>
      <c r="C40" s="32">
        <f t="shared" si="1"/>
        <v>2</v>
      </c>
      <c r="D40" s="31" t="str" cm="1">
        <f t="array" ref="D40">INDEX('BaseMap-1'!$H$8:$J$94,1+B40,C40)</f>
        <v/>
      </c>
    </row>
    <row r="41" spans="1:4" x14ac:dyDescent="0.75">
      <c r="A41" s="32">
        <v>39</v>
      </c>
      <c r="B41" s="32">
        <f t="shared" si="0"/>
        <v>12</v>
      </c>
      <c r="C41" s="32">
        <f t="shared" si="1"/>
        <v>3</v>
      </c>
      <c r="D41" s="31" t="str" cm="1">
        <f t="array" ref="D41">INDEX('BaseMap-1'!$H$8:$J$94,1+B41,C41)</f>
        <v/>
      </c>
    </row>
    <row r="42" spans="1:4" x14ac:dyDescent="0.75">
      <c r="A42" s="32">
        <v>40</v>
      </c>
      <c r="B42" s="32">
        <f t="shared" si="0"/>
        <v>13</v>
      </c>
      <c r="C42" s="32">
        <f t="shared" si="1"/>
        <v>1</v>
      </c>
      <c r="D42" s="31" t="str" cm="1">
        <f t="array" ref="D42">INDEX('BaseMap-1'!$H$8:$J$94,1+B42,C42)</f>
        <v/>
      </c>
    </row>
    <row r="43" spans="1:4" x14ac:dyDescent="0.75">
      <c r="A43" s="32">
        <v>41</v>
      </c>
      <c r="B43" s="32">
        <f t="shared" si="0"/>
        <v>13</v>
      </c>
      <c r="C43" s="32">
        <f t="shared" si="1"/>
        <v>2</v>
      </c>
      <c r="D43" s="31" t="str" cm="1">
        <f t="array" ref="D43">INDEX('BaseMap-1'!$H$8:$J$94,1+B43,C43)</f>
        <v/>
      </c>
    </row>
    <row r="44" spans="1:4" x14ac:dyDescent="0.75">
      <c r="A44" s="32">
        <v>42</v>
      </c>
      <c r="B44" s="32">
        <f t="shared" si="0"/>
        <v>13</v>
      </c>
      <c r="C44" s="32">
        <f t="shared" si="1"/>
        <v>3</v>
      </c>
      <c r="D44" s="31" t="str" cm="1">
        <f t="array" ref="D44">INDEX('BaseMap-1'!$H$8:$J$94,1+B44,C44)</f>
        <v/>
      </c>
    </row>
    <row r="45" spans="1:4" x14ac:dyDescent="0.75">
      <c r="A45" s="32">
        <v>43</v>
      </c>
      <c r="B45" s="32">
        <f t="shared" si="0"/>
        <v>14</v>
      </c>
      <c r="C45" s="32">
        <f t="shared" si="1"/>
        <v>1</v>
      </c>
      <c r="D45" s="31" t="str" cm="1">
        <f t="array" ref="D45">INDEX('BaseMap-1'!$H$8:$J$94,1+B45,C45)</f>
        <v/>
      </c>
    </row>
    <row r="46" spans="1:4" x14ac:dyDescent="0.75">
      <c r="A46" s="32">
        <v>44</v>
      </c>
      <c r="B46" s="32">
        <f t="shared" si="0"/>
        <v>14</v>
      </c>
      <c r="C46" s="32">
        <f t="shared" si="1"/>
        <v>2</v>
      </c>
      <c r="D46" s="31" t="str" cm="1">
        <f t="array" ref="D46">INDEX('BaseMap-1'!$H$8:$J$94,1+B46,C46)</f>
        <v/>
      </c>
    </row>
    <row r="47" spans="1:4" x14ac:dyDescent="0.75">
      <c r="A47" s="32">
        <v>45</v>
      </c>
      <c r="B47" s="32">
        <f t="shared" si="0"/>
        <v>14</v>
      </c>
      <c r="C47" s="32">
        <f t="shared" si="1"/>
        <v>3</v>
      </c>
      <c r="D47" s="31" t="str" cm="1">
        <f t="array" ref="D47">INDEX('BaseMap-1'!$H$8:$J$94,1+B47,C47)</f>
        <v/>
      </c>
    </row>
    <row r="48" spans="1:4" x14ac:dyDescent="0.75">
      <c r="A48" s="32">
        <v>46</v>
      </c>
      <c r="B48" s="32">
        <f t="shared" si="0"/>
        <v>15</v>
      </c>
      <c r="C48" s="32">
        <f t="shared" si="1"/>
        <v>1</v>
      </c>
      <c r="D48" s="31" t="str" cm="1">
        <f t="array" ref="D48">INDEX('BaseMap-1'!$H$8:$J$94,1+B48,C48)</f>
        <v/>
      </c>
    </row>
    <row r="49" spans="1:7" x14ac:dyDescent="0.75">
      <c r="A49" s="32">
        <v>47</v>
      </c>
      <c r="B49" s="32">
        <f t="shared" si="0"/>
        <v>15</v>
      </c>
      <c r="C49" s="32">
        <f t="shared" si="1"/>
        <v>2</v>
      </c>
      <c r="D49" s="31" t="str" cm="1">
        <f t="array" ref="D49">INDEX('BaseMap-1'!$H$8:$J$94,1+B49,C49)</f>
        <v/>
      </c>
    </row>
    <row r="50" spans="1:7" x14ac:dyDescent="0.75">
      <c r="A50" s="32">
        <v>48</v>
      </c>
      <c r="B50" s="32">
        <f t="shared" si="0"/>
        <v>15</v>
      </c>
      <c r="C50" s="32">
        <f t="shared" si="1"/>
        <v>3</v>
      </c>
      <c r="D50" s="31" t="str" cm="1">
        <f t="array" ref="D50">INDEX('BaseMap-1'!$H$8:$J$94,1+B50,C50)</f>
        <v/>
      </c>
    </row>
    <row r="51" spans="1:7" x14ac:dyDescent="0.75">
      <c r="A51" s="32">
        <v>49</v>
      </c>
      <c r="B51" s="32">
        <f t="shared" si="0"/>
        <v>16</v>
      </c>
      <c r="C51" s="32">
        <f t="shared" si="1"/>
        <v>1</v>
      </c>
      <c r="D51" s="31" t="str" cm="1">
        <f t="array" ref="D51">INDEX('BaseMap-1'!$H$8:$J$94,1+B51,C51)</f>
        <v/>
      </c>
    </row>
    <row r="52" spans="1:7" x14ac:dyDescent="0.75">
      <c r="A52" s="32">
        <v>50</v>
      </c>
      <c r="B52" s="32">
        <f t="shared" si="0"/>
        <v>16</v>
      </c>
      <c r="C52" s="32">
        <f t="shared" si="1"/>
        <v>2</v>
      </c>
      <c r="D52" s="31" t="str" cm="1">
        <f t="array" ref="D52">INDEX('BaseMap-1'!$H$8:$J$94,1+B52,C52)</f>
        <v/>
      </c>
    </row>
    <row r="53" spans="1:7" x14ac:dyDescent="0.75">
      <c r="A53" s="32">
        <v>51</v>
      </c>
      <c r="B53" s="32">
        <f t="shared" si="0"/>
        <v>16</v>
      </c>
      <c r="C53" s="32">
        <f t="shared" si="1"/>
        <v>3</v>
      </c>
      <c r="D53" s="31" t="str" cm="1">
        <f t="array" ref="D53">INDEX('BaseMap-1'!$H$8:$J$94,1+B53,C53)</f>
        <v/>
      </c>
    </row>
    <row r="54" spans="1:7" x14ac:dyDescent="0.75">
      <c r="A54" s="32">
        <v>52</v>
      </c>
      <c r="B54" s="32">
        <f t="shared" si="0"/>
        <v>17</v>
      </c>
      <c r="C54" s="32">
        <f t="shared" si="1"/>
        <v>1</v>
      </c>
      <c r="D54" s="31" t="str" cm="1">
        <f t="array" ref="D54">INDEX('BaseMap-1'!$H$8:$J$94,1+B54,C54)</f>
        <v/>
      </c>
    </row>
    <row r="55" spans="1:7" x14ac:dyDescent="0.75">
      <c r="A55" s="32">
        <v>53</v>
      </c>
      <c r="B55" s="32">
        <f t="shared" si="0"/>
        <v>17</v>
      </c>
      <c r="C55" s="32">
        <f t="shared" si="1"/>
        <v>2</v>
      </c>
      <c r="D55" s="31" t="str" cm="1">
        <f t="array" ref="D55">INDEX('BaseMap-1'!$H$8:$J$94,1+B55,C55)</f>
        <v/>
      </c>
      <c r="G55" s="16"/>
    </row>
    <row r="56" spans="1:7" x14ac:dyDescent="0.75">
      <c r="A56" s="32">
        <v>54</v>
      </c>
      <c r="B56" s="32">
        <f t="shared" si="0"/>
        <v>17</v>
      </c>
      <c r="C56" s="32">
        <f t="shared" si="1"/>
        <v>3</v>
      </c>
      <c r="D56" s="31" t="str" cm="1">
        <f t="array" ref="D56">INDEX('BaseMap-1'!$H$8:$J$94,1+B56,C56)</f>
        <v/>
      </c>
    </row>
    <row r="57" spans="1:7" x14ac:dyDescent="0.75">
      <c r="A57" s="32">
        <v>55</v>
      </c>
      <c r="B57" s="32">
        <f t="shared" si="0"/>
        <v>18</v>
      </c>
      <c r="C57" s="32">
        <f t="shared" si="1"/>
        <v>1</v>
      </c>
      <c r="D57" s="31" t="str" cm="1">
        <f t="array" ref="D57">INDEX('BaseMap-1'!$H$8:$J$94,1+B57,C57)</f>
        <v/>
      </c>
    </row>
    <row r="58" spans="1:7" x14ac:dyDescent="0.75">
      <c r="A58" s="32">
        <v>56</v>
      </c>
      <c r="B58" s="32">
        <f t="shared" si="0"/>
        <v>18</v>
      </c>
      <c r="C58" s="32">
        <f t="shared" si="1"/>
        <v>2</v>
      </c>
      <c r="D58" s="31" t="str" cm="1">
        <f t="array" ref="D58">INDEX('BaseMap-1'!$H$8:$J$94,1+B58,C58)</f>
        <v/>
      </c>
    </row>
    <row r="59" spans="1:7" x14ac:dyDescent="0.75">
      <c r="A59" s="32">
        <v>57</v>
      </c>
      <c r="B59" s="32">
        <f t="shared" si="0"/>
        <v>18</v>
      </c>
      <c r="C59" s="32">
        <f t="shared" si="1"/>
        <v>3</v>
      </c>
      <c r="D59" s="31" t="str" cm="1">
        <f t="array" ref="D59">INDEX('BaseMap-1'!$H$8:$J$94,1+B59,C59)</f>
        <v/>
      </c>
    </row>
    <row r="60" spans="1:7" x14ac:dyDescent="0.75">
      <c r="A60" s="32">
        <v>58</v>
      </c>
      <c r="B60" s="32">
        <f t="shared" si="0"/>
        <v>19</v>
      </c>
      <c r="C60" s="32">
        <f t="shared" si="1"/>
        <v>1</v>
      </c>
      <c r="D60" s="31" t="str" cm="1">
        <f t="array" ref="D60">INDEX('BaseMap-1'!$H$8:$J$94,1+B60,C60)</f>
        <v/>
      </c>
    </row>
    <row r="61" spans="1:7" x14ac:dyDescent="0.75">
      <c r="A61" s="32">
        <v>59</v>
      </c>
      <c r="B61" s="32">
        <f t="shared" si="0"/>
        <v>19</v>
      </c>
      <c r="C61" s="32">
        <f t="shared" si="1"/>
        <v>2</v>
      </c>
      <c r="D61" s="31" t="str" cm="1">
        <f t="array" ref="D61">INDEX('BaseMap-1'!$H$8:$J$94,1+B61,C61)</f>
        <v/>
      </c>
    </row>
    <row r="62" spans="1:7" x14ac:dyDescent="0.75">
      <c r="A62" s="32">
        <v>60</v>
      </c>
      <c r="B62" s="32">
        <f t="shared" si="0"/>
        <v>19</v>
      </c>
      <c r="C62" s="32">
        <f t="shared" si="1"/>
        <v>3</v>
      </c>
      <c r="D62" s="31" t="str" cm="1">
        <f t="array" ref="D62">INDEX('BaseMap-1'!$H$8:$J$94,1+B62,C62)</f>
        <v/>
      </c>
    </row>
    <row r="63" spans="1:7" x14ac:dyDescent="0.75">
      <c r="A63" s="32">
        <v>61</v>
      </c>
      <c r="B63" s="32">
        <f t="shared" si="0"/>
        <v>20</v>
      </c>
      <c r="C63" s="32">
        <f t="shared" si="1"/>
        <v>1</v>
      </c>
      <c r="D63" s="31" t="str" cm="1">
        <f t="array" ref="D63">INDEX('BaseMap-1'!$H$8:$J$94,1+B63,C63)</f>
        <v/>
      </c>
    </row>
    <row r="64" spans="1:7" x14ac:dyDescent="0.75">
      <c r="A64" s="32">
        <v>62</v>
      </c>
      <c r="B64" s="32">
        <f t="shared" si="0"/>
        <v>20</v>
      </c>
      <c r="C64" s="32">
        <f t="shared" si="1"/>
        <v>2</v>
      </c>
      <c r="D64" s="31" t="str" cm="1">
        <f t="array" ref="D64">INDEX('BaseMap-1'!$H$8:$J$94,1+B64,C64)</f>
        <v/>
      </c>
    </row>
    <row r="65" spans="1:4" x14ac:dyDescent="0.75">
      <c r="A65" s="32">
        <v>63</v>
      </c>
      <c r="B65" s="32">
        <f t="shared" si="0"/>
        <v>20</v>
      </c>
      <c r="C65" s="32">
        <f t="shared" si="1"/>
        <v>3</v>
      </c>
      <c r="D65" s="31" t="str" cm="1">
        <f t="array" ref="D65">INDEX('BaseMap-1'!$H$8:$J$94,1+B65,C65)</f>
        <v/>
      </c>
    </row>
    <row r="66" spans="1:4" x14ac:dyDescent="0.75">
      <c r="A66" s="32">
        <v>64</v>
      </c>
      <c r="B66" s="32">
        <f t="shared" si="0"/>
        <v>21</v>
      </c>
      <c r="C66" s="32">
        <f t="shared" si="1"/>
        <v>1</v>
      </c>
      <c r="D66" s="31" t="str" cm="1">
        <f t="array" ref="D66">INDEX('BaseMap-1'!$H$8:$J$94,1+B66,C66)</f>
        <v/>
      </c>
    </row>
    <row r="67" spans="1:4" x14ac:dyDescent="0.75">
      <c r="A67" s="32">
        <v>65</v>
      </c>
      <c r="B67" s="32">
        <f t="shared" si="0"/>
        <v>21</v>
      </c>
      <c r="C67" s="32">
        <f t="shared" si="1"/>
        <v>2</v>
      </c>
      <c r="D67" s="31" t="str" cm="1">
        <f t="array" ref="D67">INDEX('BaseMap-1'!$H$8:$J$94,1+B67,C67)</f>
        <v/>
      </c>
    </row>
    <row r="68" spans="1:4" x14ac:dyDescent="0.75">
      <c r="A68" s="32">
        <v>66</v>
      </c>
      <c r="B68" s="32">
        <f t="shared" ref="B68:B131" si="2">IF(MOD(A68,3)=0,A68/3-1,INT(A68/3))</f>
        <v>21</v>
      </c>
      <c r="C68" s="32">
        <f t="shared" ref="C68:C131" si="3">IF(MOD(A68,3)=0,3,MOD(A68,3))</f>
        <v>3</v>
      </c>
      <c r="D68" s="31" t="str" cm="1">
        <f t="array" ref="D68">INDEX('BaseMap-1'!$H$8:$J$94,1+B68,C68)</f>
        <v/>
      </c>
    </row>
    <row r="69" spans="1:4" x14ac:dyDescent="0.75">
      <c r="A69" s="32">
        <v>67</v>
      </c>
      <c r="B69" s="32">
        <f t="shared" si="2"/>
        <v>22</v>
      </c>
      <c r="C69" s="32">
        <f t="shared" si="3"/>
        <v>1</v>
      </c>
      <c r="D69" s="31" t="str" cm="1">
        <f t="array" ref="D69">INDEX('BaseMap-1'!$H$8:$J$94,1+B69,C69)</f>
        <v/>
      </c>
    </row>
    <row r="70" spans="1:4" x14ac:dyDescent="0.75">
      <c r="A70" s="32">
        <v>68</v>
      </c>
      <c r="B70" s="32">
        <f t="shared" si="2"/>
        <v>22</v>
      </c>
      <c r="C70" s="32">
        <f t="shared" si="3"/>
        <v>2</v>
      </c>
      <c r="D70" s="31" t="str" cm="1">
        <f t="array" ref="D70">INDEX('BaseMap-1'!$H$8:$J$94,1+B70,C70)</f>
        <v/>
      </c>
    </row>
    <row r="71" spans="1:4" x14ac:dyDescent="0.75">
      <c r="A71" s="32">
        <v>69</v>
      </c>
      <c r="B71" s="32">
        <f t="shared" si="2"/>
        <v>22</v>
      </c>
      <c r="C71" s="32">
        <f t="shared" si="3"/>
        <v>3</v>
      </c>
      <c r="D71" s="31" t="str" cm="1">
        <f t="array" ref="D71">INDEX('BaseMap-1'!$H$8:$J$94,1+B71,C71)</f>
        <v/>
      </c>
    </row>
    <row r="72" spans="1:4" x14ac:dyDescent="0.75">
      <c r="A72" s="32">
        <v>70</v>
      </c>
      <c r="B72" s="32">
        <f t="shared" si="2"/>
        <v>23</v>
      </c>
      <c r="C72" s="32">
        <f t="shared" si="3"/>
        <v>1</v>
      </c>
      <c r="D72" s="31" t="str" cm="1">
        <f t="array" ref="D72">INDEX('BaseMap-1'!$H$8:$J$94,1+B72,C72)</f>
        <v/>
      </c>
    </row>
    <row r="73" spans="1:4" x14ac:dyDescent="0.75">
      <c r="A73" s="32">
        <v>71</v>
      </c>
      <c r="B73" s="32">
        <f t="shared" si="2"/>
        <v>23</v>
      </c>
      <c r="C73" s="32">
        <f t="shared" si="3"/>
        <v>2</v>
      </c>
      <c r="D73" s="31" t="str" cm="1">
        <f t="array" ref="D73">INDEX('BaseMap-1'!$H$8:$J$94,1+B73,C73)</f>
        <v/>
      </c>
    </row>
    <row r="74" spans="1:4" x14ac:dyDescent="0.75">
      <c r="A74" s="32">
        <v>72</v>
      </c>
      <c r="B74" s="32">
        <f t="shared" si="2"/>
        <v>23</v>
      </c>
      <c r="C74" s="32">
        <f t="shared" si="3"/>
        <v>3</v>
      </c>
      <c r="D74" s="31" t="str" cm="1">
        <f t="array" ref="D74">INDEX('BaseMap-1'!$H$8:$J$94,1+B74,C74)</f>
        <v/>
      </c>
    </row>
    <row r="75" spans="1:4" x14ac:dyDescent="0.75">
      <c r="A75" s="32">
        <v>73</v>
      </c>
      <c r="B75" s="32">
        <f t="shared" si="2"/>
        <v>24</v>
      </c>
      <c r="C75" s="32">
        <f t="shared" si="3"/>
        <v>1</v>
      </c>
      <c r="D75" s="31" t="str" cm="1">
        <f t="array" ref="D75">INDEX('BaseMap-1'!$H$8:$J$94,1+B75,C75)</f>
        <v/>
      </c>
    </row>
    <row r="76" spans="1:4" x14ac:dyDescent="0.75">
      <c r="A76" s="32">
        <v>74</v>
      </c>
      <c r="B76" s="32">
        <f t="shared" si="2"/>
        <v>24</v>
      </c>
      <c r="C76" s="32">
        <f t="shared" si="3"/>
        <v>2</v>
      </c>
      <c r="D76" s="31" t="str" cm="1">
        <f t="array" ref="D76">INDEX('BaseMap-1'!$H$8:$J$94,1+B76,C76)</f>
        <v/>
      </c>
    </row>
    <row r="77" spans="1:4" x14ac:dyDescent="0.75">
      <c r="A77" s="32">
        <v>75</v>
      </c>
      <c r="B77" s="32">
        <f t="shared" si="2"/>
        <v>24</v>
      </c>
      <c r="C77" s="32">
        <f t="shared" si="3"/>
        <v>3</v>
      </c>
      <c r="D77" s="31" t="str" cm="1">
        <f t="array" ref="D77">INDEX('BaseMap-1'!$H$8:$J$94,1+B77,C77)</f>
        <v/>
      </c>
    </row>
    <row r="78" spans="1:4" x14ac:dyDescent="0.75">
      <c r="A78" s="32">
        <v>76</v>
      </c>
      <c r="B78" s="32">
        <f t="shared" si="2"/>
        <v>25</v>
      </c>
      <c r="C78" s="32">
        <f t="shared" si="3"/>
        <v>1</v>
      </c>
      <c r="D78" s="31" t="str" cm="1">
        <f t="array" ref="D78">INDEX('BaseMap-1'!$H$8:$J$94,1+B78,C78)</f>
        <v/>
      </c>
    </row>
    <row r="79" spans="1:4" x14ac:dyDescent="0.75">
      <c r="A79" s="32">
        <v>77</v>
      </c>
      <c r="B79" s="32">
        <f t="shared" si="2"/>
        <v>25</v>
      </c>
      <c r="C79" s="32">
        <f t="shared" si="3"/>
        <v>2</v>
      </c>
      <c r="D79" s="31" t="str" cm="1">
        <f t="array" ref="D79">INDEX('BaseMap-1'!$H$8:$J$94,1+B79,C79)</f>
        <v/>
      </c>
    </row>
    <row r="80" spans="1:4" x14ac:dyDescent="0.75">
      <c r="A80" s="32">
        <v>78</v>
      </c>
      <c r="B80" s="32">
        <f t="shared" si="2"/>
        <v>25</v>
      </c>
      <c r="C80" s="32">
        <f t="shared" si="3"/>
        <v>3</v>
      </c>
      <c r="D80" s="31" t="str" cm="1">
        <f t="array" ref="D80">INDEX('BaseMap-1'!$H$8:$J$94,1+B80,C80)</f>
        <v/>
      </c>
    </row>
    <row r="81" spans="1:4" x14ac:dyDescent="0.75">
      <c r="A81" s="32">
        <v>79</v>
      </c>
      <c r="B81" s="32">
        <f t="shared" si="2"/>
        <v>26</v>
      </c>
      <c r="C81" s="32">
        <f t="shared" si="3"/>
        <v>1</v>
      </c>
      <c r="D81" s="31" t="str" cm="1">
        <f t="array" ref="D81">INDEX('BaseMap-1'!$H$8:$J$94,1+B81,C81)</f>
        <v/>
      </c>
    </row>
    <row r="82" spans="1:4" x14ac:dyDescent="0.75">
      <c r="A82" s="32">
        <v>80</v>
      </c>
      <c r="B82" s="32">
        <f t="shared" si="2"/>
        <v>26</v>
      </c>
      <c r="C82" s="32">
        <f t="shared" si="3"/>
        <v>2</v>
      </c>
      <c r="D82" s="31" t="str" cm="1">
        <f t="array" ref="D82">INDEX('BaseMap-1'!$H$8:$J$94,1+B82,C82)</f>
        <v/>
      </c>
    </row>
    <row r="83" spans="1:4" x14ac:dyDescent="0.75">
      <c r="A83" s="32">
        <v>81</v>
      </c>
      <c r="B83" s="32">
        <f t="shared" si="2"/>
        <v>26</v>
      </c>
      <c r="C83" s="32">
        <f t="shared" si="3"/>
        <v>3</v>
      </c>
      <c r="D83" s="31" t="str" cm="1">
        <f t="array" ref="D83">INDEX('BaseMap-1'!$H$8:$J$94,1+B83,C83)</f>
        <v/>
      </c>
    </row>
    <row r="84" spans="1:4" x14ac:dyDescent="0.75">
      <c r="A84" s="32">
        <v>82</v>
      </c>
      <c r="B84" s="32">
        <f t="shared" si="2"/>
        <v>27</v>
      </c>
      <c r="C84" s="32">
        <f t="shared" si="3"/>
        <v>1</v>
      </c>
      <c r="D84" s="31" t="str" cm="1">
        <f t="array" ref="D84">INDEX('BaseMap-1'!$H$8:$J$94,1+B84,C84)</f>
        <v/>
      </c>
    </row>
    <row r="85" spans="1:4" x14ac:dyDescent="0.75">
      <c r="A85" s="32">
        <v>83</v>
      </c>
      <c r="B85" s="32">
        <f t="shared" si="2"/>
        <v>27</v>
      </c>
      <c r="C85" s="32">
        <f t="shared" si="3"/>
        <v>2</v>
      </c>
      <c r="D85" s="31" t="str" cm="1">
        <f t="array" ref="D85">INDEX('BaseMap-1'!$H$8:$J$94,1+B85,C85)</f>
        <v/>
      </c>
    </row>
    <row r="86" spans="1:4" x14ac:dyDescent="0.75">
      <c r="A86" s="32">
        <v>84</v>
      </c>
      <c r="B86" s="32">
        <f t="shared" si="2"/>
        <v>27</v>
      </c>
      <c r="C86" s="32">
        <f t="shared" si="3"/>
        <v>3</v>
      </c>
      <c r="D86" s="31" t="str" cm="1">
        <f t="array" ref="D86">INDEX('BaseMap-1'!$H$8:$J$94,1+B86,C86)</f>
        <v/>
      </c>
    </row>
    <row r="87" spans="1:4" x14ac:dyDescent="0.75">
      <c r="A87" s="32">
        <v>85</v>
      </c>
      <c r="B87" s="32">
        <f t="shared" si="2"/>
        <v>28</v>
      </c>
      <c r="C87" s="32">
        <f t="shared" si="3"/>
        <v>1</v>
      </c>
      <c r="D87" s="31" t="str" cm="1">
        <f t="array" ref="D87">INDEX('BaseMap-1'!$H$8:$J$94,1+B87,C87)</f>
        <v/>
      </c>
    </row>
    <row r="88" spans="1:4" x14ac:dyDescent="0.75">
      <c r="A88" s="32">
        <v>86</v>
      </c>
      <c r="B88" s="32">
        <f t="shared" si="2"/>
        <v>28</v>
      </c>
      <c r="C88" s="32">
        <f t="shared" si="3"/>
        <v>2</v>
      </c>
      <c r="D88" s="31" t="str" cm="1">
        <f t="array" ref="D88">INDEX('BaseMap-1'!$H$8:$J$94,1+B88,C88)</f>
        <v/>
      </c>
    </row>
    <row r="89" spans="1:4" x14ac:dyDescent="0.75">
      <c r="A89" s="32">
        <v>87</v>
      </c>
      <c r="B89" s="32">
        <f t="shared" si="2"/>
        <v>28</v>
      </c>
      <c r="C89" s="32">
        <f t="shared" si="3"/>
        <v>3</v>
      </c>
      <c r="D89" s="31" t="str" cm="1">
        <f t="array" ref="D89">INDEX('BaseMap-1'!$H$8:$J$94,1+B89,C89)</f>
        <v/>
      </c>
    </row>
    <row r="90" spans="1:4" x14ac:dyDescent="0.75">
      <c r="A90" s="32">
        <v>88</v>
      </c>
      <c r="B90" s="32">
        <f t="shared" si="2"/>
        <v>29</v>
      </c>
      <c r="C90" s="32">
        <f t="shared" si="3"/>
        <v>1</v>
      </c>
      <c r="D90" s="31" t="str" cm="1">
        <f t="array" ref="D90">INDEX('BaseMap-1'!$H$8:$J$94,1+B90,C90)</f>
        <v/>
      </c>
    </row>
    <row r="91" spans="1:4" x14ac:dyDescent="0.75">
      <c r="A91" s="32">
        <v>89</v>
      </c>
      <c r="B91" s="32">
        <f t="shared" si="2"/>
        <v>29</v>
      </c>
      <c r="C91" s="32">
        <f t="shared" si="3"/>
        <v>2</v>
      </c>
      <c r="D91" s="31" t="str" cm="1">
        <f t="array" ref="D91">INDEX('BaseMap-1'!$H$8:$J$94,1+B91,C91)</f>
        <v/>
      </c>
    </row>
    <row r="92" spans="1:4" x14ac:dyDescent="0.75">
      <c r="A92" s="32">
        <v>90</v>
      </c>
      <c r="B92" s="32">
        <f t="shared" si="2"/>
        <v>29</v>
      </c>
      <c r="C92" s="32">
        <f t="shared" si="3"/>
        <v>3</v>
      </c>
      <c r="D92" s="31" t="str" cm="1">
        <f t="array" ref="D92">INDEX('BaseMap-1'!$H$8:$J$94,1+B92,C92)</f>
        <v/>
      </c>
    </row>
    <row r="93" spans="1:4" x14ac:dyDescent="0.75">
      <c r="A93" s="32">
        <v>91</v>
      </c>
      <c r="B93" s="32">
        <f t="shared" si="2"/>
        <v>30</v>
      </c>
      <c r="C93" s="32">
        <f t="shared" si="3"/>
        <v>1</v>
      </c>
      <c r="D93" s="31" t="str" cm="1">
        <f t="array" ref="D93">INDEX('BaseMap-1'!$H$8:$J$94,1+B93,C93)</f>
        <v/>
      </c>
    </row>
    <row r="94" spans="1:4" x14ac:dyDescent="0.75">
      <c r="A94" s="32">
        <v>92</v>
      </c>
      <c r="B94" s="32">
        <f t="shared" si="2"/>
        <v>30</v>
      </c>
      <c r="C94" s="32">
        <f t="shared" si="3"/>
        <v>2</v>
      </c>
      <c r="D94" s="31" t="str" cm="1">
        <f t="array" ref="D94">INDEX('BaseMap-1'!$H$8:$J$94,1+B94,C94)</f>
        <v/>
      </c>
    </row>
    <row r="95" spans="1:4" x14ac:dyDescent="0.75">
      <c r="A95" s="32">
        <v>93</v>
      </c>
      <c r="B95" s="32">
        <f t="shared" si="2"/>
        <v>30</v>
      </c>
      <c r="C95" s="32">
        <f t="shared" si="3"/>
        <v>3</v>
      </c>
      <c r="D95" s="31" t="str" cm="1">
        <f t="array" ref="D95">INDEX('BaseMap-1'!$H$8:$J$94,1+B95,C95)</f>
        <v/>
      </c>
    </row>
    <row r="96" spans="1:4" x14ac:dyDescent="0.75">
      <c r="A96" s="32">
        <v>94</v>
      </c>
      <c r="B96" s="32">
        <f t="shared" si="2"/>
        <v>31</v>
      </c>
      <c r="C96" s="32">
        <f t="shared" si="3"/>
        <v>1</v>
      </c>
      <c r="D96" s="31" t="str" cm="1">
        <f t="array" ref="D96">INDEX('BaseMap-1'!$H$8:$J$94,1+B96,C96)</f>
        <v/>
      </c>
    </row>
    <row r="97" spans="1:4" x14ac:dyDescent="0.75">
      <c r="A97" s="32">
        <v>95</v>
      </c>
      <c r="B97" s="32">
        <f t="shared" si="2"/>
        <v>31</v>
      </c>
      <c r="C97" s="32">
        <f t="shared" si="3"/>
        <v>2</v>
      </c>
      <c r="D97" s="31" t="str" cm="1">
        <f t="array" ref="D97">INDEX('BaseMap-1'!$H$8:$J$94,1+B97,C97)</f>
        <v/>
      </c>
    </row>
    <row r="98" spans="1:4" x14ac:dyDescent="0.75">
      <c r="A98" s="32">
        <v>96</v>
      </c>
      <c r="B98" s="32">
        <f t="shared" si="2"/>
        <v>31</v>
      </c>
      <c r="C98" s="32">
        <f t="shared" si="3"/>
        <v>3</v>
      </c>
      <c r="D98" s="31" t="str" cm="1">
        <f t="array" ref="D98">INDEX('BaseMap-1'!$H$8:$J$94,1+B98,C98)</f>
        <v/>
      </c>
    </row>
    <row r="99" spans="1:4" x14ac:dyDescent="0.75">
      <c r="A99" s="32">
        <v>97</v>
      </c>
      <c r="B99" s="32">
        <f t="shared" si="2"/>
        <v>32</v>
      </c>
      <c r="C99" s="32">
        <f t="shared" si="3"/>
        <v>1</v>
      </c>
      <c r="D99" s="31" t="str" cm="1">
        <f t="array" ref="D99">INDEX('BaseMap-1'!$H$8:$J$94,1+B99,C99)</f>
        <v/>
      </c>
    </row>
    <row r="100" spans="1:4" x14ac:dyDescent="0.75">
      <c r="A100" s="32">
        <v>98</v>
      </c>
      <c r="B100" s="32">
        <f t="shared" si="2"/>
        <v>32</v>
      </c>
      <c r="C100" s="32">
        <f t="shared" si="3"/>
        <v>2</v>
      </c>
      <c r="D100" s="31" t="str" cm="1">
        <f t="array" ref="D100">INDEX('BaseMap-1'!$H$8:$J$94,1+B100,C100)</f>
        <v/>
      </c>
    </row>
    <row r="101" spans="1:4" x14ac:dyDescent="0.75">
      <c r="A101" s="32">
        <v>99</v>
      </c>
      <c r="B101" s="32">
        <f t="shared" si="2"/>
        <v>32</v>
      </c>
      <c r="C101" s="32">
        <f t="shared" si="3"/>
        <v>3</v>
      </c>
      <c r="D101" s="31" t="str" cm="1">
        <f t="array" ref="D101">INDEX('BaseMap-1'!$H$8:$J$94,1+B101,C101)</f>
        <v/>
      </c>
    </row>
    <row r="102" spans="1:4" x14ac:dyDescent="0.75">
      <c r="A102" s="32">
        <v>100</v>
      </c>
      <c r="B102" s="32">
        <f t="shared" si="2"/>
        <v>33</v>
      </c>
      <c r="C102" s="32">
        <f t="shared" si="3"/>
        <v>1</v>
      </c>
      <c r="D102" s="31" t="str" cm="1">
        <f t="array" ref="D102">INDEX('BaseMap-1'!$H$8:$J$94,1+B102,C102)</f>
        <v/>
      </c>
    </row>
    <row r="103" spans="1:4" x14ac:dyDescent="0.75">
      <c r="A103" s="32">
        <v>101</v>
      </c>
      <c r="B103" s="32">
        <f t="shared" si="2"/>
        <v>33</v>
      </c>
      <c r="C103" s="32">
        <f t="shared" si="3"/>
        <v>2</v>
      </c>
      <c r="D103" s="31" t="str" cm="1">
        <f t="array" ref="D103">INDEX('BaseMap-1'!$H$8:$J$94,1+B103,C103)</f>
        <v/>
      </c>
    </row>
    <row r="104" spans="1:4" x14ac:dyDescent="0.75">
      <c r="A104" s="32">
        <v>102</v>
      </c>
      <c r="B104" s="32">
        <f t="shared" si="2"/>
        <v>33</v>
      </c>
      <c r="C104" s="32">
        <f t="shared" si="3"/>
        <v>3</v>
      </c>
      <c r="D104" s="31" t="str" cm="1">
        <f t="array" ref="D104">INDEX('BaseMap-1'!$H$8:$J$94,1+B104,C104)</f>
        <v/>
      </c>
    </row>
    <row r="105" spans="1:4" x14ac:dyDescent="0.75">
      <c r="A105" s="32">
        <v>103</v>
      </c>
      <c r="B105" s="32">
        <f t="shared" si="2"/>
        <v>34</v>
      </c>
      <c r="C105" s="32">
        <f t="shared" si="3"/>
        <v>1</v>
      </c>
      <c r="D105" s="31" t="str" cm="1">
        <f t="array" ref="D105">INDEX('BaseMap-1'!$H$8:$J$94,1+B105,C105)</f>
        <v/>
      </c>
    </row>
    <row r="106" spans="1:4" x14ac:dyDescent="0.75">
      <c r="A106" s="32">
        <v>104</v>
      </c>
      <c r="B106" s="32">
        <f t="shared" si="2"/>
        <v>34</v>
      </c>
      <c r="C106" s="32">
        <f t="shared" si="3"/>
        <v>2</v>
      </c>
      <c r="D106" s="31" t="str" cm="1">
        <f t="array" ref="D106">INDEX('BaseMap-1'!$H$8:$J$94,1+B106,C106)</f>
        <v/>
      </c>
    </row>
    <row r="107" spans="1:4" x14ac:dyDescent="0.75">
      <c r="A107" s="32">
        <v>105</v>
      </c>
      <c r="B107" s="32">
        <f t="shared" si="2"/>
        <v>34</v>
      </c>
      <c r="C107" s="32">
        <f t="shared" si="3"/>
        <v>3</v>
      </c>
      <c r="D107" s="31" t="str" cm="1">
        <f t="array" ref="D107">INDEX('BaseMap-1'!$H$8:$J$94,1+B107,C107)</f>
        <v/>
      </c>
    </row>
    <row r="108" spans="1:4" x14ac:dyDescent="0.75">
      <c r="A108" s="32">
        <v>106</v>
      </c>
      <c r="B108" s="32">
        <f t="shared" si="2"/>
        <v>35</v>
      </c>
      <c r="C108" s="32">
        <f t="shared" si="3"/>
        <v>1</v>
      </c>
      <c r="D108" s="31" t="str" cm="1">
        <f t="array" ref="D108">INDEX('BaseMap-1'!$H$8:$J$94,1+B108,C108)</f>
        <v/>
      </c>
    </row>
    <row r="109" spans="1:4" x14ac:dyDescent="0.75">
      <c r="A109" s="32">
        <v>107</v>
      </c>
      <c r="B109" s="32">
        <f t="shared" si="2"/>
        <v>35</v>
      </c>
      <c r="C109" s="32">
        <f t="shared" si="3"/>
        <v>2</v>
      </c>
      <c r="D109" s="31" t="str" cm="1">
        <f t="array" ref="D109">INDEX('BaseMap-1'!$H$8:$J$94,1+B109,C109)</f>
        <v/>
      </c>
    </row>
    <row r="110" spans="1:4" x14ac:dyDescent="0.75">
      <c r="A110" s="32">
        <v>108</v>
      </c>
      <c r="B110" s="32">
        <f t="shared" si="2"/>
        <v>35</v>
      </c>
      <c r="C110" s="32">
        <f t="shared" si="3"/>
        <v>3</v>
      </c>
      <c r="D110" s="31" t="str" cm="1">
        <f t="array" ref="D110">INDEX('BaseMap-1'!$H$8:$J$94,1+B110,C110)</f>
        <v/>
      </c>
    </row>
    <row r="111" spans="1:4" x14ac:dyDescent="0.75">
      <c r="A111" s="32">
        <v>109</v>
      </c>
      <c r="B111" s="32">
        <f t="shared" si="2"/>
        <v>36</v>
      </c>
      <c r="C111" s="32">
        <f t="shared" si="3"/>
        <v>1</v>
      </c>
      <c r="D111" s="31" t="str" cm="1">
        <f t="array" ref="D111">INDEX('BaseMap-1'!$H$8:$J$94,1+B111,C111)</f>
        <v/>
      </c>
    </row>
    <row r="112" spans="1:4" x14ac:dyDescent="0.75">
      <c r="A112" s="32">
        <v>110</v>
      </c>
      <c r="B112" s="32">
        <f t="shared" si="2"/>
        <v>36</v>
      </c>
      <c r="C112" s="32">
        <f t="shared" si="3"/>
        <v>2</v>
      </c>
      <c r="D112" s="31" t="str" cm="1">
        <f t="array" ref="D112">INDEX('BaseMap-1'!$H$8:$J$94,1+B112,C112)</f>
        <v/>
      </c>
    </row>
    <row r="113" spans="1:4" x14ac:dyDescent="0.75">
      <c r="A113" s="32">
        <v>111</v>
      </c>
      <c r="B113" s="32">
        <f t="shared" si="2"/>
        <v>36</v>
      </c>
      <c r="C113" s="32">
        <f t="shared" si="3"/>
        <v>3</v>
      </c>
      <c r="D113" s="31" t="str" cm="1">
        <f t="array" ref="D113">INDEX('BaseMap-1'!$H$8:$J$94,1+B113,C113)</f>
        <v/>
      </c>
    </row>
    <row r="114" spans="1:4" x14ac:dyDescent="0.75">
      <c r="A114" s="32">
        <v>112</v>
      </c>
      <c r="B114" s="32">
        <f t="shared" si="2"/>
        <v>37</v>
      </c>
      <c r="C114" s="32">
        <f t="shared" si="3"/>
        <v>1</v>
      </c>
      <c r="D114" s="31" t="str" cm="1">
        <f t="array" ref="D114">INDEX('BaseMap-1'!$H$8:$J$94,1+B114,C114)</f>
        <v/>
      </c>
    </row>
    <row r="115" spans="1:4" x14ac:dyDescent="0.75">
      <c r="A115" s="32">
        <v>113</v>
      </c>
      <c r="B115" s="32">
        <f t="shared" si="2"/>
        <v>37</v>
      </c>
      <c r="C115" s="32">
        <f t="shared" si="3"/>
        <v>2</v>
      </c>
      <c r="D115" s="31" t="str" cm="1">
        <f t="array" ref="D115">INDEX('BaseMap-1'!$H$8:$J$94,1+B115,C115)</f>
        <v/>
      </c>
    </row>
    <row r="116" spans="1:4" x14ac:dyDescent="0.75">
      <c r="A116" s="32">
        <v>114</v>
      </c>
      <c r="B116" s="32">
        <f t="shared" si="2"/>
        <v>37</v>
      </c>
      <c r="C116" s="32">
        <f t="shared" si="3"/>
        <v>3</v>
      </c>
      <c r="D116" s="31" t="str" cm="1">
        <f t="array" ref="D116">INDEX('BaseMap-1'!$H$8:$J$94,1+B116,C116)</f>
        <v/>
      </c>
    </row>
    <row r="117" spans="1:4" x14ac:dyDescent="0.75">
      <c r="A117" s="32">
        <v>115</v>
      </c>
      <c r="B117" s="32">
        <f t="shared" si="2"/>
        <v>38</v>
      </c>
      <c r="C117" s="32">
        <f t="shared" si="3"/>
        <v>1</v>
      </c>
      <c r="D117" s="31" t="str" cm="1">
        <f t="array" ref="D117">INDEX('BaseMap-1'!$H$8:$J$94,1+B117,C117)</f>
        <v/>
      </c>
    </row>
    <row r="118" spans="1:4" x14ac:dyDescent="0.75">
      <c r="A118" s="32">
        <v>116</v>
      </c>
      <c r="B118" s="32">
        <f t="shared" si="2"/>
        <v>38</v>
      </c>
      <c r="C118" s="32">
        <f t="shared" si="3"/>
        <v>2</v>
      </c>
      <c r="D118" s="31" t="str" cm="1">
        <f t="array" ref="D118">INDEX('BaseMap-1'!$H$8:$J$94,1+B118,C118)</f>
        <v/>
      </c>
    </row>
    <row r="119" spans="1:4" x14ac:dyDescent="0.75">
      <c r="A119" s="32">
        <v>117</v>
      </c>
      <c r="B119" s="32">
        <f t="shared" si="2"/>
        <v>38</v>
      </c>
      <c r="C119" s="32">
        <f t="shared" si="3"/>
        <v>3</v>
      </c>
      <c r="D119" s="31" t="str" cm="1">
        <f t="array" ref="D119">INDEX('BaseMap-1'!$H$8:$J$94,1+B119,C119)</f>
        <v/>
      </c>
    </row>
    <row r="120" spans="1:4" x14ac:dyDescent="0.75">
      <c r="A120" s="32">
        <v>118</v>
      </c>
      <c r="B120" s="32">
        <f t="shared" si="2"/>
        <v>39</v>
      </c>
      <c r="C120" s="32">
        <f t="shared" si="3"/>
        <v>1</v>
      </c>
      <c r="D120" s="31" t="str" cm="1">
        <f t="array" ref="D120">INDEX('BaseMap-1'!$H$8:$J$94,1+B120,C120)</f>
        <v/>
      </c>
    </row>
    <row r="121" spans="1:4" x14ac:dyDescent="0.75">
      <c r="A121" s="32">
        <v>119</v>
      </c>
      <c r="B121" s="32">
        <f t="shared" si="2"/>
        <v>39</v>
      </c>
      <c r="C121" s="32">
        <f t="shared" si="3"/>
        <v>2</v>
      </c>
      <c r="D121" s="31" t="str" cm="1">
        <f t="array" ref="D121">INDEX('BaseMap-1'!$H$8:$J$94,1+B121,C121)</f>
        <v/>
      </c>
    </row>
    <row r="122" spans="1:4" x14ac:dyDescent="0.75">
      <c r="A122" s="32">
        <v>120</v>
      </c>
      <c r="B122" s="32">
        <f t="shared" si="2"/>
        <v>39</v>
      </c>
      <c r="C122" s="32">
        <f t="shared" si="3"/>
        <v>3</v>
      </c>
      <c r="D122" s="31" t="str" cm="1">
        <f t="array" ref="D122">INDEX('BaseMap-1'!$H$8:$J$94,1+B122,C122)</f>
        <v/>
      </c>
    </row>
    <row r="123" spans="1:4" x14ac:dyDescent="0.75">
      <c r="A123" s="32">
        <v>121</v>
      </c>
      <c r="B123" s="32">
        <f t="shared" si="2"/>
        <v>40</v>
      </c>
      <c r="C123" s="32">
        <f t="shared" si="3"/>
        <v>1</v>
      </c>
      <c r="D123" s="31" t="str" cm="1">
        <f t="array" ref="D123">INDEX('BaseMap-1'!$H$8:$J$94,1+B123,C123)</f>
        <v/>
      </c>
    </row>
    <row r="124" spans="1:4" x14ac:dyDescent="0.75">
      <c r="A124" s="32">
        <v>122</v>
      </c>
      <c r="B124" s="32">
        <f t="shared" si="2"/>
        <v>40</v>
      </c>
      <c r="C124" s="32">
        <f t="shared" si="3"/>
        <v>2</v>
      </c>
      <c r="D124" s="31" t="str" cm="1">
        <f t="array" ref="D124">INDEX('BaseMap-1'!$H$8:$J$94,1+B124,C124)</f>
        <v/>
      </c>
    </row>
    <row r="125" spans="1:4" x14ac:dyDescent="0.75">
      <c r="A125" s="32">
        <v>123</v>
      </c>
      <c r="B125" s="32">
        <f t="shared" si="2"/>
        <v>40</v>
      </c>
      <c r="C125" s="32">
        <f t="shared" si="3"/>
        <v>3</v>
      </c>
      <c r="D125" s="31" t="str" cm="1">
        <f t="array" ref="D125">INDEX('BaseMap-1'!$H$8:$J$94,1+B125,C125)</f>
        <v/>
      </c>
    </row>
    <row r="126" spans="1:4" x14ac:dyDescent="0.75">
      <c r="A126" s="32">
        <v>124</v>
      </c>
      <c r="B126" s="32">
        <f t="shared" si="2"/>
        <v>41</v>
      </c>
      <c r="C126" s="32">
        <f t="shared" si="3"/>
        <v>1</v>
      </c>
      <c r="D126" s="31" t="str" cm="1">
        <f t="array" ref="D126">INDEX('BaseMap-1'!$H$8:$J$94,1+B126,C126)</f>
        <v/>
      </c>
    </row>
    <row r="127" spans="1:4" x14ac:dyDescent="0.75">
      <c r="A127" s="32">
        <v>125</v>
      </c>
      <c r="B127" s="32">
        <f t="shared" si="2"/>
        <v>41</v>
      </c>
      <c r="C127" s="32">
        <f t="shared" si="3"/>
        <v>2</v>
      </c>
      <c r="D127" s="31" t="str" cm="1">
        <f t="array" ref="D127">INDEX('BaseMap-1'!$H$8:$J$94,1+B127,C127)</f>
        <v/>
      </c>
    </row>
    <row r="128" spans="1:4" x14ac:dyDescent="0.75">
      <c r="A128" s="32">
        <v>126</v>
      </c>
      <c r="B128" s="32">
        <f t="shared" si="2"/>
        <v>41</v>
      </c>
      <c r="C128" s="32">
        <f t="shared" si="3"/>
        <v>3</v>
      </c>
      <c r="D128" s="31" t="str" cm="1">
        <f t="array" ref="D128">INDEX('BaseMap-1'!$H$8:$J$94,1+B128,C128)</f>
        <v/>
      </c>
    </row>
    <row r="129" spans="1:4" x14ac:dyDescent="0.75">
      <c r="A129" s="32">
        <v>127</v>
      </c>
      <c r="B129" s="32">
        <f t="shared" si="2"/>
        <v>42</v>
      </c>
      <c r="C129" s="32">
        <f t="shared" si="3"/>
        <v>1</v>
      </c>
      <c r="D129" s="31" t="str" cm="1">
        <f t="array" ref="D129">INDEX('BaseMap-1'!$H$8:$J$94,1+B129,C129)</f>
        <v/>
      </c>
    </row>
    <row r="130" spans="1:4" x14ac:dyDescent="0.75">
      <c r="A130" s="32">
        <v>128</v>
      </c>
      <c r="B130" s="32">
        <f t="shared" si="2"/>
        <v>42</v>
      </c>
      <c r="C130" s="32">
        <f t="shared" si="3"/>
        <v>2</v>
      </c>
      <c r="D130" s="31" t="str" cm="1">
        <f t="array" ref="D130">INDEX('BaseMap-1'!$H$8:$J$94,1+B130,C130)</f>
        <v/>
      </c>
    </row>
    <row r="131" spans="1:4" x14ac:dyDescent="0.75">
      <c r="A131" s="32">
        <v>129</v>
      </c>
      <c r="B131" s="32">
        <f t="shared" si="2"/>
        <v>42</v>
      </c>
      <c r="C131" s="32">
        <f t="shared" si="3"/>
        <v>3</v>
      </c>
      <c r="D131" s="31" t="str" cm="1">
        <f t="array" ref="D131">INDEX('BaseMap-1'!$H$8:$J$94,1+B131,C131)</f>
        <v/>
      </c>
    </row>
    <row r="132" spans="1:4" x14ac:dyDescent="0.75">
      <c r="A132" s="32">
        <v>130</v>
      </c>
      <c r="B132" s="32">
        <f t="shared" ref="B132:B195" si="4">IF(MOD(A132,3)=0,A132/3-1,INT(A132/3))</f>
        <v>43</v>
      </c>
      <c r="C132" s="32">
        <f t="shared" ref="C132:C195" si="5">IF(MOD(A132,3)=0,3,MOD(A132,3))</f>
        <v>1</v>
      </c>
      <c r="D132" s="31" t="str" cm="1">
        <f t="array" ref="D132">INDEX('BaseMap-1'!$H$8:$J$94,1+B132,C132)</f>
        <v/>
      </c>
    </row>
    <row r="133" spans="1:4" x14ac:dyDescent="0.75">
      <c r="A133" s="32">
        <v>131</v>
      </c>
      <c r="B133" s="32">
        <f t="shared" si="4"/>
        <v>43</v>
      </c>
      <c r="C133" s="32">
        <f t="shared" si="5"/>
        <v>2</v>
      </c>
      <c r="D133" s="31" t="str" cm="1">
        <f t="array" ref="D133">INDEX('BaseMap-1'!$H$8:$J$94,1+B133,C133)</f>
        <v/>
      </c>
    </row>
    <row r="134" spans="1:4" x14ac:dyDescent="0.75">
      <c r="A134" s="32">
        <v>132</v>
      </c>
      <c r="B134" s="32">
        <f t="shared" si="4"/>
        <v>43</v>
      </c>
      <c r="C134" s="32">
        <f t="shared" si="5"/>
        <v>3</v>
      </c>
      <c r="D134" s="31" t="str" cm="1">
        <f t="array" ref="D134">INDEX('BaseMap-1'!$H$8:$J$94,1+B134,C134)</f>
        <v/>
      </c>
    </row>
    <row r="135" spans="1:4" x14ac:dyDescent="0.75">
      <c r="A135" s="32">
        <v>133</v>
      </c>
      <c r="B135" s="32">
        <f t="shared" si="4"/>
        <v>44</v>
      </c>
      <c r="C135" s="32">
        <f t="shared" si="5"/>
        <v>1</v>
      </c>
      <c r="D135" s="31" t="str" cm="1">
        <f t="array" ref="D135">INDEX('BaseMap-1'!$H$8:$J$94,1+B135,C135)</f>
        <v/>
      </c>
    </row>
    <row r="136" spans="1:4" x14ac:dyDescent="0.75">
      <c r="A136" s="32">
        <v>134</v>
      </c>
      <c r="B136" s="32">
        <f t="shared" si="4"/>
        <v>44</v>
      </c>
      <c r="C136" s="32">
        <f t="shared" si="5"/>
        <v>2</v>
      </c>
      <c r="D136" s="31" t="str" cm="1">
        <f t="array" ref="D136">INDEX('BaseMap-1'!$H$8:$J$94,1+B136,C136)</f>
        <v/>
      </c>
    </row>
    <row r="137" spans="1:4" x14ac:dyDescent="0.75">
      <c r="A137" s="32">
        <v>135</v>
      </c>
      <c r="B137" s="32">
        <f t="shared" si="4"/>
        <v>44</v>
      </c>
      <c r="C137" s="32">
        <f t="shared" si="5"/>
        <v>3</v>
      </c>
      <c r="D137" s="31" t="str" cm="1">
        <f t="array" ref="D137">INDEX('BaseMap-1'!$H$8:$J$94,1+B137,C137)</f>
        <v/>
      </c>
    </row>
    <row r="138" spans="1:4" x14ac:dyDescent="0.75">
      <c r="A138" s="32">
        <v>136</v>
      </c>
      <c r="B138" s="32">
        <f t="shared" si="4"/>
        <v>45</v>
      </c>
      <c r="C138" s="32">
        <f t="shared" si="5"/>
        <v>1</v>
      </c>
      <c r="D138" s="31" t="str" cm="1">
        <f t="array" ref="D138">INDEX('BaseMap-1'!$H$8:$J$94,1+B138,C138)</f>
        <v/>
      </c>
    </row>
    <row r="139" spans="1:4" x14ac:dyDescent="0.75">
      <c r="A139" s="32">
        <v>137</v>
      </c>
      <c r="B139" s="32">
        <f t="shared" si="4"/>
        <v>45</v>
      </c>
      <c r="C139" s="32">
        <f t="shared" si="5"/>
        <v>2</v>
      </c>
      <c r="D139" s="31" t="str" cm="1">
        <f t="array" ref="D139">INDEX('BaseMap-1'!$H$8:$J$94,1+B139,C139)</f>
        <v/>
      </c>
    </row>
    <row r="140" spans="1:4" x14ac:dyDescent="0.75">
      <c r="A140" s="32">
        <v>138</v>
      </c>
      <c r="B140" s="32">
        <f t="shared" si="4"/>
        <v>45</v>
      </c>
      <c r="C140" s="32">
        <f t="shared" si="5"/>
        <v>3</v>
      </c>
      <c r="D140" s="31" t="str" cm="1">
        <f t="array" ref="D140">INDEX('BaseMap-1'!$H$8:$J$94,1+B140,C140)</f>
        <v/>
      </c>
    </row>
    <row r="141" spans="1:4" x14ac:dyDescent="0.75">
      <c r="A141" s="32">
        <v>139</v>
      </c>
      <c r="B141" s="32">
        <f t="shared" si="4"/>
        <v>46</v>
      </c>
      <c r="C141" s="32">
        <f t="shared" si="5"/>
        <v>1</v>
      </c>
      <c r="D141" s="31" t="str" cm="1">
        <f t="array" ref="D141">INDEX('BaseMap-1'!$H$8:$J$94,1+B141,C141)</f>
        <v/>
      </c>
    </row>
    <row r="142" spans="1:4" x14ac:dyDescent="0.75">
      <c r="A142" s="32">
        <v>140</v>
      </c>
      <c r="B142" s="32">
        <f t="shared" si="4"/>
        <v>46</v>
      </c>
      <c r="C142" s="32">
        <f t="shared" si="5"/>
        <v>2</v>
      </c>
      <c r="D142" s="31" t="str" cm="1">
        <f t="array" ref="D142">INDEX('BaseMap-1'!$H$8:$J$94,1+B142,C142)</f>
        <v/>
      </c>
    </row>
    <row r="143" spans="1:4" x14ac:dyDescent="0.75">
      <c r="A143" s="32">
        <v>141</v>
      </c>
      <c r="B143" s="32">
        <f t="shared" si="4"/>
        <v>46</v>
      </c>
      <c r="C143" s="32">
        <f t="shared" si="5"/>
        <v>3</v>
      </c>
      <c r="D143" s="31" t="str" cm="1">
        <f t="array" ref="D143">INDEX('BaseMap-1'!$H$8:$J$94,1+B143,C143)</f>
        <v/>
      </c>
    </row>
    <row r="144" spans="1:4" x14ac:dyDescent="0.75">
      <c r="A144" s="32">
        <v>142</v>
      </c>
      <c r="B144" s="32">
        <f t="shared" si="4"/>
        <v>47</v>
      </c>
      <c r="C144" s="32">
        <f t="shared" si="5"/>
        <v>1</v>
      </c>
      <c r="D144" s="31" t="str" cm="1">
        <f t="array" ref="D144">INDEX('BaseMap-1'!$H$8:$J$94,1+B144,C144)</f>
        <v/>
      </c>
    </row>
    <row r="145" spans="1:4" x14ac:dyDescent="0.75">
      <c r="A145" s="32">
        <v>143</v>
      </c>
      <c r="B145" s="32">
        <f t="shared" si="4"/>
        <v>47</v>
      </c>
      <c r="C145" s="32">
        <f t="shared" si="5"/>
        <v>2</v>
      </c>
      <c r="D145" s="31" t="str" cm="1">
        <f t="array" ref="D145">INDEX('BaseMap-1'!$H$8:$J$94,1+B145,C145)</f>
        <v/>
      </c>
    </row>
    <row r="146" spans="1:4" x14ac:dyDescent="0.75">
      <c r="A146" s="32">
        <v>144</v>
      </c>
      <c r="B146" s="32">
        <f t="shared" si="4"/>
        <v>47</v>
      </c>
      <c r="C146" s="32">
        <f t="shared" si="5"/>
        <v>3</v>
      </c>
      <c r="D146" s="31" t="str" cm="1">
        <f t="array" ref="D146">INDEX('BaseMap-1'!$H$8:$J$94,1+B146,C146)</f>
        <v/>
      </c>
    </row>
    <row r="147" spans="1:4" x14ac:dyDescent="0.75">
      <c r="A147" s="32">
        <v>145</v>
      </c>
      <c r="B147" s="32">
        <f t="shared" si="4"/>
        <v>48</v>
      </c>
      <c r="C147" s="32">
        <f t="shared" si="5"/>
        <v>1</v>
      </c>
      <c r="D147" s="31" t="str" cm="1">
        <f t="array" ref="D147">INDEX('BaseMap-1'!$H$8:$J$94,1+B147,C147)</f>
        <v/>
      </c>
    </row>
    <row r="148" spans="1:4" x14ac:dyDescent="0.75">
      <c r="A148" s="32">
        <v>146</v>
      </c>
      <c r="B148" s="32">
        <f t="shared" si="4"/>
        <v>48</v>
      </c>
      <c r="C148" s="32">
        <f t="shared" si="5"/>
        <v>2</v>
      </c>
      <c r="D148" s="31" t="str" cm="1">
        <f t="array" ref="D148">INDEX('BaseMap-1'!$H$8:$J$94,1+B148,C148)</f>
        <v/>
      </c>
    </row>
    <row r="149" spans="1:4" x14ac:dyDescent="0.75">
      <c r="A149" s="32">
        <v>147</v>
      </c>
      <c r="B149" s="32">
        <f t="shared" si="4"/>
        <v>48</v>
      </c>
      <c r="C149" s="32">
        <f t="shared" si="5"/>
        <v>3</v>
      </c>
      <c r="D149" s="31" t="str" cm="1">
        <f t="array" ref="D149">INDEX('BaseMap-1'!$H$8:$J$94,1+B149,C149)</f>
        <v/>
      </c>
    </row>
    <row r="150" spans="1:4" x14ac:dyDescent="0.75">
      <c r="A150" s="32">
        <v>148</v>
      </c>
      <c r="B150" s="32">
        <f t="shared" si="4"/>
        <v>49</v>
      </c>
      <c r="C150" s="32">
        <f t="shared" si="5"/>
        <v>1</v>
      </c>
      <c r="D150" s="31" t="str" cm="1">
        <f t="array" ref="D150">INDEX('BaseMap-1'!$H$8:$J$94,1+B150,C150)</f>
        <v/>
      </c>
    </row>
    <row r="151" spans="1:4" x14ac:dyDescent="0.75">
      <c r="A151" s="32">
        <v>149</v>
      </c>
      <c r="B151" s="32">
        <f t="shared" si="4"/>
        <v>49</v>
      </c>
      <c r="C151" s="32">
        <f t="shared" si="5"/>
        <v>2</v>
      </c>
      <c r="D151" s="31" t="str" cm="1">
        <f t="array" ref="D151">INDEX('BaseMap-1'!$H$8:$J$94,1+B151,C151)</f>
        <v/>
      </c>
    </row>
    <row r="152" spans="1:4" x14ac:dyDescent="0.75">
      <c r="A152" s="32">
        <v>150</v>
      </c>
      <c r="B152" s="32">
        <f t="shared" si="4"/>
        <v>49</v>
      </c>
      <c r="C152" s="32">
        <f t="shared" si="5"/>
        <v>3</v>
      </c>
      <c r="D152" s="31" t="str" cm="1">
        <f t="array" ref="D152">INDEX('BaseMap-1'!$H$8:$J$94,1+B152,C152)</f>
        <v/>
      </c>
    </row>
    <row r="153" spans="1:4" x14ac:dyDescent="0.75">
      <c r="A153" s="32">
        <v>151</v>
      </c>
      <c r="B153" s="32">
        <f t="shared" si="4"/>
        <v>50</v>
      </c>
      <c r="C153" s="32">
        <f t="shared" si="5"/>
        <v>1</v>
      </c>
      <c r="D153" s="31" t="str" cm="1">
        <f t="array" ref="D153">INDEX('BaseMap-1'!$H$8:$J$94,1+B153,C153)</f>
        <v/>
      </c>
    </row>
    <row r="154" spans="1:4" x14ac:dyDescent="0.75">
      <c r="A154" s="32">
        <v>152</v>
      </c>
      <c r="B154" s="32">
        <f t="shared" si="4"/>
        <v>50</v>
      </c>
      <c r="C154" s="32">
        <f t="shared" si="5"/>
        <v>2</v>
      </c>
      <c r="D154" s="31" t="str" cm="1">
        <f t="array" ref="D154">INDEX('BaseMap-1'!$H$8:$J$94,1+B154,C154)</f>
        <v/>
      </c>
    </row>
    <row r="155" spans="1:4" x14ac:dyDescent="0.75">
      <c r="A155" s="32">
        <v>153</v>
      </c>
      <c r="B155" s="32">
        <f t="shared" si="4"/>
        <v>50</v>
      </c>
      <c r="C155" s="32">
        <f t="shared" si="5"/>
        <v>3</v>
      </c>
      <c r="D155" s="31" t="str" cm="1">
        <f t="array" ref="D155">INDEX('BaseMap-1'!$H$8:$J$94,1+B155,C155)</f>
        <v/>
      </c>
    </row>
    <row r="156" spans="1:4" x14ac:dyDescent="0.75">
      <c r="A156" s="32">
        <v>154</v>
      </c>
      <c r="B156" s="32">
        <f t="shared" si="4"/>
        <v>51</v>
      </c>
      <c r="C156" s="32">
        <f t="shared" si="5"/>
        <v>1</v>
      </c>
      <c r="D156" s="31" t="str" cm="1">
        <f t="array" ref="D156">INDEX('BaseMap-1'!$H$8:$J$94,1+B156,C156)</f>
        <v/>
      </c>
    </row>
    <row r="157" spans="1:4" x14ac:dyDescent="0.75">
      <c r="A157" s="32">
        <v>155</v>
      </c>
      <c r="B157" s="32">
        <f t="shared" si="4"/>
        <v>51</v>
      </c>
      <c r="C157" s="32">
        <f t="shared" si="5"/>
        <v>2</v>
      </c>
      <c r="D157" s="31" t="str" cm="1">
        <f t="array" ref="D157">INDEX('BaseMap-1'!$H$8:$J$94,1+B157,C157)</f>
        <v/>
      </c>
    </row>
    <row r="158" spans="1:4" x14ac:dyDescent="0.75">
      <c r="A158" s="32">
        <v>156</v>
      </c>
      <c r="B158" s="32">
        <f t="shared" si="4"/>
        <v>51</v>
      </c>
      <c r="C158" s="32">
        <f t="shared" si="5"/>
        <v>3</v>
      </c>
      <c r="D158" s="31" t="str" cm="1">
        <f t="array" ref="D158">INDEX('BaseMap-1'!$H$8:$J$94,1+B158,C158)</f>
        <v/>
      </c>
    </row>
    <row r="159" spans="1:4" x14ac:dyDescent="0.75">
      <c r="A159" s="32">
        <v>157</v>
      </c>
      <c r="B159" s="32">
        <f t="shared" si="4"/>
        <v>52</v>
      </c>
      <c r="C159" s="32">
        <f t="shared" si="5"/>
        <v>1</v>
      </c>
      <c r="D159" s="31" cm="1">
        <f t="array" ref="D159">INDEX('BaseMap-1'!$H$8:$J$94,1+B159,C159)</f>
        <v>0</v>
      </c>
    </row>
    <row r="160" spans="1:4" x14ac:dyDescent="0.75">
      <c r="A160" s="32">
        <v>158</v>
      </c>
      <c r="B160" s="32">
        <f t="shared" si="4"/>
        <v>52</v>
      </c>
      <c r="C160" s="32">
        <f t="shared" si="5"/>
        <v>2</v>
      </c>
      <c r="D160" s="31" cm="1">
        <f t="array" ref="D160">INDEX('BaseMap-1'!$H$8:$J$94,1+B160,C160)</f>
        <v>0</v>
      </c>
    </row>
    <row r="161" spans="1:4" x14ac:dyDescent="0.75">
      <c r="A161" s="32">
        <v>159</v>
      </c>
      <c r="B161" s="32">
        <f t="shared" si="4"/>
        <v>52</v>
      </c>
      <c r="C161" s="32">
        <f t="shared" si="5"/>
        <v>3</v>
      </c>
      <c r="D161" s="31" cm="1">
        <f t="array" ref="D161">INDEX('BaseMap-1'!$H$8:$J$94,1+B161,C161)</f>
        <v>0</v>
      </c>
    </row>
    <row r="162" spans="1:4" x14ac:dyDescent="0.75">
      <c r="A162" s="32">
        <v>160</v>
      </c>
      <c r="B162" s="32">
        <f t="shared" si="4"/>
        <v>53</v>
      </c>
      <c r="C162" s="32">
        <f t="shared" si="5"/>
        <v>1</v>
      </c>
      <c r="D162" s="31" cm="1">
        <f t="array" ref="D162">INDEX('BaseMap-1'!$H$8:$J$94,1+B162,C162)</f>
        <v>0</v>
      </c>
    </row>
    <row r="163" spans="1:4" x14ac:dyDescent="0.75">
      <c r="A163" s="32">
        <v>161</v>
      </c>
      <c r="B163" s="32">
        <f t="shared" si="4"/>
        <v>53</v>
      </c>
      <c r="C163" s="32">
        <f t="shared" si="5"/>
        <v>2</v>
      </c>
      <c r="D163" s="31" cm="1">
        <f t="array" ref="D163">INDEX('BaseMap-1'!$H$8:$J$94,1+B163,C163)</f>
        <v>0</v>
      </c>
    </row>
    <row r="164" spans="1:4" x14ac:dyDescent="0.75">
      <c r="A164" s="32">
        <v>162</v>
      </c>
      <c r="B164" s="32">
        <f t="shared" si="4"/>
        <v>53</v>
      </c>
      <c r="C164" s="32">
        <f t="shared" si="5"/>
        <v>3</v>
      </c>
      <c r="D164" s="31" cm="1">
        <f t="array" ref="D164">INDEX('BaseMap-1'!$H$8:$J$94,1+B164,C164)</f>
        <v>0</v>
      </c>
    </row>
    <row r="165" spans="1:4" x14ac:dyDescent="0.75">
      <c r="A165" s="32">
        <v>163</v>
      </c>
      <c r="B165" s="32">
        <f t="shared" si="4"/>
        <v>54</v>
      </c>
      <c r="C165" s="32">
        <f t="shared" si="5"/>
        <v>1</v>
      </c>
      <c r="D165" s="31" cm="1">
        <f t="array" ref="D165">INDEX('BaseMap-1'!$H$8:$J$94,1+B165,C165)</f>
        <v>0</v>
      </c>
    </row>
    <row r="166" spans="1:4" x14ac:dyDescent="0.75">
      <c r="A166" s="32">
        <v>164</v>
      </c>
      <c r="B166" s="32">
        <f t="shared" si="4"/>
        <v>54</v>
      </c>
      <c r="C166" s="32">
        <f t="shared" si="5"/>
        <v>2</v>
      </c>
      <c r="D166" s="31" cm="1">
        <f t="array" ref="D166">INDEX('BaseMap-1'!$H$8:$J$94,1+B166,C166)</f>
        <v>0</v>
      </c>
    </row>
    <row r="167" spans="1:4" x14ac:dyDescent="0.75">
      <c r="A167" s="32">
        <v>165</v>
      </c>
      <c r="B167" s="32">
        <f t="shared" si="4"/>
        <v>54</v>
      </c>
      <c r="C167" s="32">
        <f t="shared" si="5"/>
        <v>3</v>
      </c>
      <c r="D167" s="31" cm="1">
        <f t="array" ref="D167">INDEX('BaseMap-1'!$H$8:$J$94,1+B167,C167)</f>
        <v>0</v>
      </c>
    </row>
    <row r="168" spans="1:4" x14ac:dyDescent="0.75">
      <c r="A168" s="32">
        <v>166</v>
      </c>
      <c r="B168" s="32">
        <f t="shared" si="4"/>
        <v>55</v>
      </c>
      <c r="C168" s="32">
        <f t="shared" si="5"/>
        <v>1</v>
      </c>
      <c r="D168" s="31" cm="1">
        <f t="array" ref="D168">INDEX('BaseMap-1'!$H$8:$J$94,1+B168,C168)</f>
        <v>0</v>
      </c>
    </row>
    <row r="169" spans="1:4" x14ac:dyDescent="0.75">
      <c r="A169" s="32">
        <v>167</v>
      </c>
      <c r="B169" s="32">
        <f t="shared" si="4"/>
        <v>55</v>
      </c>
      <c r="C169" s="32">
        <f t="shared" si="5"/>
        <v>2</v>
      </c>
      <c r="D169" s="31" cm="1">
        <f t="array" ref="D169">INDEX('BaseMap-1'!$H$8:$J$94,1+B169,C169)</f>
        <v>0</v>
      </c>
    </row>
    <row r="170" spans="1:4" x14ac:dyDescent="0.75">
      <c r="A170" s="32">
        <v>168</v>
      </c>
      <c r="B170" s="32">
        <f t="shared" si="4"/>
        <v>55</v>
      </c>
      <c r="C170" s="32">
        <f t="shared" si="5"/>
        <v>3</v>
      </c>
      <c r="D170" s="31" cm="1">
        <f t="array" ref="D170">INDEX('BaseMap-1'!$H$8:$J$94,1+B170,C170)</f>
        <v>0</v>
      </c>
    </row>
    <row r="171" spans="1:4" x14ac:dyDescent="0.75">
      <c r="A171" s="32">
        <v>169</v>
      </c>
      <c r="B171" s="32">
        <f t="shared" si="4"/>
        <v>56</v>
      </c>
      <c r="C171" s="32">
        <f t="shared" si="5"/>
        <v>1</v>
      </c>
      <c r="D171" s="31" cm="1">
        <f t="array" ref="D171">INDEX('BaseMap-1'!$H$8:$J$94,1+B171,C171)</f>
        <v>0</v>
      </c>
    </row>
    <row r="172" spans="1:4" x14ac:dyDescent="0.75">
      <c r="A172" s="32">
        <v>170</v>
      </c>
      <c r="B172" s="32">
        <f t="shared" si="4"/>
        <v>56</v>
      </c>
      <c r="C172" s="32">
        <f t="shared" si="5"/>
        <v>2</v>
      </c>
      <c r="D172" s="31" cm="1">
        <f t="array" ref="D172">INDEX('BaseMap-1'!$H$8:$J$94,1+B172,C172)</f>
        <v>0</v>
      </c>
    </row>
    <row r="173" spans="1:4" x14ac:dyDescent="0.75">
      <c r="A173" s="32">
        <v>171</v>
      </c>
      <c r="B173" s="32">
        <f t="shared" si="4"/>
        <v>56</v>
      </c>
      <c r="C173" s="32">
        <f t="shared" si="5"/>
        <v>3</v>
      </c>
      <c r="D173" s="31" cm="1">
        <f t="array" ref="D173">INDEX('BaseMap-1'!$H$8:$J$94,1+B173,C173)</f>
        <v>0</v>
      </c>
    </row>
    <row r="174" spans="1:4" x14ac:dyDescent="0.75">
      <c r="A174" s="32">
        <v>172</v>
      </c>
      <c r="B174" s="32">
        <f t="shared" si="4"/>
        <v>57</v>
      </c>
      <c r="C174" s="32">
        <f t="shared" si="5"/>
        <v>1</v>
      </c>
      <c r="D174" s="31" cm="1">
        <f t="array" ref="D174">INDEX('BaseMap-1'!$H$8:$J$94,1+B174,C174)</f>
        <v>0</v>
      </c>
    </row>
    <row r="175" spans="1:4" x14ac:dyDescent="0.75">
      <c r="A175" s="32">
        <v>173</v>
      </c>
      <c r="B175" s="32">
        <f t="shared" si="4"/>
        <v>57</v>
      </c>
      <c r="C175" s="32">
        <f t="shared" si="5"/>
        <v>2</v>
      </c>
      <c r="D175" s="31" cm="1">
        <f t="array" ref="D175">INDEX('BaseMap-1'!$H$8:$J$94,1+B175,C175)</f>
        <v>0</v>
      </c>
    </row>
    <row r="176" spans="1:4" x14ac:dyDescent="0.75">
      <c r="A176" s="32">
        <v>174</v>
      </c>
      <c r="B176" s="32">
        <f t="shared" si="4"/>
        <v>57</v>
      </c>
      <c r="C176" s="32">
        <f t="shared" si="5"/>
        <v>3</v>
      </c>
      <c r="D176" s="31" cm="1">
        <f t="array" ref="D176">INDEX('BaseMap-1'!$H$8:$J$94,1+B176,C176)</f>
        <v>0</v>
      </c>
    </row>
    <row r="177" spans="1:4" x14ac:dyDescent="0.75">
      <c r="A177" s="32">
        <v>175</v>
      </c>
      <c r="B177" s="32">
        <f t="shared" si="4"/>
        <v>58</v>
      </c>
      <c r="C177" s="32">
        <f t="shared" si="5"/>
        <v>1</v>
      </c>
      <c r="D177" s="31" cm="1">
        <f t="array" ref="D177">INDEX('BaseMap-1'!$H$8:$J$94,1+B177,C177)</f>
        <v>0</v>
      </c>
    </row>
    <row r="178" spans="1:4" x14ac:dyDescent="0.75">
      <c r="A178" s="32">
        <v>176</v>
      </c>
      <c r="B178" s="32">
        <f t="shared" si="4"/>
        <v>58</v>
      </c>
      <c r="C178" s="32">
        <f t="shared" si="5"/>
        <v>2</v>
      </c>
      <c r="D178" s="31" cm="1">
        <f t="array" ref="D178">INDEX('BaseMap-1'!$H$8:$J$94,1+B178,C178)</f>
        <v>0</v>
      </c>
    </row>
    <row r="179" spans="1:4" x14ac:dyDescent="0.75">
      <c r="A179" s="32">
        <v>177</v>
      </c>
      <c r="B179" s="32">
        <f t="shared" si="4"/>
        <v>58</v>
      </c>
      <c r="C179" s="32">
        <f t="shared" si="5"/>
        <v>3</v>
      </c>
      <c r="D179" s="31" cm="1">
        <f t="array" ref="D179">INDEX('BaseMap-1'!$H$8:$J$94,1+B179,C179)</f>
        <v>0</v>
      </c>
    </row>
    <row r="180" spans="1:4" x14ac:dyDescent="0.75">
      <c r="A180" s="32">
        <v>178</v>
      </c>
      <c r="B180" s="32">
        <f t="shared" si="4"/>
        <v>59</v>
      </c>
      <c r="C180" s="32">
        <f t="shared" si="5"/>
        <v>1</v>
      </c>
      <c r="D180" s="31" cm="1">
        <f t="array" ref="D180">INDEX('BaseMap-1'!$H$8:$J$94,1+B180,C180)</f>
        <v>0</v>
      </c>
    </row>
    <row r="181" spans="1:4" x14ac:dyDescent="0.75">
      <c r="A181" s="32">
        <v>179</v>
      </c>
      <c r="B181" s="32">
        <f t="shared" si="4"/>
        <v>59</v>
      </c>
      <c r="C181" s="32">
        <f t="shared" si="5"/>
        <v>2</v>
      </c>
      <c r="D181" s="31" cm="1">
        <f t="array" ref="D181">INDEX('BaseMap-1'!$H$8:$J$94,1+B181,C181)</f>
        <v>0</v>
      </c>
    </row>
    <row r="182" spans="1:4" x14ac:dyDescent="0.75">
      <c r="A182" s="32">
        <v>180</v>
      </c>
      <c r="B182" s="32">
        <f t="shared" si="4"/>
        <v>59</v>
      </c>
      <c r="C182" s="32">
        <f t="shared" si="5"/>
        <v>3</v>
      </c>
      <c r="D182" s="31" cm="1">
        <f t="array" ref="D182">INDEX('BaseMap-1'!$H$8:$J$94,1+B182,C182)</f>
        <v>0</v>
      </c>
    </row>
    <row r="183" spans="1:4" x14ac:dyDescent="0.75">
      <c r="A183" s="32">
        <v>181</v>
      </c>
      <c r="B183" s="32">
        <f t="shared" si="4"/>
        <v>60</v>
      </c>
      <c r="C183" s="32">
        <f t="shared" si="5"/>
        <v>1</v>
      </c>
      <c r="D183" s="31" cm="1">
        <f t="array" ref="D183">INDEX('BaseMap-1'!$H$8:$J$94,1+B183,C183)</f>
        <v>0</v>
      </c>
    </row>
    <row r="184" spans="1:4" x14ac:dyDescent="0.75">
      <c r="A184" s="32">
        <v>182</v>
      </c>
      <c r="B184" s="32">
        <f t="shared" si="4"/>
        <v>60</v>
      </c>
      <c r="C184" s="32">
        <f t="shared" si="5"/>
        <v>2</v>
      </c>
      <c r="D184" s="31" cm="1">
        <f t="array" ref="D184">INDEX('BaseMap-1'!$H$8:$J$94,1+B184,C184)</f>
        <v>0</v>
      </c>
    </row>
    <row r="185" spans="1:4" x14ac:dyDescent="0.75">
      <c r="A185" s="32">
        <v>183</v>
      </c>
      <c r="B185" s="32">
        <f t="shared" si="4"/>
        <v>60</v>
      </c>
      <c r="C185" s="32">
        <f t="shared" si="5"/>
        <v>3</v>
      </c>
      <c r="D185" s="31" cm="1">
        <f t="array" ref="D185">INDEX('BaseMap-1'!$H$8:$J$94,1+B185,C185)</f>
        <v>0</v>
      </c>
    </row>
    <row r="186" spans="1:4" x14ac:dyDescent="0.75">
      <c r="A186" s="32">
        <v>184</v>
      </c>
      <c r="B186" s="32">
        <f t="shared" si="4"/>
        <v>61</v>
      </c>
      <c r="C186" s="32">
        <f t="shared" si="5"/>
        <v>1</v>
      </c>
      <c r="D186" s="31" cm="1">
        <f t="array" ref="D186">INDEX('BaseMap-1'!$H$8:$J$94,1+B186,C186)</f>
        <v>0</v>
      </c>
    </row>
    <row r="187" spans="1:4" x14ac:dyDescent="0.75">
      <c r="A187" s="32">
        <v>185</v>
      </c>
      <c r="B187" s="32">
        <f t="shared" si="4"/>
        <v>61</v>
      </c>
      <c r="C187" s="32">
        <f t="shared" si="5"/>
        <v>2</v>
      </c>
      <c r="D187" s="31" cm="1">
        <f t="array" ref="D187">INDEX('BaseMap-1'!$H$8:$J$94,1+B187,C187)</f>
        <v>0</v>
      </c>
    </row>
    <row r="188" spans="1:4" x14ac:dyDescent="0.75">
      <c r="A188" s="32">
        <v>186</v>
      </c>
      <c r="B188" s="32">
        <f t="shared" si="4"/>
        <v>61</v>
      </c>
      <c r="C188" s="32">
        <f t="shared" si="5"/>
        <v>3</v>
      </c>
      <c r="D188" s="31" cm="1">
        <f t="array" ref="D188">INDEX('BaseMap-1'!$H$8:$J$94,1+B188,C188)</f>
        <v>0</v>
      </c>
    </row>
    <row r="189" spans="1:4" x14ac:dyDescent="0.75">
      <c r="A189" s="32">
        <v>187</v>
      </c>
      <c r="B189" s="32">
        <f t="shared" si="4"/>
        <v>62</v>
      </c>
      <c r="C189" s="32">
        <f t="shared" si="5"/>
        <v>1</v>
      </c>
      <c r="D189" s="31" cm="1">
        <f t="array" ref="D189">INDEX('BaseMap-1'!$H$8:$J$94,1+B189,C189)</f>
        <v>0</v>
      </c>
    </row>
    <row r="190" spans="1:4" x14ac:dyDescent="0.75">
      <c r="A190" s="32">
        <v>188</v>
      </c>
      <c r="B190" s="32">
        <f t="shared" si="4"/>
        <v>62</v>
      </c>
      <c r="C190" s="32">
        <f t="shared" si="5"/>
        <v>2</v>
      </c>
      <c r="D190" s="31" cm="1">
        <f t="array" ref="D190">INDEX('BaseMap-1'!$H$8:$J$94,1+B190,C190)</f>
        <v>0</v>
      </c>
    </row>
    <row r="191" spans="1:4" x14ac:dyDescent="0.75">
      <c r="A191" s="32">
        <v>189</v>
      </c>
      <c r="B191" s="32">
        <f t="shared" si="4"/>
        <v>62</v>
      </c>
      <c r="C191" s="32">
        <f t="shared" si="5"/>
        <v>3</v>
      </c>
      <c r="D191" s="31" cm="1">
        <f t="array" ref="D191">INDEX('BaseMap-1'!$H$8:$J$94,1+B191,C191)</f>
        <v>0</v>
      </c>
    </row>
    <row r="192" spans="1:4" x14ac:dyDescent="0.75">
      <c r="A192" s="32">
        <v>190</v>
      </c>
      <c r="B192" s="32">
        <f t="shared" si="4"/>
        <v>63</v>
      </c>
      <c r="C192" s="32">
        <f t="shared" si="5"/>
        <v>1</v>
      </c>
      <c r="D192" s="31" cm="1">
        <f t="array" ref="D192">INDEX('BaseMap-1'!$H$8:$J$94,1+B192,C192)</f>
        <v>0</v>
      </c>
    </row>
    <row r="193" spans="1:4" x14ac:dyDescent="0.75">
      <c r="A193" s="32">
        <v>191</v>
      </c>
      <c r="B193" s="32">
        <f t="shared" si="4"/>
        <v>63</v>
      </c>
      <c r="C193" s="32">
        <f t="shared" si="5"/>
        <v>2</v>
      </c>
      <c r="D193" s="31" cm="1">
        <f t="array" ref="D193">INDEX('BaseMap-1'!$H$8:$J$94,1+B193,C193)</f>
        <v>0</v>
      </c>
    </row>
    <row r="194" spans="1:4" x14ac:dyDescent="0.75">
      <c r="A194" s="32">
        <v>192</v>
      </c>
      <c r="B194" s="32">
        <f t="shared" si="4"/>
        <v>63</v>
      </c>
      <c r="C194" s="32">
        <f t="shared" si="5"/>
        <v>3</v>
      </c>
      <c r="D194" s="31" cm="1">
        <f t="array" ref="D194">INDEX('BaseMap-1'!$H$8:$J$94,1+B194,C194)</f>
        <v>0</v>
      </c>
    </row>
    <row r="195" spans="1:4" x14ac:dyDescent="0.75">
      <c r="A195" s="32">
        <v>193</v>
      </c>
      <c r="B195" s="32">
        <f t="shared" si="4"/>
        <v>64</v>
      </c>
      <c r="C195" s="32">
        <f t="shared" si="5"/>
        <v>1</v>
      </c>
      <c r="D195" s="31" cm="1">
        <f t="array" ref="D195">INDEX('BaseMap-1'!$H$8:$J$94,1+B195,C195)</f>
        <v>0</v>
      </c>
    </row>
    <row r="196" spans="1:4" x14ac:dyDescent="0.75">
      <c r="A196" s="32">
        <v>194</v>
      </c>
      <c r="B196" s="32">
        <f t="shared" ref="B196:B259" si="6">IF(MOD(A196,3)=0,A196/3-1,INT(A196/3))</f>
        <v>64</v>
      </c>
      <c r="C196" s="32">
        <f t="shared" ref="C196:C259" si="7">IF(MOD(A196,3)=0,3,MOD(A196,3))</f>
        <v>2</v>
      </c>
      <c r="D196" s="31" cm="1">
        <f t="array" ref="D196">INDEX('BaseMap-1'!$H$8:$J$94,1+B196,C196)</f>
        <v>0</v>
      </c>
    </row>
    <row r="197" spans="1:4" x14ac:dyDescent="0.75">
      <c r="A197" s="32">
        <v>195</v>
      </c>
      <c r="B197" s="32">
        <f t="shared" si="6"/>
        <v>64</v>
      </c>
      <c r="C197" s="32">
        <f t="shared" si="7"/>
        <v>3</v>
      </c>
      <c r="D197" s="31" cm="1">
        <f t="array" ref="D197">INDEX('BaseMap-1'!$H$8:$J$94,1+B197,C197)</f>
        <v>0</v>
      </c>
    </row>
    <row r="198" spans="1:4" x14ac:dyDescent="0.75">
      <c r="A198" s="32">
        <v>196</v>
      </c>
      <c r="B198" s="32">
        <f t="shared" si="6"/>
        <v>65</v>
      </c>
      <c r="C198" s="32">
        <f t="shared" si="7"/>
        <v>1</v>
      </c>
      <c r="D198" s="31" cm="1">
        <f t="array" ref="D198">INDEX('BaseMap-1'!$H$8:$J$94,1+B198,C198)</f>
        <v>0</v>
      </c>
    </row>
    <row r="199" spans="1:4" x14ac:dyDescent="0.75">
      <c r="A199" s="32">
        <v>197</v>
      </c>
      <c r="B199" s="32">
        <f t="shared" si="6"/>
        <v>65</v>
      </c>
      <c r="C199" s="32">
        <f t="shared" si="7"/>
        <v>2</v>
      </c>
      <c r="D199" s="31" cm="1">
        <f t="array" ref="D199">INDEX('BaseMap-1'!$H$8:$J$94,1+B199,C199)</f>
        <v>0</v>
      </c>
    </row>
    <row r="200" spans="1:4" x14ac:dyDescent="0.75">
      <c r="A200" s="32">
        <v>198</v>
      </c>
      <c r="B200" s="32">
        <f t="shared" si="6"/>
        <v>65</v>
      </c>
      <c r="C200" s="32">
        <f t="shared" si="7"/>
        <v>3</v>
      </c>
      <c r="D200" s="31" cm="1">
        <f t="array" ref="D200">INDEX('BaseMap-1'!$H$8:$J$94,1+B200,C200)</f>
        <v>0</v>
      </c>
    </row>
    <row r="201" spans="1:4" x14ac:dyDescent="0.75">
      <c r="A201" s="32">
        <v>199</v>
      </c>
      <c r="B201" s="32">
        <f t="shared" si="6"/>
        <v>66</v>
      </c>
      <c r="C201" s="32">
        <f t="shared" si="7"/>
        <v>1</v>
      </c>
      <c r="D201" s="31" cm="1">
        <f t="array" ref="D201">INDEX('BaseMap-1'!$H$8:$J$94,1+B201,C201)</f>
        <v>0</v>
      </c>
    </row>
    <row r="202" spans="1:4" x14ac:dyDescent="0.75">
      <c r="A202" s="32">
        <v>200</v>
      </c>
      <c r="B202" s="32">
        <f t="shared" si="6"/>
        <v>66</v>
      </c>
      <c r="C202" s="32">
        <f t="shared" si="7"/>
        <v>2</v>
      </c>
      <c r="D202" s="31" cm="1">
        <f t="array" ref="D202">INDEX('BaseMap-1'!$H$8:$J$94,1+B202,C202)</f>
        <v>0</v>
      </c>
    </row>
    <row r="203" spans="1:4" x14ac:dyDescent="0.75">
      <c r="A203" s="32">
        <v>201</v>
      </c>
      <c r="B203" s="32">
        <f t="shared" si="6"/>
        <v>66</v>
      </c>
      <c r="C203" s="32">
        <f t="shared" si="7"/>
        <v>3</v>
      </c>
      <c r="D203" s="31" cm="1">
        <f t="array" ref="D203">INDEX('BaseMap-1'!$H$8:$J$94,1+B203,C203)</f>
        <v>0</v>
      </c>
    </row>
    <row r="204" spans="1:4" x14ac:dyDescent="0.75">
      <c r="A204" s="32">
        <v>202</v>
      </c>
      <c r="B204" s="32">
        <f t="shared" si="6"/>
        <v>67</v>
      </c>
      <c r="C204" s="32">
        <f t="shared" si="7"/>
        <v>1</v>
      </c>
      <c r="D204" s="31" cm="1">
        <f t="array" ref="D204">INDEX('BaseMap-1'!$H$8:$J$94,1+B204,C204)</f>
        <v>0</v>
      </c>
    </row>
    <row r="205" spans="1:4" x14ac:dyDescent="0.75">
      <c r="A205" s="32">
        <v>203</v>
      </c>
      <c r="B205" s="32">
        <f t="shared" si="6"/>
        <v>67</v>
      </c>
      <c r="C205" s="32">
        <f t="shared" si="7"/>
        <v>2</v>
      </c>
      <c r="D205" s="31" cm="1">
        <f t="array" ref="D205">INDEX('BaseMap-1'!$H$8:$J$94,1+B205,C205)</f>
        <v>0</v>
      </c>
    </row>
    <row r="206" spans="1:4" x14ac:dyDescent="0.75">
      <c r="A206" s="32">
        <v>204</v>
      </c>
      <c r="B206" s="32">
        <f t="shared" si="6"/>
        <v>67</v>
      </c>
      <c r="C206" s="32">
        <f t="shared" si="7"/>
        <v>3</v>
      </c>
      <c r="D206" s="31" cm="1">
        <f t="array" ref="D206">INDEX('BaseMap-1'!$H$8:$J$94,1+B206,C206)</f>
        <v>0</v>
      </c>
    </row>
    <row r="207" spans="1:4" x14ac:dyDescent="0.75">
      <c r="A207" s="32">
        <v>205</v>
      </c>
      <c r="B207" s="32">
        <f t="shared" si="6"/>
        <v>68</v>
      </c>
      <c r="C207" s="32">
        <f t="shared" si="7"/>
        <v>1</v>
      </c>
      <c r="D207" s="31" cm="1">
        <f t="array" ref="D207">INDEX('BaseMap-1'!$H$8:$J$94,1+B207,C207)</f>
        <v>0</v>
      </c>
    </row>
    <row r="208" spans="1:4" x14ac:dyDescent="0.75">
      <c r="A208" s="32">
        <v>206</v>
      </c>
      <c r="B208" s="32">
        <f t="shared" si="6"/>
        <v>68</v>
      </c>
      <c r="C208" s="32">
        <f t="shared" si="7"/>
        <v>2</v>
      </c>
      <c r="D208" s="31" cm="1">
        <f t="array" ref="D208">INDEX('BaseMap-1'!$H$8:$J$94,1+B208,C208)</f>
        <v>0</v>
      </c>
    </row>
    <row r="209" spans="1:4" x14ac:dyDescent="0.75">
      <c r="A209" s="32">
        <v>207</v>
      </c>
      <c r="B209" s="32">
        <f t="shared" si="6"/>
        <v>68</v>
      </c>
      <c r="C209" s="32">
        <f t="shared" si="7"/>
        <v>3</v>
      </c>
      <c r="D209" s="31" cm="1">
        <f t="array" ref="D209">INDEX('BaseMap-1'!$H$8:$J$94,1+B209,C209)</f>
        <v>0</v>
      </c>
    </row>
    <row r="210" spans="1:4" x14ac:dyDescent="0.75">
      <c r="A210" s="32">
        <v>208</v>
      </c>
      <c r="B210" s="32">
        <f t="shared" si="6"/>
        <v>69</v>
      </c>
      <c r="C210" s="32">
        <f t="shared" si="7"/>
        <v>1</v>
      </c>
      <c r="D210" s="31" cm="1">
        <f t="array" ref="D210">INDEX('BaseMap-1'!$H$8:$J$94,1+B210,C210)</f>
        <v>0</v>
      </c>
    </row>
    <row r="211" spans="1:4" x14ac:dyDescent="0.75">
      <c r="A211" s="32">
        <v>209</v>
      </c>
      <c r="B211" s="32">
        <f t="shared" si="6"/>
        <v>69</v>
      </c>
      <c r="C211" s="32">
        <f t="shared" si="7"/>
        <v>2</v>
      </c>
      <c r="D211" s="31" cm="1">
        <f t="array" ref="D211">INDEX('BaseMap-1'!$H$8:$J$94,1+B211,C211)</f>
        <v>0</v>
      </c>
    </row>
    <row r="212" spans="1:4" x14ac:dyDescent="0.75">
      <c r="A212" s="32">
        <v>210</v>
      </c>
      <c r="B212" s="32">
        <f t="shared" si="6"/>
        <v>69</v>
      </c>
      <c r="C212" s="32">
        <f t="shared" si="7"/>
        <v>3</v>
      </c>
      <c r="D212" s="31" cm="1">
        <f t="array" ref="D212">INDEX('BaseMap-1'!$H$8:$J$94,1+B212,C212)</f>
        <v>0</v>
      </c>
    </row>
    <row r="213" spans="1:4" x14ac:dyDescent="0.75">
      <c r="A213" s="32">
        <v>211</v>
      </c>
      <c r="B213" s="32">
        <f t="shared" si="6"/>
        <v>70</v>
      </c>
      <c r="C213" s="32">
        <f t="shared" si="7"/>
        <v>1</v>
      </c>
      <c r="D213" s="31" cm="1">
        <f t="array" ref="D213">INDEX('BaseMap-1'!$H$8:$J$94,1+B213,C213)</f>
        <v>0</v>
      </c>
    </row>
    <row r="214" spans="1:4" x14ac:dyDescent="0.75">
      <c r="A214" s="32">
        <v>212</v>
      </c>
      <c r="B214" s="32">
        <f t="shared" si="6"/>
        <v>70</v>
      </c>
      <c r="C214" s="32">
        <f t="shared" si="7"/>
        <v>2</v>
      </c>
      <c r="D214" s="31" cm="1">
        <f t="array" ref="D214">INDEX('BaseMap-1'!$H$8:$J$94,1+B214,C214)</f>
        <v>0</v>
      </c>
    </row>
    <row r="215" spans="1:4" x14ac:dyDescent="0.75">
      <c r="A215" s="32">
        <v>213</v>
      </c>
      <c r="B215" s="32">
        <f t="shared" si="6"/>
        <v>70</v>
      </c>
      <c r="C215" s="32">
        <f t="shared" si="7"/>
        <v>3</v>
      </c>
      <c r="D215" s="31" cm="1">
        <f t="array" ref="D215">INDEX('BaseMap-1'!$H$8:$J$94,1+B215,C215)</f>
        <v>0</v>
      </c>
    </row>
    <row r="216" spans="1:4" x14ac:dyDescent="0.75">
      <c r="A216" s="32">
        <v>214</v>
      </c>
      <c r="B216" s="32">
        <f t="shared" si="6"/>
        <v>71</v>
      </c>
      <c r="C216" s="32">
        <f t="shared" si="7"/>
        <v>1</v>
      </c>
      <c r="D216" s="31" cm="1">
        <f t="array" ref="D216">INDEX('BaseMap-1'!$H$8:$J$94,1+B216,C216)</f>
        <v>0</v>
      </c>
    </row>
    <row r="217" spans="1:4" x14ac:dyDescent="0.75">
      <c r="A217" s="32">
        <v>215</v>
      </c>
      <c r="B217" s="32">
        <f t="shared" si="6"/>
        <v>71</v>
      </c>
      <c r="C217" s="32">
        <f t="shared" si="7"/>
        <v>2</v>
      </c>
      <c r="D217" s="31" cm="1">
        <f t="array" ref="D217">INDEX('BaseMap-1'!$H$8:$J$94,1+B217,C217)</f>
        <v>0</v>
      </c>
    </row>
    <row r="218" spans="1:4" x14ac:dyDescent="0.75">
      <c r="A218" s="32">
        <v>216</v>
      </c>
      <c r="B218" s="32">
        <f t="shared" si="6"/>
        <v>71</v>
      </c>
      <c r="C218" s="32">
        <f t="shared" si="7"/>
        <v>3</v>
      </c>
      <c r="D218" s="31" cm="1">
        <f t="array" ref="D218">INDEX('BaseMap-1'!$H$8:$J$94,1+B218,C218)</f>
        <v>0</v>
      </c>
    </row>
    <row r="219" spans="1:4" x14ac:dyDescent="0.75">
      <c r="A219" s="32">
        <v>217</v>
      </c>
      <c r="B219" s="32">
        <f t="shared" si="6"/>
        <v>72</v>
      </c>
      <c r="C219" s="32">
        <f t="shared" si="7"/>
        <v>1</v>
      </c>
      <c r="D219" s="31" cm="1">
        <f t="array" ref="D219">INDEX('BaseMap-1'!$H$8:$J$94,1+B219,C219)</f>
        <v>0</v>
      </c>
    </row>
    <row r="220" spans="1:4" x14ac:dyDescent="0.75">
      <c r="A220" s="32">
        <v>218</v>
      </c>
      <c r="B220" s="32">
        <f t="shared" si="6"/>
        <v>72</v>
      </c>
      <c r="C220" s="32">
        <f t="shared" si="7"/>
        <v>2</v>
      </c>
      <c r="D220" s="31" cm="1">
        <f t="array" ref="D220">INDEX('BaseMap-1'!$H$8:$J$94,1+B220,C220)</f>
        <v>0</v>
      </c>
    </row>
    <row r="221" spans="1:4" x14ac:dyDescent="0.75">
      <c r="A221" s="32">
        <v>219</v>
      </c>
      <c r="B221" s="32">
        <f t="shared" si="6"/>
        <v>72</v>
      </c>
      <c r="C221" s="32">
        <f t="shared" si="7"/>
        <v>3</v>
      </c>
      <c r="D221" s="31" cm="1">
        <f t="array" ref="D221">INDEX('BaseMap-1'!$H$8:$J$94,1+B221,C221)</f>
        <v>0</v>
      </c>
    </row>
    <row r="222" spans="1:4" x14ac:dyDescent="0.75">
      <c r="A222" s="32">
        <v>220</v>
      </c>
      <c r="B222" s="32">
        <f t="shared" si="6"/>
        <v>73</v>
      </c>
      <c r="C222" s="32">
        <f t="shared" si="7"/>
        <v>1</v>
      </c>
      <c r="D222" s="31" cm="1">
        <f t="array" ref="D222">INDEX('BaseMap-1'!$H$8:$J$94,1+B222,C222)</f>
        <v>0</v>
      </c>
    </row>
    <row r="223" spans="1:4" x14ac:dyDescent="0.75">
      <c r="A223" s="32">
        <v>221</v>
      </c>
      <c r="B223" s="32">
        <f t="shared" si="6"/>
        <v>73</v>
      </c>
      <c r="C223" s="32">
        <f t="shared" si="7"/>
        <v>2</v>
      </c>
      <c r="D223" s="31" cm="1">
        <f t="array" ref="D223">INDEX('BaseMap-1'!$H$8:$J$94,1+B223,C223)</f>
        <v>0</v>
      </c>
    </row>
    <row r="224" spans="1:4" x14ac:dyDescent="0.75">
      <c r="A224" s="32">
        <v>222</v>
      </c>
      <c r="B224" s="32">
        <f t="shared" si="6"/>
        <v>73</v>
      </c>
      <c r="C224" s="32">
        <f t="shared" si="7"/>
        <v>3</v>
      </c>
      <c r="D224" s="31" cm="1">
        <f t="array" ref="D224">INDEX('BaseMap-1'!$H$8:$J$94,1+B224,C224)</f>
        <v>0</v>
      </c>
    </row>
    <row r="225" spans="1:4" x14ac:dyDescent="0.75">
      <c r="A225" s="32">
        <v>223</v>
      </c>
      <c r="B225" s="32">
        <f t="shared" si="6"/>
        <v>74</v>
      </c>
      <c r="C225" s="32">
        <f t="shared" si="7"/>
        <v>1</v>
      </c>
      <c r="D225" s="31" cm="1">
        <f t="array" ref="D225">INDEX('BaseMap-1'!$H$8:$J$94,1+B225,C225)</f>
        <v>0</v>
      </c>
    </row>
    <row r="226" spans="1:4" x14ac:dyDescent="0.75">
      <c r="A226" s="32">
        <v>224</v>
      </c>
      <c r="B226" s="32">
        <f t="shared" si="6"/>
        <v>74</v>
      </c>
      <c r="C226" s="32">
        <f t="shared" si="7"/>
        <v>2</v>
      </c>
      <c r="D226" s="31" cm="1">
        <f t="array" ref="D226">INDEX('BaseMap-1'!$H$8:$J$94,1+B226,C226)</f>
        <v>0</v>
      </c>
    </row>
    <row r="227" spans="1:4" x14ac:dyDescent="0.75">
      <c r="A227" s="32">
        <v>225</v>
      </c>
      <c r="B227" s="32">
        <f t="shared" si="6"/>
        <v>74</v>
      </c>
      <c r="C227" s="32">
        <f t="shared" si="7"/>
        <v>3</v>
      </c>
      <c r="D227" s="31" cm="1">
        <f t="array" ref="D227">INDEX('BaseMap-1'!$H$8:$J$94,1+B227,C227)</f>
        <v>0</v>
      </c>
    </row>
    <row r="228" spans="1:4" x14ac:dyDescent="0.75">
      <c r="A228" s="32">
        <v>226</v>
      </c>
      <c r="B228" s="32">
        <f t="shared" si="6"/>
        <v>75</v>
      </c>
      <c r="C228" s="32">
        <f t="shared" si="7"/>
        <v>1</v>
      </c>
      <c r="D228" s="31" cm="1">
        <f t="array" ref="D228">INDEX('BaseMap-1'!$H$8:$J$94,1+B228,C228)</f>
        <v>0</v>
      </c>
    </row>
    <row r="229" spans="1:4" x14ac:dyDescent="0.75">
      <c r="A229" s="32">
        <v>227</v>
      </c>
      <c r="B229" s="32">
        <f t="shared" si="6"/>
        <v>75</v>
      </c>
      <c r="C229" s="32">
        <f t="shared" si="7"/>
        <v>2</v>
      </c>
      <c r="D229" s="31" cm="1">
        <f t="array" ref="D229">INDEX('BaseMap-1'!$H$8:$J$94,1+B229,C229)</f>
        <v>0</v>
      </c>
    </row>
    <row r="230" spans="1:4" x14ac:dyDescent="0.75">
      <c r="A230" s="32">
        <v>228</v>
      </c>
      <c r="B230" s="32">
        <f t="shared" si="6"/>
        <v>75</v>
      </c>
      <c r="C230" s="32">
        <f t="shared" si="7"/>
        <v>3</v>
      </c>
      <c r="D230" s="31" cm="1">
        <f t="array" ref="D230">INDEX('BaseMap-1'!$H$8:$J$94,1+B230,C230)</f>
        <v>0</v>
      </c>
    </row>
    <row r="231" spans="1:4" x14ac:dyDescent="0.75">
      <c r="A231" s="32">
        <v>229</v>
      </c>
      <c r="B231" s="32">
        <f t="shared" si="6"/>
        <v>76</v>
      </c>
      <c r="C231" s="32">
        <f t="shared" si="7"/>
        <v>1</v>
      </c>
      <c r="D231" s="31" cm="1">
        <f t="array" ref="D231">INDEX('BaseMap-1'!$H$8:$J$94,1+B231,C231)</f>
        <v>0</v>
      </c>
    </row>
    <row r="232" spans="1:4" x14ac:dyDescent="0.75">
      <c r="A232" s="32">
        <v>230</v>
      </c>
      <c r="B232" s="32">
        <f t="shared" si="6"/>
        <v>76</v>
      </c>
      <c r="C232" s="32">
        <f t="shared" si="7"/>
        <v>2</v>
      </c>
      <c r="D232" s="31" cm="1">
        <f t="array" ref="D232">INDEX('BaseMap-1'!$H$8:$J$94,1+B232,C232)</f>
        <v>0</v>
      </c>
    </row>
    <row r="233" spans="1:4" x14ac:dyDescent="0.75">
      <c r="A233" s="32">
        <v>231</v>
      </c>
      <c r="B233" s="32">
        <f t="shared" si="6"/>
        <v>76</v>
      </c>
      <c r="C233" s="32">
        <f t="shared" si="7"/>
        <v>3</v>
      </c>
      <c r="D233" s="31" cm="1">
        <f t="array" ref="D233">INDEX('BaseMap-1'!$H$8:$J$94,1+B233,C233)</f>
        <v>0</v>
      </c>
    </row>
    <row r="234" spans="1:4" x14ac:dyDescent="0.75">
      <c r="A234" s="32">
        <v>232</v>
      </c>
      <c r="B234" s="32">
        <f t="shared" si="6"/>
        <v>77</v>
      </c>
      <c r="C234" s="32">
        <f t="shared" si="7"/>
        <v>1</v>
      </c>
      <c r="D234" s="31" cm="1">
        <f t="array" ref="D234">INDEX('BaseMap-1'!$H$8:$J$94,1+B234,C234)</f>
        <v>0</v>
      </c>
    </row>
    <row r="235" spans="1:4" x14ac:dyDescent="0.75">
      <c r="A235" s="32">
        <v>233</v>
      </c>
      <c r="B235" s="32">
        <f t="shared" si="6"/>
        <v>77</v>
      </c>
      <c r="C235" s="32">
        <f t="shared" si="7"/>
        <v>2</v>
      </c>
      <c r="D235" s="31" cm="1">
        <f t="array" ref="D235">INDEX('BaseMap-1'!$H$8:$J$94,1+B235,C235)</f>
        <v>0</v>
      </c>
    </row>
    <row r="236" spans="1:4" x14ac:dyDescent="0.75">
      <c r="A236" s="32">
        <v>234</v>
      </c>
      <c r="B236" s="32">
        <f t="shared" si="6"/>
        <v>77</v>
      </c>
      <c r="C236" s="32">
        <f t="shared" si="7"/>
        <v>3</v>
      </c>
      <c r="D236" s="31" cm="1">
        <f t="array" ref="D236">INDEX('BaseMap-1'!$H$8:$J$94,1+B236,C236)</f>
        <v>0</v>
      </c>
    </row>
    <row r="237" spans="1:4" x14ac:dyDescent="0.75">
      <c r="A237" s="32">
        <v>235</v>
      </c>
      <c r="B237" s="32">
        <f t="shared" si="6"/>
        <v>78</v>
      </c>
      <c r="C237" s="32">
        <f t="shared" si="7"/>
        <v>1</v>
      </c>
      <c r="D237" s="31" cm="1">
        <f t="array" ref="D237">INDEX('BaseMap-1'!$H$8:$J$94,1+B237,C237)</f>
        <v>0</v>
      </c>
    </row>
    <row r="238" spans="1:4" x14ac:dyDescent="0.75">
      <c r="A238" s="32">
        <v>236</v>
      </c>
      <c r="B238" s="32">
        <f t="shared" si="6"/>
        <v>78</v>
      </c>
      <c r="C238" s="32">
        <f t="shared" si="7"/>
        <v>2</v>
      </c>
      <c r="D238" s="31" cm="1">
        <f t="array" ref="D238">INDEX('BaseMap-1'!$H$8:$J$94,1+B238,C238)</f>
        <v>0</v>
      </c>
    </row>
    <row r="239" spans="1:4" x14ac:dyDescent="0.75">
      <c r="A239" s="32">
        <v>237</v>
      </c>
      <c r="B239" s="32">
        <f t="shared" si="6"/>
        <v>78</v>
      </c>
      <c r="C239" s="32">
        <f t="shared" si="7"/>
        <v>3</v>
      </c>
      <c r="D239" s="31" cm="1">
        <f t="array" ref="D239">INDEX('BaseMap-1'!$H$8:$J$94,1+B239,C239)</f>
        <v>0</v>
      </c>
    </row>
    <row r="240" spans="1:4" x14ac:dyDescent="0.75">
      <c r="A240" s="32">
        <v>238</v>
      </c>
      <c r="B240" s="32">
        <f t="shared" si="6"/>
        <v>79</v>
      </c>
      <c r="C240" s="32">
        <f t="shared" si="7"/>
        <v>1</v>
      </c>
      <c r="D240" s="31" cm="1">
        <f t="array" ref="D240">INDEX('BaseMap-1'!$H$8:$J$94,1+B240,C240)</f>
        <v>0</v>
      </c>
    </row>
    <row r="241" spans="1:4" x14ac:dyDescent="0.75">
      <c r="A241" s="32">
        <v>239</v>
      </c>
      <c r="B241" s="32">
        <f t="shared" si="6"/>
        <v>79</v>
      </c>
      <c r="C241" s="32">
        <f t="shared" si="7"/>
        <v>2</v>
      </c>
      <c r="D241" s="31" cm="1">
        <f t="array" ref="D241">INDEX('BaseMap-1'!$H$8:$J$94,1+B241,C241)</f>
        <v>0</v>
      </c>
    </row>
    <row r="242" spans="1:4" x14ac:dyDescent="0.75">
      <c r="A242" s="32">
        <v>240</v>
      </c>
      <c r="B242" s="32">
        <f t="shared" si="6"/>
        <v>79</v>
      </c>
      <c r="C242" s="32">
        <f t="shared" si="7"/>
        <v>3</v>
      </c>
      <c r="D242" s="31" cm="1">
        <f t="array" ref="D242">INDEX('BaseMap-1'!$H$8:$J$94,1+B242,C242)</f>
        <v>0</v>
      </c>
    </row>
    <row r="243" spans="1:4" x14ac:dyDescent="0.75">
      <c r="A243" s="32">
        <v>241</v>
      </c>
      <c r="B243" s="32">
        <f t="shared" si="6"/>
        <v>80</v>
      </c>
      <c r="C243" s="32">
        <f t="shared" si="7"/>
        <v>1</v>
      </c>
      <c r="D243" s="31" cm="1">
        <f t="array" ref="D243">INDEX('BaseMap-1'!$H$8:$J$94,1+B243,C243)</f>
        <v>0</v>
      </c>
    </row>
    <row r="244" spans="1:4" x14ac:dyDescent="0.75">
      <c r="A244" s="32">
        <v>242</v>
      </c>
      <c r="B244" s="32">
        <f t="shared" si="6"/>
        <v>80</v>
      </c>
      <c r="C244" s="32">
        <f t="shared" si="7"/>
        <v>2</v>
      </c>
      <c r="D244" s="31" cm="1">
        <f t="array" ref="D244">INDEX('BaseMap-1'!$H$8:$J$94,1+B244,C244)</f>
        <v>0</v>
      </c>
    </row>
    <row r="245" spans="1:4" x14ac:dyDescent="0.75">
      <c r="A245" s="32">
        <v>243</v>
      </c>
      <c r="B245" s="32">
        <f t="shared" si="6"/>
        <v>80</v>
      </c>
      <c r="C245" s="32">
        <f t="shared" si="7"/>
        <v>3</v>
      </c>
      <c r="D245" s="31" cm="1">
        <f t="array" ref="D245">INDEX('BaseMap-1'!$H$8:$J$94,1+B245,C245)</f>
        <v>0</v>
      </c>
    </row>
    <row r="246" spans="1:4" x14ac:dyDescent="0.75">
      <c r="A246" s="32">
        <v>244</v>
      </c>
      <c r="B246" s="32">
        <f t="shared" si="6"/>
        <v>81</v>
      </c>
      <c r="C246" s="32">
        <f t="shared" si="7"/>
        <v>1</v>
      </c>
      <c r="D246" s="31" cm="1">
        <f t="array" ref="D246">INDEX('BaseMap-1'!$H$8:$J$94,1+B246,C246)</f>
        <v>0</v>
      </c>
    </row>
    <row r="247" spans="1:4" x14ac:dyDescent="0.75">
      <c r="A247" s="32">
        <v>245</v>
      </c>
      <c r="B247" s="32">
        <f t="shared" si="6"/>
        <v>81</v>
      </c>
      <c r="C247" s="32">
        <f t="shared" si="7"/>
        <v>2</v>
      </c>
      <c r="D247" s="31" cm="1">
        <f t="array" ref="D247">INDEX('BaseMap-1'!$H$8:$J$94,1+B247,C247)</f>
        <v>0</v>
      </c>
    </row>
    <row r="248" spans="1:4" x14ac:dyDescent="0.75">
      <c r="A248" s="32">
        <v>246</v>
      </c>
      <c r="B248" s="32">
        <f t="shared" si="6"/>
        <v>81</v>
      </c>
      <c r="C248" s="32">
        <f t="shared" si="7"/>
        <v>3</v>
      </c>
      <c r="D248" s="31" cm="1">
        <f t="array" ref="D248">INDEX('BaseMap-1'!$H$8:$J$94,1+B248,C248)</f>
        <v>0</v>
      </c>
    </row>
    <row r="249" spans="1:4" x14ac:dyDescent="0.75">
      <c r="A249" s="32">
        <v>247</v>
      </c>
      <c r="B249" s="32">
        <f t="shared" si="6"/>
        <v>82</v>
      </c>
      <c r="C249" s="32">
        <f t="shared" si="7"/>
        <v>1</v>
      </c>
      <c r="D249" s="31" cm="1">
        <f t="array" ref="D249">INDEX('BaseMap-1'!$H$8:$J$94,1+B249,C249)</f>
        <v>0</v>
      </c>
    </row>
    <row r="250" spans="1:4" x14ac:dyDescent="0.75">
      <c r="A250" s="32">
        <v>248</v>
      </c>
      <c r="B250" s="32">
        <f t="shared" si="6"/>
        <v>82</v>
      </c>
      <c r="C250" s="32">
        <f t="shared" si="7"/>
        <v>2</v>
      </c>
      <c r="D250" s="31" cm="1">
        <f t="array" ref="D250">INDEX('BaseMap-1'!$H$8:$J$94,1+B250,C250)</f>
        <v>0</v>
      </c>
    </row>
    <row r="251" spans="1:4" x14ac:dyDescent="0.75">
      <c r="A251" s="32">
        <v>249</v>
      </c>
      <c r="B251" s="32">
        <f t="shared" si="6"/>
        <v>82</v>
      </c>
      <c r="C251" s="32">
        <f t="shared" si="7"/>
        <v>3</v>
      </c>
      <c r="D251" s="31" cm="1">
        <f t="array" ref="D251">INDEX('BaseMap-1'!$H$8:$J$94,1+B251,C251)</f>
        <v>0</v>
      </c>
    </row>
    <row r="252" spans="1:4" x14ac:dyDescent="0.75">
      <c r="A252" s="32">
        <v>250</v>
      </c>
      <c r="B252" s="32">
        <f t="shared" si="6"/>
        <v>83</v>
      </c>
      <c r="C252" s="32">
        <f t="shared" si="7"/>
        <v>1</v>
      </c>
      <c r="D252" s="31" cm="1">
        <f t="array" ref="D252">INDEX('BaseMap-1'!$H$8:$J$94,1+B252,C252)</f>
        <v>0</v>
      </c>
    </row>
    <row r="253" spans="1:4" x14ac:dyDescent="0.75">
      <c r="A253" s="32">
        <v>251</v>
      </c>
      <c r="B253" s="32">
        <f t="shared" si="6"/>
        <v>83</v>
      </c>
      <c r="C253" s="32">
        <f t="shared" si="7"/>
        <v>2</v>
      </c>
      <c r="D253" s="31" cm="1">
        <f t="array" ref="D253">INDEX('BaseMap-1'!$H$8:$J$94,1+B253,C253)</f>
        <v>0</v>
      </c>
    </row>
    <row r="254" spans="1:4" x14ac:dyDescent="0.75">
      <c r="A254" s="32">
        <v>252</v>
      </c>
      <c r="B254" s="32">
        <f t="shared" si="6"/>
        <v>83</v>
      </c>
      <c r="C254" s="32">
        <f t="shared" si="7"/>
        <v>3</v>
      </c>
      <c r="D254" s="31" cm="1">
        <f t="array" ref="D254">INDEX('BaseMap-1'!$H$8:$J$94,1+B254,C254)</f>
        <v>0</v>
      </c>
    </row>
    <row r="255" spans="1:4" x14ac:dyDescent="0.75">
      <c r="A255" s="32">
        <v>253</v>
      </c>
      <c r="B255" s="32">
        <f t="shared" si="6"/>
        <v>84</v>
      </c>
      <c r="C255" s="32">
        <f t="shared" si="7"/>
        <v>1</v>
      </c>
      <c r="D255" s="31" cm="1">
        <f t="array" ref="D255">INDEX('BaseMap-1'!$H$8:$J$94,1+B255,C255)</f>
        <v>0</v>
      </c>
    </row>
    <row r="256" spans="1:4" x14ac:dyDescent="0.75">
      <c r="A256" s="32">
        <v>254</v>
      </c>
      <c r="B256" s="32">
        <f t="shared" si="6"/>
        <v>84</v>
      </c>
      <c r="C256" s="32">
        <f t="shared" si="7"/>
        <v>2</v>
      </c>
      <c r="D256" s="31" cm="1">
        <f t="array" ref="D256">INDEX('BaseMap-1'!$H$8:$J$94,1+B256,C256)</f>
        <v>0</v>
      </c>
    </row>
    <row r="257" spans="1:4" x14ac:dyDescent="0.75">
      <c r="A257" s="32">
        <v>255</v>
      </c>
      <c r="B257" s="32">
        <f t="shared" si="6"/>
        <v>84</v>
      </c>
      <c r="C257" s="32">
        <f t="shared" si="7"/>
        <v>3</v>
      </c>
      <c r="D257" s="31" cm="1">
        <f t="array" ref="D257">INDEX('BaseMap-1'!$H$8:$J$94,1+B257,C257)</f>
        <v>0</v>
      </c>
    </row>
    <row r="258" spans="1:4" x14ac:dyDescent="0.75">
      <c r="A258" s="32">
        <v>256</v>
      </c>
      <c r="B258" s="32">
        <f t="shared" si="6"/>
        <v>85</v>
      </c>
      <c r="C258" s="32">
        <f t="shared" si="7"/>
        <v>1</v>
      </c>
      <c r="D258" s="31" cm="1">
        <f t="array" ref="D258">INDEX('BaseMap-1'!$H$8:$J$94,1+B258,C258)</f>
        <v>0</v>
      </c>
    </row>
    <row r="259" spans="1:4" x14ac:dyDescent="0.75">
      <c r="A259" s="32">
        <v>257</v>
      </c>
      <c r="B259" s="32">
        <f t="shared" si="6"/>
        <v>85</v>
      </c>
      <c r="C259" s="32">
        <f t="shared" si="7"/>
        <v>2</v>
      </c>
      <c r="D259" s="31" cm="1">
        <f t="array" ref="D259">INDEX('BaseMap-1'!$H$8:$J$94,1+B259,C259)</f>
        <v>0</v>
      </c>
    </row>
    <row r="260" spans="1:4" x14ac:dyDescent="0.75">
      <c r="A260" s="32">
        <v>258</v>
      </c>
      <c r="B260" s="32">
        <f t="shared" ref="B260:B323" si="8">IF(MOD(A260,3)=0,A260/3-1,INT(A260/3))</f>
        <v>85</v>
      </c>
      <c r="C260" s="32">
        <f t="shared" ref="C260:C323" si="9">IF(MOD(A260,3)=0,3,MOD(A260,3))</f>
        <v>3</v>
      </c>
      <c r="D260" s="31" cm="1">
        <f t="array" ref="D260">INDEX('BaseMap-1'!$H$8:$J$94,1+B260,C260)</f>
        <v>0</v>
      </c>
    </row>
    <row r="261" spans="1:4" x14ac:dyDescent="0.75">
      <c r="A261" s="32">
        <v>259</v>
      </c>
      <c r="B261" s="32">
        <f t="shared" si="8"/>
        <v>86</v>
      </c>
      <c r="C261" s="32">
        <f t="shared" si="9"/>
        <v>1</v>
      </c>
      <c r="D261" s="31" cm="1">
        <f t="array" ref="D261">INDEX('BaseMap-1'!$H$8:$J$94,1+B261,C261)</f>
        <v>0</v>
      </c>
    </row>
    <row r="262" spans="1:4" x14ac:dyDescent="0.75">
      <c r="A262" s="32">
        <v>260</v>
      </c>
      <c r="B262" s="32">
        <f t="shared" si="8"/>
        <v>86</v>
      </c>
      <c r="C262" s="32">
        <f t="shared" si="9"/>
        <v>2</v>
      </c>
      <c r="D262" s="31" cm="1">
        <f t="array" ref="D262">INDEX('BaseMap-1'!$H$8:$J$94,1+B262,C262)</f>
        <v>0</v>
      </c>
    </row>
    <row r="263" spans="1:4" x14ac:dyDescent="0.75">
      <c r="A263" s="32">
        <v>261</v>
      </c>
      <c r="B263" s="32">
        <f t="shared" si="8"/>
        <v>86</v>
      </c>
      <c r="C263" s="32">
        <f t="shared" si="9"/>
        <v>3</v>
      </c>
      <c r="D263" s="31" cm="1">
        <f t="array" ref="D263">INDEX('BaseMap-1'!$H$8:$J$94,1+B263,C263)</f>
        <v>0</v>
      </c>
    </row>
    <row r="264" spans="1:4" x14ac:dyDescent="0.75">
      <c r="A264" s="32">
        <v>262</v>
      </c>
      <c r="B264" s="32">
        <f t="shared" si="8"/>
        <v>87</v>
      </c>
      <c r="C264" s="32">
        <f t="shared" si="9"/>
        <v>1</v>
      </c>
      <c r="D264" s="31" t="e" cm="1">
        <f t="array" ref="D264">INDEX('BaseMap-1'!$H$8:$J$94,1+B264,C264)</f>
        <v>#REF!</v>
      </c>
    </row>
    <row r="265" spans="1:4" x14ac:dyDescent="0.75">
      <c r="A265" s="32">
        <v>263</v>
      </c>
      <c r="B265" s="32">
        <f t="shared" si="8"/>
        <v>87</v>
      </c>
      <c r="C265" s="32">
        <f t="shared" si="9"/>
        <v>2</v>
      </c>
      <c r="D265" s="31" t="e" cm="1">
        <f t="array" ref="D265">INDEX('BaseMap-1'!$H$8:$J$94,1+B265,C265)</f>
        <v>#REF!</v>
      </c>
    </row>
    <row r="266" spans="1:4" x14ac:dyDescent="0.75">
      <c r="A266" s="32">
        <v>264</v>
      </c>
      <c r="B266" s="32">
        <f t="shared" si="8"/>
        <v>87</v>
      </c>
      <c r="C266" s="32">
        <f t="shared" si="9"/>
        <v>3</v>
      </c>
      <c r="D266" s="31" t="e" cm="1">
        <f t="array" ref="D266">INDEX('BaseMap-1'!$H$8:$J$94,1+B266,C266)</f>
        <v>#REF!</v>
      </c>
    </row>
    <row r="267" spans="1:4" x14ac:dyDescent="0.75">
      <c r="A267" s="32">
        <v>265</v>
      </c>
      <c r="B267" s="32">
        <f t="shared" si="8"/>
        <v>88</v>
      </c>
      <c r="C267" s="32">
        <f t="shared" si="9"/>
        <v>1</v>
      </c>
      <c r="D267" s="31" t="e" cm="1">
        <f t="array" ref="D267">INDEX('BaseMap-1'!$H$8:$J$94,1+B267,C267)</f>
        <v>#REF!</v>
      </c>
    </row>
    <row r="268" spans="1:4" x14ac:dyDescent="0.75">
      <c r="A268" s="32">
        <v>266</v>
      </c>
      <c r="B268" s="32">
        <f t="shared" si="8"/>
        <v>88</v>
      </c>
      <c r="C268" s="32">
        <f t="shared" si="9"/>
        <v>2</v>
      </c>
      <c r="D268" s="31" t="e" cm="1">
        <f t="array" ref="D268">INDEX('BaseMap-1'!$H$8:$J$94,1+B268,C268)</f>
        <v>#REF!</v>
      </c>
    </row>
    <row r="269" spans="1:4" x14ac:dyDescent="0.75">
      <c r="A269" s="32">
        <v>267</v>
      </c>
      <c r="B269" s="32">
        <f t="shared" si="8"/>
        <v>88</v>
      </c>
      <c r="C269" s="32">
        <f t="shared" si="9"/>
        <v>3</v>
      </c>
      <c r="D269" s="31" t="e" cm="1">
        <f t="array" ref="D269">INDEX('BaseMap-1'!$H$8:$J$94,1+B269,C269)</f>
        <v>#REF!</v>
      </c>
    </row>
    <row r="270" spans="1:4" x14ac:dyDescent="0.75">
      <c r="A270" s="32">
        <v>268</v>
      </c>
      <c r="B270" s="32">
        <f t="shared" si="8"/>
        <v>89</v>
      </c>
      <c r="C270" s="32">
        <f t="shared" si="9"/>
        <v>1</v>
      </c>
      <c r="D270" s="31" t="e" cm="1">
        <f t="array" ref="D270">INDEX('BaseMap-1'!$H$8:$J$94,1+B270,C270)</f>
        <v>#REF!</v>
      </c>
    </row>
    <row r="271" spans="1:4" x14ac:dyDescent="0.75">
      <c r="A271" s="32">
        <v>269</v>
      </c>
      <c r="B271" s="32">
        <f t="shared" si="8"/>
        <v>89</v>
      </c>
      <c r="C271" s="32">
        <f t="shared" si="9"/>
        <v>2</v>
      </c>
      <c r="D271" s="31" t="e" cm="1">
        <f t="array" ref="D271">INDEX('BaseMap-1'!$H$8:$J$94,1+B271,C271)</f>
        <v>#REF!</v>
      </c>
    </row>
    <row r="272" spans="1:4" x14ac:dyDescent="0.75">
      <c r="A272" s="32">
        <v>270</v>
      </c>
      <c r="B272" s="32">
        <f t="shared" si="8"/>
        <v>89</v>
      </c>
      <c r="C272" s="32">
        <f t="shared" si="9"/>
        <v>3</v>
      </c>
      <c r="D272" s="31" t="e" cm="1">
        <f t="array" ref="D272">INDEX('BaseMap-1'!$H$8:$J$94,1+B272,C272)</f>
        <v>#REF!</v>
      </c>
    </row>
    <row r="273" spans="1:4" x14ac:dyDescent="0.75">
      <c r="A273" s="32">
        <v>271</v>
      </c>
      <c r="B273" s="32">
        <f t="shared" si="8"/>
        <v>90</v>
      </c>
      <c r="C273" s="32">
        <f t="shared" si="9"/>
        <v>1</v>
      </c>
      <c r="D273" s="31" t="e" cm="1">
        <f t="array" ref="D273">INDEX('BaseMap-1'!$H$8:$J$94,1+B273,C273)</f>
        <v>#REF!</v>
      </c>
    </row>
    <row r="274" spans="1:4" x14ac:dyDescent="0.75">
      <c r="A274" s="32">
        <v>272</v>
      </c>
      <c r="B274" s="32">
        <f t="shared" si="8"/>
        <v>90</v>
      </c>
      <c r="C274" s="32">
        <f t="shared" si="9"/>
        <v>2</v>
      </c>
      <c r="D274" s="31" t="e" cm="1">
        <f t="array" ref="D274">INDEX('BaseMap-1'!$H$8:$J$94,1+B274,C274)</f>
        <v>#REF!</v>
      </c>
    </row>
    <row r="275" spans="1:4" x14ac:dyDescent="0.75">
      <c r="A275" s="32">
        <v>273</v>
      </c>
      <c r="B275" s="32">
        <f t="shared" si="8"/>
        <v>90</v>
      </c>
      <c r="C275" s="32">
        <f t="shared" si="9"/>
        <v>3</v>
      </c>
      <c r="D275" s="31" t="e" cm="1">
        <f t="array" ref="D275">INDEX('BaseMap-1'!$H$8:$J$94,1+B275,C275)</f>
        <v>#REF!</v>
      </c>
    </row>
    <row r="276" spans="1:4" x14ac:dyDescent="0.75">
      <c r="A276" s="32">
        <v>274</v>
      </c>
      <c r="B276" s="32">
        <f t="shared" si="8"/>
        <v>91</v>
      </c>
      <c r="C276" s="32">
        <f t="shared" si="9"/>
        <v>1</v>
      </c>
      <c r="D276" s="31" t="e" cm="1">
        <f t="array" ref="D276">INDEX('BaseMap-1'!$H$8:$J$94,1+B276,C276)</f>
        <v>#REF!</v>
      </c>
    </row>
    <row r="277" spans="1:4" x14ac:dyDescent="0.75">
      <c r="A277" s="32">
        <v>275</v>
      </c>
      <c r="B277" s="32">
        <f t="shared" si="8"/>
        <v>91</v>
      </c>
      <c r="C277" s="32">
        <f t="shared" si="9"/>
        <v>2</v>
      </c>
      <c r="D277" s="31" t="e" cm="1">
        <f t="array" ref="D277">INDEX('BaseMap-1'!$H$8:$J$94,1+B277,C277)</f>
        <v>#REF!</v>
      </c>
    </row>
    <row r="278" spans="1:4" x14ac:dyDescent="0.75">
      <c r="A278" s="32">
        <v>276</v>
      </c>
      <c r="B278" s="32">
        <f t="shared" si="8"/>
        <v>91</v>
      </c>
      <c r="C278" s="32">
        <f t="shared" si="9"/>
        <v>3</v>
      </c>
      <c r="D278" s="31" t="e" cm="1">
        <f t="array" ref="D278">INDEX('BaseMap-1'!$H$8:$J$94,1+B278,C278)</f>
        <v>#REF!</v>
      </c>
    </row>
    <row r="279" spans="1:4" x14ac:dyDescent="0.75">
      <c r="A279" s="32">
        <v>277</v>
      </c>
      <c r="B279" s="32">
        <f t="shared" si="8"/>
        <v>92</v>
      </c>
      <c r="C279" s="32">
        <f t="shared" si="9"/>
        <v>1</v>
      </c>
      <c r="D279" s="31" t="e" cm="1">
        <f t="array" ref="D279">INDEX('BaseMap-1'!$H$8:$J$94,1+B279,C279)</f>
        <v>#REF!</v>
      </c>
    </row>
    <row r="280" spans="1:4" x14ac:dyDescent="0.75">
      <c r="A280" s="32">
        <v>278</v>
      </c>
      <c r="B280" s="32">
        <f t="shared" si="8"/>
        <v>92</v>
      </c>
      <c r="C280" s="32">
        <f t="shared" si="9"/>
        <v>2</v>
      </c>
      <c r="D280" s="31" t="e" cm="1">
        <f t="array" ref="D280">INDEX('BaseMap-1'!$H$8:$J$94,1+B280,C280)</f>
        <v>#REF!</v>
      </c>
    </row>
    <row r="281" spans="1:4" x14ac:dyDescent="0.75">
      <c r="A281" s="32">
        <v>279</v>
      </c>
      <c r="B281" s="32">
        <f t="shared" si="8"/>
        <v>92</v>
      </c>
      <c r="C281" s="32">
        <f t="shared" si="9"/>
        <v>3</v>
      </c>
      <c r="D281" s="31" t="e" cm="1">
        <f t="array" ref="D281">INDEX('BaseMap-1'!$H$8:$J$94,1+B281,C281)</f>
        <v>#REF!</v>
      </c>
    </row>
    <row r="282" spans="1:4" x14ac:dyDescent="0.75">
      <c r="A282" s="32">
        <v>280</v>
      </c>
      <c r="B282" s="32">
        <f t="shared" si="8"/>
        <v>93</v>
      </c>
      <c r="C282" s="32">
        <f t="shared" si="9"/>
        <v>1</v>
      </c>
      <c r="D282" s="31" t="e" cm="1">
        <f t="array" ref="D282">INDEX('BaseMap-1'!$H$8:$J$94,1+B282,C282)</f>
        <v>#REF!</v>
      </c>
    </row>
    <row r="283" spans="1:4" x14ac:dyDescent="0.75">
      <c r="A283" s="32">
        <v>281</v>
      </c>
      <c r="B283" s="32">
        <f t="shared" si="8"/>
        <v>93</v>
      </c>
      <c r="C283" s="32">
        <f t="shared" si="9"/>
        <v>2</v>
      </c>
      <c r="D283" s="31" t="e" cm="1">
        <f t="array" ref="D283">INDEX('BaseMap-1'!$H$8:$J$94,1+B283,C283)</f>
        <v>#REF!</v>
      </c>
    </row>
    <row r="284" spans="1:4" x14ac:dyDescent="0.75">
      <c r="A284" s="32">
        <v>282</v>
      </c>
      <c r="B284" s="32">
        <f t="shared" si="8"/>
        <v>93</v>
      </c>
      <c r="C284" s="32">
        <f t="shared" si="9"/>
        <v>3</v>
      </c>
      <c r="D284" s="31" t="e" cm="1">
        <f t="array" ref="D284">INDEX('BaseMap-1'!$H$8:$J$94,1+B284,C284)</f>
        <v>#REF!</v>
      </c>
    </row>
    <row r="285" spans="1:4" x14ac:dyDescent="0.75">
      <c r="A285" s="32">
        <v>283</v>
      </c>
      <c r="B285" s="32">
        <f t="shared" si="8"/>
        <v>94</v>
      </c>
      <c r="C285" s="32">
        <f t="shared" si="9"/>
        <v>1</v>
      </c>
      <c r="D285" s="31" t="e" cm="1">
        <f t="array" ref="D285">INDEX('BaseMap-1'!$H$8:$J$94,1+B285,C285)</f>
        <v>#REF!</v>
      </c>
    </row>
    <row r="286" spans="1:4" x14ac:dyDescent="0.75">
      <c r="A286" s="32">
        <v>284</v>
      </c>
      <c r="B286" s="32">
        <f t="shared" si="8"/>
        <v>94</v>
      </c>
      <c r="C286" s="32">
        <f t="shared" si="9"/>
        <v>2</v>
      </c>
      <c r="D286" s="31" t="e" cm="1">
        <f t="array" ref="D286">INDEX('BaseMap-1'!$H$8:$J$94,1+B286,C286)</f>
        <v>#REF!</v>
      </c>
    </row>
    <row r="287" spans="1:4" x14ac:dyDescent="0.75">
      <c r="A287" s="32">
        <v>285</v>
      </c>
      <c r="B287" s="32">
        <f t="shared" si="8"/>
        <v>94</v>
      </c>
      <c r="C287" s="32">
        <f t="shared" si="9"/>
        <v>3</v>
      </c>
      <c r="D287" s="31" t="e" cm="1">
        <f t="array" ref="D287">INDEX('BaseMap-1'!$H$8:$J$94,1+B287,C287)</f>
        <v>#REF!</v>
      </c>
    </row>
    <row r="288" spans="1:4" x14ac:dyDescent="0.75">
      <c r="A288" s="32">
        <v>286</v>
      </c>
      <c r="B288" s="32">
        <f t="shared" si="8"/>
        <v>95</v>
      </c>
      <c r="C288" s="32">
        <f t="shared" si="9"/>
        <v>1</v>
      </c>
      <c r="D288" s="31" t="e" cm="1">
        <f t="array" ref="D288">INDEX('BaseMap-1'!$H$8:$J$94,1+B288,C288)</f>
        <v>#REF!</v>
      </c>
    </row>
    <row r="289" spans="1:4" x14ac:dyDescent="0.75">
      <c r="A289" s="32">
        <v>287</v>
      </c>
      <c r="B289" s="32">
        <f t="shared" si="8"/>
        <v>95</v>
      </c>
      <c r="C289" s="32">
        <f t="shared" si="9"/>
        <v>2</v>
      </c>
      <c r="D289" s="31" t="e" cm="1">
        <f t="array" ref="D289">INDEX('BaseMap-1'!$H$8:$J$94,1+B289,C289)</f>
        <v>#REF!</v>
      </c>
    </row>
    <row r="290" spans="1:4" x14ac:dyDescent="0.75">
      <c r="A290" s="32">
        <v>288</v>
      </c>
      <c r="B290" s="32">
        <f t="shared" si="8"/>
        <v>95</v>
      </c>
      <c r="C290" s="32">
        <f t="shared" si="9"/>
        <v>3</v>
      </c>
      <c r="D290" s="31" t="e" cm="1">
        <f t="array" ref="D290">INDEX('BaseMap-1'!$H$8:$J$94,1+B290,C290)</f>
        <v>#REF!</v>
      </c>
    </row>
    <row r="291" spans="1:4" x14ac:dyDescent="0.75">
      <c r="A291" s="32">
        <v>289</v>
      </c>
      <c r="B291" s="32">
        <f t="shared" si="8"/>
        <v>96</v>
      </c>
      <c r="C291" s="32">
        <f t="shared" si="9"/>
        <v>1</v>
      </c>
      <c r="D291" s="31" t="e" cm="1">
        <f t="array" ref="D291">INDEX('BaseMap-1'!$H$8:$J$94,1+B291,C291)</f>
        <v>#REF!</v>
      </c>
    </row>
    <row r="292" spans="1:4" x14ac:dyDescent="0.75">
      <c r="A292" s="32">
        <v>290</v>
      </c>
      <c r="B292" s="32">
        <f t="shared" si="8"/>
        <v>96</v>
      </c>
      <c r="C292" s="32">
        <f t="shared" si="9"/>
        <v>2</v>
      </c>
      <c r="D292" s="31" t="e" cm="1">
        <f t="array" ref="D292">INDEX('BaseMap-1'!$H$8:$J$94,1+B292,C292)</f>
        <v>#REF!</v>
      </c>
    </row>
    <row r="293" spans="1:4" x14ac:dyDescent="0.75">
      <c r="A293" s="32">
        <v>291</v>
      </c>
      <c r="B293" s="32">
        <f t="shared" si="8"/>
        <v>96</v>
      </c>
      <c r="C293" s="32">
        <f t="shared" si="9"/>
        <v>3</v>
      </c>
      <c r="D293" s="31" t="e" cm="1">
        <f t="array" ref="D293">INDEX('BaseMap-1'!$H$8:$J$94,1+B293,C293)</f>
        <v>#REF!</v>
      </c>
    </row>
    <row r="294" spans="1:4" x14ac:dyDescent="0.75">
      <c r="A294" s="32">
        <v>292</v>
      </c>
      <c r="B294" s="32">
        <f t="shared" si="8"/>
        <v>97</v>
      </c>
      <c r="C294" s="32">
        <f t="shared" si="9"/>
        <v>1</v>
      </c>
      <c r="D294" s="31" t="e" cm="1">
        <f t="array" ref="D294">INDEX('BaseMap-1'!$H$8:$J$94,1+B294,C294)</f>
        <v>#REF!</v>
      </c>
    </row>
    <row r="295" spans="1:4" x14ac:dyDescent="0.75">
      <c r="A295" s="32">
        <v>293</v>
      </c>
      <c r="B295" s="32">
        <f t="shared" si="8"/>
        <v>97</v>
      </c>
      <c r="C295" s="32">
        <f t="shared" si="9"/>
        <v>2</v>
      </c>
      <c r="D295" s="31" t="e" cm="1">
        <f t="array" ref="D295">INDEX('BaseMap-1'!$H$8:$J$94,1+B295,C295)</f>
        <v>#REF!</v>
      </c>
    </row>
    <row r="296" spans="1:4" x14ac:dyDescent="0.75">
      <c r="A296" s="32">
        <v>294</v>
      </c>
      <c r="B296" s="32">
        <f t="shared" si="8"/>
        <v>97</v>
      </c>
      <c r="C296" s="32">
        <f t="shared" si="9"/>
        <v>3</v>
      </c>
      <c r="D296" s="31" t="e" cm="1">
        <f t="array" ref="D296">INDEX('BaseMap-1'!$H$8:$J$94,1+B296,C296)</f>
        <v>#REF!</v>
      </c>
    </row>
    <row r="297" spans="1:4" x14ac:dyDescent="0.75">
      <c r="A297" s="32">
        <v>295</v>
      </c>
      <c r="B297" s="32">
        <f t="shared" si="8"/>
        <v>98</v>
      </c>
      <c r="C297" s="32">
        <f t="shared" si="9"/>
        <v>1</v>
      </c>
      <c r="D297" s="31" t="e" cm="1">
        <f t="array" ref="D297">INDEX('BaseMap-1'!$H$8:$J$94,1+B297,C297)</f>
        <v>#REF!</v>
      </c>
    </row>
    <row r="298" spans="1:4" x14ac:dyDescent="0.75">
      <c r="A298" s="32">
        <v>296</v>
      </c>
      <c r="B298" s="32">
        <f t="shared" si="8"/>
        <v>98</v>
      </c>
      <c r="C298" s="32">
        <f t="shared" si="9"/>
        <v>2</v>
      </c>
      <c r="D298" s="31" t="e" cm="1">
        <f t="array" ref="D298">INDEX('BaseMap-1'!$H$8:$J$94,1+B298,C298)</f>
        <v>#REF!</v>
      </c>
    </row>
    <row r="299" spans="1:4" x14ac:dyDescent="0.75">
      <c r="A299" s="32">
        <v>297</v>
      </c>
      <c r="B299" s="32">
        <f t="shared" si="8"/>
        <v>98</v>
      </c>
      <c r="C299" s="32">
        <f t="shared" si="9"/>
        <v>3</v>
      </c>
      <c r="D299" s="31" t="e" cm="1">
        <f t="array" ref="D299">INDEX('BaseMap-1'!$H$8:$J$94,1+B299,C299)</f>
        <v>#REF!</v>
      </c>
    </row>
    <row r="300" spans="1:4" x14ac:dyDescent="0.75">
      <c r="A300" s="32">
        <v>298</v>
      </c>
      <c r="B300" s="32">
        <f t="shared" si="8"/>
        <v>99</v>
      </c>
      <c r="C300" s="32">
        <f t="shared" si="9"/>
        <v>1</v>
      </c>
      <c r="D300" s="31" t="e" cm="1">
        <f t="array" ref="D300">INDEX('BaseMap-1'!$H$8:$J$94,1+B300,C300)</f>
        <v>#REF!</v>
      </c>
    </row>
    <row r="301" spans="1:4" x14ac:dyDescent="0.75">
      <c r="A301" s="32">
        <v>299</v>
      </c>
      <c r="B301" s="32">
        <f t="shared" si="8"/>
        <v>99</v>
      </c>
      <c r="C301" s="32">
        <f t="shared" si="9"/>
        <v>2</v>
      </c>
      <c r="D301" s="31" t="e" cm="1">
        <f t="array" ref="D301">INDEX('BaseMap-1'!$H$8:$J$94,1+B301,C301)</f>
        <v>#REF!</v>
      </c>
    </row>
    <row r="302" spans="1:4" x14ac:dyDescent="0.75">
      <c r="A302" s="32">
        <v>300</v>
      </c>
      <c r="B302" s="32">
        <f t="shared" si="8"/>
        <v>99</v>
      </c>
      <c r="C302" s="32">
        <f t="shared" si="9"/>
        <v>3</v>
      </c>
      <c r="D302" s="31" t="e" cm="1">
        <f t="array" ref="D302">INDEX('BaseMap-1'!$H$8:$J$94,1+B302,C302)</f>
        <v>#REF!</v>
      </c>
    </row>
    <row r="303" spans="1:4" x14ac:dyDescent="0.75">
      <c r="A303" s="32">
        <v>301</v>
      </c>
      <c r="B303" s="32">
        <f t="shared" si="8"/>
        <v>100</v>
      </c>
      <c r="C303" s="32">
        <f t="shared" si="9"/>
        <v>1</v>
      </c>
      <c r="D303" s="31" t="e" cm="1">
        <f t="array" ref="D303">INDEX('BaseMap-1'!$H$8:$J$94,1+B303,C303)</f>
        <v>#REF!</v>
      </c>
    </row>
    <row r="304" spans="1:4" x14ac:dyDescent="0.75">
      <c r="A304" s="32">
        <v>302</v>
      </c>
      <c r="B304" s="32">
        <f t="shared" si="8"/>
        <v>100</v>
      </c>
      <c r="C304" s="32">
        <f t="shared" si="9"/>
        <v>2</v>
      </c>
      <c r="D304" s="31" t="e" cm="1">
        <f t="array" ref="D304">INDEX('BaseMap-1'!$H$8:$J$94,1+B304,C304)</f>
        <v>#REF!</v>
      </c>
    </row>
    <row r="305" spans="1:4" x14ac:dyDescent="0.75">
      <c r="A305" s="32">
        <v>303</v>
      </c>
      <c r="B305" s="32">
        <f t="shared" si="8"/>
        <v>100</v>
      </c>
      <c r="C305" s="32">
        <f t="shared" si="9"/>
        <v>3</v>
      </c>
      <c r="D305" s="31" t="e" cm="1">
        <f t="array" ref="D305">INDEX('BaseMap-1'!$H$8:$J$94,1+B305,C305)</f>
        <v>#REF!</v>
      </c>
    </row>
    <row r="306" spans="1:4" x14ac:dyDescent="0.75">
      <c r="A306" s="32">
        <v>304</v>
      </c>
      <c r="B306" s="32">
        <f t="shared" si="8"/>
        <v>101</v>
      </c>
      <c r="C306" s="32">
        <f t="shared" si="9"/>
        <v>1</v>
      </c>
      <c r="D306" s="31" t="e" cm="1">
        <f t="array" ref="D306">INDEX('BaseMap-1'!$H$8:$J$94,1+B306,C306)</f>
        <v>#REF!</v>
      </c>
    </row>
    <row r="307" spans="1:4" x14ac:dyDescent="0.75">
      <c r="A307" s="32">
        <v>305</v>
      </c>
      <c r="B307" s="32">
        <f t="shared" si="8"/>
        <v>101</v>
      </c>
      <c r="C307" s="32">
        <f t="shared" si="9"/>
        <v>2</v>
      </c>
      <c r="D307" s="31" t="e" cm="1">
        <f t="array" ref="D307">INDEX('BaseMap-1'!$H$8:$J$94,1+B307,C307)</f>
        <v>#REF!</v>
      </c>
    </row>
    <row r="308" spans="1:4" x14ac:dyDescent="0.75">
      <c r="A308" s="32">
        <v>306</v>
      </c>
      <c r="B308" s="32">
        <f t="shared" si="8"/>
        <v>101</v>
      </c>
      <c r="C308" s="32">
        <f t="shared" si="9"/>
        <v>3</v>
      </c>
      <c r="D308" s="31" t="e" cm="1">
        <f t="array" ref="D308">INDEX('BaseMap-1'!$H$8:$J$94,1+B308,C308)</f>
        <v>#REF!</v>
      </c>
    </row>
    <row r="309" spans="1:4" x14ac:dyDescent="0.75">
      <c r="A309" s="32">
        <v>307</v>
      </c>
      <c r="B309" s="32">
        <f t="shared" si="8"/>
        <v>102</v>
      </c>
      <c r="C309" s="32">
        <f t="shared" si="9"/>
        <v>1</v>
      </c>
      <c r="D309" s="31" t="e" cm="1">
        <f t="array" ref="D309">INDEX('BaseMap-1'!$H$8:$J$94,1+B309,C309)</f>
        <v>#REF!</v>
      </c>
    </row>
    <row r="310" spans="1:4" x14ac:dyDescent="0.75">
      <c r="A310" s="32">
        <v>308</v>
      </c>
      <c r="B310" s="32">
        <f t="shared" si="8"/>
        <v>102</v>
      </c>
      <c r="C310" s="32">
        <f t="shared" si="9"/>
        <v>2</v>
      </c>
      <c r="D310" s="31" t="e" cm="1">
        <f t="array" ref="D310">INDEX('BaseMap-1'!$H$8:$J$94,1+B310,C310)</f>
        <v>#REF!</v>
      </c>
    </row>
    <row r="311" spans="1:4" x14ac:dyDescent="0.75">
      <c r="A311" s="32">
        <v>309</v>
      </c>
      <c r="B311" s="32">
        <f t="shared" si="8"/>
        <v>102</v>
      </c>
      <c r="C311" s="32">
        <f t="shared" si="9"/>
        <v>3</v>
      </c>
      <c r="D311" s="31" t="e" cm="1">
        <f t="array" ref="D311">INDEX('BaseMap-1'!$H$8:$J$94,1+B311,C311)</f>
        <v>#REF!</v>
      </c>
    </row>
    <row r="312" spans="1:4" x14ac:dyDescent="0.75">
      <c r="A312" s="32">
        <v>310</v>
      </c>
      <c r="B312" s="32">
        <f t="shared" si="8"/>
        <v>103</v>
      </c>
      <c r="C312" s="32">
        <f t="shared" si="9"/>
        <v>1</v>
      </c>
      <c r="D312" s="31" t="e" cm="1">
        <f t="array" ref="D312">INDEX('BaseMap-1'!$H$8:$J$94,1+B312,C312)</f>
        <v>#REF!</v>
      </c>
    </row>
    <row r="313" spans="1:4" x14ac:dyDescent="0.75">
      <c r="A313" s="32">
        <v>311</v>
      </c>
      <c r="B313" s="32">
        <f t="shared" si="8"/>
        <v>103</v>
      </c>
      <c r="C313" s="32">
        <f t="shared" si="9"/>
        <v>2</v>
      </c>
      <c r="D313" s="31" t="e" cm="1">
        <f t="array" ref="D313">INDEX('BaseMap-1'!$H$8:$J$94,1+B313,C313)</f>
        <v>#REF!</v>
      </c>
    </row>
    <row r="314" spans="1:4" x14ac:dyDescent="0.75">
      <c r="A314" s="32">
        <v>312</v>
      </c>
      <c r="B314" s="32">
        <f t="shared" si="8"/>
        <v>103</v>
      </c>
      <c r="C314" s="32">
        <f t="shared" si="9"/>
        <v>3</v>
      </c>
      <c r="D314" s="31" t="e" cm="1">
        <f t="array" ref="D314">INDEX('BaseMap-1'!$H$8:$J$94,1+B314,C314)</f>
        <v>#REF!</v>
      </c>
    </row>
    <row r="315" spans="1:4" x14ac:dyDescent="0.75">
      <c r="A315" s="32">
        <v>313</v>
      </c>
      <c r="B315" s="32">
        <f t="shared" si="8"/>
        <v>104</v>
      </c>
      <c r="C315" s="32">
        <f t="shared" si="9"/>
        <v>1</v>
      </c>
      <c r="D315" s="31" t="e" cm="1">
        <f t="array" ref="D315">INDEX('BaseMap-1'!$H$8:$J$94,1+B315,C315)</f>
        <v>#REF!</v>
      </c>
    </row>
    <row r="316" spans="1:4" x14ac:dyDescent="0.75">
      <c r="A316" s="32">
        <v>314</v>
      </c>
      <c r="B316" s="32">
        <f t="shared" si="8"/>
        <v>104</v>
      </c>
      <c r="C316" s="32">
        <f t="shared" si="9"/>
        <v>2</v>
      </c>
      <c r="D316" s="31" t="e" cm="1">
        <f t="array" ref="D316">INDEX('BaseMap-1'!$H$8:$J$94,1+B316,C316)</f>
        <v>#REF!</v>
      </c>
    </row>
    <row r="317" spans="1:4" x14ac:dyDescent="0.75">
      <c r="A317" s="32">
        <v>315</v>
      </c>
      <c r="B317" s="32">
        <f t="shared" si="8"/>
        <v>104</v>
      </c>
      <c r="C317" s="32">
        <f t="shared" si="9"/>
        <v>3</v>
      </c>
      <c r="D317" s="31" t="e" cm="1">
        <f t="array" ref="D317">INDEX('BaseMap-1'!$H$8:$J$94,1+B317,C317)</f>
        <v>#REF!</v>
      </c>
    </row>
    <row r="318" spans="1:4" x14ac:dyDescent="0.75">
      <c r="A318" s="32">
        <v>316</v>
      </c>
      <c r="B318" s="32">
        <f t="shared" si="8"/>
        <v>105</v>
      </c>
      <c r="C318" s="32">
        <f t="shared" si="9"/>
        <v>1</v>
      </c>
      <c r="D318" s="31" t="e" cm="1">
        <f t="array" ref="D318">INDEX('BaseMap-1'!$H$8:$J$94,1+B318,C318)</f>
        <v>#REF!</v>
      </c>
    </row>
    <row r="319" spans="1:4" x14ac:dyDescent="0.75">
      <c r="A319" s="32">
        <v>317</v>
      </c>
      <c r="B319" s="32">
        <f t="shared" si="8"/>
        <v>105</v>
      </c>
      <c r="C319" s="32">
        <f t="shared" si="9"/>
        <v>2</v>
      </c>
      <c r="D319" s="31" t="e" cm="1">
        <f t="array" ref="D319">INDEX('BaseMap-1'!$H$8:$J$94,1+B319,C319)</f>
        <v>#REF!</v>
      </c>
    </row>
    <row r="320" spans="1:4" x14ac:dyDescent="0.75">
      <c r="A320" s="32">
        <v>318</v>
      </c>
      <c r="B320" s="32">
        <f t="shared" si="8"/>
        <v>105</v>
      </c>
      <c r="C320" s="32">
        <f t="shared" si="9"/>
        <v>3</v>
      </c>
      <c r="D320" s="31" t="e" cm="1">
        <f t="array" ref="D320">INDEX('BaseMap-1'!$H$8:$J$94,1+B320,C320)</f>
        <v>#REF!</v>
      </c>
    </row>
    <row r="321" spans="1:4" x14ac:dyDescent="0.75">
      <c r="A321" s="32">
        <v>319</v>
      </c>
      <c r="B321" s="32">
        <f t="shared" si="8"/>
        <v>106</v>
      </c>
      <c r="C321" s="32">
        <f t="shared" si="9"/>
        <v>1</v>
      </c>
      <c r="D321" s="31" t="e" cm="1">
        <f t="array" ref="D321">INDEX('BaseMap-1'!$H$8:$J$94,1+B321,C321)</f>
        <v>#REF!</v>
      </c>
    </row>
    <row r="322" spans="1:4" x14ac:dyDescent="0.75">
      <c r="A322" s="32">
        <v>320</v>
      </c>
      <c r="B322" s="32">
        <f t="shared" si="8"/>
        <v>106</v>
      </c>
      <c r="C322" s="32">
        <f t="shared" si="9"/>
        <v>2</v>
      </c>
      <c r="D322" s="31" t="e" cm="1">
        <f t="array" ref="D322">INDEX('BaseMap-1'!$H$8:$J$94,1+B322,C322)</f>
        <v>#REF!</v>
      </c>
    </row>
    <row r="323" spans="1:4" x14ac:dyDescent="0.75">
      <c r="A323" s="32">
        <v>321</v>
      </c>
      <c r="B323" s="32">
        <f t="shared" si="8"/>
        <v>106</v>
      </c>
      <c r="C323" s="32">
        <f t="shared" si="9"/>
        <v>3</v>
      </c>
      <c r="D323" s="31" t="e" cm="1">
        <f t="array" ref="D323">INDEX('BaseMap-1'!$H$8:$J$94,1+B323,C323)</f>
        <v>#REF!</v>
      </c>
    </row>
    <row r="324" spans="1:4" x14ac:dyDescent="0.75">
      <c r="A324" s="32">
        <v>322</v>
      </c>
      <c r="B324" s="32">
        <f t="shared" ref="B324:B387" si="10">IF(MOD(A324,3)=0,A324/3-1,INT(A324/3))</f>
        <v>107</v>
      </c>
      <c r="C324" s="32">
        <f t="shared" ref="C324:C387" si="11">IF(MOD(A324,3)=0,3,MOD(A324,3))</f>
        <v>1</v>
      </c>
      <c r="D324" s="31" t="e" cm="1">
        <f t="array" ref="D324">INDEX('BaseMap-1'!$H$8:$J$94,1+B324,C324)</f>
        <v>#REF!</v>
      </c>
    </row>
    <row r="325" spans="1:4" x14ac:dyDescent="0.75">
      <c r="A325" s="32">
        <v>323</v>
      </c>
      <c r="B325" s="32">
        <f t="shared" si="10"/>
        <v>107</v>
      </c>
      <c r="C325" s="32">
        <f t="shared" si="11"/>
        <v>2</v>
      </c>
      <c r="D325" s="31" t="e" cm="1">
        <f t="array" ref="D325">INDEX('BaseMap-1'!$H$8:$J$94,1+B325,C325)</f>
        <v>#REF!</v>
      </c>
    </row>
    <row r="326" spans="1:4" x14ac:dyDescent="0.75">
      <c r="A326" s="32">
        <v>324</v>
      </c>
      <c r="B326" s="32">
        <f t="shared" si="10"/>
        <v>107</v>
      </c>
      <c r="C326" s="32">
        <f t="shared" si="11"/>
        <v>3</v>
      </c>
      <c r="D326" s="31" t="e" cm="1">
        <f t="array" ref="D326">INDEX('BaseMap-1'!$H$8:$J$94,1+B326,C326)</f>
        <v>#REF!</v>
      </c>
    </row>
    <row r="327" spans="1:4" x14ac:dyDescent="0.75">
      <c r="A327" s="32">
        <v>325</v>
      </c>
      <c r="B327" s="32">
        <f t="shared" si="10"/>
        <v>108</v>
      </c>
      <c r="C327" s="32">
        <f t="shared" si="11"/>
        <v>1</v>
      </c>
      <c r="D327" s="31" t="e" cm="1">
        <f t="array" ref="D327">INDEX('BaseMap-1'!$H$8:$J$94,1+B327,C327)</f>
        <v>#REF!</v>
      </c>
    </row>
    <row r="328" spans="1:4" x14ac:dyDescent="0.75">
      <c r="A328" s="32">
        <v>326</v>
      </c>
      <c r="B328" s="32">
        <f t="shared" si="10"/>
        <v>108</v>
      </c>
      <c r="C328" s="32">
        <f t="shared" si="11"/>
        <v>2</v>
      </c>
      <c r="D328" s="31" t="e" cm="1">
        <f t="array" ref="D328">INDEX('BaseMap-1'!$H$8:$J$94,1+B328,C328)</f>
        <v>#REF!</v>
      </c>
    </row>
    <row r="329" spans="1:4" x14ac:dyDescent="0.75">
      <c r="A329" s="32">
        <v>327</v>
      </c>
      <c r="B329" s="32">
        <f t="shared" si="10"/>
        <v>108</v>
      </c>
      <c r="C329" s="32">
        <f t="shared" si="11"/>
        <v>3</v>
      </c>
      <c r="D329" s="31" t="e" cm="1">
        <f t="array" ref="D329">INDEX('BaseMap-1'!$H$8:$J$94,1+B329,C329)</f>
        <v>#REF!</v>
      </c>
    </row>
    <row r="330" spans="1:4" x14ac:dyDescent="0.75">
      <c r="A330" s="32">
        <v>328</v>
      </c>
      <c r="B330" s="32">
        <f t="shared" si="10"/>
        <v>109</v>
      </c>
      <c r="C330" s="32">
        <f t="shared" si="11"/>
        <v>1</v>
      </c>
      <c r="D330" s="31" t="e" cm="1">
        <f t="array" ref="D330">INDEX('BaseMap-1'!$H$8:$J$94,1+B330,C330)</f>
        <v>#REF!</v>
      </c>
    </row>
    <row r="331" spans="1:4" x14ac:dyDescent="0.75">
      <c r="A331" s="32">
        <v>329</v>
      </c>
      <c r="B331" s="32">
        <f t="shared" si="10"/>
        <v>109</v>
      </c>
      <c r="C331" s="32">
        <f t="shared" si="11"/>
        <v>2</v>
      </c>
      <c r="D331" s="31" t="e" cm="1">
        <f t="array" ref="D331">INDEX('BaseMap-1'!$H$8:$J$94,1+B331,C331)</f>
        <v>#REF!</v>
      </c>
    </row>
    <row r="332" spans="1:4" x14ac:dyDescent="0.75">
      <c r="A332" s="32">
        <v>330</v>
      </c>
      <c r="B332" s="32">
        <f t="shared" si="10"/>
        <v>109</v>
      </c>
      <c r="C332" s="32">
        <f t="shared" si="11"/>
        <v>3</v>
      </c>
      <c r="D332" s="31" t="e" cm="1">
        <f t="array" ref="D332">INDEX('BaseMap-1'!$H$8:$J$94,1+B332,C332)</f>
        <v>#REF!</v>
      </c>
    </row>
    <row r="333" spans="1:4" x14ac:dyDescent="0.75">
      <c r="A333" s="32">
        <v>331</v>
      </c>
      <c r="B333" s="32">
        <f t="shared" si="10"/>
        <v>110</v>
      </c>
      <c r="C333" s="32">
        <f t="shared" si="11"/>
        <v>1</v>
      </c>
      <c r="D333" s="31" t="e" cm="1">
        <f t="array" ref="D333">INDEX('BaseMap-1'!$H$8:$J$94,1+B333,C333)</f>
        <v>#REF!</v>
      </c>
    </row>
    <row r="334" spans="1:4" x14ac:dyDescent="0.75">
      <c r="A334" s="32">
        <v>332</v>
      </c>
      <c r="B334" s="32">
        <f t="shared" si="10"/>
        <v>110</v>
      </c>
      <c r="C334" s="32">
        <f t="shared" si="11"/>
        <v>2</v>
      </c>
      <c r="D334" s="31" t="e" cm="1">
        <f t="array" ref="D334">INDEX('BaseMap-1'!$H$8:$J$94,1+B334,C334)</f>
        <v>#REF!</v>
      </c>
    </row>
    <row r="335" spans="1:4" x14ac:dyDescent="0.75">
      <c r="A335" s="32">
        <v>333</v>
      </c>
      <c r="B335" s="32">
        <f t="shared" si="10"/>
        <v>110</v>
      </c>
      <c r="C335" s="32">
        <f t="shared" si="11"/>
        <v>3</v>
      </c>
      <c r="D335" s="31" t="e" cm="1">
        <f t="array" ref="D335">INDEX('BaseMap-1'!$H$8:$J$94,1+B335,C335)</f>
        <v>#REF!</v>
      </c>
    </row>
    <row r="336" spans="1:4" x14ac:dyDescent="0.75">
      <c r="A336" s="32">
        <v>334</v>
      </c>
      <c r="B336" s="32">
        <f t="shared" si="10"/>
        <v>111</v>
      </c>
      <c r="C336" s="32">
        <f t="shared" si="11"/>
        <v>1</v>
      </c>
      <c r="D336" s="31" t="e" cm="1">
        <f t="array" ref="D336">INDEX('BaseMap-1'!$H$8:$J$94,1+B336,C336)</f>
        <v>#REF!</v>
      </c>
    </row>
    <row r="337" spans="1:4" x14ac:dyDescent="0.75">
      <c r="A337" s="32">
        <v>335</v>
      </c>
      <c r="B337" s="32">
        <f t="shared" si="10"/>
        <v>111</v>
      </c>
      <c r="C337" s="32">
        <f t="shared" si="11"/>
        <v>2</v>
      </c>
      <c r="D337" s="31" t="e" cm="1">
        <f t="array" ref="D337">INDEX('BaseMap-1'!$H$8:$J$94,1+B337,C337)</f>
        <v>#REF!</v>
      </c>
    </row>
    <row r="338" spans="1:4" x14ac:dyDescent="0.75">
      <c r="A338" s="32">
        <v>336</v>
      </c>
      <c r="B338" s="32">
        <f t="shared" si="10"/>
        <v>111</v>
      </c>
      <c r="C338" s="32">
        <f t="shared" si="11"/>
        <v>3</v>
      </c>
      <c r="D338" s="31" t="e" cm="1">
        <f t="array" ref="D338">INDEX('BaseMap-1'!$H$8:$J$94,1+B338,C338)</f>
        <v>#REF!</v>
      </c>
    </row>
    <row r="339" spans="1:4" x14ac:dyDescent="0.75">
      <c r="A339" s="32">
        <v>337</v>
      </c>
      <c r="B339" s="32">
        <f t="shared" si="10"/>
        <v>112</v>
      </c>
      <c r="C339" s="32">
        <f t="shared" si="11"/>
        <v>1</v>
      </c>
      <c r="D339" s="31" t="e" cm="1">
        <f t="array" ref="D339">INDEX('BaseMap-1'!$H$8:$J$94,1+B339,C339)</f>
        <v>#REF!</v>
      </c>
    </row>
    <row r="340" spans="1:4" x14ac:dyDescent="0.75">
      <c r="A340" s="32">
        <v>338</v>
      </c>
      <c r="B340" s="32">
        <f t="shared" si="10"/>
        <v>112</v>
      </c>
      <c r="C340" s="32">
        <f t="shared" si="11"/>
        <v>2</v>
      </c>
      <c r="D340" s="31" t="e" cm="1">
        <f t="array" ref="D340">INDEX('BaseMap-1'!$H$8:$J$94,1+B340,C340)</f>
        <v>#REF!</v>
      </c>
    </row>
    <row r="341" spans="1:4" x14ac:dyDescent="0.75">
      <c r="A341" s="32">
        <v>339</v>
      </c>
      <c r="B341" s="32">
        <f t="shared" si="10"/>
        <v>112</v>
      </c>
      <c r="C341" s="32">
        <f t="shared" si="11"/>
        <v>3</v>
      </c>
      <c r="D341" s="31" t="e" cm="1">
        <f t="array" ref="D341">INDEX('BaseMap-1'!$H$8:$J$94,1+B341,C341)</f>
        <v>#REF!</v>
      </c>
    </row>
    <row r="342" spans="1:4" x14ac:dyDescent="0.75">
      <c r="A342" s="32">
        <v>340</v>
      </c>
      <c r="B342" s="32">
        <f t="shared" si="10"/>
        <v>113</v>
      </c>
      <c r="C342" s="32">
        <f t="shared" si="11"/>
        <v>1</v>
      </c>
      <c r="D342" s="31" t="e" cm="1">
        <f t="array" ref="D342">INDEX('BaseMap-1'!$H$8:$J$94,1+B342,C342)</f>
        <v>#REF!</v>
      </c>
    </row>
    <row r="343" spans="1:4" x14ac:dyDescent="0.75">
      <c r="A343" s="32">
        <v>341</v>
      </c>
      <c r="B343" s="32">
        <f t="shared" si="10"/>
        <v>113</v>
      </c>
      <c r="C343" s="32">
        <f t="shared" si="11"/>
        <v>2</v>
      </c>
      <c r="D343" s="31" t="e" cm="1">
        <f t="array" ref="D343">INDEX('BaseMap-1'!$H$8:$J$94,1+B343,C343)</f>
        <v>#REF!</v>
      </c>
    </row>
    <row r="344" spans="1:4" x14ac:dyDescent="0.75">
      <c r="A344" s="32">
        <v>342</v>
      </c>
      <c r="B344" s="32">
        <f t="shared" si="10"/>
        <v>113</v>
      </c>
      <c r="C344" s="32">
        <f t="shared" si="11"/>
        <v>3</v>
      </c>
      <c r="D344" s="31" t="e" cm="1">
        <f t="array" ref="D344">INDEX('BaseMap-1'!$H$8:$J$94,1+B344,C344)</f>
        <v>#REF!</v>
      </c>
    </row>
    <row r="345" spans="1:4" x14ac:dyDescent="0.75">
      <c r="A345" s="32">
        <v>343</v>
      </c>
      <c r="B345" s="32">
        <f t="shared" si="10"/>
        <v>114</v>
      </c>
      <c r="C345" s="32">
        <f t="shared" si="11"/>
        <v>1</v>
      </c>
      <c r="D345" s="31" t="e" cm="1">
        <f t="array" ref="D345">INDEX('BaseMap-1'!$H$8:$J$94,1+B345,C345)</f>
        <v>#REF!</v>
      </c>
    </row>
    <row r="346" spans="1:4" x14ac:dyDescent="0.75">
      <c r="A346" s="32">
        <v>344</v>
      </c>
      <c r="B346" s="32">
        <f t="shared" si="10"/>
        <v>114</v>
      </c>
      <c r="C346" s="32">
        <f t="shared" si="11"/>
        <v>2</v>
      </c>
    </row>
    <row r="347" spans="1:4" x14ac:dyDescent="0.75">
      <c r="A347" s="32">
        <v>345</v>
      </c>
      <c r="B347" s="32">
        <f t="shared" si="10"/>
        <v>114</v>
      </c>
      <c r="C347" s="32">
        <f t="shared" si="11"/>
        <v>3</v>
      </c>
    </row>
    <row r="348" spans="1:4" x14ac:dyDescent="0.75">
      <c r="A348" s="32">
        <v>346</v>
      </c>
      <c r="B348" s="32">
        <f t="shared" si="10"/>
        <v>115</v>
      </c>
      <c r="C348" s="32">
        <f t="shared" si="11"/>
        <v>1</v>
      </c>
    </row>
    <row r="349" spans="1:4" x14ac:dyDescent="0.75">
      <c r="A349" s="32">
        <v>347</v>
      </c>
      <c r="B349" s="32">
        <f t="shared" si="10"/>
        <v>115</v>
      </c>
      <c r="C349" s="32">
        <f t="shared" si="11"/>
        <v>2</v>
      </c>
    </row>
    <row r="350" spans="1:4" x14ac:dyDescent="0.75">
      <c r="A350" s="32">
        <v>348</v>
      </c>
      <c r="B350" s="32">
        <f t="shared" si="10"/>
        <v>115</v>
      </c>
      <c r="C350" s="32">
        <f t="shared" si="11"/>
        <v>3</v>
      </c>
    </row>
    <row r="351" spans="1:4" x14ac:dyDescent="0.75">
      <c r="A351" s="32">
        <v>349</v>
      </c>
      <c r="B351" s="32">
        <f t="shared" si="10"/>
        <v>116</v>
      </c>
      <c r="C351" s="32">
        <f t="shared" si="11"/>
        <v>1</v>
      </c>
    </row>
    <row r="352" spans="1:4" x14ac:dyDescent="0.75">
      <c r="A352" s="32">
        <v>350</v>
      </c>
      <c r="B352" s="32">
        <f t="shared" si="10"/>
        <v>116</v>
      </c>
      <c r="C352" s="32">
        <f t="shared" si="11"/>
        <v>2</v>
      </c>
    </row>
    <row r="353" spans="1:3" x14ac:dyDescent="0.75">
      <c r="A353" s="32">
        <v>351</v>
      </c>
      <c r="B353" s="32">
        <f t="shared" si="10"/>
        <v>116</v>
      </c>
      <c r="C353" s="32">
        <f t="shared" si="11"/>
        <v>3</v>
      </c>
    </row>
    <row r="354" spans="1:3" x14ac:dyDescent="0.75">
      <c r="A354" s="32">
        <v>352</v>
      </c>
      <c r="B354" s="32">
        <f t="shared" si="10"/>
        <v>117</v>
      </c>
      <c r="C354" s="32">
        <f t="shared" si="11"/>
        <v>1</v>
      </c>
    </row>
    <row r="355" spans="1:3" x14ac:dyDescent="0.75">
      <c r="A355" s="32">
        <v>353</v>
      </c>
      <c r="B355" s="32">
        <f t="shared" si="10"/>
        <v>117</v>
      </c>
      <c r="C355" s="32">
        <f t="shared" si="11"/>
        <v>2</v>
      </c>
    </row>
    <row r="356" spans="1:3" x14ac:dyDescent="0.75">
      <c r="A356" s="32">
        <v>354</v>
      </c>
      <c r="B356" s="32">
        <f t="shared" si="10"/>
        <v>117</v>
      </c>
      <c r="C356" s="32">
        <f t="shared" si="11"/>
        <v>3</v>
      </c>
    </row>
    <row r="357" spans="1:3" x14ac:dyDescent="0.75">
      <c r="A357" s="32">
        <v>355</v>
      </c>
      <c r="B357" s="32">
        <f t="shared" si="10"/>
        <v>118</v>
      </c>
      <c r="C357" s="32">
        <f t="shared" si="11"/>
        <v>1</v>
      </c>
    </row>
    <row r="358" spans="1:3" x14ac:dyDescent="0.75">
      <c r="A358" s="32">
        <v>356</v>
      </c>
      <c r="B358" s="32">
        <f t="shared" si="10"/>
        <v>118</v>
      </c>
      <c r="C358" s="32">
        <f t="shared" si="11"/>
        <v>2</v>
      </c>
    </row>
    <row r="359" spans="1:3" x14ac:dyDescent="0.75">
      <c r="A359" s="32">
        <v>357</v>
      </c>
      <c r="B359" s="32">
        <f t="shared" si="10"/>
        <v>118</v>
      </c>
      <c r="C359" s="32">
        <f t="shared" si="11"/>
        <v>3</v>
      </c>
    </row>
    <row r="360" spans="1:3" x14ac:dyDescent="0.75">
      <c r="A360" s="32">
        <v>358</v>
      </c>
      <c r="B360" s="32">
        <f t="shared" si="10"/>
        <v>119</v>
      </c>
      <c r="C360" s="32">
        <f t="shared" si="11"/>
        <v>1</v>
      </c>
    </row>
    <row r="361" spans="1:3" x14ac:dyDescent="0.75">
      <c r="A361" s="32">
        <v>359</v>
      </c>
      <c r="B361" s="32">
        <f t="shared" si="10"/>
        <v>119</v>
      </c>
      <c r="C361" s="32">
        <f t="shared" si="11"/>
        <v>2</v>
      </c>
    </row>
    <row r="362" spans="1:3" x14ac:dyDescent="0.75">
      <c r="A362" s="32">
        <v>360</v>
      </c>
      <c r="B362" s="32">
        <f t="shared" si="10"/>
        <v>119</v>
      </c>
      <c r="C362" s="32">
        <f t="shared" si="11"/>
        <v>3</v>
      </c>
    </row>
    <row r="363" spans="1:3" x14ac:dyDescent="0.75">
      <c r="A363" s="32">
        <v>361</v>
      </c>
      <c r="B363" s="32">
        <f t="shared" si="10"/>
        <v>120</v>
      </c>
      <c r="C363" s="32">
        <f t="shared" si="11"/>
        <v>1</v>
      </c>
    </row>
    <row r="364" spans="1:3" x14ac:dyDescent="0.75">
      <c r="A364" s="32">
        <v>362</v>
      </c>
      <c r="B364" s="32">
        <f t="shared" si="10"/>
        <v>120</v>
      </c>
      <c r="C364" s="32">
        <f t="shared" si="11"/>
        <v>2</v>
      </c>
    </row>
    <row r="365" spans="1:3" x14ac:dyDescent="0.75">
      <c r="A365" s="32">
        <v>363</v>
      </c>
      <c r="B365" s="32">
        <f t="shared" si="10"/>
        <v>120</v>
      </c>
      <c r="C365" s="32">
        <f t="shared" si="11"/>
        <v>3</v>
      </c>
    </row>
    <row r="366" spans="1:3" x14ac:dyDescent="0.75">
      <c r="A366" s="32">
        <v>364</v>
      </c>
      <c r="B366" s="32">
        <f t="shared" si="10"/>
        <v>121</v>
      </c>
      <c r="C366" s="32">
        <f t="shared" si="11"/>
        <v>1</v>
      </c>
    </row>
    <row r="367" spans="1:3" x14ac:dyDescent="0.75">
      <c r="A367" s="32">
        <v>365</v>
      </c>
      <c r="B367" s="32">
        <f t="shared" si="10"/>
        <v>121</v>
      </c>
      <c r="C367" s="32">
        <f t="shared" si="11"/>
        <v>2</v>
      </c>
    </row>
    <row r="368" spans="1:3" x14ac:dyDescent="0.75">
      <c r="A368" s="32">
        <v>366</v>
      </c>
      <c r="B368" s="32">
        <f t="shared" si="10"/>
        <v>121</v>
      </c>
      <c r="C368" s="32">
        <f t="shared" si="11"/>
        <v>3</v>
      </c>
    </row>
    <row r="369" spans="1:3" x14ac:dyDescent="0.75">
      <c r="A369" s="32">
        <v>367</v>
      </c>
      <c r="B369" s="32">
        <f t="shared" si="10"/>
        <v>122</v>
      </c>
      <c r="C369" s="32">
        <f t="shared" si="11"/>
        <v>1</v>
      </c>
    </row>
    <row r="370" spans="1:3" x14ac:dyDescent="0.75">
      <c r="A370" s="32">
        <v>368</v>
      </c>
      <c r="B370" s="32">
        <f t="shared" si="10"/>
        <v>122</v>
      </c>
      <c r="C370" s="32">
        <f t="shared" si="11"/>
        <v>2</v>
      </c>
    </row>
    <row r="371" spans="1:3" x14ac:dyDescent="0.75">
      <c r="A371" s="32">
        <v>369</v>
      </c>
      <c r="B371" s="32">
        <f t="shared" si="10"/>
        <v>122</v>
      </c>
      <c r="C371" s="32">
        <f t="shared" si="11"/>
        <v>3</v>
      </c>
    </row>
    <row r="372" spans="1:3" x14ac:dyDescent="0.75">
      <c r="A372" s="32">
        <v>370</v>
      </c>
      <c r="B372" s="32">
        <f t="shared" si="10"/>
        <v>123</v>
      </c>
      <c r="C372" s="32">
        <f t="shared" si="11"/>
        <v>1</v>
      </c>
    </row>
    <row r="373" spans="1:3" x14ac:dyDescent="0.75">
      <c r="A373" s="32">
        <v>371</v>
      </c>
      <c r="B373" s="32">
        <f t="shared" si="10"/>
        <v>123</v>
      </c>
      <c r="C373" s="32">
        <f t="shared" si="11"/>
        <v>2</v>
      </c>
    </row>
    <row r="374" spans="1:3" x14ac:dyDescent="0.75">
      <c r="A374" s="32">
        <v>372</v>
      </c>
      <c r="B374" s="32">
        <f t="shared" si="10"/>
        <v>123</v>
      </c>
      <c r="C374" s="32">
        <f t="shared" si="11"/>
        <v>3</v>
      </c>
    </row>
    <row r="375" spans="1:3" x14ac:dyDescent="0.75">
      <c r="A375" s="32">
        <v>373</v>
      </c>
      <c r="B375" s="32">
        <f t="shared" si="10"/>
        <v>124</v>
      </c>
      <c r="C375" s="32">
        <f t="shared" si="11"/>
        <v>1</v>
      </c>
    </row>
    <row r="376" spans="1:3" x14ac:dyDescent="0.75">
      <c r="A376" s="32">
        <v>374</v>
      </c>
      <c r="B376" s="32">
        <f t="shared" si="10"/>
        <v>124</v>
      </c>
      <c r="C376" s="32">
        <f t="shared" si="11"/>
        <v>2</v>
      </c>
    </row>
    <row r="377" spans="1:3" x14ac:dyDescent="0.75">
      <c r="A377" s="32">
        <v>375</v>
      </c>
      <c r="B377" s="32">
        <f t="shared" si="10"/>
        <v>124</v>
      </c>
      <c r="C377" s="32">
        <f t="shared" si="11"/>
        <v>3</v>
      </c>
    </row>
    <row r="378" spans="1:3" x14ac:dyDescent="0.75">
      <c r="A378" s="32">
        <v>376</v>
      </c>
      <c r="B378" s="32">
        <f t="shared" si="10"/>
        <v>125</v>
      </c>
      <c r="C378" s="32">
        <f t="shared" si="11"/>
        <v>1</v>
      </c>
    </row>
    <row r="379" spans="1:3" x14ac:dyDescent="0.75">
      <c r="A379" s="32">
        <v>377</v>
      </c>
      <c r="B379" s="32">
        <f t="shared" si="10"/>
        <v>125</v>
      </c>
      <c r="C379" s="32">
        <f t="shared" si="11"/>
        <v>2</v>
      </c>
    </row>
    <row r="380" spans="1:3" x14ac:dyDescent="0.75">
      <c r="A380" s="32">
        <v>378</v>
      </c>
      <c r="B380" s="32">
        <f t="shared" si="10"/>
        <v>125</v>
      </c>
      <c r="C380" s="32">
        <f t="shared" si="11"/>
        <v>3</v>
      </c>
    </row>
    <row r="381" spans="1:3" x14ac:dyDescent="0.75">
      <c r="A381" s="32">
        <v>379</v>
      </c>
      <c r="B381" s="32">
        <f t="shared" si="10"/>
        <v>126</v>
      </c>
      <c r="C381" s="32">
        <f t="shared" si="11"/>
        <v>1</v>
      </c>
    </row>
    <row r="382" spans="1:3" x14ac:dyDescent="0.75">
      <c r="A382" s="32">
        <v>380</v>
      </c>
      <c r="B382" s="32">
        <f t="shared" si="10"/>
        <v>126</v>
      </c>
      <c r="C382" s="32">
        <f t="shared" si="11"/>
        <v>2</v>
      </c>
    </row>
    <row r="383" spans="1:3" x14ac:dyDescent="0.75">
      <c r="A383" s="32">
        <v>381</v>
      </c>
      <c r="B383" s="32">
        <f t="shared" si="10"/>
        <v>126</v>
      </c>
      <c r="C383" s="32">
        <f t="shared" si="11"/>
        <v>3</v>
      </c>
    </row>
    <row r="384" spans="1:3" x14ac:dyDescent="0.75">
      <c r="A384" s="32">
        <v>382</v>
      </c>
      <c r="B384" s="32">
        <f t="shared" si="10"/>
        <v>127</v>
      </c>
      <c r="C384" s="32">
        <f t="shared" si="11"/>
        <v>1</v>
      </c>
    </row>
    <row r="385" spans="1:3" x14ac:dyDescent="0.75">
      <c r="A385" s="32">
        <v>383</v>
      </c>
      <c r="B385" s="32">
        <f t="shared" si="10"/>
        <v>127</v>
      </c>
      <c r="C385" s="32">
        <f t="shared" si="11"/>
        <v>2</v>
      </c>
    </row>
    <row r="386" spans="1:3" x14ac:dyDescent="0.75">
      <c r="A386" s="32">
        <v>384</v>
      </c>
      <c r="B386" s="32">
        <f t="shared" si="10"/>
        <v>127</v>
      </c>
      <c r="C386" s="32">
        <f t="shared" si="11"/>
        <v>3</v>
      </c>
    </row>
    <row r="387" spans="1:3" x14ac:dyDescent="0.75">
      <c r="A387" s="32">
        <v>385</v>
      </c>
      <c r="B387" s="32">
        <f t="shared" si="10"/>
        <v>128</v>
      </c>
      <c r="C387" s="32">
        <f t="shared" si="11"/>
        <v>1</v>
      </c>
    </row>
    <row r="388" spans="1:3" x14ac:dyDescent="0.75">
      <c r="A388" s="32">
        <v>386</v>
      </c>
      <c r="B388" s="32">
        <f t="shared" ref="B388:B393" si="12">IF(MOD(A388,7)=0,A388/7-1,INT(A388/7))</f>
        <v>55</v>
      </c>
      <c r="C388" s="32">
        <f t="shared" ref="C388:C393" si="13">IF(MOD(A388,3)=0,3,MOD(A388,3))</f>
        <v>2</v>
      </c>
    </row>
    <row r="389" spans="1:3" x14ac:dyDescent="0.75">
      <c r="A389" s="32">
        <v>387</v>
      </c>
      <c r="B389" s="32">
        <f t="shared" si="12"/>
        <v>55</v>
      </c>
      <c r="C389" s="32">
        <f t="shared" si="13"/>
        <v>3</v>
      </c>
    </row>
    <row r="390" spans="1:3" x14ac:dyDescent="0.75">
      <c r="A390" s="32">
        <v>388</v>
      </c>
      <c r="B390" s="32">
        <f t="shared" si="12"/>
        <v>55</v>
      </c>
      <c r="C390" s="32">
        <f t="shared" si="13"/>
        <v>1</v>
      </c>
    </row>
    <row r="391" spans="1:3" x14ac:dyDescent="0.75">
      <c r="A391" s="32">
        <v>389</v>
      </c>
      <c r="B391" s="32">
        <f t="shared" si="12"/>
        <v>55</v>
      </c>
      <c r="C391" s="32">
        <f t="shared" si="13"/>
        <v>2</v>
      </c>
    </row>
    <row r="392" spans="1:3" x14ac:dyDescent="0.75">
      <c r="A392" s="32">
        <v>390</v>
      </c>
      <c r="B392" s="32">
        <f t="shared" si="12"/>
        <v>55</v>
      </c>
      <c r="C392" s="32">
        <f t="shared" si="13"/>
        <v>3</v>
      </c>
    </row>
    <row r="393" spans="1:3" x14ac:dyDescent="0.75">
      <c r="A393" s="32">
        <v>391</v>
      </c>
      <c r="B393" s="32">
        <f t="shared" si="12"/>
        <v>55</v>
      </c>
      <c r="C393" s="32">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4898-D098-4EDC-B7CE-AE18F6A23BB0}">
  <sheetPr codeName="Foglio8">
    <tabColor rgb="FFFF0000"/>
  </sheetPr>
  <dimension ref="A1:J83"/>
  <sheetViews>
    <sheetView topLeftCell="A10" zoomScale="130" zoomScaleNormal="130" workbookViewId="0">
      <selection activeCell="D12" sqref="D12"/>
    </sheetView>
  </sheetViews>
  <sheetFormatPr defaultRowHeight="14.75" x14ac:dyDescent="0.75"/>
  <cols>
    <col min="1" max="1" width="8.7265625" style="31"/>
    <col min="2" max="2" width="52" style="1" customWidth="1"/>
    <col min="3" max="3" width="44.6328125" style="1" customWidth="1"/>
    <col min="4" max="4" width="71.58984375" style="48" bestFit="1" customWidth="1"/>
    <col min="5" max="5" width="12.1796875" style="31" customWidth="1"/>
    <col min="6" max="6" width="20.7265625" style="31" customWidth="1"/>
    <col min="7" max="7" width="56.453125" style="31" customWidth="1"/>
    <col min="8" max="8" width="55.953125" style="31" customWidth="1"/>
    <col min="9" max="9" width="19.31640625" style="31" customWidth="1"/>
    <col min="10" max="16384" width="8.7265625" style="31"/>
  </cols>
  <sheetData>
    <row r="1" spans="1:9" x14ac:dyDescent="0.75">
      <c r="B1" s="149" t="s">
        <v>32</v>
      </c>
      <c r="C1" s="153" t="s">
        <v>31</v>
      </c>
      <c r="D1" s="96" t="s">
        <v>6</v>
      </c>
    </row>
    <row r="2" spans="1:9" x14ac:dyDescent="0.75">
      <c r="B2" s="150" t="s">
        <v>165</v>
      </c>
      <c r="C2" s="154" t="s">
        <v>181</v>
      </c>
      <c r="D2" s="18" t="s">
        <v>181</v>
      </c>
    </row>
    <row r="3" spans="1:9" x14ac:dyDescent="0.75">
      <c r="B3" s="151" t="s">
        <v>33</v>
      </c>
      <c r="C3" s="157" t="s">
        <v>66</v>
      </c>
      <c r="D3" s="97"/>
    </row>
    <row r="4" spans="1:9" ht="15.5" thickBot="1" x14ac:dyDescent="0.9">
      <c r="B4" s="152" t="s">
        <v>166</v>
      </c>
      <c r="C4" s="155" t="s">
        <v>181</v>
      </c>
      <c r="D4" s="98"/>
    </row>
    <row r="5" spans="1:9" x14ac:dyDescent="0.75">
      <c r="C5" s="3" t="s">
        <v>7</v>
      </c>
      <c r="D5" s="4" t="s">
        <v>8</v>
      </c>
      <c r="E5" s="12" t="s">
        <v>14</v>
      </c>
      <c r="F5" s="12" t="s">
        <v>15</v>
      </c>
      <c r="G5" s="12" t="s">
        <v>16</v>
      </c>
      <c r="H5" s="188" t="s">
        <v>1051</v>
      </c>
      <c r="I5" s="188"/>
    </row>
    <row r="6" spans="1:9" x14ac:dyDescent="0.75">
      <c r="A6" s="31">
        <v>0</v>
      </c>
      <c r="B6" s="40" t="s">
        <v>181</v>
      </c>
      <c r="C6" s="40" t="s">
        <v>181</v>
      </c>
      <c r="D6" s="18" t="s">
        <v>181</v>
      </c>
      <c r="E6" s="41">
        <v>1</v>
      </c>
      <c r="F6" s="41">
        <v>1</v>
      </c>
      <c r="G6" s="41" t="s">
        <v>18</v>
      </c>
    </row>
    <row r="7" spans="1:9" ht="162.25" x14ac:dyDescent="0.75">
      <c r="A7" s="31">
        <v>1</v>
      </c>
      <c r="B7" s="53" t="s">
        <v>104</v>
      </c>
      <c r="C7" s="173" t="s">
        <v>672</v>
      </c>
      <c r="D7" s="38" t="s">
        <v>994</v>
      </c>
      <c r="E7" s="32">
        <v>1</v>
      </c>
      <c r="F7" s="39">
        <v>1</v>
      </c>
      <c r="G7" s="32" t="s">
        <v>1</v>
      </c>
      <c r="H7" s="32"/>
      <c r="I7" s="32"/>
    </row>
    <row r="8" spans="1:9" ht="44.25" x14ac:dyDescent="0.75">
      <c r="A8" s="31">
        <v>2</v>
      </c>
      <c r="B8" s="53" t="s">
        <v>1120</v>
      </c>
      <c r="C8" s="174" t="s">
        <v>1042</v>
      </c>
      <c r="D8" s="38" t="s">
        <v>588</v>
      </c>
      <c r="E8" s="32">
        <v>1</v>
      </c>
      <c r="F8" s="32">
        <v>1</v>
      </c>
      <c r="G8" s="32" t="s">
        <v>2</v>
      </c>
      <c r="H8" s="32"/>
      <c r="I8" s="32"/>
    </row>
    <row r="9" spans="1:9" ht="73.75" x14ac:dyDescent="0.75">
      <c r="A9" s="31">
        <v>3</v>
      </c>
      <c r="B9" s="53" t="s">
        <v>1121</v>
      </c>
      <c r="C9" s="174" t="s">
        <v>1007</v>
      </c>
      <c r="D9" s="158" t="s">
        <v>1030</v>
      </c>
      <c r="E9" s="32">
        <v>0</v>
      </c>
      <c r="F9" s="39">
        <v>5</v>
      </c>
      <c r="G9" s="32" t="s">
        <v>5</v>
      </c>
      <c r="H9" s="32"/>
      <c r="I9" s="32"/>
    </row>
    <row r="10" spans="1:9" ht="191.75" x14ac:dyDescent="0.75">
      <c r="A10" s="31">
        <v>4</v>
      </c>
      <c r="B10" s="53" t="s">
        <v>1122</v>
      </c>
      <c r="C10" s="174" t="s">
        <v>1008</v>
      </c>
      <c r="D10" s="38" t="s">
        <v>1031</v>
      </c>
      <c r="E10" s="32">
        <v>1</v>
      </c>
      <c r="F10" s="32">
        <v>1</v>
      </c>
      <c r="G10" s="32" t="s">
        <v>1</v>
      </c>
      <c r="H10" s="51" t="s">
        <v>1052</v>
      </c>
      <c r="I10" s="32" t="s">
        <v>1137</v>
      </c>
    </row>
    <row r="11" spans="1:9" ht="29.5" x14ac:dyDescent="0.75">
      <c r="A11" s="31">
        <v>5</v>
      </c>
      <c r="B11" s="53" t="s">
        <v>1123</v>
      </c>
      <c r="C11" s="38" t="s">
        <v>1021</v>
      </c>
      <c r="D11" s="38" t="s">
        <v>634</v>
      </c>
      <c r="E11" s="32">
        <v>0</v>
      </c>
      <c r="F11" s="32">
        <v>1</v>
      </c>
      <c r="G11" s="32" t="s">
        <v>5</v>
      </c>
      <c r="H11" s="32"/>
      <c r="I11" s="32"/>
    </row>
    <row r="12" spans="1:9" x14ac:dyDescent="0.75">
      <c r="A12" s="31">
        <v>6</v>
      </c>
      <c r="B12" s="53" t="s">
        <v>1124</v>
      </c>
      <c r="C12" s="38" t="s">
        <v>1142</v>
      </c>
      <c r="D12" s="38" t="s">
        <v>1142</v>
      </c>
      <c r="E12" s="32">
        <v>0</v>
      </c>
      <c r="F12" s="32">
        <v>1</v>
      </c>
      <c r="G12" s="32" t="s">
        <v>1</v>
      </c>
      <c r="H12" s="32"/>
      <c r="I12" s="32"/>
    </row>
    <row r="13" spans="1:9" x14ac:dyDescent="0.75">
      <c r="A13" s="31">
        <v>7</v>
      </c>
      <c r="B13" s="53" t="s">
        <v>1125</v>
      </c>
      <c r="C13" s="38" t="s">
        <v>1043</v>
      </c>
      <c r="D13" s="38" t="s">
        <v>1002</v>
      </c>
      <c r="E13" s="32">
        <v>0</v>
      </c>
      <c r="F13" s="32">
        <v>1</v>
      </c>
      <c r="G13" s="32" t="s">
        <v>1027</v>
      </c>
      <c r="H13" s="32"/>
      <c r="I13" s="32"/>
    </row>
    <row r="14" spans="1:9" ht="29.5" x14ac:dyDescent="0.75">
      <c r="A14" s="31">
        <v>8</v>
      </c>
      <c r="B14" s="53" t="s">
        <v>1126</v>
      </c>
      <c r="C14" s="38" t="s">
        <v>635</v>
      </c>
      <c r="D14" s="38" t="s">
        <v>639</v>
      </c>
      <c r="E14" s="32">
        <v>0</v>
      </c>
      <c r="F14" s="32">
        <v>1</v>
      </c>
      <c r="G14" s="32" t="s">
        <v>1</v>
      </c>
      <c r="H14" s="32"/>
      <c r="I14" s="32"/>
    </row>
    <row r="15" spans="1:9" ht="44.25" x14ac:dyDescent="0.75">
      <c r="A15" s="31">
        <v>9</v>
      </c>
      <c r="B15" s="53" t="s">
        <v>1127</v>
      </c>
      <c r="C15" s="38" t="s">
        <v>648</v>
      </c>
      <c r="D15" s="38" t="s">
        <v>1000</v>
      </c>
      <c r="E15" s="32">
        <v>1</v>
      </c>
      <c r="F15" s="32">
        <v>1</v>
      </c>
      <c r="G15" s="32" t="s">
        <v>5</v>
      </c>
      <c r="H15" s="32"/>
      <c r="I15" s="32"/>
    </row>
    <row r="16" spans="1:9" ht="29.5" x14ac:dyDescent="0.75">
      <c r="A16" s="31">
        <v>10</v>
      </c>
      <c r="B16" s="53" t="s">
        <v>1128</v>
      </c>
      <c r="C16" s="38" t="s">
        <v>1003</v>
      </c>
      <c r="D16" s="38" t="s">
        <v>1004</v>
      </c>
      <c r="E16" s="32">
        <v>0</v>
      </c>
      <c r="F16" s="32">
        <v>1</v>
      </c>
      <c r="G16" s="32" t="s">
        <v>1</v>
      </c>
      <c r="H16" s="32"/>
      <c r="I16" s="32"/>
    </row>
    <row r="17" spans="1:10" ht="88.5" x14ac:dyDescent="0.75">
      <c r="A17" s="31">
        <v>11</v>
      </c>
      <c r="B17" s="53" t="s">
        <v>1129</v>
      </c>
      <c r="C17" s="38" t="s">
        <v>1044</v>
      </c>
      <c r="D17" s="158" t="s">
        <v>1032</v>
      </c>
      <c r="E17" s="32">
        <v>0</v>
      </c>
      <c r="F17" s="32">
        <v>1</v>
      </c>
      <c r="G17" s="32" t="s">
        <v>1</v>
      </c>
      <c r="H17" s="51" t="s">
        <v>1052</v>
      </c>
      <c r="I17" s="32" t="s">
        <v>1137</v>
      </c>
    </row>
    <row r="18" spans="1:10" x14ac:dyDescent="0.75">
      <c r="A18" s="31">
        <v>12</v>
      </c>
      <c r="B18" s="53" t="s">
        <v>1130</v>
      </c>
      <c r="C18" s="38" t="s">
        <v>1021</v>
      </c>
      <c r="D18" s="38" t="s">
        <v>1022</v>
      </c>
      <c r="E18" s="32">
        <v>1</v>
      </c>
      <c r="F18" s="32">
        <v>1</v>
      </c>
      <c r="G18" s="32" t="s">
        <v>5</v>
      </c>
      <c r="H18" s="32"/>
      <c r="I18" s="32"/>
    </row>
    <row r="19" spans="1:10" x14ac:dyDescent="0.75">
      <c r="A19" s="31">
        <v>13</v>
      </c>
      <c r="B19" s="53" t="s">
        <v>1131</v>
      </c>
      <c r="C19" s="38" t="s">
        <v>1142</v>
      </c>
      <c r="D19" s="38" t="s">
        <v>1142</v>
      </c>
      <c r="E19" s="32">
        <v>0</v>
      </c>
      <c r="F19" s="32">
        <v>1</v>
      </c>
      <c r="G19" s="32" t="s">
        <v>1</v>
      </c>
      <c r="H19" s="32"/>
      <c r="I19" s="42"/>
    </row>
    <row r="20" spans="1:10" x14ac:dyDescent="0.75">
      <c r="A20" s="31">
        <v>14</v>
      </c>
      <c r="B20" s="53" t="s">
        <v>1132</v>
      </c>
      <c r="C20" s="38" t="s">
        <v>1043</v>
      </c>
      <c r="D20" s="38" t="s">
        <v>1022</v>
      </c>
      <c r="E20" s="32">
        <v>0</v>
      </c>
      <c r="F20" s="32">
        <v>1</v>
      </c>
      <c r="G20" s="32" t="s">
        <v>1027</v>
      </c>
      <c r="H20" s="32"/>
      <c r="I20" s="32"/>
    </row>
    <row r="21" spans="1:10" ht="29.5" x14ac:dyDescent="0.75">
      <c r="A21" s="31">
        <v>15</v>
      </c>
      <c r="B21" s="53" t="s">
        <v>1133</v>
      </c>
      <c r="C21" s="38" t="s">
        <v>1034</v>
      </c>
      <c r="D21" s="38" t="s">
        <v>1020</v>
      </c>
      <c r="E21" s="32">
        <v>0</v>
      </c>
      <c r="F21" s="32">
        <v>1</v>
      </c>
      <c r="G21" s="32" t="s">
        <v>1</v>
      </c>
      <c r="H21" s="32"/>
      <c r="I21" s="32"/>
    </row>
    <row r="22" spans="1:10" ht="191.75" x14ac:dyDescent="0.75">
      <c r="A22" s="31">
        <v>16</v>
      </c>
      <c r="B22" s="53" t="s">
        <v>1134</v>
      </c>
      <c r="C22" s="38" t="s">
        <v>999</v>
      </c>
      <c r="D22" s="38" t="s">
        <v>1045</v>
      </c>
      <c r="E22" s="32">
        <v>1</v>
      </c>
      <c r="F22" s="32">
        <v>1</v>
      </c>
      <c r="G22" s="32" t="s">
        <v>1</v>
      </c>
      <c r="H22" s="32"/>
      <c r="I22" s="32"/>
    </row>
    <row r="23" spans="1:10" x14ac:dyDescent="0.75">
      <c r="A23" s="31">
        <v>17</v>
      </c>
      <c r="B23" s="72"/>
      <c r="C23" s="72"/>
      <c r="D23" s="72"/>
      <c r="E23" s="39"/>
      <c r="F23" s="39"/>
      <c r="G23" s="39"/>
      <c r="H23" s="39"/>
      <c r="I23" s="39"/>
      <c r="J23" s="62"/>
    </row>
    <row r="24" spans="1:10" x14ac:dyDescent="0.75">
      <c r="A24" s="31">
        <v>18</v>
      </c>
      <c r="B24" s="72"/>
      <c r="C24" s="72"/>
      <c r="D24" s="39"/>
      <c r="E24" s="39"/>
      <c r="F24" s="39"/>
      <c r="G24" s="39"/>
      <c r="H24" s="39"/>
      <c r="I24" s="39"/>
      <c r="J24" s="62"/>
    </row>
    <row r="25" spans="1:10" x14ac:dyDescent="0.75">
      <c r="A25" s="31">
        <v>19</v>
      </c>
      <c r="B25" s="72"/>
      <c r="C25" s="72"/>
      <c r="D25" s="72"/>
      <c r="E25" s="39"/>
      <c r="F25" s="39"/>
      <c r="G25" s="39"/>
      <c r="H25" s="39"/>
      <c r="I25" s="39"/>
      <c r="J25" s="62"/>
    </row>
    <row r="26" spans="1:10" x14ac:dyDescent="0.75">
      <c r="A26" s="31">
        <v>20</v>
      </c>
      <c r="B26" s="72"/>
      <c r="C26" s="72"/>
      <c r="D26" s="72"/>
      <c r="E26" s="39"/>
      <c r="F26" s="39"/>
      <c r="G26" s="39"/>
      <c r="H26" s="39"/>
      <c r="I26" s="39"/>
      <c r="J26" s="62"/>
    </row>
    <row r="27" spans="1:10" s="48" customFormat="1" x14ac:dyDescent="0.75">
      <c r="A27" s="31">
        <v>21</v>
      </c>
      <c r="B27" s="160"/>
      <c r="C27" s="160"/>
      <c r="D27" s="92"/>
      <c r="E27" s="92"/>
      <c r="F27" s="92"/>
      <c r="G27" s="92"/>
      <c r="H27" s="92"/>
      <c r="I27" s="92"/>
      <c r="J27" s="163"/>
    </row>
    <row r="28" spans="1:10" x14ac:dyDescent="0.75">
      <c r="A28" s="31">
        <v>22</v>
      </c>
      <c r="B28" s="160"/>
      <c r="C28" s="160"/>
      <c r="D28" s="72"/>
      <c r="E28" s="39"/>
      <c r="F28" s="39"/>
      <c r="G28" s="39"/>
      <c r="H28" s="39"/>
      <c r="I28" s="39"/>
      <c r="J28" s="62"/>
    </row>
    <row r="29" spans="1:10" x14ac:dyDescent="0.75">
      <c r="A29" s="31">
        <v>23</v>
      </c>
      <c r="B29" s="160"/>
      <c r="C29" s="72"/>
      <c r="D29" s="72"/>
      <c r="E29" s="39"/>
      <c r="F29" s="39"/>
      <c r="G29" s="39"/>
      <c r="H29" s="39"/>
      <c r="I29" s="39"/>
      <c r="J29" s="62"/>
    </row>
    <row r="30" spans="1:10" x14ac:dyDescent="0.75">
      <c r="A30" s="31">
        <v>24</v>
      </c>
      <c r="B30" s="160"/>
      <c r="C30" s="72"/>
      <c r="D30" s="161"/>
      <c r="E30" s="39"/>
      <c r="F30" s="39"/>
      <c r="G30" s="39"/>
      <c r="H30" s="39"/>
      <c r="I30" s="39"/>
      <c r="J30" s="62"/>
    </row>
    <row r="31" spans="1:10" x14ac:dyDescent="0.75">
      <c r="A31" s="31">
        <v>25</v>
      </c>
      <c r="B31" s="160"/>
      <c r="C31" s="72"/>
      <c r="D31" s="72"/>
      <c r="E31" s="39"/>
      <c r="F31" s="39"/>
      <c r="G31" s="39"/>
      <c r="H31" s="162"/>
      <c r="I31" s="39"/>
      <c r="J31" s="62"/>
    </row>
    <row r="32" spans="1:10" x14ac:dyDescent="0.75">
      <c r="A32" s="31">
        <v>26</v>
      </c>
      <c r="B32" s="160"/>
      <c r="C32" s="72"/>
      <c r="D32" s="72"/>
      <c r="E32" s="39"/>
      <c r="F32" s="39"/>
      <c r="G32" s="39"/>
      <c r="H32" s="39"/>
      <c r="I32" s="164"/>
      <c r="J32" s="62"/>
    </row>
    <row r="33" spans="1:10" x14ac:dyDescent="0.75">
      <c r="A33" s="31">
        <v>27</v>
      </c>
      <c r="B33" s="160"/>
      <c r="C33" s="72"/>
      <c r="D33" s="72"/>
      <c r="E33" s="39"/>
      <c r="F33" s="39"/>
      <c r="G33" s="39"/>
      <c r="H33" s="39"/>
      <c r="I33" s="39"/>
      <c r="J33" s="62"/>
    </row>
    <row r="34" spans="1:10" x14ac:dyDescent="0.75">
      <c r="A34" s="31">
        <v>28</v>
      </c>
      <c r="B34" s="160"/>
      <c r="C34" s="72"/>
      <c r="D34" s="72"/>
      <c r="E34" s="39"/>
      <c r="F34" s="39"/>
      <c r="G34" s="39"/>
      <c r="H34" s="39"/>
      <c r="I34" s="39"/>
      <c r="J34" s="62"/>
    </row>
    <row r="35" spans="1:10" x14ac:dyDescent="0.75">
      <c r="A35" s="31">
        <v>29</v>
      </c>
      <c r="B35" s="160"/>
      <c r="C35" s="72"/>
      <c r="D35" s="72"/>
      <c r="E35" s="39"/>
      <c r="F35" s="39"/>
      <c r="G35" s="39"/>
      <c r="H35" s="39"/>
      <c r="I35" s="39"/>
      <c r="J35" s="62"/>
    </row>
    <row r="36" spans="1:10" x14ac:dyDescent="0.75">
      <c r="A36" s="31">
        <v>30</v>
      </c>
      <c r="B36" s="160"/>
      <c r="C36" s="72"/>
      <c r="D36" s="72"/>
      <c r="E36" s="39"/>
      <c r="F36" s="39"/>
      <c r="G36" s="39"/>
      <c r="H36" s="39"/>
      <c r="I36" s="39"/>
      <c r="J36" s="62"/>
    </row>
    <row r="37" spans="1:10" x14ac:dyDescent="0.75">
      <c r="A37" s="31">
        <v>31</v>
      </c>
      <c r="B37" s="160"/>
      <c r="C37" s="72"/>
      <c r="D37" s="72"/>
      <c r="E37" s="39"/>
      <c r="F37" s="39"/>
      <c r="G37" s="39"/>
      <c r="H37" s="39"/>
      <c r="I37" s="39"/>
      <c r="J37" s="62"/>
    </row>
    <row r="38" spans="1:10" x14ac:dyDescent="0.75">
      <c r="A38" s="31">
        <v>32</v>
      </c>
      <c r="B38" s="160"/>
      <c r="C38" s="72"/>
      <c r="D38" s="161"/>
      <c r="E38" s="39"/>
      <c r="F38" s="39"/>
      <c r="G38" s="39"/>
      <c r="H38" s="162"/>
      <c r="I38" s="39"/>
      <c r="J38" s="62"/>
    </row>
    <row r="39" spans="1:10" x14ac:dyDescent="0.75">
      <c r="A39" s="31">
        <v>33</v>
      </c>
      <c r="B39" s="160"/>
      <c r="C39" s="72"/>
      <c r="D39" s="72"/>
      <c r="E39" s="39"/>
      <c r="F39" s="39"/>
      <c r="G39" s="39"/>
      <c r="H39" s="39"/>
      <c r="I39" s="39"/>
      <c r="J39" s="62"/>
    </row>
    <row r="40" spans="1:10" x14ac:dyDescent="0.75">
      <c r="A40" s="31">
        <v>34</v>
      </c>
      <c r="B40" s="160"/>
      <c r="C40" s="72"/>
      <c r="D40" s="72"/>
      <c r="E40" s="39"/>
      <c r="F40" s="39"/>
      <c r="G40" s="39"/>
      <c r="H40" s="39"/>
      <c r="I40" s="39"/>
      <c r="J40" s="62"/>
    </row>
    <row r="41" spans="1:10" x14ac:dyDescent="0.75">
      <c r="A41" s="31">
        <v>35</v>
      </c>
      <c r="B41" s="160"/>
      <c r="C41" s="72"/>
      <c r="D41" s="72"/>
      <c r="E41" s="39"/>
      <c r="F41" s="39"/>
      <c r="G41" s="39"/>
      <c r="H41" s="39"/>
      <c r="I41" s="39"/>
      <c r="J41" s="62"/>
    </row>
    <row r="42" spans="1:10" x14ac:dyDescent="0.75">
      <c r="A42" s="31">
        <v>36</v>
      </c>
      <c r="B42" s="160"/>
      <c r="C42" s="72"/>
      <c r="D42" s="72"/>
      <c r="E42" s="39"/>
      <c r="F42" s="39"/>
      <c r="G42" s="39"/>
      <c r="H42" s="39"/>
      <c r="I42" s="39"/>
      <c r="J42" s="62"/>
    </row>
    <row r="43" spans="1:10" x14ac:dyDescent="0.75">
      <c r="A43" s="31">
        <v>37</v>
      </c>
      <c r="B43" s="160"/>
      <c r="C43" s="72"/>
      <c r="D43" s="72"/>
      <c r="E43" s="39"/>
      <c r="F43" s="39"/>
      <c r="G43" s="39"/>
      <c r="H43" s="39"/>
      <c r="I43" s="39"/>
      <c r="J43" s="62"/>
    </row>
    <row r="44" spans="1:10" x14ac:dyDescent="0.75">
      <c r="A44" s="31">
        <v>38</v>
      </c>
      <c r="B44" s="72"/>
      <c r="C44" s="72"/>
      <c r="D44" s="39"/>
      <c r="E44" s="39"/>
      <c r="F44" s="39"/>
      <c r="G44" s="39"/>
      <c r="H44" s="39"/>
      <c r="I44" s="39"/>
      <c r="J44" s="62"/>
    </row>
    <row r="45" spans="1:10" x14ac:dyDescent="0.75">
      <c r="A45" s="31">
        <v>39</v>
      </c>
      <c r="B45" s="72"/>
      <c r="C45" s="72"/>
      <c r="D45" s="39"/>
      <c r="E45" s="39"/>
      <c r="F45" s="39"/>
      <c r="G45" s="39"/>
      <c r="H45" s="39"/>
      <c r="I45" s="39"/>
      <c r="J45" s="62"/>
    </row>
    <row r="46" spans="1:10" x14ac:dyDescent="0.75">
      <c r="A46" s="31">
        <v>40</v>
      </c>
      <c r="B46" s="72"/>
      <c r="C46" s="72"/>
      <c r="D46" s="39"/>
      <c r="E46" s="39"/>
      <c r="F46" s="39"/>
      <c r="G46" s="39"/>
      <c r="H46" s="39"/>
      <c r="I46" s="39"/>
      <c r="J46" s="62"/>
    </row>
    <row r="47" spans="1:10" x14ac:dyDescent="0.75">
      <c r="A47" s="31">
        <v>41</v>
      </c>
      <c r="B47" s="72"/>
      <c r="C47" s="72"/>
      <c r="D47" s="39"/>
      <c r="E47" s="39"/>
      <c r="F47" s="39"/>
      <c r="G47" s="39"/>
      <c r="H47" s="39"/>
      <c r="I47" s="39"/>
      <c r="J47" s="62"/>
    </row>
    <row r="48" spans="1:10" x14ac:dyDescent="0.75">
      <c r="A48" s="31">
        <v>42</v>
      </c>
      <c r="B48" s="72"/>
      <c r="C48" s="72"/>
      <c r="D48" s="39"/>
      <c r="E48" s="39"/>
      <c r="F48" s="39"/>
      <c r="G48" s="39"/>
      <c r="H48" s="39"/>
      <c r="I48" s="39"/>
      <c r="J48" s="62"/>
    </row>
    <row r="49" spans="1:10" x14ac:dyDescent="0.75">
      <c r="A49" s="31">
        <v>43</v>
      </c>
      <c r="B49" s="72"/>
      <c r="C49" s="72"/>
      <c r="D49" s="39"/>
      <c r="E49" s="39"/>
      <c r="F49" s="39"/>
      <c r="G49" s="39"/>
      <c r="H49" s="39"/>
      <c r="I49" s="39"/>
      <c r="J49" s="62"/>
    </row>
    <row r="50" spans="1:10" x14ac:dyDescent="0.75">
      <c r="A50" s="31">
        <v>44</v>
      </c>
      <c r="B50" s="72"/>
      <c r="C50" s="72"/>
      <c r="D50" s="39"/>
      <c r="E50" s="39"/>
      <c r="F50" s="39"/>
      <c r="G50" s="39"/>
      <c r="H50" s="39"/>
      <c r="I50" s="39"/>
      <c r="J50" s="62"/>
    </row>
    <row r="51" spans="1:10" x14ac:dyDescent="0.75">
      <c r="A51" s="31">
        <v>45</v>
      </c>
      <c r="B51" s="72"/>
      <c r="C51" s="72"/>
      <c r="D51" s="39"/>
      <c r="E51" s="39"/>
      <c r="F51" s="39"/>
      <c r="G51" s="39"/>
      <c r="H51" s="39"/>
      <c r="I51" s="39"/>
      <c r="J51" s="62"/>
    </row>
    <row r="52" spans="1:10" x14ac:dyDescent="0.75">
      <c r="A52" s="31">
        <v>46</v>
      </c>
      <c r="B52" s="72"/>
      <c r="C52" s="72"/>
      <c r="D52" s="39"/>
      <c r="E52" s="39"/>
      <c r="F52" s="39"/>
      <c r="G52" s="39"/>
      <c r="H52" s="39"/>
      <c r="I52" s="39"/>
      <c r="J52" s="62"/>
    </row>
    <row r="53" spans="1:10" x14ac:dyDescent="0.75">
      <c r="A53" s="31">
        <v>47</v>
      </c>
      <c r="B53" s="72"/>
      <c r="C53" s="72"/>
      <c r="D53" s="39"/>
      <c r="E53" s="39"/>
      <c r="F53" s="39"/>
      <c r="G53" s="39"/>
      <c r="H53" s="39"/>
      <c r="I53" s="39"/>
      <c r="J53" s="62"/>
    </row>
    <row r="54" spans="1:10" x14ac:dyDescent="0.75">
      <c r="A54" s="31">
        <v>48</v>
      </c>
      <c r="B54" s="72"/>
      <c r="C54" s="72"/>
      <c r="D54" s="39"/>
      <c r="E54" s="39"/>
      <c r="F54" s="39"/>
      <c r="G54" s="39"/>
      <c r="H54" s="39"/>
      <c r="I54" s="39"/>
      <c r="J54" s="62"/>
    </row>
    <row r="55" spans="1:10" x14ac:dyDescent="0.75">
      <c r="A55" s="31">
        <v>49</v>
      </c>
      <c r="B55" s="72"/>
      <c r="C55" s="72"/>
      <c r="D55" s="72"/>
      <c r="E55" s="39"/>
      <c r="F55" s="39"/>
      <c r="G55" s="39"/>
      <c r="H55" s="39"/>
      <c r="I55" s="39"/>
      <c r="J55" s="62"/>
    </row>
    <row r="56" spans="1:10" x14ac:dyDescent="0.75">
      <c r="A56" s="31">
        <v>50</v>
      </c>
      <c r="B56" s="72"/>
      <c r="C56" s="72"/>
      <c r="D56" s="72"/>
      <c r="E56" s="39"/>
      <c r="F56" s="39"/>
      <c r="G56" s="39"/>
      <c r="H56" s="165"/>
      <c r="I56" s="62"/>
      <c r="J56" s="62"/>
    </row>
    <row r="57" spans="1:10" ht="45.75" customHeight="1" x14ac:dyDescent="0.75">
      <c r="A57" s="31">
        <v>51</v>
      </c>
      <c r="B57" s="72"/>
      <c r="C57" s="72"/>
      <c r="D57" s="39"/>
      <c r="E57" s="39"/>
      <c r="F57" s="39"/>
      <c r="G57" s="39"/>
      <c r="H57" s="39"/>
      <c r="I57" s="62"/>
      <c r="J57" s="62"/>
    </row>
    <row r="58" spans="1:10" ht="23.5" customHeight="1" x14ac:dyDescent="0.75">
      <c r="A58" s="31">
        <v>52</v>
      </c>
      <c r="B58" s="72"/>
      <c r="C58" s="72"/>
      <c r="D58" s="72"/>
      <c r="E58" s="39"/>
      <c r="F58" s="39"/>
      <c r="G58" s="39"/>
      <c r="H58" s="50"/>
      <c r="I58" s="62"/>
      <c r="J58" s="62"/>
    </row>
    <row r="59" spans="1:10" ht="23.5" customHeight="1" x14ac:dyDescent="0.75">
      <c r="A59" s="31">
        <v>53</v>
      </c>
      <c r="B59" s="72"/>
      <c r="C59" s="72"/>
      <c r="D59" s="39"/>
      <c r="E59" s="39"/>
      <c r="F59" s="39"/>
      <c r="G59" s="39"/>
      <c r="H59" s="50"/>
      <c r="I59" s="62"/>
      <c r="J59" s="62"/>
    </row>
    <row r="60" spans="1:10" ht="23.5" customHeight="1" x14ac:dyDescent="0.75">
      <c r="A60" s="31">
        <v>54</v>
      </c>
      <c r="B60" s="72"/>
      <c r="C60" s="72"/>
      <c r="D60" s="39"/>
      <c r="E60" s="39"/>
      <c r="F60" s="39"/>
      <c r="G60" s="39"/>
      <c r="H60" s="50"/>
      <c r="I60" s="62"/>
      <c r="J60" s="62"/>
    </row>
    <row r="61" spans="1:10" ht="23.5" customHeight="1" x14ac:dyDescent="0.75">
      <c r="A61" s="31">
        <v>55</v>
      </c>
      <c r="B61" s="72"/>
      <c r="C61" s="72"/>
      <c r="D61" s="39"/>
      <c r="E61" s="39"/>
      <c r="F61" s="39"/>
      <c r="G61" s="39"/>
      <c r="H61" s="50"/>
      <c r="I61" s="62"/>
      <c r="J61" s="62"/>
    </row>
    <row r="62" spans="1:10" ht="23.5" customHeight="1" x14ac:dyDescent="0.75">
      <c r="A62" s="31">
        <v>56</v>
      </c>
      <c r="B62" s="72"/>
      <c r="C62" s="72"/>
      <c r="D62" s="39"/>
      <c r="E62" s="39"/>
      <c r="F62" s="39"/>
      <c r="G62" s="39"/>
      <c r="H62" s="50"/>
      <c r="I62" s="62"/>
      <c r="J62" s="62"/>
    </row>
    <row r="63" spans="1:10" ht="23.5" customHeight="1" x14ac:dyDescent="0.75">
      <c r="A63" s="31">
        <v>57</v>
      </c>
      <c r="B63" s="72"/>
      <c r="C63" s="72"/>
      <c r="D63" s="39"/>
      <c r="E63" s="39"/>
      <c r="F63" s="39"/>
      <c r="G63" s="39"/>
      <c r="H63" s="50"/>
      <c r="I63" s="62"/>
      <c r="J63" s="62"/>
    </row>
    <row r="64" spans="1:10" x14ac:dyDescent="0.75">
      <c r="A64" s="31">
        <v>58</v>
      </c>
      <c r="B64" s="72"/>
      <c r="C64" s="72"/>
      <c r="D64" s="39"/>
      <c r="E64" s="39"/>
      <c r="F64" s="39"/>
      <c r="G64" s="39"/>
      <c r="H64" s="62"/>
      <c r="I64" s="62"/>
      <c r="J64" s="62"/>
    </row>
    <row r="65" spans="1:10" x14ac:dyDescent="0.75">
      <c r="A65" s="31">
        <v>59</v>
      </c>
      <c r="B65" s="72"/>
      <c r="C65" s="72"/>
      <c r="D65" s="72"/>
      <c r="E65" s="39"/>
      <c r="F65" s="39"/>
      <c r="G65" s="39"/>
      <c r="H65" s="62"/>
      <c r="I65" s="62"/>
      <c r="J65" s="62"/>
    </row>
    <row r="66" spans="1:10" x14ac:dyDescent="0.75">
      <c r="B66" s="72"/>
      <c r="C66" s="72"/>
      <c r="D66" s="39"/>
      <c r="E66" s="39"/>
      <c r="F66" s="39"/>
      <c r="G66" s="164"/>
      <c r="H66" s="62"/>
      <c r="I66" s="62"/>
      <c r="J66" s="62"/>
    </row>
    <row r="67" spans="1:10" x14ac:dyDescent="0.75">
      <c r="B67" s="72"/>
      <c r="C67" s="72"/>
      <c r="D67" s="39"/>
      <c r="E67" s="39"/>
      <c r="F67" s="39"/>
      <c r="G67" s="39"/>
      <c r="H67" s="62"/>
      <c r="I67" s="62"/>
      <c r="J67" s="62"/>
    </row>
    <row r="68" spans="1:10" x14ac:dyDescent="0.75">
      <c r="B68" s="72"/>
      <c r="C68" s="72"/>
      <c r="D68" s="39"/>
      <c r="E68" s="39"/>
      <c r="F68" s="39"/>
      <c r="G68" s="39"/>
      <c r="H68" s="62"/>
      <c r="I68" s="62"/>
      <c r="J68" s="62"/>
    </row>
    <row r="69" spans="1:10" x14ac:dyDescent="0.75">
      <c r="B69" s="93"/>
      <c r="C69" s="72"/>
      <c r="D69" s="39"/>
      <c r="E69" s="39"/>
      <c r="F69" s="39"/>
      <c r="G69" s="62"/>
      <c r="H69" s="166"/>
      <c r="I69" s="166"/>
      <c r="J69" s="166"/>
    </row>
    <row r="70" spans="1:10" x14ac:dyDescent="0.75">
      <c r="B70" s="167"/>
      <c r="C70" s="67"/>
      <c r="D70" s="168"/>
      <c r="E70" s="39"/>
      <c r="F70" s="39"/>
      <c r="G70" s="162"/>
      <c r="H70" s="62"/>
      <c r="I70" s="62"/>
      <c r="J70" s="62"/>
    </row>
    <row r="71" spans="1:10" x14ac:dyDescent="0.75">
      <c r="B71" s="167"/>
      <c r="C71" s="67"/>
      <c r="D71" s="168"/>
      <c r="E71" s="39"/>
      <c r="F71" s="39"/>
      <c r="G71" s="162"/>
      <c r="H71" s="62"/>
      <c r="I71" s="62"/>
      <c r="J71" s="62"/>
    </row>
    <row r="72" spans="1:10" x14ac:dyDescent="0.75">
      <c r="B72" s="167"/>
      <c r="C72" s="169"/>
      <c r="D72" s="168"/>
      <c r="E72" s="39"/>
      <c r="F72" s="39"/>
      <c r="G72" s="39"/>
      <c r="H72" s="62"/>
      <c r="I72" s="62"/>
      <c r="J72" s="62"/>
    </row>
    <row r="73" spans="1:10" x14ac:dyDescent="0.75">
      <c r="B73" s="167"/>
      <c r="C73" s="170"/>
      <c r="D73" s="171"/>
      <c r="E73" s="39"/>
      <c r="F73" s="39"/>
      <c r="G73" s="39"/>
      <c r="H73" s="62"/>
      <c r="I73" s="62"/>
      <c r="J73" s="62"/>
    </row>
    <row r="74" spans="1:10" x14ac:dyDescent="0.75">
      <c r="B74" s="167"/>
      <c r="C74" s="67"/>
      <c r="D74" s="67"/>
      <c r="E74" s="39"/>
      <c r="F74" s="39"/>
      <c r="G74" s="39"/>
      <c r="H74" s="62"/>
      <c r="I74" s="62"/>
      <c r="J74" s="62"/>
    </row>
    <row r="75" spans="1:10" x14ac:dyDescent="0.75">
      <c r="B75" s="167"/>
      <c r="C75" s="67"/>
      <c r="D75" s="67"/>
      <c r="E75" s="39"/>
      <c r="F75" s="39"/>
      <c r="G75" s="39"/>
      <c r="H75" s="39"/>
      <c r="I75" s="62"/>
      <c r="J75" s="62"/>
    </row>
    <row r="76" spans="1:10" x14ac:dyDescent="0.75">
      <c r="B76" s="167"/>
      <c r="C76" s="67"/>
      <c r="D76" s="67"/>
      <c r="E76" s="39"/>
      <c r="F76" s="39"/>
      <c r="G76" s="39"/>
      <c r="H76" s="39"/>
      <c r="I76" s="62"/>
      <c r="J76" s="62"/>
    </row>
    <row r="77" spans="1:10" x14ac:dyDescent="0.75">
      <c r="A77" s="31">
        <v>24</v>
      </c>
      <c r="B77" s="167"/>
      <c r="C77" s="67"/>
      <c r="D77" s="67"/>
      <c r="E77" s="39"/>
      <c r="F77" s="39"/>
      <c r="G77" s="39"/>
      <c r="H77" s="62"/>
      <c r="I77" s="62"/>
      <c r="J77" s="62"/>
    </row>
    <row r="78" spans="1:10" x14ac:dyDescent="0.75">
      <c r="A78" s="31">
        <v>25</v>
      </c>
      <c r="B78" s="167"/>
      <c r="C78" s="67"/>
      <c r="D78" s="168"/>
      <c r="E78" s="39"/>
      <c r="F78" s="39"/>
      <c r="G78" s="39"/>
      <c r="H78" s="62"/>
      <c r="I78" s="62"/>
      <c r="J78" s="62"/>
    </row>
    <row r="79" spans="1:10" x14ac:dyDescent="0.75">
      <c r="A79" s="31">
        <v>26</v>
      </c>
      <c r="B79" s="167"/>
      <c r="C79" s="67"/>
      <c r="D79" s="67"/>
      <c r="E79" s="39"/>
      <c r="F79" s="39"/>
      <c r="G79" s="39"/>
      <c r="H79" s="62"/>
      <c r="I79" s="62"/>
      <c r="J79" s="62"/>
    </row>
    <row r="80" spans="1:10" x14ac:dyDescent="0.75">
      <c r="A80" s="31">
        <v>27</v>
      </c>
      <c r="B80" s="167"/>
      <c r="C80" s="93"/>
      <c r="D80" s="168"/>
      <c r="E80" s="39"/>
      <c r="F80" s="39"/>
      <c r="G80" s="39"/>
      <c r="H80" s="62"/>
      <c r="I80" s="62"/>
      <c r="J80" s="62"/>
    </row>
    <row r="81" spans="1:10" x14ac:dyDescent="0.75">
      <c r="A81" s="31">
        <v>28</v>
      </c>
      <c r="B81" s="167"/>
      <c r="C81" s="168"/>
      <c r="D81" s="168"/>
      <c r="E81" s="39"/>
      <c r="F81" s="39"/>
      <c r="G81" s="162"/>
      <c r="H81" s="62"/>
      <c r="I81" s="62"/>
      <c r="J81" s="62"/>
    </row>
    <row r="82" spans="1:10" x14ac:dyDescent="0.75">
      <c r="A82" s="31">
        <v>29</v>
      </c>
      <c r="B82" s="167"/>
      <c r="C82" s="170"/>
      <c r="D82" s="172"/>
      <c r="E82" s="39"/>
      <c r="F82" s="39"/>
      <c r="G82" s="39"/>
      <c r="H82" s="62"/>
      <c r="I82" s="62"/>
      <c r="J82" s="62"/>
    </row>
    <row r="83" spans="1:10" x14ac:dyDescent="0.75">
      <c r="B83" s="167"/>
      <c r="C83" s="170"/>
      <c r="D83" s="171"/>
      <c r="E83" s="39"/>
      <c r="F83" s="39"/>
      <c r="G83" s="39"/>
      <c r="H83" s="62"/>
      <c r="I83" s="62"/>
      <c r="J83" s="62"/>
    </row>
  </sheetData>
  <mergeCells count="1">
    <mergeCell ref="H5:I5"/>
  </mergeCells>
  <hyperlinks>
    <hyperlink ref="H10" r:id="rId1" xr:uid="{68C017B5-A21F-4A33-BAA1-3FFE89D43B51}"/>
    <hyperlink ref="H17" r:id="rId2" xr:uid="{C7B12B07-1EE4-4E55-92CF-AA1572D42575}"/>
  </hyperlinks>
  <pageMargins left="0.7" right="0.7" top="0.75" bottom="0.75" header="0.3" footer="0.3"/>
  <pageSetup paperSize="9" orientation="portrait"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342C7-1308-4FDB-871D-1D65515FD129}">
  <sheetPr codeName="Foglio9">
    <tabColor rgb="FFFF0000"/>
  </sheetPr>
  <dimension ref="B1:J93"/>
  <sheetViews>
    <sheetView topLeftCell="A13" zoomScale="85" zoomScaleNormal="85" workbookViewId="0">
      <selection activeCell="B18" sqref="B18:XFD18"/>
    </sheetView>
  </sheetViews>
  <sheetFormatPr defaultRowHeight="14.75" x14ac:dyDescent="0.75"/>
  <cols>
    <col min="1" max="1" width="8.7265625" style="31"/>
    <col min="2" max="2" width="44.26953125" style="1" customWidth="1"/>
    <col min="3" max="3" width="51.6796875" style="1" customWidth="1"/>
    <col min="4" max="4" width="45.86328125" style="1" customWidth="1"/>
    <col min="5" max="5" width="45.953125" style="1" customWidth="1"/>
    <col min="6" max="8" width="19.54296875" style="31" customWidth="1"/>
    <col min="9" max="9" width="60.76953125" style="31" customWidth="1"/>
    <col min="10" max="10" width="89.90625" style="31" customWidth="1"/>
    <col min="11" max="16384" width="8.7265625" style="31"/>
  </cols>
  <sheetData>
    <row r="1" spans="2:10" ht="44.25" x14ac:dyDescent="0.75">
      <c r="B1" s="15" t="str">
        <f>CONCATENATE("* differential.element[",'Rad-1'!A6,"].id = """,'Rad-1'!B6,"""")</f>
        <v>* differential.element[0].id = "Radiotherapy"</v>
      </c>
      <c r="C1" s="15" t="str">
        <f>CONCATENATE("* differential.element[",'Rad-1'!A6,"].path = """,'Rad-1'!$B$6,"""")</f>
        <v>* differential.element[0].path = "Radiotherapy"</v>
      </c>
      <c r="D1" s="15" t="str">
        <f>CONCATENATE("* differential.element[",'Rad-1'!A6,"].short = """,'Rad-1'!C6,"""")</f>
        <v>* differential.element[0].short = "Radiotherapy"</v>
      </c>
      <c r="E1" s="15" t="str">
        <f>CONCATENATE("* differential.element[",'Rad-1'!A6,"].definition = """,'Rad-1'!D6,"""")</f>
        <v>* differential.element[0].definition = "Radiotherapy"</v>
      </c>
      <c r="F1" s="15" t="str">
        <f>CONCATENATE("* differential.element[",'Rad-1'!A6,"].min = ",'Rad-1'!E6,"")</f>
        <v>* differential.element[0].min = 1</v>
      </c>
      <c r="G1" s="15" t="str">
        <f>CONCATENATE("* differential.element[",'Rad-1'!A6,"].max = """,'Rad-1'!F6,"""")</f>
        <v>* differential.element[0].max = "1"</v>
      </c>
      <c r="H1" s="15"/>
      <c r="I1" s="40"/>
      <c r="J1" s="40"/>
    </row>
    <row r="2" spans="2:10" ht="236" x14ac:dyDescent="0.75">
      <c r="B2" s="38" t="str">
        <f>CONCATENATE("* differential.element[",'Rad-1'!$A7,"].id = """,'Rad-1'!$B$6,".",'Rad-1'!B7,"""")</f>
        <v>* differential.element[1].id = "Radiotherapy.type"</v>
      </c>
      <c r="C2" s="38" t="str">
        <f>CONCATENATE("* differential.element[",'Rad-1'!$A7,"].path = """,'Rad-1'!$B$6,".",'Rad-1'!B7,"""")</f>
        <v>* differential.element[1].path = "Radiotherapy.type"</v>
      </c>
      <c r="D2" s="38" t="str">
        <f>CONCATENATE("* differential.element[",'Rad-1'!A7,"].short = """,'Rad-1'!C7,"""")</f>
        <v>* differential.element[1].short = "Type of radiotherapy"</v>
      </c>
      <c r="E2" s="38" t="str">
        <f>CONCATENATE("* differential.element[",'Rad-1'!A7,"].definition = """,'Rad-1'!D7,"""")</f>
        <v>* differential.element[1].definition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2" s="38" t="str">
        <f>CONCATENATE("* differential.element[",'Rad-1'!A7,"].min = ",'Rad-1'!E7,"")</f>
        <v>* differential.element[1].min = 1</v>
      </c>
      <c r="G2" s="38" t="str">
        <f>CONCATENATE("* differential.element[",'Rad-1'!A7,"].max = """,'Rad-1'!F7,"""")</f>
        <v>* differential.element[1].max = "1"</v>
      </c>
      <c r="H2" s="38" t="str">
        <f>CONCATENATE("* differential.element[",'Rad-1'!A7,"].type.code = #",'Rad-1'!G7,"")</f>
        <v>* differential.element[1].type.code = #CodeableConcept</v>
      </c>
      <c r="I2" s="38" t="str">
        <f>IF('Rad-1'!H7&gt; "", CONCATENATE("* differential.element[",'Rad-1'!A7,"].binding.valueSet = """,'Rad-1'!H7,""""),"")</f>
        <v/>
      </c>
      <c r="J2" s="38" t="str">
        <f>IF('Rad-1'!I7&gt; "", CONCATENATE("* differential.element[",'Rad-1'!A7,"].binding.strength = #",'Rad-1'!I7,""),"")</f>
        <v/>
      </c>
    </row>
    <row r="3" spans="2:10" ht="59" x14ac:dyDescent="0.75">
      <c r="B3" s="38" t="str">
        <f>CONCATENATE("* differential.element[",'Rad-1'!$A8,"].id = """,'Rad-1'!$B$6,".",'Rad-1'!B8,"""")</f>
        <v>* differential.element[2].id = "Radiotherapy.startDate"</v>
      </c>
      <c r="C3" s="38" t="str">
        <f>CONCATENATE("* differential.element[",'Rad-1'!$A8,"].path = """,'Rad-1'!$B$6,".",'Rad-1'!B8,"""")</f>
        <v>* differential.element[2].path = "Radiotherapy.startDate"</v>
      </c>
      <c r="D3" s="38" t="str">
        <f>CONCATENATE("* differential.element[",'Rad-1'!A8,"].short = """,'Rad-1'!C8,"""")</f>
        <v>* differential.element[2].short = "Start date"</v>
      </c>
      <c r="E3" s="38" t="str">
        <f>CONCATENATE("* differential.element[",'Rad-1'!A8,"].definition = """,'Rad-1'!D8,"""")</f>
        <v>* differential.element[2].definition = "Enter the date on which the first treatment (fraction) of radiotherapy was given, in a DD/MM/YYYY format. If the date is unkown or partially missed insert the year at the best of your knowledge."</v>
      </c>
      <c r="F3" s="38" t="str">
        <f>CONCATENATE("* differential.element[",'Rad-1'!A8,"].min = ",'Rad-1'!E8,"")</f>
        <v>* differential.element[2].min = 1</v>
      </c>
      <c r="G3" s="38" t="str">
        <f>CONCATENATE("* differential.element[",'Rad-1'!A8,"].max = """,'Rad-1'!F8,"""")</f>
        <v>* differential.element[2].max = "1"</v>
      </c>
      <c r="H3" s="38" t="str">
        <f>CONCATENATE("* differential.element[",'Rad-1'!A8,"].type.code = #",'Rad-1'!G8,"")</f>
        <v>* differential.element[2].type.code = #dateTime</v>
      </c>
      <c r="I3" s="38" t="str">
        <f>IF('Rad-1'!H8&gt; "", CONCATENATE("* differential.element[",'Rad-1'!A8,"].binding.valueSet = """,'Rad-1'!H8,""),"")</f>
        <v/>
      </c>
      <c r="J3" s="38" t="str">
        <f>IF('Rad-1'!I8&gt; "", CONCATENATE("* differential.element[",'Rad-1'!A8,"].binding.strength = #",'Rad-1'!I8,""),"")</f>
        <v/>
      </c>
    </row>
    <row r="4" spans="2:10" ht="132.75" x14ac:dyDescent="0.75">
      <c r="B4" s="38" t="str">
        <f>CONCATENATE("* differential.element[",'Rad-1'!$A9,"].id = """,'Rad-1'!$B$6,".",'Rad-1'!B9,"""")</f>
        <v>* differential.element[3].id = "Radiotherapy.target"</v>
      </c>
      <c r="C4" s="38" t="str">
        <f>CONCATENATE("* differential.element[",'Rad-1'!$A9,"].path = """,'Rad-1'!$B$6,".",'Rad-1'!B9,"""")</f>
        <v>* differential.element[3].path = "Radiotherapy.target"</v>
      </c>
      <c r="D4" s="38" t="str">
        <f>CONCATENATE("* differential.element[",'Rad-1'!A9,"].short = """,'Rad-1'!C9,"""")</f>
        <v>* differential.element[3].short = "Target Body Site"</v>
      </c>
      <c r="E4" s="38" t="str">
        <f>CONCATENATE("* differential.element[",'Rad-1'!A9,"].definition = """,'Rad-1'!D9,"""")</f>
        <v>* differential.element[3].definition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4" s="38" t="str">
        <f>CONCATENATE("* differential.element[",'Rad-1'!A9,"].min = ",'Rad-1'!E9,"")</f>
        <v>* differential.element[3].min = 0</v>
      </c>
      <c r="G4" s="38" t="str">
        <f>CONCATENATE("* differential.element[",'Rad-1'!A9,"].max = """,'Rad-1'!F9,"""")</f>
        <v>* differential.element[3].max = "5"</v>
      </c>
      <c r="H4" s="38" t="str">
        <f>CONCATENATE("* differential.element[",'Rad-1'!A9,"].type.code = #",'Rad-1'!G9,"")</f>
        <v>* differential.element[3].type.code = #BackboneElement</v>
      </c>
      <c r="I4" s="38" t="str">
        <f>IF('Rad-1'!H9&gt; "", CONCATENATE("* differential.element[",'Rad-1'!A9,"].binding.valueSet = """,'Rad-1'!H9,""),"")</f>
        <v/>
      </c>
      <c r="J4" s="38" t="str">
        <f>IF('Rad-1'!I9&gt; "", CONCATENATE("* differential.element[",'Rad-1'!A9,"].binding.strength = #",'Rad-1'!I9,""),"")</f>
        <v/>
      </c>
    </row>
    <row r="5" spans="2:10" ht="280.25" x14ac:dyDescent="0.75">
      <c r="B5" s="38" t="str">
        <f>CONCATENATE("* differential.element[",'Rad-1'!$A10,"].id = """,'Rad-1'!$B$6,".",'Rad-1'!B10,"""")</f>
        <v>* differential.element[4].id = "Radiotherapy.target.site"</v>
      </c>
      <c r="C5" s="38" t="str">
        <f>CONCATENATE("* differential.element[",'Rad-1'!$A10,"].path = """,'Rad-1'!$B$6,".",'Rad-1'!B10,"""")</f>
        <v>* differential.element[4].path = "Radiotherapy.target.site"</v>
      </c>
      <c r="D5" s="38" t="str">
        <f>CONCATENATE("* differential.element[",'Rad-1'!A10,"].short = """,'Rad-1'!C10,"""")</f>
        <v>* differential.element[4].short = "Body Site"</v>
      </c>
      <c r="E5" s="38" t="str">
        <f>CONCATENATE("* differential.element[",'Rad-1'!A10,"].definition = """,'Rad-1'!D10,"""")</f>
        <v>* differential.element[4].definition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5" s="38" t="str">
        <f>CONCATENATE("* differential.element[",'Rad-1'!A10,"].min = ",'Rad-1'!E10,"")</f>
        <v>* differential.element[4].min = 1</v>
      </c>
      <c r="G5" s="38" t="str">
        <f>CONCATENATE("* differential.element[",'Rad-1'!A10,"].max = """,'Rad-1'!F10,"""")</f>
        <v>* differential.element[4].max = "1"</v>
      </c>
      <c r="H5" s="38" t="str">
        <f>CONCATENATE("* differential.element[",'Rad-1'!A10,"].type.code = #",'Rad-1'!G10,"")</f>
        <v>* differential.element[4].type.code = #CodeableConcept</v>
      </c>
      <c r="I5" s="38" t="str">
        <f>IF('Rad-1'!H10&gt; "", CONCATENATE("* differential.element[",'Rad-1'!A10,"].binding.valueSet = """,'Rad-1'!H10,""),"")</f>
        <v>* differential.element[4].binding.valueSet = "http://hl7.eu/fhir/ig/pcsp/ValueSet/vs-radiotherapy-pcsp</v>
      </c>
      <c r="J5" s="38" t="str">
        <f>IF('Rad-1'!I10&gt; "", CONCATENATE("* differential.element[",'Rad-1'!A10,"].binding.strength = #",'Rad-1'!I10,""),"")</f>
        <v>* differential.element[4].binding.strength = #required</v>
      </c>
    </row>
    <row r="6" spans="2:10" ht="59" x14ac:dyDescent="0.75">
      <c r="B6" s="38" t="str">
        <f>CONCATENATE("* differential.element[",'Rad-1'!$A11,"].id = """,'Rad-1'!$B$6,".",'Rad-1'!B11,"""")</f>
        <v>* differential.element[5].id = "Radiotherapy.target.comulativeDose"</v>
      </c>
      <c r="C6" s="38" t="str">
        <f>CONCATENATE("* differential.element[",'Rad-1'!$A11,"].path = """,'Rad-1'!$B$6,".",'Rad-1'!B11,"""")</f>
        <v>* differential.element[5].path = "Radiotherapy.target.comulativeDose"</v>
      </c>
      <c r="D6" s="38" t="str">
        <f>CONCATENATE("* differential.element[",'Rad-1'!A11,"].short = """,'Rad-1'!C11,"""")</f>
        <v>* differential.element[5].short = "Comulative dose"</v>
      </c>
      <c r="E6" s="38" t="str">
        <f>CONCATENATE("* differential.element[",'Rad-1'!A11,"].definition = """,'Rad-1'!D11,"""")</f>
        <v>* differential.element[5].definition = "Specify the cumulative / total dose given to the primary radiation therapy site.
If the dose is not known, write NK."</v>
      </c>
      <c r="F6" s="38" t="str">
        <f>CONCATENATE("* differential.element[",'Rad-1'!A11,"].min = ",'Rad-1'!E11,"")</f>
        <v>* differential.element[5].min = 0</v>
      </c>
      <c r="G6" s="38" t="str">
        <f>CONCATENATE("* differential.element[",'Rad-1'!A11,"].max = """,'Rad-1'!F11,"""")</f>
        <v>* differential.element[5].max = "1"</v>
      </c>
      <c r="H6" s="38" t="str">
        <f>CONCATENATE("* differential.element[",'Rad-1'!A11,"].type.code = #",'Rad-1'!G11,"")</f>
        <v>* differential.element[5].type.code = #BackboneElement</v>
      </c>
      <c r="I6" s="38" t="str">
        <f>IF('Rad-1'!H11&gt; "", CONCATENATE("* differential.element[",'Rad-1'!A11,"].binding.valueSet = """,'Rad-1'!H11,""),"")</f>
        <v/>
      </c>
      <c r="J6" s="38" t="str">
        <f>IF('Rad-1'!I11&gt; "", CONCATENATE("* differential.element[",'Rad-1'!A11,"].binding.strength = #",'Rad-1'!I11,""),"")</f>
        <v/>
      </c>
    </row>
    <row r="7" spans="2:10" ht="59" x14ac:dyDescent="0.75">
      <c r="B7" s="38" t="str">
        <f>CONCATENATE("* differential.element[",'Rad-1'!$A12,"].id = """,'Rad-1'!$B$6,".",'Rad-1'!B12,"""")</f>
        <v>* differential.element[6].id = "Radiotherapy.target.comulativeDose.notKnown"</v>
      </c>
      <c r="C7" s="38" t="str">
        <f>CONCATENATE("* differential.element[",'Rad-1'!$A12,"].path = """,'Rad-1'!$B$6,".",'Rad-1'!B12,"""")</f>
        <v>* differential.element[6].path = "Radiotherapy.target.comulativeDose.notKnown"</v>
      </c>
      <c r="D7" s="38" t="str">
        <f>CONCATENATE("* differential.element[",'Rad-1'!A12,"].short = """,'Rad-1'!C12,"""")</f>
        <v>* differential.element[6].short = "Not known dose"</v>
      </c>
      <c r="E7" s="38" t="str">
        <f>CONCATENATE("* differential.element[",'Rad-1'!A12,"].definition = """,'Rad-1'!D12,"""")</f>
        <v>* differential.element[6].definition = "Not known dose"</v>
      </c>
      <c r="F7" s="38" t="str">
        <f>CONCATENATE("* differential.element[",'Rad-1'!A12,"].min = ",'Rad-1'!E12,"")</f>
        <v>* differential.element[6].min = 0</v>
      </c>
      <c r="G7" s="38" t="str">
        <f>CONCATENATE("* differential.element[",'Rad-1'!A12,"].max = """,'Rad-1'!F12,"""")</f>
        <v>* differential.element[6].max = "1"</v>
      </c>
      <c r="H7" s="38" t="str">
        <f>CONCATENATE("* differential.element[",'Rad-1'!A12,"].type.code = #",'Rad-1'!G12,"")</f>
        <v>* differential.element[6].type.code = #CodeableConcept</v>
      </c>
      <c r="I7" s="38" t="str">
        <f>IF('Rad-1'!H12&gt; "", CONCATENATE("* differential.element[",'Rad-1'!A12,"].binding.valueSet = """,'Rad-1'!H12,""),"")</f>
        <v/>
      </c>
      <c r="J7" s="38" t="str">
        <f>IF('Rad-1'!I12&gt; "", CONCATENATE("* differential.element[",'Rad-1'!A12,"].binding.strength = #",'Rad-1'!I12,""),"")</f>
        <v/>
      </c>
    </row>
    <row r="8" spans="2:10" ht="59" x14ac:dyDescent="0.75">
      <c r="B8" s="38" t="str">
        <f>CONCATENATE("* differential.element[",'Rad-1'!$A13,"].id = """,'Rad-1'!$B$6,".",'Rad-1'!B13,"""")</f>
        <v>* differential.element[7].id = "Radiotherapy.target.comulativeDose.dose"</v>
      </c>
      <c r="C8" s="38" t="str">
        <f>CONCATENATE("* differential.element[",'Rad-1'!$A13,"].path = """,'Rad-1'!$B$6,".",'Rad-1'!B13,"""")</f>
        <v>* differential.element[7].path = "Radiotherapy.target.comulativeDose.dose"</v>
      </c>
      <c r="D8" s="38" t="str">
        <f>CONCATENATE("* differential.element[",'Rad-1'!A13,"].short = """,'Rad-1'!C13,"""")</f>
        <v>* differential.element[7].short = "Dose"</v>
      </c>
      <c r="E8" s="38" t="str">
        <f>CONCATENATE("* differential.element[",'Rad-1'!A13,"].definition = """,'Rad-1'!D13,"""")</f>
        <v>* differential.element[7].definition = "Specify the cumulative / total dose given to the primary radiation therapy site."</v>
      </c>
      <c r="F8" s="38" t="str">
        <f>CONCATENATE("* differential.element[",'Rad-1'!A13,"].min = ",'Rad-1'!E13,"")</f>
        <v>* differential.element[7].min = 0</v>
      </c>
      <c r="G8" s="38" t="str">
        <f>CONCATENATE("* differential.element[",'Rad-1'!A13,"].max = """,'Rad-1'!F13,"""")</f>
        <v>* differential.element[7].max = "1"</v>
      </c>
      <c r="H8" s="38" t="str">
        <f>CONCATENATE("* differential.element[",'Rad-1'!A13,"].type.code = #",'Rad-1'!G13,"")</f>
        <v>* differential.element[7].type.code = #decimal</v>
      </c>
      <c r="I8" s="38" t="str">
        <f>IF('Rad-1'!H13&gt; "", CONCATENATE("* differential.element[",'Rad-1'!A13,"].binding.valueSet = """,'Rad-1'!H13,""),"")</f>
        <v/>
      </c>
      <c r="J8" s="38" t="str">
        <f>IF('Rad-1'!I13&gt; "", CONCATENATE("* differential.element[",'Rad-1'!A13,"].binding.strength = #",'Rad-1'!I13,""),"")</f>
        <v/>
      </c>
    </row>
    <row r="9" spans="2:10" ht="59" x14ac:dyDescent="0.75">
      <c r="B9" s="38" t="str">
        <f>CONCATENATE("* differential.element[",'Rad-1'!$A14,"].id = """,'Rad-1'!$B$6,".",'Rad-1'!B14,"""")</f>
        <v>* differential.element[8].id = "Radiotherapy.target.comulativeDose.unit"</v>
      </c>
      <c r="C9" s="38" t="str">
        <f>CONCATENATE("* differential.element[",'Rad-1'!$A14,"].path = """,'Rad-1'!$B$6,".",'Rad-1'!B14,"""")</f>
        <v>* differential.element[8].path = "Radiotherapy.target.comulativeDose.unit"</v>
      </c>
      <c r="D9" s="38" t="str">
        <f>CONCATENATE("* differential.element[",'Rad-1'!A14,"].short = """,'Rad-1'!C14,"""")</f>
        <v>* differential.element[8].short = "Measure unit"</v>
      </c>
      <c r="E9" s="38" t="str">
        <f>CONCATENATE("* differential.element[",'Rad-1'!A14,"].definition = """,'Rad-1'!D14,"""")</f>
        <v>* differential.element[8].definition = "External Beam Radiation Therapy (EBRT) and Brachytherapy doses are in Gy. If doses are reported in cGY, roughly two zeroes need to be deleted (e.g. 100 cGy = 1 Gy)."</v>
      </c>
      <c r="F9" s="38" t="str">
        <f>CONCATENATE("* differential.element[",'Rad-1'!A14,"].min = ",'Rad-1'!E14,"")</f>
        <v>* differential.element[8].min = 0</v>
      </c>
      <c r="G9" s="38" t="str">
        <f>CONCATENATE("* differential.element[",'Rad-1'!A14,"].max = """,'Rad-1'!F14,"""")</f>
        <v>* differential.element[8].max = "1"</v>
      </c>
      <c r="H9" s="38" t="str">
        <f>CONCATENATE("* differential.element[",'Rad-1'!A14,"].type.code = #",'Rad-1'!G14,"")</f>
        <v>* differential.element[8].type.code = #CodeableConcept</v>
      </c>
      <c r="I9" s="38" t="str">
        <f>IF('Rad-1'!H14&gt; "", CONCATENATE("* differential.element[",'Rad-1'!A14,"].binding.valueSet = """,'Rad-1'!H14,""),"")</f>
        <v/>
      </c>
      <c r="J9" s="38" t="str">
        <f>IF('Rad-1'!I14&gt; "", CONCATENATE("* differential.element[",'Rad-1'!A14,"].binding.strength = #",'Rad-1'!I14,""),"")</f>
        <v/>
      </c>
    </row>
    <row r="10" spans="2:10" ht="59" x14ac:dyDescent="0.75">
      <c r="B10" s="38" t="str">
        <f>CONCATENATE("* differential.element[",'Rad-1'!$A15,"].id = """,'Rad-1'!$B$6,".",'Rad-1'!B15,"""")</f>
        <v>* differential.element[9].id = "Radiotherapy.target.boost"</v>
      </c>
      <c r="C10" s="38" t="str">
        <f>CONCATENATE("* differential.element[",'Rad-1'!$A15,"].path = """,'Rad-1'!$B$6,".",'Rad-1'!B15,"""")</f>
        <v>* differential.element[9].path = "Radiotherapy.target.boost"</v>
      </c>
      <c r="D10" s="38" t="str">
        <f>CONCATENATE("* differential.element[",'Rad-1'!A15,"].short = """,'Rad-1'!C15,"""")</f>
        <v>* differential.element[9].short = "Boost"</v>
      </c>
      <c r="E10" s="38" t="str">
        <f>CONCATENATE("* differential.element[",'Rad-1'!A15,"].definition = """,'Rad-1'!D15,"""")</f>
        <v>* differential.element[9].definition = "A boost is an extra dose of radiotherapy directed to a smaller area inside the primary radiation field.
"</v>
      </c>
      <c r="F10" s="38" t="str">
        <f>CONCATENATE("* differential.element[",'Rad-1'!A15,"].min = ",'Rad-1'!E15,"")</f>
        <v>* differential.element[9].min = 1</v>
      </c>
      <c r="G10" s="38" t="str">
        <f>CONCATENATE("* differential.element[",'Rad-1'!A15,"].max = """,'Rad-1'!F15,"""")</f>
        <v>* differential.element[9].max = "1"</v>
      </c>
      <c r="H10" s="38" t="str">
        <f>CONCATENATE("* differential.element[",'Rad-1'!A15,"].type.code = #",'Rad-1'!G15,"")</f>
        <v>* differential.element[9].type.code = #BackboneElement</v>
      </c>
      <c r="I10" s="38" t="str">
        <f>IF('Rad-1'!H15&gt; "", CONCATENATE("* differential.element[",'Rad-1'!A15,"].binding.valueSet = """,'Rad-1'!H15,""),"")</f>
        <v/>
      </c>
      <c r="J10" s="38" t="str">
        <f>IF('Rad-1'!I15&gt; "", CONCATENATE("* differential.element[",'Rad-1'!A15,"].binding.strength = #",'Rad-1'!I15,""),"")</f>
        <v/>
      </c>
    </row>
    <row r="11" spans="2:10" ht="59" x14ac:dyDescent="0.75">
      <c r="B11" s="38" t="str">
        <f>CONCATENATE("* differential.element[",'Rad-1'!$A16,"].id = """,'Rad-1'!$B$6,".",'Rad-1'!B16,"""")</f>
        <v>* differential.element[10].id = "Radiotherapy.target.boost.given"</v>
      </c>
      <c r="C11" s="38" t="str">
        <f>CONCATENATE("* differential.element[",'Rad-1'!$A16,"].path = """,'Rad-1'!$B$6,".",'Rad-1'!B16,"""")</f>
        <v>* differential.element[10].path = "Radiotherapy.target.boost.given"</v>
      </c>
      <c r="D11" s="38" t="str">
        <f>CONCATENATE("* differential.element[",'Rad-1'!A16,"].short = """,'Rad-1'!C16,"""")</f>
        <v>* differential.element[10].short = "Boost given"</v>
      </c>
      <c r="E11" s="38" t="str">
        <f>CONCATENATE("* differential.element[",'Rad-1'!A16,"].definition = """,'Rad-1'!D16,"""")</f>
        <v>* differential.element[10].definition = "Flag indicating if a boost was given, not given or unknown
"</v>
      </c>
      <c r="F11" s="38" t="str">
        <f>CONCATENATE("* differential.element[",'Rad-1'!A16,"].min = ",'Rad-1'!E16,"")</f>
        <v>* differential.element[10].min = 0</v>
      </c>
      <c r="G11" s="38" t="str">
        <f>CONCATENATE("* differential.element[",'Rad-1'!A16,"].max = """,'Rad-1'!F16,"""")</f>
        <v>* differential.element[10].max = "1"</v>
      </c>
      <c r="H11" s="38" t="str">
        <f>CONCATENATE("* differential.element[",'Rad-1'!A16,"].type.code = #",'Rad-1'!G16,"")</f>
        <v>* differential.element[10].type.code = #CodeableConcept</v>
      </c>
      <c r="I11" s="38" t="str">
        <f>IF('Rad-1'!H16&gt; "", CONCATENATE("* differential.element[",'Rad-1'!A16,"].binding.valueSet = """,'Rad-1'!H16,""),"")</f>
        <v/>
      </c>
      <c r="J11" s="38" t="str">
        <f>IF('Rad-1'!I16&gt; "", CONCATENATE("* differential.element[",'Rad-1'!A16,"].binding.strength = #",'Rad-1'!I16,""),"")</f>
        <v/>
      </c>
    </row>
    <row r="12" spans="2:10" ht="132.75" x14ac:dyDescent="0.75">
      <c r="B12" s="38" t="str">
        <f>CONCATENATE("* differential.element[",'Rad-1'!$A17,"].id = """,'Rad-1'!$B$6,".",'Rad-1'!B17,"""")</f>
        <v>* differential.element[11].id = "Radiotherapy.target.boost.site"</v>
      </c>
      <c r="C12" s="38" t="str">
        <f>CONCATENATE("* differential.element[",'Rad-1'!$A17,"].path = """,'Rad-1'!$B$6,".",'Rad-1'!B17,"""")</f>
        <v>* differential.element[11].path = "Radiotherapy.target.boost.site"</v>
      </c>
      <c r="D12" s="38" t="str">
        <f>CONCATENATE("* differential.element[",'Rad-1'!A17,"].short = """,'Rad-1'!C17,"""")</f>
        <v>* differential.element[11].short = "Boost site"</v>
      </c>
      <c r="E12" s="38" t="str">
        <f>CONCATENATE("* differential.element[",'Rad-1'!A17,"].definition = """,'Rad-1'!D17,"""")</f>
        <v>* differential.element[11].definition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12" s="38" t="str">
        <f>CONCATENATE("* differential.element[",'Rad-1'!A17,"].min = ",'Rad-1'!E17,"")</f>
        <v>* differential.element[11].min = 0</v>
      </c>
      <c r="G12" s="38" t="str">
        <f>CONCATENATE("* differential.element[",'Rad-1'!A17,"].max = """,'Rad-1'!F17,"""")</f>
        <v>* differential.element[11].max = "1"</v>
      </c>
      <c r="H12" s="38" t="str">
        <f>CONCATENATE("* differential.element[",'Rad-1'!A17,"].type.code = #",'Rad-1'!G17,"")</f>
        <v>* differential.element[11].type.code = #CodeableConcept</v>
      </c>
      <c r="I12" s="38" t="str">
        <f>IF('Rad-1'!H17&gt; "", CONCATENATE("* differential.element[",'Rad-1'!A17,"].binding.valueSet = """,'Rad-1'!H17,""),"")</f>
        <v>* differential.element[11].binding.valueSet = "http://hl7.eu/fhir/ig/pcsp/ValueSet/vs-radiotherapy-pcsp</v>
      </c>
      <c r="J12" s="38" t="str">
        <f>IF('Rad-1'!I17&gt; "", CONCATENATE("* differential.element[",'Rad-1'!A17,"].binding.strength = #",'Rad-1'!I17,""),"")</f>
        <v>* differential.element[11].binding.strength = #required</v>
      </c>
    </row>
    <row r="13" spans="2:10" ht="59" x14ac:dyDescent="0.75">
      <c r="B13" s="38" t="str">
        <f>CONCATENATE("* differential.element[",'Rad-1'!$A18,"].id = """,'Rad-1'!$B$6,".",'Rad-1'!B18,"""")</f>
        <v>* differential.element[12].id = "Radiotherapy.target.boost.comulativeDose"</v>
      </c>
      <c r="C13" s="38" t="str">
        <f>CONCATENATE("* differential.element[",'Rad-1'!$A18,"].path = """,'Rad-1'!$B$6,".",'Rad-1'!B18,"""")</f>
        <v>* differential.element[12].path = "Radiotherapy.target.boost.comulativeDose"</v>
      </c>
      <c r="D13" s="38" t="str">
        <f>CONCATENATE("* differential.element[",'Rad-1'!A18,"].short = """,'Rad-1'!C18,"""")</f>
        <v>* differential.element[12].short = "Comulative dose"</v>
      </c>
      <c r="E13" s="38" t="str">
        <f>CONCATENATE("* differential.element[",'Rad-1'!A18,"].definition = """,'Rad-1'!D18,"""")</f>
        <v>* differential.element[12].definition = "Specify the cumulative / total dose given to the boost site."</v>
      </c>
      <c r="F13" s="38" t="str">
        <f>CONCATENATE("* differential.element[",'Rad-1'!A18,"].min = ",'Rad-1'!E18,"")</f>
        <v>* differential.element[12].min = 1</v>
      </c>
      <c r="G13" s="38" t="str">
        <f>CONCATENATE("* differential.element[",'Rad-1'!A18,"].max = """,'Rad-1'!F18,"""")</f>
        <v>* differential.element[12].max = "1"</v>
      </c>
      <c r="H13" s="38" t="str">
        <f>CONCATENATE("* differential.element[",'Rad-1'!A18,"].type.code = #",'Rad-1'!G18,"")</f>
        <v>* differential.element[12].type.code = #BackboneElement</v>
      </c>
      <c r="I13" s="38" t="str">
        <f>IF('Rad-1'!H18&gt; "", CONCATENATE("* differential.element[",'Rad-1'!A18,"].binding.valueSet = """,'Rad-1'!H18,""),"")</f>
        <v/>
      </c>
      <c r="J13" s="38" t="str">
        <f>IF('Rad-1'!I18&gt; "", CONCATENATE("* differential.element[",'Rad-1'!A18,"].binding.strength = #",'Rad-1'!I18,""),"")</f>
        <v/>
      </c>
    </row>
    <row r="14" spans="2:10" ht="59" x14ac:dyDescent="0.75">
      <c r="B14" s="38" t="str">
        <f>CONCATENATE("* differential.element[",'Rad-1'!$A19,"].id = """,'Rad-1'!$B$6,".",'Rad-1'!B19,"""")</f>
        <v>* differential.element[13].id = "Radiotherapy.target.boost.comulativeDose.notKnown"</v>
      </c>
      <c r="C14" s="38" t="str">
        <f>CONCATENATE("* differential.element[",'Rad-1'!$A19,"].path = """,'Rad-1'!$B$6,".",'Rad-1'!B19,"""")</f>
        <v>* differential.element[13].path = "Radiotherapy.target.boost.comulativeDose.notKnown"</v>
      </c>
      <c r="D14" s="38" t="str">
        <f>CONCATENATE("* differential.element[",'Rad-1'!A19,"].short = """,'Rad-1'!C19,"""")</f>
        <v>* differential.element[13].short = "Not known dose"</v>
      </c>
      <c r="E14" s="38" t="str">
        <f>CONCATENATE("* differential.element[",'Rad-1'!A19,"].definition = """,'Rad-1'!D19,"""")</f>
        <v>* differential.element[13].definition = "Not known dose"</v>
      </c>
      <c r="F14" s="38" t="str">
        <f>CONCATENATE("* differential.element[",'Rad-1'!A19,"].min = ",'Rad-1'!E19,"")</f>
        <v>* differential.element[13].min = 0</v>
      </c>
      <c r="G14" s="38" t="str">
        <f>CONCATENATE("* differential.element[",'Rad-1'!A19,"].max = """,'Rad-1'!F19,"""")</f>
        <v>* differential.element[13].max = "1"</v>
      </c>
      <c r="H14" s="38" t="str">
        <f>CONCATENATE("* differential.element[",'Rad-1'!A19,"].type.code = #",'Rad-1'!G19,"")</f>
        <v>* differential.element[13].type.code = #CodeableConcept</v>
      </c>
      <c r="I14" s="38" t="str">
        <f>IF('Rad-1'!H19&gt; "", CONCATENATE("* differential.element[",'Rad-1'!A19,"].binding.valueSet = """,'Rad-1'!H19,""),"")</f>
        <v/>
      </c>
      <c r="J14" s="38" t="str">
        <f>IF('Rad-1'!I19&gt; "", CONCATENATE("* differential.element[",'Rad-1'!A19,"].binding.strength = #",'Rad-1'!I19,""),"")</f>
        <v/>
      </c>
    </row>
    <row r="15" spans="2:10" ht="59" x14ac:dyDescent="0.75">
      <c r="B15" s="38" t="str">
        <f>CONCATENATE("* differential.element[",'Rad-1'!$A20,"].id = """,'Rad-1'!$B$6,".",'Rad-1'!B20,"""")</f>
        <v>* differential.element[14].id = "Radiotherapy.target.boost.comulativeDose.dose"</v>
      </c>
      <c r="C15" s="38" t="str">
        <f>CONCATENATE("* differential.element[",'Rad-1'!$A20,"].path = """,'Rad-1'!$B$6,".",'Rad-1'!B20,"""")</f>
        <v>* differential.element[14].path = "Radiotherapy.target.boost.comulativeDose.dose"</v>
      </c>
      <c r="D15" s="38" t="str">
        <f>CONCATENATE("* differential.element[",'Rad-1'!A20,"].short = """,'Rad-1'!C20,"""")</f>
        <v>* differential.element[14].short = "Dose"</v>
      </c>
      <c r="E15" s="38" t="str">
        <f>CONCATENATE("* differential.element[",'Rad-1'!A20,"].definition = """,'Rad-1'!D20,"""")</f>
        <v>* differential.element[14].definition = "Specify the cumulative / total dose given to the boost site."</v>
      </c>
      <c r="F15" s="38" t="str">
        <f>CONCATENATE("* differential.element[",'Rad-1'!A20,"].min = ",'Rad-1'!E20,"")</f>
        <v>* differential.element[14].min = 0</v>
      </c>
      <c r="G15" s="38" t="str">
        <f>CONCATENATE("* differential.element[",'Rad-1'!A20,"].max = """,'Rad-1'!F20,"""")</f>
        <v>* differential.element[14].max = "1"</v>
      </c>
      <c r="H15" s="38" t="str">
        <f>CONCATENATE("* differential.element[",'Rad-1'!A20,"].type.code = #",'Rad-1'!G20,"")</f>
        <v>* differential.element[14].type.code = #decimal</v>
      </c>
      <c r="I15" s="38" t="str">
        <f>IF('Rad-1'!H20&gt; "", CONCATENATE("* differential.element[",'Rad-1'!A20,"].binding.valueSet = """,'Rad-1'!H20,""),"")</f>
        <v/>
      </c>
      <c r="J15" s="38" t="str">
        <f>IF('Rad-1'!I20&gt; "", CONCATENATE("* differential.element[",'Rad-1'!A20,"].binding.strength = #",'Rad-1'!I20,""),"")</f>
        <v/>
      </c>
    </row>
    <row r="16" spans="2:10" ht="59" x14ac:dyDescent="0.75">
      <c r="B16" s="38" t="str">
        <f>CONCATENATE("* differential.element[",'Rad-1'!$A21,"].id = """,'Rad-1'!$B$6,".",'Rad-1'!B21,"""")</f>
        <v>* differential.element[15].id = "Radiotherapy.target.boost.comulativeDose.unit"</v>
      </c>
      <c r="C16" s="38" t="str">
        <f>CONCATENATE("* differential.element[",'Rad-1'!$A21,"].path = """,'Rad-1'!$B$6,".",'Rad-1'!B21,"""")</f>
        <v>* differential.element[15].path = "Radiotherapy.target.boost.comulativeDose.unit"</v>
      </c>
      <c r="D16" s="38" t="str">
        <f>CONCATENATE("* differential.element[",'Rad-1'!A21,"].short = """,'Rad-1'!C21,"""")</f>
        <v>* differential.element[15].short = "Unit (of external beam boost)"</v>
      </c>
      <c r="E16" s="38" t="str">
        <f>CONCATENATE("* differential.element[",'Rad-1'!A21,"].definition = """,'Rad-1'!D21,"""")</f>
        <v>* differential.element[15].definition = "Specify the unit of the boost in case of external beam radiotherapy.
1 = Gy"</v>
      </c>
      <c r="F16" s="38" t="str">
        <f>CONCATENATE("* differential.element[",'Rad-1'!A21,"].min = ",'Rad-1'!E21,"")</f>
        <v>* differential.element[15].min = 0</v>
      </c>
      <c r="G16" s="38" t="str">
        <f>CONCATENATE("* differential.element[",'Rad-1'!A21,"].max = """,'Rad-1'!F21,"""")</f>
        <v>* differential.element[15].max = "1"</v>
      </c>
      <c r="H16" s="38" t="str">
        <f>CONCATENATE("* differential.element[",'Rad-1'!A21,"].type.code = #",'Rad-1'!G21,"")</f>
        <v>* differential.element[15].type.code = #CodeableConcept</v>
      </c>
      <c r="I16" s="38" t="str">
        <f>IF('Rad-1'!H21&gt; "", CONCATENATE("* differential.element[",'Rad-1'!A21,"].binding.valueSet = """,'Rad-1'!H21,""),"")</f>
        <v/>
      </c>
      <c r="J16" s="38" t="str">
        <f>IF('Rad-1'!I21&gt; "", CONCATENATE("* differential.element[",'Rad-1'!A21,"].binding.strength = #",'Rad-1'!I21,""),"")</f>
        <v/>
      </c>
    </row>
    <row r="17" spans="2:10" ht="236" x14ac:dyDescent="0.75">
      <c r="B17" s="38" t="str">
        <f>CONCATENATE("* differential.element[",'Rad-1'!$A22,"].id = """,'Rad-1'!$B$6,".",'Rad-1'!B22,"""")</f>
        <v>* differential.element[16].id = "Radiotherapy.radionuclides"</v>
      </c>
      <c r="C17" s="38" t="str">
        <f>CONCATENATE("* differential.element[",'Rad-1'!$A22,"].path = """,'Rad-1'!$B$6,".",'Rad-1'!B22,"""")</f>
        <v>* differential.element[16].path = "Radiotherapy.radionuclides"</v>
      </c>
      <c r="D17" s="38" t="str">
        <f>CONCATENATE("* differential.element[",'Rad-1'!A22,"].short = """,'Rad-1'!C22,"""")</f>
        <v>* differential.element[16].short = "Radionuclides"</v>
      </c>
      <c r="E17" s="38"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Required if Metabolic/radionuclide therapy
1 =&gt; Iodine-131
2 =&gt; MIBG
3 =&gt;Yttrium 90
4 =&gt; Other
-9922 =&gt; Unknown"</v>
      </c>
      <c r="F17" s="38" t="str">
        <f>CONCATENATE("* differential.element[",'Rad-1'!A22,"].min = ",'Rad-1'!E22,"")</f>
        <v>* differential.element[16].min = 1</v>
      </c>
      <c r="G17" s="38" t="str">
        <f>CONCATENATE("* differential.element[",'Rad-1'!A22,"].max = """,'Rad-1'!F22,"""")</f>
        <v>* differential.element[16].max = "1"</v>
      </c>
      <c r="H17" s="38" t="str">
        <f>CONCATENATE("* differential.element[",'Rad-1'!A22,"].type.code = #",'Rad-1'!G22,"")</f>
        <v>* differential.element[16].type.code = #CodeableConcept</v>
      </c>
      <c r="I17" s="38" t="str">
        <f>IF('Rad-1'!H22&gt; "", CONCATENATE("* differential.element[",'Rad-1'!A22,"].binding.valueSet = """,'Rad-1'!H22,""),"")</f>
        <v/>
      </c>
      <c r="J17" s="38" t="str">
        <f>IF('Rad-1'!I22&gt; "", CONCATENATE("* differential.element[",'Rad-1'!A22,"].binding.strength = #",'Rad-1'!I22,""),"")</f>
        <v/>
      </c>
    </row>
    <row r="18" spans="2:10" x14ac:dyDescent="0.75">
      <c r="B18" s="38"/>
      <c r="C18" s="38"/>
      <c r="D18" s="38"/>
      <c r="E18" s="38"/>
      <c r="F18" s="38"/>
      <c r="G18" s="38"/>
      <c r="H18" s="38"/>
      <c r="I18" s="38"/>
      <c r="J18" s="38"/>
    </row>
    <row r="19" spans="2:10" x14ac:dyDescent="0.75">
      <c r="B19" s="38"/>
      <c r="C19" s="38"/>
      <c r="D19" s="38"/>
      <c r="E19" s="38"/>
      <c r="F19" s="38"/>
      <c r="G19" s="38"/>
      <c r="H19" s="38"/>
      <c r="I19" s="38"/>
      <c r="J19" s="38"/>
    </row>
    <row r="20" spans="2:10" x14ac:dyDescent="0.75">
      <c r="B20" s="38"/>
      <c r="C20" s="38"/>
      <c r="D20" s="38"/>
      <c r="E20" s="38"/>
      <c r="F20" s="38"/>
      <c r="G20" s="38"/>
      <c r="H20" s="38"/>
      <c r="I20" s="38"/>
      <c r="J20" s="38"/>
    </row>
    <row r="21" spans="2:10" x14ac:dyDescent="0.75">
      <c r="B21" s="38"/>
      <c r="C21" s="38"/>
      <c r="D21" s="38"/>
      <c r="E21" s="38"/>
      <c r="F21" s="38"/>
      <c r="G21" s="38"/>
      <c r="H21" s="38"/>
      <c r="I21" s="38"/>
      <c r="J21" s="38"/>
    </row>
    <row r="22" spans="2:10" x14ac:dyDescent="0.75">
      <c r="B22" s="38"/>
      <c r="C22" s="38"/>
      <c r="D22" s="38"/>
      <c r="E22" s="38"/>
      <c r="F22" s="38"/>
      <c r="G22" s="38"/>
      <c r="H22" s="38"/>
      <c r="I22" s="38"/>
      <c r="J22" s="38"/>
    </row>
    <row r="23" spans="2:10" x14ac:dyDescent="0.75">
      <c r="B23" s="38"/>
      <c r="C23" s="38"/>
      <c r="D23" s="38"/>
      <c r="E23" s="38"/>
      <c r="F23" s="38"/>
      <c r="G23" s="38"/>
      <c r="H23" s="38"/>
      <c r="I23" s="38"/>
      <c r="J23" s="38"/>
    </row>
    <row r="24" spans="2:10" x14ac:dyDescent="0.75">
      <c r="B24" s="38"/>
      <c r="C24" s="38"/>
      <c r="D24" s="38"/>
      <c r="E24" s="38"/>
      <c r="F24" s="38"/>
      <c r="G24" s="38"/>
      <c r="H24" s="38"/>
      <c r="I24" s="38"/>
      <c r="J24" s="38"/>
    </row>
    <row r="25" spans="2:10" x14ac:dyDescent="0.75">
      <c r="B25" s="38"/>
      <c r="C25" s="38"/>
      <c r="D25" s="38"/>
      <c r="E25" s="38"/>
      <c r="F25" s="38"/>
      <c r="G25" s="38"/>
      <c r="H25" s="38"/>
      <c r="I25" s="38"/>
      <c r="J25" s="38"/>
    </row>
    <row r="26" spans="2:10" x14ac:dyDescent="0.75">
      <c r="B26" s="38"/>
      <c r="C26" s="38"/>
      <c r="D26" s="38"/>
      <c r="E26" s="38"/>
      <c r="F26" s="38"/>
      <c r="G26" s="38"/>
      <c r="H26" s="38"/>
      <c r="I26" s="38"/>
      <c r="J26" s="38"/>
    </row>
    <row r="27" spans="2:10" x14ac:dyDescent="0.75">
      <c r="B27" s="38"/>
      <c r="C27" s="38"/>
      <c r="D27" s="38"/>
      <c r="E27" s="38"/>
      <c r="F27" s="38"/>
      <c r="G27" s="38"/>
      <c r="H27" s="38"/>
      <c r="I27" s="38"/>
      <c r="J27" s="38"/>
    </row>
    <row r="28" spans="2:10" x14ac:dyDescent="0.75">
      <c r="B28" s="38"/>
      <c r="C28" s="38"/>
      <c r="D28" s="38"/>
      <c r="E28" s="38"/>
      <c r="F28" s="38"/>
      <c r="G28" s="38"/>
      <c r="H28" s="38"/>
      <c r="I28" s="38"/>
      <c r="J28" s="38"/>
    </row>
    <row r="29" spans="2:10" x14ac:dyDescent="0.75">
      <c r="B29" s="38"/>
      <c r="C29" s="38"/>
      <c r="D29" s="38"/>
      <c r="E29" s="38"/>
      <c r="F29" s="38"/>
      <c r="G29" s="38"/>
      <c r="H29" s="38"/>
      <c r="I29" s="38"/>
      <c r="J29" s="38"/>
    </row>
    <row r="30" spans="2:10" x14ac:dyDescent="0.75">
      <c r="B30" s="38"/>
      <c r="C30" s="38"/>
      <c r="D30" s="38"/>
      <c r="E30" s="38"/>
      <c r="F30" s="38"/>
      <c r="G30" s="38"/>
      <c r="H30" s="38"/>
      <c r="I30" s="38"/>
      <c r="J30" s="38"/>
    </row>
    <row r="31" spans="2:10" x14ac:dyDescent="0.75">
      <c r="B31" s="38"/>
      <c r="C31" s="38"/>
      <c r="D31" s="38"/>
      <c r="E31" s="38"/>
      <c r="F31" s="38"/>
      <c r="G31" s="38"/>
      <c r="H31" s="38"/>
      <c r="I31" s="38"/>
      <c r="J31" s="38"/>
    </row>
    <row r="32" spans="2:10" x14ac:dyDescent="0.75">
      <c r="B32" s="38"/>
      <c r="C32" s="38"/>
      <c r="D32" s="38"/>
      <c r="E32" s="38"/>
      <c r="F32" s="38"/>
      <c r="G32" s="38"/>
      <c r="H32" s="38"/>
      <c r="I32" s="38"/>
      <c r="J32" s="38"/>
    </row>
    <row r="33" spans="2:10" x14ac:dyDescent="0.75">
      <c r="B33" s="38"/>
      <c r="C33" s="38"/>
      <c r="D33" s="38"/>
      <c r="E33" s="38"/>
      <c r="F33" s="38"/>
      <c r="G33" s="38"/>
      <c r="H33" s="38"/>
      <c r="I33" s="38"/>
      <c r="J33" s="38"/>
    </row>
    <row r="34" spans="2:10" x14ac:dyDescent="0.75">
      <c r="B34" s="38"/>
      <c r="C34" s="38"/>
      <c r="D34" s="38"/>
      <c r="E34" s="38"/>
      <c r="F34" s="38"/>
      <c r="G34" s="38"/>
      <c r="H34" s="38"/>
      <c r="I34" s="38"/>
      <c r="J34" s="38"/>
    </row>
    <row r="35" spans="2:10" x14ac:dyDescent="0.75">
      <c r="B35" s="38"/>
      <c r="C35" s="38"/>
      <c r="D35" s="38"/>
      <c r="E35" s="38"/>
      <c r="F35" s="38"/>
      <c r="G35" s="38"/>
      <c r="H35" s="38"/>
      <c r="I35" s="38"/>
      <c r="J35" s="38"/>
    </row>
    <row r="36" spans="2:10" x14ac:dyDescent="0.75">
      <c r="B36" s="38"/>
      <c r="C36" s="38"/>
      <c r="D36" s="38"/>
      <c r="E36" s="38"/>
      <c r="F36" s="38"/>
      <c r="G36" s="38"/>
      <c r="H36" s="38"/>
      <c r="I36" s="38"/>
      <c r="J36" s="38"/>
    </row>
    <row r="37" spans="2:10" x14ac:dyDescent="0.75">
      <c r="B37" s="38"/>
      <c r="C37" s="38"/>
      <c r="D37" s="38"/>
      <c r="E37" s="38"/>
      <c r="F37" s="38"/>
      <c r="G37" s="38"/>
      <c r="H37" s="38"/>
      <c r="I37" s="38"/>
      <c r="J37" s="38"/>
    </row>
    <row r="38" spans="2:10" x14ac:dyDescent="0.75">
      <c r="B38" s="38"/>
      <c r="C38" s="38"/>
      <c r="D38" s="38"/>
      <c r="E38" s="38"/>
      <c r="F38" s="38"/>
      <c r="G38" s="38"/>
      <c r="H38" s="38"/>
      <c r="I38" s="38"/>
      <c r="J38" s="38"/>
    </row>
    <row r="39" spans="2:10" x14ac:dyDescent="0.75">
      <c r="B39" s="38"/>
      <c r="C39" s="38"/>
      <c r="D39" s="38"/>
      <c r="E39" s="38"/>
      <c r="F39" s="38"/>
      <c r="G39" s="38"/>
      <c r="H39" s="38"/>
      <c r="I39" s="38"/>
      <c r="J39" s="38"/>
    </row>
    <row r="40" spans="2:10" x14ac:dyDescent="0.75">
      <c r="B40" s="38"/>
      <c r="C40" s="38"/>
      <c r="D40" s="38"/>
      <c r="E40" s="38"/>
      <c r="F40" s="38"/>
      <c r="G40" s="38"/>
      <c r="H40" s="38"/>
      <c r="I40" s="38"/>
      <c r="J40" s="38"/>
    </row>
    <row r="41" spans="2:10" x14ac:dyDescent="0.75">
      <c r="B41" s="38"/>
      <c r="C41" s="38"/>
      <c r="D41" s="38"/>
      <c r="E41" s="38"/>
      <c r="F41" s="38"/>
      <c r="G41" s="38"/>
      <c r="H41" s="38"/>
      <c r="I41" s="38"/>
      <c r="J41" s="38"/>
    </row>
    <row r="42" spans="2:10" x14ac:dyDescent="0.75">
      <c r="B42" s="38"/>
      <c r="C42" s="38"/>
      <c r="D42" s="38"/>
      <c r="E42" s="38"/>
      <c r="F42" s="38"/>
      <c r="G42" s="38"/>
      <c r="H42" s="38"/>
      <c r="I42" s="38"/>
      <c r="J42" s="38"/>
    </row>
    <row r="43" spans="2:10" x14ac:dyDescent="0.75">
      <c r="B43" s="38"/>
      <c r="C43" s="38"/>
      <c r="D43" s="38"/>
      <c r="E43" s="38"/>
      <c r="F43" s="38"/>
      <c r="G43" s="38"/>
      <c r="H43" s="38"/>
      <c r="I43" s="38"/>
      <c r="J43" s="38"/>
    </row>
    <row r="44" spans="2:10" x14ac:dyDescent="0.75">
      <c r="B44" s="38"/>
      <c r="C44" s="38"/>
      <c r="D44" s="38"/>
      <c r="E44" s="38"/>
      <c r="F44" s="38"/>
      <c r="G44" s="38"/>
      <c r="H44" s="38"/>
      <c r="I44" s="38"/>
      <c r="J44" s="38"/>
    </row>
    <row r="45" spans="2:10" x14ac:dyDescent="0.75">
      <c r="B45" s="38"/>
      <c r="C45" s="38"/>
      <c r="D45" s="38"/>
      <c r="E45" s="38"/>
      <c r="F45" s="38"/>
      <c r="G45" s="38"/>
      <c r="H45" s="38"/>
      <c r="I45" s="38"/>
      <c r="J45" s="38"/>
    </row>
    <row r="46" spans="2:10" x14ac:dyDescent="0.75">
      <c r="B46" s="38"/>
      <c r="C46" s="38"/>
      <c r="D46" s="38"/>
      <c r="E46" s="38"/>
      <c r="F46" s="38"/>
      <c r="G46" s="38"/>
      <c r="H46" s="38"/>
      <c r="I46" s="38"/>
      <c r="J46" s="38"/>
    </row>
    <row r="47" spans="2:10" x14ac:dyDescent="0.75">
      <c r="B47" s="38"/>
      <c r="C47" s="38"/>
      <c r="D47" s="38"/>
      <c r="E47" s="38"/>
      <c r="F47" s="38"/>
      <c r="G47" s="38"/>
      <c r="H47" s="38"/>
      <c r="I47" s="38"/>
      <c r="J47" s="38"/>
    </row>
    <row r="48" spans="2:10" x14ac:dyDescent="0.75">
      <c r="B48" s="38"/>
      <c r="C48" s="38"/>
      <c r="D48" s="38"/>
      <c r="E48" s="38"/>
      <c r="F48" s="38"/>
      <c r="G48" s="38"/>
      <c r="H48" s="38"/>
      <c r="I48" s="38"/>
      <c r="J48" s="38"/>
    </row>
    <row r="49" spans="2:10" x14ac:dyDescent="0.75">
      <c r="B49" s="38"/>
      <c r="C49" s="38"/>
      <c r="D49" s="38"/>
      <c r="E49" s="38"/>
      <c r="F49" s="38"/>
      <c r="G49" s="38"/>
      <c r="H49" s="38"/>
      <c r="I49" s="38"/>
      <c r="J49" s="38"/>
    </row>
    <row r="50" spans="2:10" x14ac:dyDescent="0.75">
      <c r="B50" s="38"/>
      <c r="C50" s="38"/>
      <c r="D50" s="38"/>
      <c r="E50" s="38"/>
      <c r="F50" s="38"/>
      <c r="G50" s="38"/>
      <c r="H50" s="38"/>
      <c r="I50" s="38"/>
      <c r="J50" s="38"/>
    </row>
    <row r="51" spans="2:10" x14ac:dyDescent="0.75">
      <c r="B51" s="38"/>
      <c r="C51" s="38"/>
      <c r="D51" s="38"/>
      <c r="E51" s="38"/>
      <c r="F51" s="38"/>
      <c r="G51" s="38"/>
      <c r="H51" s="38"/>
      <c r="I51" s="38"/>
      <c r="J51" s="38"/>
    </row>
    <row r="52" spans="2:10" x14ac:dyDescent="0.75">
      <c r="B52" s="38"/>
      <c r="C52" s="38"/>
      <c r="D52" s="38"/>
      <c r="E52" s="38"/>
      <c r="F52" s="38"/>
      <c r="G52" s="38"/>
      <c r="H52" s="38"/>
      <c r="I52" s="38"/>
      <c r="J52" s="38"/>
    </row>
    <row r="53" spans="2:10" x14ac:dyDescent="0.75">
      <c r="B53" s="38"/>
      <c r="C53" s="38"/>
      <c r="D53" s="38"/>
      <c r="E53" s="38"/>
      <c r="F53" s="38"/>
      <c r="G53" s="38"/>
      <c r="H53" s="38"/>
      <c r="I53" s="38"/>
      <c r="J53" s="38"/>
    </row>
    <row r="54" spans="2:10" x14ac:dyDescent="0.75">
      <c r="B54" s="38"/>
      <c r="C54" s="38"/>
      <c r="D54" s="38"/>
      <c r="E54" s="38"/>
      <c r="F54" s="38"/>
      <c r="G54" s="38"/>
      <c r="H54" s="38"/>
      <c r="I54" s="38"/>
      <c r="J54" s="38"/>
    </row>
    <row r="55" spans="2:10" x14ac:dyDescent="0.75">
      <c r="B55" s="38"/>
      <c r="C55" s="38"/>
      <c r="D55" s="38"/>
      <c r="E55" s="38"/>
      <c r="F55" s="38"/>
      <c r="G55" s="38"/>
      <c r="H55" s="38"/>
      <c r="I55" s="38"/>
      <c r="J55" s="38"/>
    </row>
    <row r="56" spans="2:10" x14ac:dyDescent="0.75">
      <c r="B56" s="38"/>
      <c r="C56" s="38"/>
      <c r="D56" s="38"/>
      <c r="E56" s="38"/>
      <c r="F56" s="38"/>
      <c r="G56" s="38"/>
      <c r="H56" s="38"/>
      <c r="I56" s="38"/>
      <c r="J56" s="38"/>
    </row>
    <row r="57" spans="2:10" x14ac:dyDescent="0.75">
      <c r="B57" s="38"/>
      <c r="C57" s="38"/>
      <c r="D57" s="38"/>
      <c r="E57" s="38"/>
      <c r="F57" s="38"/>
      <c r="G57" s="38"/>
      <c r="H57" s="38"/>
      <c r="I57" s="38"/>
      <c r="J57" s="38"/>
    </row>
    <row r="58" spans="2:10" x14ac:dyDescent="0.75">
      <c r="B58" s="38"/>
      <c r="C58" s="38"/>
      <c r="D58" s="38"/>
      <c r="E58" s="38"/>
      <c r="F58" s="38"/>
      <c r="G58" s="38"/>
      <c r="H58" s="38"/>
      <c r="I58" s="38"/>
      <c r="J58" s="38"/>
    </row>
    <row r="59" spans="2:10" x14ac:dyDescent="0.75">
      <c r="B59" s="38"/>
      <c r="C59" s="38"/>
      <c r="D59" s="38"/>
      <c r="E59" s="38"/>
      <c r="F59" s="38"/>
      <c r="G59" s="38"/>
      <c r="H59" s="38"/>
      <c r="I59" s="38"/>
      <c r="J59" s="38"/>
    </row>
    <row r="60" spans="2:10" x14ac:dyDescent="0.75">
      <c r="B60" s="38"/>
      <c r="C60" s="38"/>
      <c r="D60" s="38"/>
      <c r="E60" s="38"/>
      <c r="F60" s="38"/>
      <c r="G60" s="38"/>
      <c r="H60" s="38"/>
      <c r="I60" s="38"/>
      <c r="J60" s="38"/>
    </row>
    <row r="61" spans="2:10" x14ac:dyDescent="0.75">
      <c r="B61" s="38"/>
      <c r="C61" s="38"/>
      <c r="D61" s="38"/>
      <c r="E61" s="38"/>
      <c r="F61" s="38"/>
      <c r="G61" s="38"/>
      <c r="H61" s="38"/>
    </row>
    <row r="62" spans="2:10" x14ac:dyDescent="0.75">
      <c r="B62" s="38"/>
      <c r="C62" s="38"/>
      <c r="D62" s="38"/>
      <c r="E62" s="38"/>
      <c r="F62" s="38"/>
      <c r="G62" s="38"/>
      <c r="H62" s="38"/>
    </row>
    <row r="63" spans="2:10" x14ac:dyDescent="0.75">
      <c r="B63" s="38"/>
      <c r="C63" s="38"/>
      <c r="D63" s="38"/>
      <c r="E63" s="38"/>
      <c r="F63" s="38"/>
      <c r="G63" s="38"/>
      <c r="H63" s="38"/>
    </row>
    <row r="64" spans="2:10" x14ac:dyDescent="0.75">
      <c r="B64" s="38"/>
      <c r="C64" s="38"/>
      <c r="D64" s="38"/>
      <c r="E64" s="38"/>
      <c r="F64" s="38"/>
      <c r="G64" s="38"/>
      <c r="H64" s="38"/>
    </row>
    <row r="65" spans="2:8" x14ac:dyDescent="0.75">
      <c r="B65" s="38"/>
      <c r="C65" s="38"/>
      <c r="D65" s="38"/>
      <c r="E65" s="38"/>
      <c r="F65" s="38"/>
      <c r="G65" s="38"/>
      <c r="H65" s="38"/>
    </row>
    <row r="66" spans="2:8" x14ac:dyDescent="0.75">
      <c r="B66" s="38"/>
      <c r="C66" s="38"/>
      <c r="D66" s="38"/>
      <c r="E66" s="38"/>
      <c r="F66" s="38"/>
      <c r="G66" s="38"/>
      <c r="H66" s="38"/>
    </row>
    <row r="67" spans="2:8" x14ac:dyDescent="0.75">
      <c r="B67" s="38"/>
      <c r="C67" s="38"/>
      <c r="D67" s="38"/>
      <c r="E67" s="38"/>
      <c r="F67" s="38"/>
      <c r="G67" s="38"/>
      <c r="H67" s="38"/>
    </row>
    <row r="68" spans="2:8" x14ac:dyDescent="0.75">
      <c r="B68" s="38"/>
      <c r="C68" s="38"/>
      <c r="D68" s="38"/>
      <c r="E68" s="38"/>
      <c r="F68" s="38"/>
      <c r="G68" s="38"/>
      <c r="H68" s="38"/>
    </row>
    <row r="69" spans="2:8" x14ac:dyDescent="0.75">
      <c r="B69" s="38"/>
      <c r="C69" s="38"/>
      <c r="D69" s="38"/>
      <c r="E69" s="38"/>
      <c r="F69" s="38"/>
      <c r="G69" s="38"/>
      <c r="H69" s="38"/>
    </row>
    <row r="70" spans="2:8" x14ac:dyDescent="0.75">
      <c r="B70" s="38"/>
      <c r="C70" s="38"/>
      <c r="D70" s="38"/>
      <c r="E70" s="38"/>
      <c r="F70" s="38"/>
      <c r="G70" s="38"/>
      <c r="H70" s="38"/>
    </row>
    <row r="71" spans="2:8" x14ac:dyDescent="0.75">
      <c r="B71" s="38"/>
      <c r="C71" s="38"/>
      <c r="D71" s="38"/>
      <c r="E71" s="38"/>
      <c r="F71" s="38"/>
      <c r="G71" s="38"/>
      <c r="H71" s="38"/>
    </row>
    <row r="72" spans="2:8" x14ac:dyDescent="0.75">
      <c r="B72" s="38"/>
      <c r="C72" s="38"/>
      <c r="D72" s="38"/>
      <c r="E72" s="38"/>
      <c r="F72" s="38"/>
      <c r="G72" s="38"/>
      <c r="H72" s="38"/>
    </row>
    <row r="73" spans="2:8" x14ac:dyDescent="0.75">
      <c r="B73" s="38"/>
      <c r="C73" s="38"/>
      <c r="D73" s="38"/>
      <c r="E73" s="38"/>
      <c r="F73" s="38"/>
      <c r="G73" s="38"/>
      <c r="H73" s="38"/>
    </row>
    <row r="74" spans="2:8" x14ac:dyDescent="0.75">
      <c r="B74" s="38"/>
      <c r="C74" s="38"/>
      <c r="D74" s="38"/>
      <c r="E74" s="38"/>
      <c r="F74" s="38"/>
      <c r="G74" s="38"/>
      <c r="H74" s="38"/>
    </row>
    <row r="75" spans="2:8" x14ac:dyDescent="0.75">
      <c r="B75" s="38"/>
      <c r="C75" s="38"/>
      <c r="D75" s="38"/>
      <c r="E75" s="38"/>
      <c r="F75" s="38"/>
      <c r="G75" s="38"/>
      <c r="H75" s="38"/>
    </row>
    <row r="76" spans="2:8" x14ac:dyDescent="0.75">
      <c r="B76" s="38"/>
      <c r="C76" s="38"/>
      <c r="D76" s="38"/>
      <c r="E76" s="38"/>
      <c r="F76" s="38"/>
      <c r="G76" s="38"/>
      <c r="H76" s="38"/>
    </row>
    <row r="77" spans="2:8" x14ac:dyDescent="0.75">
      <c r="B77" s="38"/>
      <c r="C77" s="38"/>
      <c r="D77" s="38"/>
      <c r="E77" s="38"/>
      <c r="F77" s="38"/>
      <c r="G77" s="38"/>
      <c r="H77" s="38"/>
    </row>
    <row r="78" spans="2:8" x14ac:dyDescent="0.75">
      <c r="B78" s="38"/>
      <c r="C78" s="38"/>
      <c r="D78" s="38"/>
      <c r="E78" s="38"/>
      <c r="F78" s="38"/>
      <c r="G78" s="38"/>
      <c r="H78" s="38"/>
    </row>
    <row r="79" spans="2:8" x14ac:dyDescent="0.75">
      <c r="B79" s="38"/>
      <c r="C79" s="38"/>
      <c r="D79" s="38"/>
      <c r="E79" s="38"/>
      <c r="F79" s="38"/>
      <c r="G79" s="38"/>
      <c r="H79" s="38"/>
    </row>
    <row r="80" spans="2:8" x14ac:dyDescent="0.75">
      <c r="B80" s="38"/>
      <c r="C80" s="38"/>
      <c r="D80" s="38"/>
      <c r="E80" s="38"/>
      <c r="F80" s="38"/>
      <c r="G80" s="38"/>
      <c r="H80" s="38"/>
    </row>
    <row r="81" spans="2:8" x14ac:dyDescent="0.75">
      <c r="B81" s="38"/>
      <c r="C81" s="38"/>
      <c r="D81" s="38"/>
      <c r="E81" s="38"/>
      <c r="F81" s="38"/>
      <c r="G81" s="38"/>
      <c r="H81" s="38"/>
    </row>
    <row r="82" spans="2:8" x14ac:dyDescent="0.75">
      <c r="B82" s="38"/>
      <c r="C82" s="38"/>
      <c r="D82" s="38"/>
      <c r="E82" s="38"/>
      <c r="F82" s="38"/>
      <c r="G82" s="38"/>
      <c r="H82" s="38"/>
    </row>
    <row r="83" spans="2:8" x14ac:dyDescent="0.75">
      <c r="B83" s="38"/>
      <c r="C83" s="38"/>
      <c r="D83" s="38"/>
      <c r="E83" s="38"/>
      <c r="F83" s="38"/>
      <c r="G83" s="38"/>
      <c r="H83" s="38"/>
    </row>
    <row r="84" spans="2:8" x14ac:dyDescent="0.75">
      <c r="B84" s="38"/>
      <c r="C84" s="38"/>
      <c r="D84" s="38"/>
      <c r="E84" s="38"/>
      <c r="F84" s="38"/>
      <c r="G84" s="38"/>
      <c r="H84" s="38"/>
    </row>
    <row r="85" spans="2:8" x14ac:dyDescent="0.75">
      <c r="B85" s="38"/>
      <c r="C85" s="38"/>
      <c r="D85" s="38"/>
      <c r="E85" s="38"/>
      <c r="F85" s="38"/>
      <c r="G85" s="38"/>
      <c r="H85" s="38"/>
    </row>
    <row r="86" spans="2:8" x14ac:dyDescent="0.75">
      <c r="B86" s="38"/>
      <c r="C86" s="38"/>
      <c r="D86" s="38"/>
      <c r="E86" s="38"/>
      <c r="F86" s="38"/>
      <c r="G86" s="38"/>
      <c r="H86" s="38"/>
    </row>
    <row r="87" spans="2:8" x14ac:dyDescent="0.75">
      <c r="B87" s="38"/>
      <c r="C87" s="38"/>
      <c r="D87" s="38"/>
      <c r="E87" s="38"/>
      <c r="F87" s="38"/>
      <c r="G87" s="38"/>
      <c r="H87" s="38"/>
    </row>
    <row r="88" spans="2:8" x14ac:dyDescent="0.75">
      <c r="B88" s="38"/>
      <c r="C88" s="38"/>
      <c r="D88" s="38"/>
      <c r="E88" s="38"/>
      <c r="F88" s="38"/>
      <c r="G88" s="38"/>
      <c r="H88" s="38"/>
    </row>
    <row r="89" spans="2:8" x14ac:dyDescent="0.75">
      <c r="B89" s="38"/>
      <c r="C89" s="38"/>
      <c r="D89" s="38"/>
      <c r="E89" s="38"/>
      <c r="F89" s="38"/>
      <c r="G89" s="38"/>
      <c r="H89" s="38"/>
    </row>
    <row r="90" spans="2:8" x14ac:dyDescent="0.75">
      <c r="B90" s="38"/>
      <c r="C90" s="38"/>
      <c r="D90" s="38"/>
      <c r="E90" s="38"/>
      <c r="F90" s="38"/>
      <c r="G90" s="38"/>
      <c r="H90" s="38"/>
    </row>
    <row r="91" spans="2:8" x14ac:dyDescent="0.75">
      <c r="B91" s="38"/>
      <c r="C91" s="38"/>
      <c r="D91" s="38"/>
      <c r="E91" s="38"/>
      <c r="F91" s="38"/>
      <c r="G91" s="38"/>
      <c r="H91" s="38"/>
    </row>
    <row r="92" spans="2:8" x14ac:dyDescent="0.75">
      <c r="B92" s="38"/>
      <c r="C92" s="38"/>
      <c r="D92" s="38"/>
      <c r="E92" s="38"/>
      <c r="F92" s="38"/>
      <c r="G92" s="38"/>
      <c r="H92" s="38"/>
    </row>
    <row r="93" spans="2:8" x14ac:dyDescent="0.75">
      <c r="B93" s="38"/>
      <c r="C93" s="38"/>
      <c r="D93" s="38"/>
      <c r="E93" s="38"/>
      <c r="F93" s="38"/>
      <c r="G93" s="38"/>
      <c r="H93" s="3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18D9C-EA81-4702-B073-8FC8EA92650A}">
  <sheetPr codeName="Foglio10">
    <tabColor rgb="FFFF0000"/>
  </sheetPr>
  <dimension ref="A2:G583"/>
  <sheetViews>
    <sheetView workbookViewId="0">
      <selection activeCell="D35" sqref="D35:D583"/>
    </sheetView>
  </sheetViews>
  <sheetFormatPr defaultRowHeight="14.75" x14ac:dyDescent="0.75"/>
  <cols>
    <col min="1" max="1" width="8.7265625" style="31"/>
    <col min="2" max="2" width="9.81640625" style="31" customWidth="1"/>
    <col min="3" max="3" width="8.7265625" style="31"/>
    <col min="4" max="4" width="130.81640625" style="31" customWidth="1"/>
    <col min="5" max="5" width="19.86328125" style="31" customWidth="1"/>
    <col min="6" max="6" width="8.7265625" style="31"/>
    <col min="7" max="7" width="69.36328125" style="31" customWidth="1"/>
    <col min="8" max="16384" width="8.7265625" style="31"/>
  </cols>
  <sheetData>
    <row r="2" spans="4:7" x14ac:dyDescent="0.75">
      <c r="D2" s="17" t="str">
        <f>CONCATENATE("Instance: ",'Rad-1'!B6)</f>
        <v>Instance: Radiotherapy</v>
      </c>
    </row>
    <row r="3" spans="4:7" x14ac:dyDescent="0.75">
      <c r="D3" s="17" t="s">
        <v>22</v>
      </c>
    </row>
    <row r="4" spans="4:7" x14ac:dyDescent="0.75">
      <c r="D4" s="17" t="str">
        <f>CONCATENATE("Description: """,'Rad-1'!D2,"""")</f>
        <v>Description: "Radiotherapy"</v>
      </c>
      <c r="E4" s="17"/>
    </row>
    <row r="5" spans="4:7" x14ac:dyDescent="0.75">
      <c r="D5" s="17" t="str">
        <f>CONCATENATE("Title: """,'Rad-1'!C2,"""")</f>
        <v>Title: "Radiotherapy"</v>
      </c>
      <c r="E5" s="17"/>
    </row>
    <row r="6" spans="4:7" x14ac:dyDescent="0.75">
      <c r="D6" s="17" t="s">
        <v>23</v>
      </c>
      <c r="E6" s="17"/>
    </row>
    <row r="7" spans="4:7" x14ac:dyDescent="0.75">
      <c r="D7" s="17"/>
      <c r="E7" s="17"/>
    </row>
    <row r="8" spans="4:7" x14ac:dyDescent="0.75">
      <c r="D8" s="17" t="str">
        <f>CONCATENATE("* publisher = """,'Rad-1'!B4,"""")</f>
        <v>* publisher = "PanCareSurPass project"</v>
      </c>
      <c r="E8" s="17"/>
    </row>
    <row r="9" spans="4:7" x14ac:dyDescent="0.75">
      <c r="D9" s="17" t="s">
        <v>24</v>
      </c>
      <c r="E9" s="17"/>
    </row>
    <row r="10" spans="4:7" x14ac:dyDescent="0.75">
      <c r="D10" s="17" t="str">
        <f>CONCATENATE("* url = """,'Rad-1'!B2,"/StructureDefinition/",'Rad-1'!B6,"""")</f>
        <v>* url = "http://hl7.eu/fhir/ig/pcsp/StructureDefinition/Radiotherapy"</v>
      </c>
      <c r="E10" s="17"/>
      <c r="G10" s="74" t="s">
        <v>111</v>
      </c>
    </row>
    <row r="11" spans="4:7" x14ac:dyDescent="0.75">
      <c r="D11" s="17" t="str">
        <f>CONCATENATE("* name = """,'Rad-1'!C4,"""")</f>
        <v>* name = "Radiotherapy"</v>
      </c>
      <c r="E11" s="17"/>
    </row>
    <row r="12" spans="4:7" x14ac:dyDescent="0.75">
      <c r="D12" s="17" t="str">
        <f>CONCATENATE("* title = """,'Rad-1'!C2,"""")</f>
        <v>* title = "Radiotherapy"</v>
      </c>
      <c r="E12" s="17"/>
    </row>
    <row r="13" spans="4:7" x14ac:dyDescent="0.75">
      <c r="D13" s="17" t="s">
        <v>24</v>
      </c>
      <c r="E13" s="17"/>
    </row>
    <row r="14" spans="4:7" x14ac:dyDescent="0.75">
      <c r="D14" s="17" t="s">
        <v>25</v>
      </c>
      <c r="E14" s="17"/>
    </row>
    <row r="15" spans="4:7" x14ac:dyDescent="0.75">
      <c r="D15" s="17" t="str">
        <f>CONCATENATE("* description = """,'Rad-1'!D2,"""")</f>
        <v>* description = "Radiotherapy"</v>
      </c>
      <c r="E15" s="17"/>
    </row>
    <row r="16" spans="4:7" x14ac:dyDescent="0.75">
      <c r="D16" s="17" t="s">
        <v>26</v>
      </c>
      <c r="E16" s="17"/>
    </row>
    <row r="18" spans="1:7" x14ac:dyDescent="0.75">
      <c r="C18" s="31">
        <v>0</v>
      </c>
      <c r="D18" s="64" t="str">
        <f>CONCATENATE("* mapping[",C18,"].identity = """,'RadMap-1'!F1,"""")</f>
        <v>* mapping[0].identity = "fhir"</v>
      </c>
      <c r="G18" s="1" t="s">
        <v>91</v>
      </c>
    </row>
    <row r="19" spans="1:7" x14ac:dyDescent="0.75">
      <c r="B19" s="65" t="s">
        <v>93</v>
      </c>
      <c r="C19" s="31">
        <v>0</v>
      </c>
      <c r="D19" s="64" t="str">
        <f>CONCATENATE("* mapping[",C19,"].uri = """,'RadMap-1'!F2,"""")</f>
        <v>* mapping[0].uri = "hl7.org/fhir/r4"</v>
      </c>
      <c r="G19" s="1" t="s">
        <v>92</v>
      </c>
    </row>
    <row r="20" spans="1:7" x14ac:dyDescent="0.75">
      <c r="C20" s="31">
        <v>0</v>
      </c>
      <c r="D20" s="64" t="str">
        <f>CONCATENATE("* mapping[",C20,"].name = """,'RadMap-1'!D2,"""")</f>
        <v>* mapping[0].name = "FHIR"</v>
      </c>
      <c r="G20" s="1" t="s">
        <v>94</v>
      </c>
    </row>
    <row r="22" spans="1:7" x14ac:dyDescent="0.75">
      <c r="D22" s="17" t="s">
        <v>27</v>
      </c>
      <c r="E22" s="17"/>
    </row>
    <row r="23" spans="1:7" x14ac:dyDescent="0.75">
      <c r="D23" s="17" t="s">
        <v>136</v>
      </c>
      <c r="E23" s="17"/>
    </row>
    <row r="24" spans="1:7" x14ac:dyDescent="0.75">
      <c r="D24" s="17" t="str">
        <f>CONCATENATE("* type = """,'Rad-1'!B6,"""")</f>
        <v>* type = "Radiotherapy"</v>
      </c>
      <c r="E24" s="17"/>
    </row>
    <row r="25" spans="1:7" x14ac:dyDescent="0.75">
      <c r="A25" s="159" t="s">
        <v>1056</v>
      </c>
      <c r="B25" s="159">
        <v>9</v>
      </c>
      <c r="D25" s="17" t="s">
        <v>29</v>
      </c>
    </row>
    <row r="26" spans="1:7" x14ac:dyDescent="0.75">
      <c r="D26" s="17" t="s">
        <v>30</v>
      </c>
    </row>
    <row r="28" spans="1:7" x14ac:dyDescent="0.75">
      <c r="D28" s="40" t="str">
        <f>'Rad-2'!B1</f>
        <v>* differential.element[0].id = "Radiotherapy"</v>
      </c>
    </row>
    <row r="29" spans="1:7" x14ac:dyDescent="0.75">
      <c r="D29" s="40" t="str">
        <f>'Rad-2'!C1</f>
        <v>* differential.element[0].path = "Radiotherapy"</v>
      </c>
      <c r="G29" s="31" t="s">
        <v>143</v>
      </c>
    </row>
    <row r="30" spans="1:7" x14ac:dyDescent="0.75">
      <c r="D30" s="47" t="str">
        <f>'Rad-2'!D1</f>
        <v>* differential.element[0].short = "Radiotherapy"</v>
      </c>
    </row>
    <row r="31" spans="1:7" x14ac:dyDescent="0.75">
      <c r="D31" s="40" t="str">
        <f>'Rad-2'!E1</f>
        <v>* differential.element[0].definition = "Radiotherapy"</v>
      </c>
    </row>
    <row r="32" spans="1:7" x14ac:dyDescent="0.75">
      <c r="D32" s="40" t="str">
        <f>'Rad-2'!F1</f>
        <v>* differential.element[0].min = 1</v>
      </c>
    </row>
    <row r="33" spans="1:4" x14ac:dyDescent="0.75">
      <c r="D33" s="40" t="str">
        <f>'Rad-2'!G1</f>
        <v>* differential.element[0].max = "1"</v>
      </c>
    </row>
    <row r="34" spans="1:4" x14ac:dyDescent="0.75">
      <c r="D34" s="8"/>
    </row>
    <row r="35" spans="1:4" x14ac:dyDescent="0.75">
      <c r="A35" s="32">
        <v>1</v>
      </c>
      <c r="B35" s="32">
        <f>IF(MOD(A35,$B$25)=0,A35/$B$25-1,INT(A35/$B$25))</f>
        <v>0</v>
      </c>
      <c r="C35" s="32">
        <f>IF(MOD(A35,$B$25)=0,$B$25,MOD(A35,$B$25))</f>
        <v>1</v>
      </c>
      <c r="D35" s="38" t="str" cm="1">
        <f t="array" ref="D35">INDEX('Rad-2'!$B$2:$J$100,1+B35,C35)</f>
        <v>* differential.element[1].id = "Radiotherapy.type"</v>
      </c>
    </row>
    <row r="36" spans="1:4" x14ac:dyDescent="0.75">
      <c r="A36" s="32">
        <v>2</v>
      </c>
      <c r="B36" s="32">
        <f t="shared" ref="B36:B99" si="0">IF(MOD(A36,$B$25)=0,A36/$B$25-1,INT(A36/$B$25))</f>
        <v>0</v>
      </c>
      <c r="C36" s="32">
        <f t="shared" ref="C36:C99" si="1">IF(MOD(A36,$B$25)=0,$B$25,MOD(A36,$B$25))</f>
        <v>2</v>
      </c>
      <c r="D36" s="38" t="str" cm="1">
        <f t="array" ref="D36">INDEX('Rad-2'!$B$2:$J$100,1+B36,C36)</f>
        <v>* differential.element[1].path = "Radiotherapy.type"</v>
      </c>
    </row>
    <row r="37" spans="1:4" x14ac:dyDescent="0.75">
      <c r="A37" s="32">
        <v>3</v>
      </c>
      <c r="B37" s="32">
        <f t="shared" si="0"/>
        <v>0</v>
      </c>
      <c r="C37" s="32">
        <f t="shared" si="1"/>
        <v>3</v>
      </c>
      <c r="D37" s="38" t="str" cm="1">
        <f t="array" ref="D37">INDEX('Rad-2'!$B$2:$J$100,1+B37,C37)</f>
        <v>* differential.element[1].short = "Type of radiotherapy"</v>
      </c>
    </row>
    <row r="38" spans="1:4" ht="132.75" x14ac:dyDescent="0.75">
      <c r="A38" s="32">
        <v>4</v>
      </c>
      <c r="B38" s="32">
        <f t="shared" si="0"/>
        <v>0</v>
      </c>
      <c r="C38" s="32">
        <f t="shared" si="1"/>
        <v>4</v>
      </c>
      <c r="D38" s="38" t="str" cm="1">
        <f t="array" ref="D38">INDEX('Rad-2'!$B$2:$J$100,1+B38,C38)</f>
        <v>* differential.element[1].definition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39" spans="1:4" x14ac:dyDescent="0.75">
      <c r="A39" s="32">
        <v>5</v>
      </c>
      <c r="B39" s="32">
        <f t="shared" si="0"/>
        <v>0</v>
      </c>
      <c r="C39" s="32">
        <f t="shared" si="1"/>
        <v>5</v>
      </c>
      <c r="D39" s="38" t="str" cm="1">
        <f t="array" ref="D39">INDEX('Rad-2'!$B$2:$J$100,1+B39,C39)</f>
        <v>* differential.element[1].min = 1</v>
      </c>
    </row>
    <row r="40" spans="1:4" x14ac:dyDescent="0.75">
      <c r="A40" s="32">
        <v>6</v>
      </c>
      <c r="B40" s="32">
        <f t="shared" si="0"/>
        <v>0</v>
      </c>
      <c r="C40" s="32">
        <f t="shared" si="1"/>
        <v>6</v>
      </c>
      <c r="D40" s="38" t="str" cm="1">
        <f t="array" ref="D40">INDEX('Rad-2'!$B$2:$J$100,1+B40,C40)</f>
        <v>* differential.element[1].max = "1"</v>
      </c>
    </row>
    <row r="41" spans="1:4" x14ac:dyDescent="0.75">
      <c r="A41" s="32">
        <v>7</v>
      </c>
      <c r="B41" s="32">
        <f t="shared" si="0"/>
        <v>0</v>
      </c>
      <c r="C41" s="32">
        <f t="shared" si="1"/>
        <v>7</v>
      </c>
      <c r="D41" s="38" t="str" cm="1">
        <f t="array" ref="D41">INDEX('Rad-2'!$B$2:$J$100,1+B41,C41)</f>
        <v>* differential.element[1].type.code = #CodeableConcept</v>
      </c>
    </row>
    <row r="42" spans="1:4" x14ac:dyDescent="0.75">
      <c r="A42" s="32">
        <v>8</v>
      </c>
      <c r="B42" s="32">
        <f t="shared" si="0"/>
        <v>0</v>
      </c>
      <c r="C42" s="32">
        <f t="shared" si="1"/>
        <v>8</v>
      </c>
      <c r="D42" s="38" t="str" cm="1">
        <f t="array" ref="D42">INDEX('Rad-2'!$B$2:$J$100,1+B42,C42)</f>
        <v/>
      </c>
    </row>
    <row r="43" spans="1:4" x14ac:dyDescent="0.75">
      <c r="A43" s="32">
        <v>9</v>
      </c>
      <c r="B43" s="32">
        <f t="shared" si="0"/>
        <v>0</v>
      </c>
      <c r="C43" s="32">
        <f t="shared" si="1"/>
        <v>9</v>
      </c>
      <c r="D43" s="38" t="str" cm="1">
        <f t="array" ref="D43">INDEX('Rad-2'!$B$2:$J$100,1+B43,C43)</f>
        <v/>
      </c>
    </row>
    <row r="44" spans="1:4" x14ac:dyDescent="0.75">
      <c r="A44" s="32">
        <v>10</v>
      </c>
      <c r="B44" s="32">
        <f t="shared" si="0"/>
        <v>1</v>
      </c>
      <c r="C44" s="32">
        <f t="shared" si="1"/>
        <v>1</v>
      </c>
      <c r="D44" s="38" t="str" cm="1">
        <f t="array" ref="D44">INDEX('Rad-2'!$B$2:$J$100,1+B44,C44)</f>
        <v>* differential.element[2].id = "Radiotherapy.startDate"</v>
      </c>
    </row>
    <row r="45" spans="1:4" x14ac:dyDescent="0.75">
      <c r="A45" s="32">
        <v>11</v>
      </c>
      <c r="B45" s="32">
        <f t="shared" si="0"/>
        <v>1</v>
      </c>
      <c r="C45" s="32">
        <f t="shared" si="1"/>
        <v>2</v>
      </c>
      <c r="D45" s="38" t="str" cm="1">
        <f t="array" ref="D45">INDEX('Rad-2'!$B$2:$J$100,1+B45,C45)</f>
        <v>* differential.element[2].path = "Radiotherapy.startDate"</v>
      </c>
    </row>
    <row r="46" spans="1:4" x14ac:dyDescent="0.75">
      <c r="A46" s="32">
        <v>12</v>
      </c>
      <c r="B46" s="32">
        <f t="shared" si="0"/>
        <v>1</v>
      </c>
      <c r="C46" s="32">
        <f t="shared" si="1"/>
        <v>3</v>
      </c>
      <c r="D46" s="38" t="str" cm="1">
        <f t="array" ref="D46">INDEX('Rad-2'!$B$2:$J$100,1+B46,C46)</f>
        <v>* differential.element[2].short = "Start date"</v>
      </c>
    </row>
    <row r="47" spans="1:4" ht="29.5" x14ac:dyDescent="0.75">
      <c r="A47" s="32">
        <v>13</v>
      </c>
      <c r="B47" s="32">
        <f t="shared" si="0"/>
        <v>1</v>
      </c>
      <c r="C47" s="32">
        <f t="shared" si="1"/>
        <v>4</v>
      </c>
      <c r="D47" s="38" t="str" cm="1">
        <f t="array" ref="D47">INDEX('Rad-2'!$B$2:$J$100,1+B47,C47)</f>
        <v>* differential.element[2].definition = "Enter the date on which the first treatment (fraction) of radiotherapy was given, in a DD/MM/YYYY format. If the date is unkown or partially missed insert the year at the best of your knowledge."</v>
      </c>
    </row>
    <row r="48" spans="1:4" x14ac:dyDescent="0.75">
      <c r="A48" s="32">
        <v>14</v>
      </c>
      <c r="B48" s="32">
        <f t="shared" si="0"/>
        <v>1</v>
      </c>
      <c r="C48" s="32">
        <f t="shared" si="1"/>
        <v>5</v>
      </c>
      <c r="D48" s="38" t="str" cm="1">
        <f t="array" ref="D48">INDEX('Rad-2'!$B$2:$J$100,1+B48,C48)</f>
        <v>* differential.element[2].min = 1</v>
      </c>
    </row>
    <row r="49" spans="1:4" x14ac:dyDescent="0.75">
      <c r="A49" s="32">
        <v>15</v>
      </c>
      <c r="B49" s="32">
        <f t="shared" si="0"/>
        <v>1</v>
      </c>
      <c r="C49" s="32">
        <f t="shared" si="1"/>
        <v>6</v>
      </c>
      <c r="D49" s="38" t="str" cm="1">
        <f t="array" ref="D49">INDEX('Rad-2'!$B$2:$J$100,1+B49,C49)</f>
        <v>* differential.element[2].max = "1"</v>
      </c>
    </row>
    <row r="50" spans="1:4" x14ac:dyDescent="0.75">
      <c r="A50" s="32">
        <v>16</v>
      </c>
      <c r="B50" s="32">
        <f t="shared" si="0"/>
        <v>1</v>
      </c>
      <c r="C50" s="32">
        <f t="shared" si="1"/>
        <v>7</v>
      </c>
      <c r="D50" s="38" t="str" cm="1">
        <f t="array" ref="D50">INDEX('Rad-2'!$B$2:$J$100,1+B50,C50)</f>
        <v>* differential.element[2].type.code = #dateTime</v>
      </c>
    </row>
    <row r="51" spans="1:4" x14ac:dyDescent="0.75">
      <c r="A51" s="32">
        <v>17</v>
      </c>
      <c r="B51" s="32">
        <f t="shared" si="0"/>
        <v>1</v>
      </c>
      <c r="C51" s="32">
        <f t="shared" si="1"/>
        <v>8</v>
      </c>
      <c r="D51" s="38" t="str" cm="1">
        <f t="array" ref="D51">INDEX('Rad-2'!$B$2:$J$100,1+B51,C51)</f>
        <v/>
      </c>
    </row>
    <row r="52" spans="1:4" x14ac:dyDescent="0.75">
      <c r="A52" s="32">
        <v>18</v>
      </c>
      <c r="B52" s="32">
        <f t="shared" si="0"/>
        <v>1</v>
      </c>
      <c r="C52" s="32">
        <f t="shared" si="1"/>
        <v>9</v>
      </c>
      <c r="D52" s="38" t="str" cm="1">
        <f t="array" ref="D52">INDEX('Rad-2'!$B$2:$J$100,1+B52,C52)</f>
        <v/>
      </c>
    </row>
    <row r="53" spans="1:4" x14ac:dyDescent="0.75">
      <c r="A53" s="32">
        <v>19</v>
      </c>
      <c r="B53" s="32">
        <f t="shared" si="0"/>
        <v>2</v>
      </c>
      <c r="C53" s="32">
        <f t="shared" si="1"/>
        <v>1</v>
      </c>
      <c r="D53" s="38" t="str" cm="1">
        <f t="array" ref="D53">INDEX('Rad-2'!$B$2:$J$100,1+B53,C53)</f>
        <v>* differential.element[3].id = "Radiotherapy.target"</v>
      </c>
    </row>
    <row r="54" spans="1:4" x14ac:dyDescent="0.75">
      <c r="A54" s="32">
        <v>20</v>
      </c>
      <c r="B54" s="32">
        <f t="shared" si="0"/>
        <v>2</v>
      </c>
      <c r="C54" s="32">
        <f t="shared" si="1"/>
        <v>2</v>
      </c>
      <c r="D54" s="38" t="str" cm="1">
        <f t="array" ref="D54">INDEX('Rad-2'!$B$2:$J$100,1+B54,C54)</f>
        <v>* differential.element[3].path = "Radiotherapy.target"</v>
      </c>
    </row>
    <row r="55" spans="1:4" x14ac:dyDescent="0.75">
      <c r="A55" s="32">
        <v>21</v>
      </c>
      <c r="B55" s="32">
        <f t="shared" si="0"/>
        <v>2</v>
      </c>
      <c r="C55" s="32">
        <f t="shared" si="1"/>
        <v>3</v>
      </c>
      <c r="D55" s="38" t="str" cm="1">
        <f t="array" ref="D55">INDEX('Rad-2'!$B$2:$J$100,1+B55,C55)</f>
        <v>* differential.element[3].short = "Target Body Site"</v>
      </c>
    </row>
    <row r="56" spans="1:4" ht="59" x14ac:dyDescent="0.75">
      <c r="A56" s="32">
        <v>22</v>
      </c>
      <c r="B56" s="32">
        <f t="shared" si="0"/>
        <v>2</v>
      </c>
      <c r="C56" s="32">
        <f t="shared" si="1"/>
        <v>4</v>
      </c>
      <c r="D56" s="38" t="str" cm="1">
        <f t="array" ref="D56">INDEX('Rad-2'!$B$2:$J$100,1+B56,C56)</f>
        <v>* differential.element[3].definition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57" spans="1:4" x14ac:dyDescent="0.75">
      <c r="A57" s="32">
        <v>23</v>
      </c>
      <c r="B57" s="32">
        <f t="shared" si="0"/>
        <v>2</v>
      </c>
      <c r="C57" s="32">
        <f t="shared" si="1"/>
        <v>5</v>
      </c>
      <c r="D57" s="38" t="str" cm="1">
        <f t="array" ref="D57">INDEX('Rad-2'!$B$2:$J$100,1+B57,C57)</f>
        <v>* differential.element[3].min = 0</v>
      </c>
    </row>
    <row r="58" spans="1:4" x14ac:dyDescent="0.75">
      <c r="A58" s="32">
        <v>24</v>
      </c>
      <c r="B58" s="32">
        <f t="shared" si="0"/>
        <v>2</v>
      </c>
      <c r="C58" s="32">
        <f t="shared" si="1"/>
        <v>6</v>
      </c>
      <c r="D58" s="38" t="str" cm="1">
        <f t="array" ref="D58">INDEX('Rad-2'!$B$2:$J$100,1+B58,C58)</f>
        <v>* differential.element[3].max = "5"</v>
      </c>
    </row>
    <row r="59" spans="1:4" x14ac:dyDescent="0.75">
      <c r="A59" s="32">
        <v>25</v>
      </c>
      <c r="B59" s="32">
        <f t="shared" si="0"/>
        <v>2</v>
      </c>
      <c r="C59" s="32">
        <f t="shared" si="1"/>
        <v>7</v>
      </c>
      <c r="D59" s="38" t="str" cm="1">
        <f t="array" ref="D59">INDEX('Rad-2'!$B$2:$J$100,1+B59,C59)</f>
        <v>* differential.element[3].type.code = #BackboneElement</v>
      </c>
    </row>
    <row r="60" spans="1:4" x14ac:dyDescent="0.75">
      <c r="A60" s="32">
        <v>26</v>
      </c>
      <c r="B60" s="32">
        <f t="shared" si="0"/>
        <v>2</v>
      </c>
      <c r="C60" s="32">
        <f t="shared" si="1"/>
        <v>8</v>
      </c>
      <c r="D60" s="38" t="str" cm="1">
        <f t="array" ref="D60">INDEX('Rad-2'!$B$2:$J$100,1+B60,C60)</f>
        <v/>
      </c>
    </row>
    <row r="61" spans="1:4" x14ac:dyDescent="0.75">
      <c r="A61" s="32">
        <v>27</v>
      </c>
      <c r="B61" s="32">
        <f t="shared" si="0"/>
        <v>2</v>
      </c>
      <c r="C61" s="32">
        <f t="shared" si="1"/>
        <v>9</v>
      </c>
      <c r="D61" s="38" t="str" cm="1">
        <f t="array" ref="D61">INDEX('Rad-2'!$B$2:$J$100,1+B61,C61)</f>
        <v/>
      </c>
    </row>
    <row r="62" spans="1:4" x14ac:dyDescent="0.75">
      <c r="A62" s="32">
        <v>28</v>
      </c>
      <c r="B62" s="32">
        <f t="shared" si="0"/>
        <v>3</v>
      </c>
      <c r="C62" s="32">
        <f t="shared" si="1"/>
        <v>1</v>
      </c>
      <c r="D62" s="38" t="str" cm="1">
        <f t="array" ref="D62">INDEX('Rad-2'!$B$2:$J$100,1+B62,C62)</f>
        <v>* differential.element[4].id = "Radiotherapy.target.site"</v>
      </c>
    </row>
    <row r="63" spans="1:4" x14ac:dyDescent="0.75">
      <c r="A63" s="32">
        <v>29</v>
      </c>
      <c r="B63" s="32">
        <f t="shared" si="0"/>
        <v>3</v>
      </c>
      <c r="C63" s="32">
        <f t="shared" si="1"/>
        <v>2</v>
      </c>
      <c r="D63" s="38" t="str" cm="1">
        <f t="array" ref="D63">INDEX('Rad-2'!$B$2:$J$100,1+B63,C63)</f>
        <v>* differential.element[4].path = "Radiotherapy.target.site"</v>
      </c>
    </row>
    <row r="64" spans="1:4" x14ac:dyDescent="0.75">
      <c r="A64" s="32">
        <v>30</v>
      </c>
      <c r="B64" s="32">
        <f t="shared" si="0"/>
        <v>3</v>
      </c>
      <c r="C64" s="32">
        <f t="shared" si="1"/>
        <v>3</v>
      </c>
      <c r="D64" s="38" t="str" cm="1">
        <f t="array" ref="D64">INDEX('Rad-2'!$B$2:$J$100,1+B64,C64)</f>
        <v>* differential.element[4].short = "Body Site"</v>
      </c>
    </row>
    <row r="65" spans="1:4" ht="118" x14ac:dyDescent="0.75">
      <c r="A65" s="32">
        <v>31</v>
      </c>
      <c r="B65" s="32">
        <f t="shared" si="0"/>
        <v>3</v>
      </c>
      <c r="C65" s="32">
        <f t="shared" si="1"/>
        <v>4</v>
      </c>
      <c r="D65" s="38" t="str" cm="1">
        <f t="array" ref="D65">INDEX('Rad-2'!$B$2:$J$100,1+B65,C65)</f>
        <v>* differential.element[4].definition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66" spans="1:4" x14ac:dyDescent="0.75">
      <c r="A66" s="32">
        <v>32</v>
      </c>
      <c r="B66" s="32">
        <f t="shared" si="0"/>
        <v>3</v>
      </c>
      <c r="C66" s="32">
        <f t="shared" si="1"/>
        <v>5</v>
      </c>
      <c r="D66" s="38" t="str" cm="1">
        <f t="array" ref="D66">INDEX('Rad-2'!$B$2:$J$100,1+B66,C66)</f>
        <v>* differential.element[4].min = 1</v>
      </c>
    </row>
    <row r="67" spans="1:4" x14ac:dyDescent="0.75">
      <c r="A67" s="32">
        <v>33</v>
      </c>
      <c r="B67" s="32">
        <f t="shared" si="0"/>
        <v>3</v>
      </c>
      <c r="C67" s="32">
        <f t="shared" si="1"/>
        <v>6</v>
      </c>
      <c r="D67" s="38" t="str" cm="1">
        <f t="array" ref="D67">INDEX('Rad-2'!$B$2:$J$100,1+B67,C67)</f>
        <v>* differential.element[4].max = "1"</v>
      </c>
    </row>
    <row r="68" spans="1:4" x14ac:dyDescent="0.75">
      <c r="A68" s="32">
        <v>34</v>
      </c>
      <c r="B68" s="32">
        <f t="shared" si="0"/>
        <v>3</v>
      </c>
      <c r="C68" s="32">
        <f t="shared" si="1"/>
        <v>7</v>
      </c>
      <c r="D68" s="38" t="str" cm="1">
        <f t="array" ref="D68">INDEX('Rad-2'!$B$2:$J$100,1+B68,C68)</f>
        <v>* differential.element[4].type.code = #CodeableConcept</v>
      </c>
    </row>
    <row r="69" spans="1:4" x14ac:dyDescent="0.75">
      <c r="A69" s="32">
        <v>35</v>
      </c>
      <c r="B69" s="32">
        <f t="shared" si="0"/>
        <v>3</v>
      </c>
      <c r="C69" s="32">
        <f t="shared" si="1"/>
        <v>8</v>
      </c>
      <c r="D69" s="38" t="str" cm="1">
        <f t="array" ref="D69">INDEX('Rad-2'!$B$2:$J$100,1+B69,C69)</f>
        <v>* differential.element[4].binding.valueSet = "http://hl7.eu/fhir/ig/pcsp/ValueSet/vs-radiotherapy-pcsp</v>
      </c>
    </row>
    <row r="70" spans="1:4" x14ac:dyDescent="0.75">
      <c r="A70" s="32">
        <v>36</v>
      </c>
      <c r="B70" s="32">
        <f t="shared" si="0"/>
        <v>3</v>
      </c>
      <c r="C70" s="32">
        <f t="shared" si="1"/>
        <v>9</v>
      </c>
      <c r="D70" s="38" t="str" cm="1">
        <f t="array" ref="D70">INDEX('Rad-2'!$B$2:$J$100,1+B70,C70)</f>
        <v>* differential.element[4].binding.strength = #required</v>
      </c>
    </row>
    <row r="71" spans="1:4" x14ac:dyDescent="0.75">
      <c r="A71" s="32">
        <v>37</v>
      </c>
      <c r="B71" s="32">
        <f t="shared" si="0"/>
        <v>4</v>
      </c>
      <c r="C71" s="32">
        <f t="shared" si="1"/>
        <v>1</v>
      </c>
      <c r="D71" s="38" t="str" cm="1">
        <f t="array" ref="D71">INDEX('Rad-2'!$B$2:$J$100,1+B71,C71)</f>
        <v>* differential.element[5].id = "Radiotherapy.target.comulativeDose"</v>
      </c>
    </row>
    <row r="72" spans="1:4" x14ac:dyDescent="0.75">
      <c r="A72" s="32">
        <v>38</v>
      </c>
      <c r="B72" s="32">
        <f t="shared" si="0"/>
        <v>4</v>
      </c>
      <c r="C72" s="32">
        <f t="shared" si="1"/>
        <v>2</v>
      </c>
      <c r="D72" s="38" t="str" cm="1">
        <f t="array" ref="D72">INDEX('Rad-2'!$B$2:$J$100,1+B72,C72)</f>
        <v>* differential.element[5].path = "Radiotherapy.target.comulativeDose"</v>
      </c>
    </row>
    <row r="73" spans="1:4" x14ac:dyDescent="0.75">
      <c r="A73" s="32">
        <v>39</v>
      </c>
      <c r="B73" s="32">
        <f t="shared" si="0"/>
        <v>4</v>
      </c>
      <c r="C73" s="32">
        <f t="shared" si="1"/>
        <v>3</v>
      </c>
      <c r="D73" s="38" t="str" cm="1">
        <f t="array" ref="D73">INDEX('Rad-2'!$B$2:$J$100,1+B73,C73)</f>
        <v>* differential.element[5].short = "Comulative dose"</v>
      </c>
    </row>
    <row r="74" spans="1:4" ht="29.5" x14ac:dyDescent="0.75">
      <c r="A74" s="32">
        <v>40</v>
      </c>
      <c r="B74" s="32">
        <f t="shared" si="0"/>
        <v>4</v>
      </c>
      <c r="C74" s="32">
        <f t="shared" si="1"/>
        <v>4</v>
      </c>
      <c r="D74" s="38" t="str" cm="1">
        <f t="array" ref="D74">INDEX('Rad-2'!$B$2:$J$100,1+B74,C74)</f>
        <v>* differential.element[5].definition = "Specify the cumulative / total dose given to the primary radiation therapy site.
If the dose is not known, write NK."</v>
      </c>
    </row>
    <row r="75" spans="1:4" x14ac:dyDescent="0.75">
      <c r="A75" s="32">
        <v>41</v>
      </c>
      <c r="B75" s="32">
        <f t="shared" si="0"/>
        <v>4</v>
      </c>
      <c r="C75" s="32">
        <f t="shared" si="1"/>
        <v>5</v>
      </c>
      <c r="D75" s="38" t="str" cm="1">
        <f t="array" ref="D75">INDEX('Rad-2'!$B$2:$J$100,1+B75,C75)</f>
        <v>* differential.element[5].min = 0</v>
      </c>
    </row>
    <row r="76" spans="1:4" x14ac:dyDescent="0.75">
      <c r="A76" s="32">
        <v>42</v>
      </c>
      <c r="B76" s="32">
        <f t="shared" si="0"/>
        <v>4</v>
      </c>
      <c r="C76" s="32">
        <f t="shared" si="1"/>
        <v>6</v>
      </c>
      <c r="D76" s="38" t="str" cm="1">
        <f t="array" ref="D76">INDEX('Rad-2'!$B$2:$J$100,1+B76,C76)</f>
        <v>* differential.element[5].max = "1"</v>
      </c>
    </row>
    <row r="77" spans="1:4" x14ac:dyDescent="0.75">
      <c r="A77" s="32">
        <v>43</v>
      </c>
      <c r="B77" s="32">
        <f t="shared" si="0"/>
        <v>4</v>
      </c>
      <c r="C77" s="32">
        <f t="shared" si="1"/>
        <v>7</v>
      </c>
      <c r="D77" s="38" t="str" cm="1">
        <f t="array" ref="D77">INDEX('Rad-2'!$B$2:$J$100,1+B77,C77)</f>
        <v>* differential.element[5].type.code = #BackboneElement</v>
      </c>
    </row>
    <row r="78" spans="1:4" x14ac:dyDescent="0.75">
      <c r="A78" s="32">
        <v>44</v>
      </c>
      <c r="B78" s="32">
        <f t="shared" si="0"/>
        <v>4</v>
      </c>
      <c r="C78" s="32">
        <f t="shared" si="1"/>
        <v>8</v>
      </c>
      <c r="D78" s="38" t="str" cm="1">
        <f t="array" ref="D78">INDEX('Rad-2'!$B$2:$J$100,1+B78,C78)</f>
        <v/>
      </c>
    </row>
    <row r="79" spans="1:4" x14ac:dyDescent="0.75">
      <c r="A79" s="32">
        <v>45</v>
      </c>
      <c r="B79" s="32">
        <f t="shared" si="0"/>
        <v>4</v>
      </c>
      <c r="C79" s="32">
        <f t="shared" si="1"/>
        <v>9</v>
      </c>
      <c r="D79" s="38" t="str" cm="1">
        <f t="array" ref="D79">INDEX('Rad-2'!$B$2:$J$100,1+B79,C79)</f>
        <v/>
      </c>
    </row>
    <row r="80" spans="1:4" x14ac:dyDescent="0.75">
      <c r="A80" s="32">
        <v>46</v>
      </c>
      <c r="B80" s="32">
        <f t="shared" si="0"/>
        <v>5</v>
      </c>
      <c r="C80" s="32">
        <f t="shared" si="1"/>
        <v>1</v>
      </c>
      <c r="D80" s="38" t="str" cm="1">
        <f t="array" ref="D80">INDEX('Rad-2'!$B$2:$J$100,1+B80,C80)</f>
        <v>* differential.element[6].id = "Radiotherapy.target.comulativeDose.notKnown"</v>
      </c>
    </row>
    <row r="81" spans="1:7" x14ac:dyDescent="0.75">
      <c r="A81" s="32">
        <v>47</v>
      </c>
      <c r="B81" s="32">
        <f t="shared" si="0"/>
        <v>5</v>
      </c>
      <c r="C81" s="32">
        <f t="shared" si="1"/>
        <v>2</v>
      </c>
      <c r="D81" s="38" t="str" cm="1">
        <f t="array" ref="D81">INDEX('Rad-2'!$B$2:$J$100,1+B81,C81)</f>
        <v>* differential.element[6].path = "Radiotherapy.target.comulativeDose.notKnown"</v>
      </c>
    </row>
    <row r="82" spans="1:7" x14ac:dyDescent="0.75">
      <c r="A82" s="32">
        <v>48</v>
      </c>
      <c r="B82" s="32">
        <f t="shared" si="0"/>
        <v>5</v>
      </c>
      <c r="C82" s="32">
        <f t="shared" si="1"/>
        <v>3</v>
      </c>
      <c r="D82" s="38" t="str" cm="1">
        <f t="array" ref="D82">INDEX('Rad-2'!$B$2:$J$100,1+B82,C82)</f>
        <v>* differential.element[6].short = "Not known dose"</v>
      </c>
    </row>
    <row r="83" spans="1:7" x14ac:dyDescent="0.75">
      <c r="A83" s="32">
        <v>49</v>
      </c>
      <c r="B83" s="32">
        <f t="shared" si="0"/>
        <v>5</v>
      </c>
      <c r="C83" s="32">
        <f t="shared" si="1"/>
        <v>4</v>
      </c>
      <c r="D83" s="38" t="str" cm="1">
        <f t="array" ref="D83">INDEX('Rad-2'!$B$2:$J$100,1+B83,C83)</f>
        <v>* differential.element[6].definition = "Not known dose"</v>
      </c>
    </row>
    <row r="84" spans="1:7" x14ac:dyDescent="0.75">
      <c r="A84" s="32">
        <v>50</v>
      </c>
      <c r="B84" s="32">
        <f t="shared" si="0"/>
        <v>5</v>
      </c>
      <c r="C84" s="32">
        <f t="shared" si="1"/>
        <v>5</v>
      </c>
      <c r="D84" s="38" t="str" cm="1">
        <f t="array" ref="D84">INDEX('Rad-2'!$B$2:$J$100,1+B84,C84)</f>
        <v>* differential.element[6].min = 0</v>
      </c>
    </row>
    <row r="85" spans="1:7" x14ac:dyDescent="0.75">
      <c r="A85" s="32">
        <v>51</v>
      </c>
      <c r="B85" s="32">
        <f t="shared" si="0"/>
        <v>5</v>
      </c>
      <c r="C85" s="32">
        <f t="shared" si="1"/>
        <v>6</v>
      </c>
      <c r="D85" s="38" t="str" cm="1">
        <f t="array" ref="D85">INDEX('Rad-2'!$B$2:$J$100,1+B85,C85)</f>
        <v>* differential.element[6].max = "1"</v>
      </c>
    </row>
    <row r="86" spans="1:7" x14ac:dyDescent="0.75">
      <c r="A86" s="32">
        <v>52</v>
      </c>
      <c r="B86" s="32">
        <f t="shared" si="0"/>
        <v>5</v>
      </c>
      <c r="C86" s="32">
        <f t="shared" si="1"/>
        <v>7</v>
      </c>
      <c r="D86" s="38" t="str" cm="1">
        <f t="array" ref="D86">INDEX('Rad-2'!$B$2:$J$100,1+B86,C86)</f>
        <v>* differential.element[6].type.code = #CodeableConcept</v>
      </c>
    </row>
    <row r="87" spans="1:7" x14ac:dyDescent="0.75">
      <c r="A87" s="32">
        <v>53</v>
      </c>
      <c r="B87" s="32">
        <f t="shared" si="0"/>
        <v>5</v>
      </c>
      <c r="C87" s="32">
        <f t="shared" si="1"/>
        <v>8</v>
      </c>
      <c r="D87" s="38" t="str" cm="1">
        <f t="array" ref="D87">INDEX('Rad-2'!$B$2:$J$100,1+B87,C87)</f>
        <v/>
      </c>
      <c r="G87" s="16"/>
    </row>
    <row r="88" spans="1:7" x14ac:dyDescent="0.75">
      <c r="A88" s="32">
        <v>54</v>
      </c>
      <c r="B88" s="32">
        <f t="shared" si="0"/>
        <v>5</v>
      </c>
      <c r="C88" s="32">
        <f t="shared" si="1"/>
        <v>9</v>
      </c>
      <c r="D88" s="38" t="str" cm="1">
        <f t="array" ref="D88">INDEX('Rad-2'!$B$2:$J$100,1+B88,C88)</f>
        <v/>
      </c>
    </row>
    <row r="89" spans="1:7" x14ac:dyDescent="0.75">
      <c r="A89" s="32">
        <v>55</v>
      </c>
      <c r="B89" s="32">
        <f t="shared" si="0"/>
        <v>6</v>
      </c>
      <c r="C89" s="32">
        <f t="shared" si="1"/>
        <v>1</v>
      </c>
      <c r="D89" s="38" t="str" cm="1">
        <f t="array" ref="D89">INDEX('Rad-2'!$B$2:$J$100,1+B89,C89)</f>
        <v>* differential.element[7].id = "Radiotherapy.target.comulativeDose.dose"</v>
      </c>
    </row>
    <row r="90" spans="1:7" x14ac:dyDescent="0.75">
      <c r="A90" s="32">
        <v>56</v>
      </c>
      <c r="B90" s="32">
        <f t="shared" si="0"/>
        <v>6</v>
      </c>
      <c r="C90" s="32">
        <f t="shared" si="1"/>
        <v>2</v>
      </c>
      <c r="D90" s="38" t="str" cm="1">
        <f t="array" ref="D90">INDEX('Rad-2'!$B$2:$J$100,1+B90,C90)</f>
        <v>* differential.element[7].path = "Radiotherapy.target.comulativeDose.dose"</v>
      </c>
    </row>
    <row r="91" spans="1:7" x14ac:dyDescent="0.75">
      <c r="A91" s="32">
        <v>57</v>
      </c>
      <c r="B91" s="32">
        <f t="shared" si="0"/>
        <v>6</v>
      </c>
      <c r="C91" s="32">
        <f t="shared" si="1"/>
        <v>3</v>
      </c>
      <c r="D91" s="38" t="str" cm="1">
        <f t="array" ref="D91">INDEX('Rad-2'!$B$2:$J$100,1+B91,C91)</f>
        <v>* differential.element[7].short = "Dose"</v>
      </c>
    </row>
    <row r="92" spans="1:7" x14ac:dyDescent="0.75">
      <c r="A92" s="32">
        <v>58</v>
      </c>
      <c r="B92" s="32">
        <f t="shared" si="0"/>
        <v>6</v>
      </c>
      <c r="C92" s="32">
        <f t="shared" si="1"/>
        <v>4</v>
      </c>
      <c r="D92" s="38" t="str" cm="1">
        <f t="array" ref="D92">INDEX('Rad-2'!$B$2:$J$100,1+B92,C92)</f>
        <v>* differential.element[7].definition = "Specify the cumulative / total dose given to the primary radiation therapy site."</v>
      </c>
    </row>
    <row r="93" spans="1:7" x14ac:dyDescent="0.75">
      <c r="A93" s="32">
        <v>59</v>
      </c>
      <c r="B93" s="32">
        <f t="shared" si="0"/>
        <v>6</v>
      </c>
      <c r="C93" s="32">
        <f t="shared" si="1"/>
        <v>5</v>
      </c>
      <c r="D93" s="38" t="str" cm="1">
        <f t="array" ref="D93">INDEX('Rad-2'!$B$2:$J$100,1+B93,C93)</f>
        <v>* differential.element[7].min = 0</v>
      </c>
    </row>
    <row r="94" spans="1:7" x14ac:dyDescent="0.75">
      <c r="A94" s="32">
        <v>60</v>
      </c>
      <c r="B94" s="32">
        <f t="shared" si="0"/>
        <v>6</v>
      </c>
      <c r="C94" s="32">
        <f t="shared" si="1"/>
        <v>6</v>
      </c>
      <c r="D94" s="38" t="str" cm="1">
        <f t="array" ref="D94">INDEX('Rad-2'!$B$2:$J$100,1+B94,C94)</f>
        <v>* differential.element[7].max = "1"</v>
      </c>
    </row>
    <row r="95" spans="1:7" x14ac:dyDescent="0.75">
      <c r="A95" s="32">
        <v>61</v>
      </c>
      <c r="B95" s="32">
        <f t="shared" si="0"/>
        <v>6</v>
      </c>
      <c r="C95" s="32">
        <f t="shared" si="1"/>
        <v>7</v>
      </c>
      <c r="D95" s="38" t="str" cm="1">
        <f t="array" ref="D95">INDEX('Rad-2'!$B$2:$J$100,1+B95,C95)</f>
        <v>* differential.element[7].type.code = #decimal</v>
      </c>
    </row>
    <row r="96" spans="1:7" x14ac:dyDescent="0.75">
      <c r="A96" s="32">
        <v>62</v>
      </c>
      <c r="B96" s="32">
        <f t="shared" si="0"/>
        <v>6</v>
      </c>
      <c r="C96" s="32">
        <f t="shared" si="1"/>
        <v>8</v>
      </c>
      <c r="D96" s="38" t="str" cm="1">
        <f t="array" ref="D96">INDEX('Rad-2'!$B$2:$J$100,1+B96,C96)</f>
        <v/>
      </c>
    </row>
    <row r="97" spans="1:4" x14ac:dyDescent="0.75">
      <c r="A97" s="32">
        <v>63</v>
      </c>
      <c r="B97" s="32">
        <f t="shared" si="0"/>
        <v>6</v>
      </c>
      <c r="C97" s="32">
        <f t="shared" si="1"/>
        <v>9</v>
      </c>
      <c r="D97" s="38" t="str" cm="1">
        <f t="array" ref="D97">INDEX('Rad-2'!$B$2:$J$100,1+B97,C97)</f>
        <v/>
      </c>
    </row>
    <row r="98" spans="1:4" x14ac:dyDescent="0.75">
      <c r="A98" s="32">
        <v>64</v>
      </c>
      <c r="B98" s="32">
        <f t="shared" si="0"/>
        <v>7</v>
      </c>
      <c r="C98" s="32">
        <f t="shared" si="1"/>
        <v>1</v>
      </c>
      <c r="D98" s="38" t="str" cm="1">
        <f t="array" ref="D98">INDEX('Rad-2'!$B$2:$J$100,1+B98,C98)</f>
        <v>* differential.element[8].id = "Radiotherapy.target.comulativeDose.unit"</v>
      </c>
    </row>
    <row r="99" spans="1:4" x14ac:dyDescent="0.75">
      <c r="A99" s="32">
        <v>65</v>
      </c>
      <c r="B99" s="32">
        <f t="shared" si="0"/>
        <v>7</v>
      </c>
      <c r="C99" s="32">
        <f t="shared" si="1"/>
        <v>2</v>
      </c>
      <c r="D99" s="38" t="str" cm="1">
        <f t="array" ref="D99">INDEX('Rad-2'!$B$2:$J$100,1+B99,C99)</f>
        <v>* differential.element[8].path = "Radiotherapy.target.comulativeDose.unit"</v>
      </c>
    </row>
    <row r="100" spans="1:4" x14ac:dyDescent="0.75">
      <c r="A100" s="32">
        <v>66</v>
      </c>
      <c r="B100" s="32">
        <f t="shared" ref="B100:B163" si="2">IF(MOD(A100,$B$25)=0,A100/$B$25-1,INT(A100/$B$25))</f>
        <v>7</v>
      </c>
      <c r="C100" s="32">
        <f t="shared" ref="C100:C163" si="3">IF(MOD(A100,$B$25)=0,$B$25,MOD(A100,$B$25))</f>
        <v>3</v>
      </c>
      <c r="D100" s="38" t="str" cm="1">
        <f t="array" ref="D100">INDEX('Rad-2'!$B$2:$J$100,1+B100,C100)</f>
        <v>* differential.element[8].short = "Measure unit"</v>
      </c>
    </row>
    <row r="101" spans="1:4" ht="29.5" x14ac:dyDescent="0.75">
      <c r="A101" s="32">
        <v>67</v>
      </c>
      <c r="B101" s="32">
        <f t="shared" si="2"/>
        <v>7</v>
      </c>
      <c r="C101" s="32">
        <f t="shared" si="3"/>
        <v>4</v>
      </c>
      <c r="D101" s="38" t="str" cm="1">
        <f t="array" ref="D101">INDEX('Rad-2'!$B$2:$J$100,1+B101,C101)</f>
        <v>* differential.element[8].definition = "External Beam Radiation Therapy (EBRT) and Brachytherapy doses are in Gy. If doses are reported in cGY, roughly two zeroes need to be deleted (e.g. 100 cGy = 1 Gy)."</v>
      </c>
    </row>
    <row r="102" spans="1:4" x14ac:dyDescent="0.75">
      <c r="A102" s="32">
        <v>68</v>
      </c>
      <c r="B102" s="32">
        <f t="shared" si="2"/>
        <v>7</v>
      </c>
      <c r="C102" s="32">
        <f t="shared" si="3"/>
        <v>5</v>
      </c>
      <c r="D102" s="38" t="str" cm="1">
        <f t="array" ref="D102">INDEX('Rad-2'!$B$2:$J$100,1+B102,C102)</f>
        <v>* differential.element[8].min = 0</v>
      </c>
    </row>
    <row r="103" spans="1:4" x14ac:dyDescent="0.75">
      <c r="A103" s="32">
        <v>69</v>
      </c>
      <c r="B103" s="32">
        <f t="shared" si="2"/>
        <v>7</v>
      </c>
      <c r="C103" s="32">
        <f t="shared" si="3"/>
        <v>6</v>
      </c>
      <c r="D103" s="38" t="str" cm="1">
        <f t="array" ref="D103">INDEX('Rad-2'!$B$2:$J$100,1+B103,C103)</f>
        <v>* differential.element[8].max = "1"</v>
      </c>
    </row>
    <row r="104" spans="1:4" x14ac:dyDescent="0.75">
      <c r="A104" s="32">
        <v>70</v>
      </c>
      <c r="B104" s="32">
        <f t="shared" si="2"/>
        <v>7</v>
      </c>
      <c r="C104" s="32">
        <f t="shared" si="3"/>
        <v>7</v>
      </c>
      <c r="D104" s="38" t="str" cm="1">
        <f t="array" ref="D104">INDEX('Rad-2'!$B$2:$J$100,1+B104,C104)</f>
        <v>* differential.element[8].type.code = #CodeableConcept</v>
      </c>
    </row>
    <row r="105" spans="1:4" x14ac:dyDescent="0.75">
      <c r="A105" s="32">
        <v>71</v>
      </c>
      <c r="B105" s="32">
        <f t="shared" si="2"/>
        <v>7</v>
      </c>
      <c r="C105" s="32">
        <f t="shared" si="3"/>
        <v>8</v>
      </c>
      <c r="D105" s="38" t="str" cm="1">
        <f t="array" ref="D105">INDEX('Rad-2'!$B$2:$J$100,1+B105,C105)</f>
        <v/>
      </c>
    </row>
    <row r="106" spans="1:4" x14ac:dyDescent="0.75">
      <c r="A106" s="32">
        <v>72</v>
      </c>
      <c r="B106" s="32">
        <f t="shared" si="2"/>
        <v>7</v>
      </c>
      <c r="C106" s="32">
        <f t="shared" si="3"/>
        <v>9</v>
      </c>
      <c r="D106" s="38" t="str" cm="1">
        <f t="array" ref="D106">INDEX('Rad-2'!$B$2:$J$100,1+B106,C106)</f>
        <v/>
      </c>
    </row>
    <row r="107" spans="1:4" x14ac:dyDescent="0.75">
      <c r="A107" s="32">
        <v>73</v>
      </c>
      <c r="B107" s="32">
        <f t="shared" si="2"/>
        <v>8</v>
      </c>
      <c r="C107" s="32">
        <f t="shared" si="3"/>
        <v>1</v>
      </c>
      <c r="D107" s="38" t="str" cm="1">
        <f t="array" ref="D107">INDEX('Rad-2'!$B$2:$J$100,1+B107,C107)</f>
        <v>* differential.element[9].id = "Radiotherapy.target.boost"</v>
      </c>
    </row>
    <row r="108" spans="1:4" x14ac:dyDescent="0.75">
      <c r="A108" s="32">
        <v>74</v>
      </c>
      <c r="B108" s="32">
        <f t="shared" si="2"/>
        <v>8</v>
      </c>
      <c r="C108" s="32">
        <f t="shared" si="3"/>
        <v>2</v>
      </c>
      <c r="D108" s="38" t="str" cm="1">
        <f t="array" ref="D108">INDEX('Rad-2'!$B$2:$J$100,1+B108,C108)</f>
        <v>* differential.element[9].path = "Radiotherapy.target.boost"</v>
      </c>
    </row>
    <row r="109" spans="1:4" x14ac:dyDescent="0.75">
      <c r="A109" s="32">
        <v>75</v>
      </c>
      <c r="B109" s="32">
        <f t="shared" si="2"/>
        <v>8</v>
      </c>
      <c r="C109" s="32">
        <f t="shared" si="3"/>
        <v>3</v>
      </c>
      <c r="D109" s="38" t="str" cm="1">
        <f t="array" ref="D109">INDEX('Rad-2'!$B$2:$J$100,1+B109,C109)</f>
        <v>* differential.element[9].short = "Boost"</v>
      </c>
    </row>
    <row r="110" spans="1:4" ht="29.5" x14ac:dyDescent="0.75">
      <c r="A110" s="32">
        <v>76</v>
      </c>
      <c r="B110" s="32">
        <f t="shared" si="2"/>
        <v>8</v>
      </c>
      <c r="C110" s="32">
        <f t="shared" si="3"/>
        <v>4</v>
      </c>
      <c r="D110" s="38" t="str" cm="1">
        <f t="array" ref="D110">INDEX('Rad-2'!$B$2:$J$100,1+B110,C110)</f>
        <v>* differential.element[9].definition = "A boost is an extra dose of radiotherapy directed to a smaller area inside the primary radiation field.
"</v>
      </c>
    </row>
    <row r="111" spans="1:4" x14ac:dyDescent="0.75">
      <c r="A111" s="32">
        <v>77</v>
      </c>
      <c r="B111" s="32">
        <f t="shared" si="2"/>
        <v>8</v>
      </c>
      <c r="C111" s="32">
        <f t="shared" si="3"/>
        <v>5</v>
      </c>
      <c r="D111" s="38" t="str" cm="1">
        <f t="array" ref="D111">INDEX('Rad-2'!$B$2:$J$100,1+B111,C111)</f>
        <v>* differential.element[9].min = 1</v>
      </c>
    </row>
    <row r="112" spans="1:4" x14ac:dyDescent="0.75">
      <c r="A112" s="32">
        <v>78</v>
      </c>
      <c r="B112" s="32">
        <f t="shared" si="2"/>
        <v>8</v>
      </c>
      <c r="C112" s="32">
        <f t="shared" si="3"/>
        <v>6</v>
      </c>
      <c r="D112" s="38" t="str" cm="1">
        <f t="array" ref="D112">INDEX('Rad-2'!$B$2:$J$100,1+B112,C112)</f>
        <v>* differential.element[9].max = "1"</v>
      </c>
    </row>
    <row r="113" spans="1:4" x14ac:dyDescent="0.75">
      <c r="A113" s="32">
        <v>79</v>
      </c>
      <c r="B113" s="32">
        <f t="shared" si="2"/>
        <v>8</v>
      </c>
      <c r="C113" s="32">
        <f t="shared" si="3"/>
        <v>7</v>
      </c>
      <c r="D113" s="38" t="str" cm="1">
        <f t="array" ref="D113">INDEX('Rad-2'!$B$2:$J$100,1+B113,C113)</f>
        <v>* differential.element[9].type.code = #BackboneElement</v>
      </c>
    </row>
    <row r="114" spans="1:4" x14ac:dyDescent="0.75">
      <c r="A114" s="32">
        <v>80</v>
      </c>
      <c r="B114" s="32">
        <f t="shared" si="2"/>
        <v>8</v>
      </c>
      <c r="C114" s="32">
        <f t="shared" si="3"/>
        <v>8</v>
      </c>
      <c r="D114" s="38" t="str" cm="1">
        <f t="array" ref="D114">INDEX('Rad-2'!$B$2:$J$100,1+B114,C114)</f>
        <v/>
      </c>
    </row>
    <row r="115" spans="1:4" x14ac:dyDescent="0.75">
      <c r="A115" s="32">
        <v>81</v>
      </c>
      <c r="B115" s="32">
        <f t="shared" si="2"/>
        <v>8</v>
      </c>
      <c r="C115" s="32">
        <f t="shared" si="3"/>
        <v>9</v>
      </c>
      <c r="D115" s="38" t="str" cm="1">
        <f t="array" ref="D115">INDEX('Rad-2'!$B$2:$J$100,1+B115,C115)</f>
        <v/>
      </c>
    </row>
    <row r="116" spans="1:4" x14ac:dyDescent="0.75">
      <c r="A116" s="32">
        <v>82</v>
      </c>
      <c r="B116" s="32">
        <f t="shared" si="2"/>
        <v>9</v>
      </c>
      <c r="C116" s="32">
        <f t="shared" si="3"/>
        <v>1</v>
      </c>
      <c r="D116" s="38" t="str" cm="1">
        <f t="array" ref="D116">INDEX('Rad-2'!$B$2:$J$100,1+B116,C116)</f>
        <v>* differential.element[10].id = "Radiotherapy.target.boost.given"</v>
      </c>
    </row>
    <row r="117" spans="1:4" x14ac:dyDescent="0.75">
      <c r="A117" s="32">
        <v>83</v>
      </c>
      <c r="B117" s="32">
        <f t="shared" si="2"/>
        <v>9</v>
      </c>
      <c r="C117" s="32">
        <f t="shared" si="3"/>
        <v>2</v>
      </c>
      <c r="D117" s="38" t="str" cm="1">
        <f t="array" ref="D117">INDEX('Rad-2'!$B$2:$J$100,1+B117,C117)</f>
        <v>* differential.element[10].path = "Radiotherapy.target.boost.given"</v>
      </c>
    </row>
    <row r="118" spans="1:4" x14ac:dyDescent="0.75">
      <c r="A118" s="32">
        <v>84</v>
      </c>
      <c r="B118" s="32">
        <f t="shared" si="2"/>
        <v>9</v>
      </c>
      <c r="C118" s="32">
        <f t="shared" si="3"/>
        <v>3</v>
      </c>
      <c r="D118" s="38" t="str" cm="1">
        <f t="array" ref="D118">INDEX('Rad-2'!$B$2:$J$100,1+B118,C118)</f>
        <v>* differential.element[10].short = "Boost given"</v>
      </c>
    </row>
    <row r="119" spans="1:4" ht="29.5" x14ac:dyDescent="0.75">
      <c r="A119" s="32">
        <v>85</v>
      </c>
      <c r="B119" s="32">
        <f t="shared" si="2"/>
        <v>9</v>
      </c>
      <c r="C119" s="32">
        <f t="shared" si="3"/>
        <v>4</v>
      </c>
      <c r="D119" s="38" t="str" cm="1">
        <f t="array" ref="D119">INDEX('Rad-2'!$B$2:$J$100,1+B119,C119)</f>
        <v>* differential.element[10].definition = "Flag indicating if a boost was given, not given or unknown
"</v>
      </c>
    </row>
    <row r="120" spans="1:4" x14ac:dyDescent="0.75">
      <c r="A120" s="32">
        <v>86</v>
      </c>
      <c r="B120" s="32">
        <f t="shared" si="2"/>
        <v>9</v>
      </c>
      <c r="C120" s="32">
        <f t="shared" si="3"/>
        <v>5</v>
      </c>
      <c r="D120" s="38" t="str" cm="1">
        <f t="array" ref="D120">INDEX('Rad-2'!$B$2:$J$100,1+B120,C120)</f>
        <v>* differential.element[10].min = 0</v>
      </c>
    </row>
    <row r="121" spans="1:4" x14ac:dyDescent="0.75">
      <c r="A121" s="32">
        <v>87</v>
      </c>
      <c r="B121" s="32">
        <f t="shared" si="2"/>
        <v>9</v>
      </c>
      <c r="C121" s="32">
        <f t="shared" si="3"/>
        <v>6</v>
      </c>
      <c r="D121" s="38" t="str" cm="1">
        <f t="array" ref="D121">INDEX('Rad-2'!$B$2:$J$100,1+B121,C121)</f>
        <v>* differential.element[10].max = "1"</v>
      </c>
    </row>
    <row r="122" spans="1:4" x14ac:dyDescent="0.75">
      <c r="A122" s="32">
        <v>88</v>
      </c>
      <c r="B122" s="32">
        <f t="shared" si="2"/>
        <v>9</v>
      </c>
      <c r="C122" s="32">
        <f t="shared" si="3"/>
        <v>7</v>
      </c>
      <c r="D122" s="38" t="str" cm="1">
        <f t="array" ref="D122">INDEX('Rad-2'!$B$2:$J$100,1+B122,C122)</f>
        <v>* differential.element[10].type.code = #CodeableConcept</v>
      </c>
    </row>
    <row r="123" spans="1:4" x14ac:dyDescent="0.75">
      <c r="A123" s="32">
        <v>89</v>
      </c>
      <c r="B123" s="32">
        <f t="shared" si="2"/>
        <v>9</v>
      </c>
      <c r="C123" s="32">
        <f t="shared" si="3"/>
        <v>8</v>
      </c>
      <c r="D123" s="38" t="str" cm="1">
        <f t="array" ref="D123">INDEX('Rad-2'!$B$2:$J$100,1+B123,C123)</f>
        <v/>
      </c>
    </row>
    <row r="124" spans="1:4" x14ac:dyDescent="0.75">
      <c r="A124" s="32">
        <v>90</v>
      </c>
      <c r="B124" s="32">
        <f t="shared" si="2"/>
        <v>9</v>
      </c>
      <c r="C124" s="32">
        <f t="shared" si="3"/>
        <v>9</v>
      </c>
      <c r="D124" s="38" t="str" cm="1">
        <f t="array" ref="D124">INDEX('Rad-2'!$B$2:$J$100,1+B124,C124)</f>
        <v/>
      </c>
    </row>
    <row r="125" spans="1:4" x14ac:dyDescent="0.75">
      <c r="A125" s="32">
        <v>91</v>
      </c>
      <c r="B125" s="32">
        <f t="shared" si="2"/>
        <v>10</v>
      </c>
      <c r="C125" s="32">
        <f t="shared" si="3"/>
        <v>1</v>
      </c>
      <c r="D125" s="38" t="str" cm="1">
        <f t="array" ref="D125">INDEX('Rad-2'!$B$2:$J$100,1+B125,C125)</f>
        <v>* differential.element[11].id = "Radiotherapy.target.boost.site"</v>
      </c>
    </row>
    <row r="126" spans="1:4" x14ac:dyDescent="0.75">
      <c r="A126" s="32">
        <v>92</v>
      </c>
      <c r="B126" s="32">
        <f t="shared" si="2"/>
        <v>10</v>
      </c>
      <c r="C126" s="32">
        <f t="shared" si="3"/>
        <v>2</v>
      </c>
      <c r="D126" s="38" t="str" cm="1">
        <f t="array" ref="D126">INDEX('Rad-2'!$B$2:$J$100,1+B126,C126)</f>
        <v>* differential.element[11].path = "Radiotherapy.target.boost.site"</v>
      </c>
    </row>
    <row r="127" spans="1:4" x14ac:dyDescent="0.75">
      <c r="A127" s="32">
        <v>93</v>
      </c>
      <c r="B127" s="32">
        <f t="shared" si="2"/>
        <v>10</v>
      </c>
      <c r="C127" s="32">
        <f t="shared" si="3"/>
        <v>3</v>
      </c>
      <c r="D127" s="38" t="str" cm="1">
        <f t="array" ref="D127">INDEX('Rad-2'!$B$2:$J$100,1+B127,C127)</f>
        <v>* differential.element[11].short = "Boost site"</v>
      </c>
    </row>
    <row r="128" spans="1:4" ht="59" x14ac:dyDescent="0.75">
      <c r="A128" s="32">
        <v>94</v>
      </c>
      <c r="B128" s="32">
        <f t="shared" si="2"/>
        <v>10</v>
      </c>
      <c r="C128" s="32">
        <f t="shared" si="3"/>
        <v>4</v>
      </c>
      <c r="D128" s="38" t="str" cm="1">
        <f t="array" ref="D128">INDEX('Rad-2'!$B$2:$J$100,1+B128,C128)</f>
        <v>* differential.element[11].definition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129" spans="1:4" x14ac:dyDescent="0.75">
      <c r="A129" s="32">
        <v>95</v>
      </c>
      <c r="B129" s="32">
        <f t="shared" si="2"/>
        <v>10</v>
      </c>
      <c r="C129" s="32">
        <f t="shared" si="3"/>
        <v>5</v>
      </c>
      <c r="D129" s="38" t="str" cm="1">
        <f t="array" ref="D129">INDEX('Rad-2'!$B$2:$J$100,1+B129,C129)</f>
        <v>* differential.element[11].min = 0</v>
      </c>
    </row>
    <row r="130" spans="1:4" x14ac:dyDescent="0.75">
      <c r="A130" s="32">
        <v>96</v>
      </c>
      <c r="B130" s="32">
        <f t="shared" si="2"/>
        <v>10</v>
      </c>
      <c r="C130" s="32">
        <f t="shared" si="3"/>
        <v>6</v>
      </c>
      <c r="D130" s="38" t="str" cm="1">
        <f t="array" ref="D130">INDEX('Rad-2'!$B$2:$J$100,1+B130,C130)</f>
        <v>* differential.element[11].max = "1"</v>
      </c>
    </row>
    <row r="131" spans="1:4" x14ac:dyDescent="0.75">
      <c r="A131" s="32">
        <v>97</v>
      </c>
      <c r="B131" s="32">
        <f t="shared" si="2"/>
        <v>10</v>
      </c>
      <c r="C131" s="32">
        <f t="shared" si="3"/>
        <v>7</v>
      </c>
      <c r="D131" s="38" t="str" cm="1">
        <f t="array" ref="D131">INDEX('Rad-2'!$B$2:$J$100,1+B131,C131)</f>
        <v>* differential.element[11].type.code = #CodeableConcept</v>
      </c>
    </row>
    <row r="132" spans="1:4" x14ac:dyDescent="0.75">
      <c r="A132" s="32">
        <v>98</v>
      </c>
      <c r="B132" s="32">
        <f t="shared" si="2"/>
        <v>10</v>
      </c>
      <c r="C132" s="32">
        <f t="shared" si="3"/>
        <v>8</v>
      </c>
      <c r="D132" s="38" t="str" cm="1">
        <f t="array" ref="D132">INDEX('Rad-2'!$B$2:$J$100,1+B132,C132)</f>
        <v>* differential.element[11].binding.valueSet = "http://hl7.eu/fhir/ig/pcsp/ValueSet/vs-radiotherapy-pcsp</v>
      </c>
    </row>
    <row r="133" spans="1:4" x14ac:dyDescent="0.75">
      <c r="A133" s="32">
        <v>99</v>
      </c>
      <c r="B133" s="32">
        <f t="shared" si="2"/>
        <v>10</v>
      </c>
      <c r="C133" s="32">
        <f t="shared" si="3"/>
        <v>9</v>
      </c>
      <c r="D133" s="38" t="str" cm="1">
        <f t="array" ref="D133">INDEX('Rad-2'!$B$2:$J$100,1+B133,C133)</f>
        <v>* differential.element[11].binding.strength = #required</v>
      </c>
    </row>
    <row r="134" spans="1:4" x14ac:dyDescent="0.75">
      <c r="A134" s="32">
        <v>100</v>
      </c>
      <c r="B134" s="32">
        <f t="shared" si="2"/>
        <v>11</v>
      </c>
      <c r="C134" s="32">
        <f t="shared" si="3"/>
        <v>1</v>
      </c>
      <c r="D134" s="38" t="str" cm="1">
        <f t="array" ref="D134">INDEX('Rad-2'!$B$2:$J$100,1+B134,C134)</f>
        <v>* differential.element[12].id = "Radiotherapy.target.boost.comulativeDose"</v>
      </c>
    </row>
    <row r="135" spans="1:4" x14ac:dyDescent="0.75">
      <c r="A135" s="32">
        <v>101</v>
      </c>
      <c r="B135" s="32">
        <f t="shared" si="2"/>
        <v>11</v>
      </c>
      <c r="C135" s="32">
        <f t="shared" si="3"/>
        <v>2</v>
      </c>
      <c r="D135" s="38" t="str" cm="1">
        <f t="array" ref="D135">INDEX('Rad-2'!$B$2:$J$100,1+B135,C135)</f>
        <v>* differential.element[12].path = "Radiotherapy.target.boost.comulativeDose"</v>
      </c>
    </row>
    <row r="136" spans="1:4" x14ac:dyDescent="0.75">
      <c r="A136" s="32">
        <v>102</v>
      </c>
      <c r="B136" s="32">
        <f t="shared" si="2"/>
        <v>11</v>
      </c>
      <c r="C136" s="32">
        <f t="shared" si="3"/>
        <v>3</v>
      </c>
      <c r="D136" s="38" t="str" cm="1">
        <f t="array" ref="D136">INDEX('Rad-2'!$B$2:$J$100,1+B136,C136)</f>
        <v>* differential.element[12].short = "Comulative dose"</v>
      </c>
    </row>
    <row r="137" spans="1:4" x14ac:dyDescent="0.75">
      <c r="A137" s="32">
        <v>103</v>
      </c>
      <c r="B137" s="32">
        <f t="shared" si="2"/>
        <v>11</v>
      </c>
      <c r="C137" s="32">
        <f t="shared" si="3"/>
        <v>4</v>
      </c>
      <c r="D137" s="38" t="str" cm="1">
        <f t="array" ref="D137">INDEX('Rad-2'!$B$2:$J$100,1+B137,C137)</f>
        <v>* differential.element[12].definition = "Specify the cumulative / total dose given to the boost site."</v>
      </c>
    </row>
    <row r="138" spans="1:4" x14ac:dyDescent="0.75">
      <c r="A138" s="32">
        <v>104</v>
      </c>
      <c r="B138" s="32">
        <f t="shared" si="2"/>
        <v>11</v>
      </c>
      <c r="C138" s="32">
        <f t="shared" si="3"/>
        <v>5</v>
      </c>
      <c r="D138" s="38" t="str" cm="1">
        <f t="array" ref="D138">INDEX('Rad-2'!$B$2:$J$100,1+B138,C138)</f>
        <v>* differential.element[12].min = 1</v>
      </c>
    </row>
    <row r="139" spans="1:4" x14ac:dyDescent="0.75">
      <c r="A139" s="32">
        <v>105</v>
      </c>
      <c r="B139" s="32">
        <f t="shared" si="2"/>
        <v>11</v>
      </c>
      <c r="C139" s="32">
        <f t="shared" si="3"/>
        <v>6</v>
      </c>
      <c r="D139" s="38" t="str" cm="1">
        <f t="array" ref="D139">INDEX('Rad-2'!$B$2:$J$100,1+B139,C139)</f>
        <v>* differential.element[12].max = "1"</v>
      </c>
    </row>
    <row r="140" spans="1:4" x14ac:dyDescent="0.75">
      <c r="A140" s="32">
        <v>106</v>
      </c>
      <c r="B140" s="32">
        <f t="shared" si="2"/>
        <v>11</v>
      </c>
      <c r="C140" s="32">
        <f t="shared" si="3"/>
        <v>7</v>
      </c>
      <c r="D140" s="38" t="str" cm="1">
        <f t="array" ref="D140">INDEX('Rad-2'!$B$2:$J$100,1+B140,C140)</f>
        <v>* differential.element[12].type.code = #BackboneElement</v>
      </c>
    </row>
    <row r="141" spans="1:4" x14ac:dyDescent="0.75">
      <c r="A141" s="32">
        <v>107</v>
      </c>
      <c r="B141" s="32">
        <f t="shared" si="2"/>
        <v>11</v>
      </c>
      <c r="C141" s="32">
        <f t="shared" si="3"/>
        <v>8</v>
      </c>
      <c r="D141" s="38" t="str" cm="1">
        <f t="array" ref="D141">INDEX('Rad-2'!$B$2:$J$100,1+B141,C141)</f>
        <v/>
      </c>
    </row>
    <row r="142" spans="1:4" x14ac:dyDescent="0.75">
      <c r="A142" s="32">
        <v>108</v>
      </c>
      <c r="B142" s="32">
        <f t="shared" si="2"/>
        <v>11</v>
      </c>
      <c r="C142" s="32">
        <f t="shared" si="3"/>
        <v>9</v>
      </c>
      <c r="D142" s="38" t="str" cm="1">
        <f t="array" ref="D142">INDEX('Rad-2'!$B$2:$J$100,1+B142,C142)</f>
        <v/>
      </c>
    </row>
    <row r="143" spans="1:4" x14ac:dyDescent="0.75">
      <c r="A143" s="32">
        <v>109</v>
      </c>
      <c r="B143" s="32">
        <f t="shared" si="2"/>
        <v>12</v>
      </c>
      <c r="C143" s="32">
        <f t="shared" si="3"/>
        <v>1</v>
      </c>
      <c r="D143" s="38" t="str" cm="1">
        <f t="array" ref="D143">INDEX('Rad-2'!$B$2:$J$100,1+B143,C143)</f>
        <v>* differential.element[13].id = "Radiotherapy.target.boost.comulativeDose.notKnown"</v>
      </c>
    </row>
    <row r="144" spans="1:4" x14ac:dyDescent="0.75">
      <c r="A144" s="32">
        <v>110</v>
      </c>
      <c r="B144" s="32">
        <f t="shared" si="2"/>
        <v>12</v>
      </c>
      <c r="C144" s="32">
        <f t="shared" si="3"/>
        <v>2</v>
      </c>
      <c r="D144" s="38" t="str" cm="1">
        <f t="array" ref="D144">INDEX('Rad-2'!$B$2:$J$100,1+B144,C144)</f>
        <v>* differential.element[13].path = "Radiotherapy.target.boost.comulativeDose.notKnown"</v>
      </c>
    </row>
    <row r="145" spans="1:4" x14ac:dyDescent="0.75">
      <c r="A145" s="32">
        <v>111</v>
      </c>
      <c r="B145" s="32">
        <f t="shared" si="2"/>
        <v>12</v>
      </c>
      <c r="C145" s="32">
        <f t="shared" si="3"/>
        <v>3</v>
      </c>
      <c r="D145" s="38" t="str" cm="1">
        <f t="array" ref="D145">INDEX('Rad-2'!$B$2:$J$100,1+B145,C145)</f>
        <v>* differential.element[13].short = "Not known dose"</v>
      </c>
    </row>
    <row r="146" spans="1:4" x14ac:dyDescent="0.75">
      <c r="A146" s="32">
        <v>112</v>
      </c>
      <c r="B146" s="32">
        <f t="shared" si="2"/>
        <v>12</v>
      </c>
      <c r="C146" s="32">
        <f t="shared" si="3"/>
        <v>4</v>
      </c>
      <c r="D146" s="38" t="str" cm="1">
        <f t="array" ref="D146">INDEX('Rad-2'!$B$2:$J$100,1+B146,C146)</f>
        <v>* differential.element[13].definition = "Not known dose"</v>
      </c>
    </row>
    <row r="147" spans="1:4" x14ac:dyDescent="0.75">
      <c r="A147" s="32">
        <v>113</v>
      </c>
      <c r="B147" s="32">
        <f t="shared" si="2"/>
        <v>12</v>
      </c>
      <c r="C147" s="32">
        <f t="shared" si="3"/>
        <v>5</v>
      </c>
      <c r="D147" s="38" t="str" cm="1">
        <f t="array" ref="D147">INDEX('Rad-2'!$B$2:$J$100,1+B147,C147)</f>
        <v>* differential.element[13].min = 0</v>
      </c>
    </row>
    <row r="148" spans="1:4" x14ac:dyDescent="0.75">
      <c r="A148" s="32">
        <v>114</v>
      </c>
      <c r="B148" s="32">
        <f t="shared" si="2"/>
        <v>12</v>
      </c>
      <c r="C148" s="32">
        <f t="shared" si="3"/>
        <v>6</v>
      </c>
      <c r="D148" s="38" t="str" cm="1">
        <f t="array" ref="D148">INDEX('Rad-2'!$B$2:$J$100,1+B148,C148)</f>
        <v>* differential.element[13].max = "1"</v>
      </c>
    </row>
    <row r="149" spans="1:4" x14ac:dyDescent="0.75">
      <c r="A149" s="32">
        <v>115</v>
      </c>
      <c r="B149" s="32">
        <f t="shared" si="2"/>
        <v>12</v>
      </c>
      <c r="C149" s="32">
        <f t="shared" si="3"/>
        <v>7</v>
      </c>
      <c r="D149" s="38" t="str" cm="1">
        <f t="array" ref="D149">INDEX('Rad-2'!$B$2:$J$100,1+B149,C149)</f>
        <v>* differential.element[13].type.code = #CodeableConcept</v>
      </c>
    </row>
    <row r="150" spans="1:4" x14ac:dyDescent="0.75">
      <c r="A150" s="32">
        <v>116</v>
      </c>
      <c r="B150" s="32">
        <f t="shared" si="2"/>
        <v>12</v>
      </c>
      <c r="C150" s="32">
        <f t="shared" si="3"/>
        <v>8</v>
      </c>
      <c r="D150" s="38" t="str" cm="1">
        <f t="array" ref="D150">INDEX('Rad-2'!$B$2:$J$100,1+B150,C150)</f>
        <v/>
      </c>
    </row>
    <row r="151" spans="1:4" x14ac:dyDescent="0.75">
      <c r="A151" s="32">
        <v>117</v>
      </c>
      <c r="B151" s="32">
        <f t="shared" si="2"/>
        <v>12</v>
      </c>
      <c r="C151" s="32">
        <f t="shared" si="3"/>
        <v>9</v>
      </c>
      <c r="D151" s="38" t="str" cm="1">
        <f t="array" ref="D151">INDEX('Rad-2'!$B$2:$J$100,1+B151,C151)</f>
        <v/>
      </c>
    </row>
    <row r="152" spans="1:4" x14ac:dyDescent="0.75">
      <c r="A152" s="32">
        <v>118</v>
      </c>
      <c r="B152" s="32">
        <f t="shared" si="2"/>
        <v>13</v>
      </c>
      <c r="C152" s="32">
        <f t="shared" si="3"/>
        <v>1</v>
      </c>
      <c r="D152" s="38" t="str" cm="1">
        <f t="array" ref="D152">INDEX('Rad-2'!$B$2:$J$100,1+B152,C152)</f>
        <v>* differential.element[14].id = "Radiotherapy.target.boost.comulativeDose.dose"</v>
      </c>
    </row>
    <row r="153" spans="1:4" x14ac:dyDescent="0.75">
      <c r="A153" s="32">
        <v>119</v>
      </c>
      <c r="B153" s="32">
        <f t="shared" si="2"/>
        <v>13</v>
      </c>
      <c r="C153" s="32">
        <f t="shared" si="3"/>
        <v>2</v>
      </c>
      <c r="D153" s="38" t="str" cm="1">
        <f t="array" ref="D153">INDEX('Rad-2'!$B$2:$J$100,1+B153,C153)</f>
        <v>* differential.element[14].path = "Radiotherapy.target.boost.comulativeDose.dose"</v>
      </c>
    </row>
    <row r="154" spans="1:4" x14ac:dyDescent="0.75">
      <c r="A154" s="32">
        <v>120</v>
      </c>
      <c r="B154" s="32">
        <f t="shared" si="2"/>
        <v>13</v>
      </c>
      <c r="C154" s="32">
        <f t="shared" si="3"/>
        <v>3</v>
      </c>
      <c r="D154" s="38" t="str" cm="1">
        <f t="array" ref="D154">INDEX('Rad-2'!$B$2:$J$100,1+B154,C154)</f>
        <v>* differential.element[14].short = "Dose"</v>
      </c>
    </row>
    <row r="155" spans="1:4" x14ac:dyDescent="0.75">
      <c r="A155" s="32">
        <v>121</v>
      </c>
      <c r="B155" s="32">
        <f t="shared" si="2"/>
        <v>13</v>
      </c>
      <c r="C155" s="32">
        <f t="shared" si="3"/>
        <v>4</v>
      </c>
      <c r="D155" s="38" t="str" cm="1">
        <f t="array" ref="D155">INDEX('Rad-2'!$B$2:$J$100,1+B155,C155)</f>
        <v>* differential.element[14].definition = "Specify the cumulative / total dose given to the boost site."</v>
      </c>
    </row>
    <row r="156" spans="1:4" x14ac:dyDescent="0.75">
      <c r="A156" s="32">
        <v>122</v>
      </c>
      <c r="B156" s="32">
        <f t="shared" si="2"/>
        <v>13</v>
      </c>
      <c r="C156" s="32">
        <f t="shared" si="3"/>
        <v>5</v>
      </c>
      <c r="D156" s="38" t="str" cm="1">
        <f t="array" ref="D156">INDEX('Rad-2'!$B$2:$J$100,1+B156,C156)</f>
        <v>* differential.element[14].min = 0</v>
      </c>
    </row>
    <row r="157" spans="1:4" x14ac:dyDescent="0.75">
      <c r="A157" s="32">
        <v>123</v>
      </c>
      <c r="B157" s="32">
        <f t="shared" si="2"/>
        <v>13</v>
      </c>
      <c r="C157" s="32">
        <f t="shared" si="3"/>
        <v>6</v>
      </c>
      <c r="D157" s="38" t="str" cm="1">
        <f t="array" ref="D157">INDEX('Rad-2'!$B$2:$J$100,1+B157,C157)</f>
        <v>* differential.element[14].max = "1"</v>
      </c>
    </row>
    <row r="158" spans="1:4" x14ac:dyDescent="0.75">
      <c r="A158" s="32">
        <v>124</v>
      </c>
      <c r="B158" s="32">
        <f t="shared" si="2"/>
        <v>13</v>
      </c>
      <c r="C158" s="32">
        <f t="shared" si="3"/>
        <v>7</v>
      </c>
      <c r="D158" s="38" t="str" cm="1">
        <f t="array" ref="D158">INDEX('Rad-2'!$B$2:$J$100,1+B158,C158)</f>
        <v>* differential.element[14].type.code = #decimal</v>
      </c>
    </row>
    <row r="159" spans="1:4" x14ac:dyDescent="0.75">
      <c r="A159" s="32">
        <v>125</v>
      </c>
      <c r="B159" s="32">
        <f t="shared" si="2"/>
        <v>13</v>
      </c>
      <c r="C159" s="32">
        <f t="shared" si="3"/>
        <v>8</v>
      </c>
      <c r="D159" s="38" t="str" cm="1">
        <f t="array" ref="D159">INDEX('Rad-2'!$B$2:$J$100,1+B159,C159)</f>
        <v/>
      </c>
    </row>
    <row r="160" spans="1:4" x14ac:dyDescent="0.75">
      <c r="A160" s="32">
        <v>126</v>
      </c>
      <c r="B160" s="32">
        <f t="shared" si="2"/>
        <v>13</v>
      </c>
      <c r="C160" s="32">
        <f t="shared" si="3"/>
        <v>9</v>
      </c>
      <c r="D160" s="38" t="str" cm="1">
        <f t="array" ref="D160">INDEX('Rad-2'!$B$2:$J$100,1+B160,C160)</f>
        <v/>
      </c>
    </row>
    <row r="161" spans="1:4" x14ac:dyDescent="0.75">
      <c r="A161" s="32">
        <v>127</v>
      </c>
      <c r="B161" s="32">
        <f t="shared" si="2"/>
        <v>14</v>
      </c>
      <c r="C161" s="32">
        <f t="shared" si="3"/>
        <v>1</v>
      </c>
      <c r="D161" s="38" t="str" cm="1">
        <f t="array" ref="D161">INDEX('Rad-2'!$B$2:$J$100,1+B161,C161)</f>
        <v>* differential.element[15].id = "Radiotherapy.target.boost.comulativeDose.unit"</v>
      </c>
    </row>
    <row r="162" spans="1:4" x14ac:dyDescent="0.75">
      <c r="A162" s="32">
        <v>128</v>
      </c>
      <c r="B162" s="32">
        <f t="shared" si="2"/>
        <v>14</v>
      </c>
      <c r="C162" s="32">
        <f t="shared" si="3"/>
        <v>2</v>
      </c>
      <c r="D162" s="38" t="str" cm="1">
        <f t="array" ref="D162">INDEX('Rad-2'!$B$2:$J$100,1+B162,C162)</f>
        <v>* differential.element[15].path = "Radiotherapy.target.boost.comulativeDose.unit"</v>
      </c>
    </row>
    <row r="163" spans="1:4" x14ac:dyDescent="0.75">
      <c r="A163" s="32">
        <v>129</v>
      </c>
      <c r="B163" s="32">
        <f t="shared" si="2"/>
        <v>14</v>
      </c>
      <c r="C163" s="32">
        <f t="shared" si="3"/>
        <v>3</v>
      </c>
      <c r="D163" s="38" t="str" cm="1">
        <f t="array" ref="D163">INDEX('Rad-2'!$B$2:$J$100,1+B163,C163)</f>
        <v>* differential.element[15].short = "Unit (of external beam boost)"</v>
      </c>
    </row>
    <row r="164" spans="1:4" ht="29.5" x14ac:dyDescent="0.75">
      <c r="A164" s="32">
        <v>130</v>
      </c>
      <c r="B164" s="32">
        <f t="shared" ref="B164:B227" si="4">IF(MOD(A164,$B$25)=0,A164/$B$25-1,INT(A164/$B$25))</f>
        <v>14</v>
      </c>
      <c r="C164" s="32">
        <f t="shared" ref="C164:C227" si="5">IF(MOD(A164,$B$25)=0,$B$25,MOD(A164,$B$25))</f>
        <v>4</v>
      </c>
      <c r="D164" s="38" t="str" cm="1">
        <f t="array" ref="D164">INDEX('Rad-2'!$B$2:$J$100,1+B164,C164)</f>
        <v>* differential.element[15].definition = "Specify the unit of the boost in case of external beam radiotherapy.
1 = Gy"</v>
      </c>
    </row>
    <row r="165" spans="1:4" x14ac:dyDescent="0.75">
      <c r="A165" s="32">
        <v>131</v>
      </c>
      <c r="B165" s="32">
        <f t="shared" si="4"/>
        <v>14</v>
      </c>
      <c r="C165" s="32">
        <f t="shared" si="5"/>
        <v>5</v>
      </c>
      <c r="D165" s="38" t="str" cm="1">
        <f t="array" ref="D165">INDEX('Rad-2'!$B$2:$J$100,1+B165,C165)</f>
        <v>* differential.element[15].min = 0</v>
      </c>
    </row>
    <row r="166" spans="1:4" x14ac:dyDescent="0.75">
      <c r="A166" s="32">
        <v>132</v>
      </c>
      <c r="B166" s="32">
        <f t="shared" si="4"/>
        <v>14</v>
      </c>
      <c r="C166" s="32">
        <f t="shared" si="5"/>
        <v>6</v>
      </c>
      <c r="D166" s="38" t="str" cm="1">
        <f t="array" ref="D166">INDEX('Rad-2'!$B$2:$J$100,1+B166,C166)</f>
        <v>* differential.element[15].max = "1"</v>
      </c>
    </row>
    <row r="167" spans="1:4" x14ac:dyDescent="0.75">
      <c r="A167" s="32">
        <v>133</v>
      </c>
      <c r="B167" s="32">
        <f t="shared" si="4"/>
        <v>14</v>
      </c>
      <c r="C167" s="32">
        <f t="shared" si="5"/>
        <v>7</v>
      </c>
      <c r="D167" s="38" t="str" cm="1">
        <f t="array" ref="D167">INDEX('Rad-2'!$B$2:$J$100,1+B167,C167)</f>
        <v>* differential.element[15].type.code = #CodeableConcept</v>
      </c>
    </row>
    <row r="168" spans="1:4" x14ac:dyDescent="0.75">
      <c r="A168" s="32">
        <v>134</v>
      </c>
      <c r="B168" s="32">
        <f t="shared" si="4"/>
        <v>14</v>
      </c>
      <c r="C168" s="32">
        <f t="shared" si="5"/>
        <v>8</v>
      </c>
      <c r="D168" s="38" t="str" cm="1">
        <f t="array" ref="D168">INDEX('Rad-2'!$B$2:$J$100,1+B168,C168)</f>
        <v/>
      </c>
    </row>
    <row r="169" spans="1:4" x14ac:dyDescent="0.75">
      <c r="A169" s="32">
        <v>135</v>
      </c>
      <c r="B169" s="32">
        <f t="shared" si="4"/>
        <v>14</v>
      </c>
      <c r="C169" s="32">
        <f t="shared" si="5"/>
        <v>9</v>
      </c>
      <c r="D169" s="38" t="str" cm="1">
        <f t="array" ref="D169">INDEX('Rad-2'!$B$2:$J$100,1+B169,C169)</f>
        <v/>
      </c>
    </row>
    <row r="170" spans="1:4" x14ac:dyDescent="0.75">
      <c r="A170" s="32">
        <v>136</v>
      </c>
      <c r="B170" s="32">
        <f t="shared" si="4"/>
        <v>15</v>
      </c>
      <c r="C170" s="32">
        <f t="shared" si="5"/>
        <v>1</v>
      </c>
      <c r="D170" s="38" t="str" cm="1">
        <f t="array" ref="D170">INDEX('Rad-2'!$B$2:$J$100,1+B170,C170)</f>
        <v>* differential.element[16].id = "Radiotherapy.radionuclides"</v>
      </c>
    </row>
    <row r="171" spans="1:4" x14ac:dyDescent="0.75">
      <c r="A171" s="32">
        <v>137</v>
      </c>
      <c r="B171" s="32">
        <f t="shared" si="4"/>
        <v>15</v>
      </c>
      <c r="C171" s="32">
        <f t="shared" si="5"/>
        <v>2</v>
      </c>
      <c r="D171" s="38" t="str" cm="1">
        <f t="array" ref="D171">INDEX('Rad-2'!$B$2:$J$100,1+B171,C171)</f>
        <v>* differential.element[16].path = "Radiotherapy.radionuclides"</v>
      </c>
    </row>
    <row r="172" spans="1:4" x14ac:dyDescent="0.75">
      <c r="A172" s="32">
        <v>138</v>
      </c>
      <c r="B172" s="32">
        <f t="shared" si="4"/>
        <v>15</v>
      </c>
      <c r="C172" s="32">
        <f t="shared" si="5"/>
        <v>3</v>
      </c>
      <c r="D172" s="38" t="str" cm="1">
        <f t="array" ref="D172">INDEX('Rad-2'!$B$2:$J$100,1+B172,C172)</f>
        <v>* differential.element[16].short = "Radionuclides"</v>
      </c>
    </row>
    <row r="173" spans="1:4" ht="162.25" x14ac:dyDescent="0.75">
      <c r="A173" s="32">
        <v>139</v>
      </c>
      <c r="B173" s="32">
        <f t="shared" si="4"/>
        <v>15</v>
      </c>
      <c r="C173" s="32">
        <f t="shared" si="5"/>
        <v>4</v>
      </c>
      <c r="D173" s="38"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Required if Metabolic/radionuclide therapy
1 =&gt; Iodine-131
2 =&gt; MIBG
3 =&gt;Yttrium 90
4 =&gt; Other
-9922 =&gt; Unknown"</v>
      </c>
    </row>
    <row r="174" spans="1:4" x14ac:dyDescent="0.75">
      <c r="A174" s="32">
        <v>140</v>
      </c>
      <c r="B174" s="32">
        <f t="shared" si="4"/>
        <v>15</v>
      </c>
      <c r="C174" s="32">
        <f t="shared" si="5"/>
        <v>5</v>
      </c>
      <c r="D174" s="38" t="str" cm="1">
        <f t="array" ref="D174">INDEX('Rad-2'!$B$2:$J$100,1+B174,C174)</f>
        <v>* differential.element[16].min = 1</v>
      </c>
    </row>
    <row r="175" spans="1:4" x14ac:dyDescent="0.75">
      <c r="A175" s="32">
        <v>141</v>
      </c>
      <c r="B175" s="32">
        <f t="shared" si="4"/>
        <v>15</v>
      </c>
      <c r="C175" s="32">
        <f t="shared" si="5"/>
        <v>6</v>
      </c>
      <c r="D175" s="38" t="str" cm="1">
        <f t="array" ref="D175">INDEX('Rad-2'!$B$2:$J$100,1+B175,C175)</f>
        <v>* differential.element[16].max = "1"</v>
      </c>
    </row>
    <row r="176" spans="1:4" x14ac:dyDescent="0.75">
      <c r="A176" s="32">
        <v>142</v>
      </c>
      <c r="B176" s="32">
        <f t="shared" si="4"/>
        <v>15</v>
      </c>
      <c r="C176" s="32">
        <f t="shared" si="5"/>
        <v>7</v>
      </c>
      <c r="D176" s="38" t="str" cm="1">
        <f t="array" ref="D176">INDEX('Rad-2'!$B$2:$J$100,1+B176,C176)</f>
        <v>* differential.element[16].type.code = #CodeableConcept</v>
      </c>
    </row>
    <row r="177" spans="1:4" x14ac:dyDescent="0.75">
      <c r="A177" s="32">
        <v>143</v>
      </c>
      <c r="B177" s="32">
        <f t="shared" si="4"/>
        <v>15</v>
      </c>
      <c r="C177" s="32">
        <f t="shared" si="5"/>
        <v>8</v>
      </c>
      <c r="D177" s="38" t="str" cm="1">
        <f t="array" ref="D177">INDEX('Rad-2'!$B$2:$J$100,1+B177,C177)</f>
        <v/>
      </c>
    </row>
    <row r="178" spans="1:4" x14ac:dyDescent="0.75">
      <c r="A178" s="32">
        <v>144</v>
      </c>
      <c r="B178" s="32">
        <f t="shared" si="4"/>
        <v>15</v>
      </c>
      <c r="C178" s="32">
        <f t="shared" si="5"/>
        <v>9</v>
      </c>
      <c r="D178" s="38" t="str" cm="1">
        <f t="array" ref="D178">INDEX('Rad-2'!$B$2:$J$100,1+B178,C178)</f>
        <v/>
      </c>
    </row>
    <row r="179" spans="1:4" x14ac:dyDescent="0.75">
      <c r="A179" s="32">
        <v>145</v>
      </c>
      <c r="B179" s="32">
        <f t="shared" si="4"/>
        <v>16</v>
      </c>
      <c r="C179" s="32">
        <f t="shared" si="5"/>
        <v>1</v>
      </c>
      <c r="D179" s="38" cm="1">
        <f t="array" ref="D179">INDEX('Rad-2'!$B$2:$J$100,1+B179,C179)</f>
        <v>0</v>
      </c>
    </row>
    <row r="180" spans="1:4" x14ac:dyDescent="0.75">
      <c r="A180" s="32">
        <v>146</v>
      </c>
      <c r="B180" s="32">
        <f t="shared" si="4"/>
        <v>16</v>
      </c>
      <c r="C180" s="32">
        <f t="shared" si="5"/>
        <v>2</v>
      </c>
      <c r="D180" s="38" cm="1">
        <f t="array" ref="D180">INDEX('Rad-2'!$B$2:$J$100,1+B180,C180)</f>
        <v>0</v>
      </c>
    </row>
    <row r="181" spans="1:4" x14ac:dyDescent="0.75">
      <c r="A181" s="32">
        <v>147</v>
      </c>
      <c r="B181" s="32">
        <f t="shared" si="4"/>
        <v>16</v>
      </c>
      <c r="C181" s="32">
        <f t="shared" si="5"/>
        <v>3</v>
      </c>
      <c r="D181" s="38" cm="1">
        <f t="array" ref="D181">INDEX('Rad-2'!$B$2:$J$100,1+B181,C181)</f>
        <v>0</v>
      </c>
    </row>
    <row r="182" spans="1:4" x14ac:dyDescent="0.75">
      <c r="A182" s="32">
        <v>148</v>
      </c>
      <c r="B182" s="32">
        <f t="shared" si="4"/>
        <v>16</v>
      </c>
      <c r="C182" s="32">
        <f t="shared" si="5"/>
        <v>4</v>
      </c>
      <c r="D182" s="38" cm="1">
        <f t="array" ref="D182">INDEX('Rad-2'!$B$2:$J$100,1+B182,C182)</f>
        <v>0</v>
      </c>
    </row>
    <row r="183" spans="1:4" x14ac:dyDescent="0.75">
      <c r="A183" s="32">
        <v>149</v>
      </c>
      <c r="B183" s="32">
        <f t="shared" si="4"/>
        <v>16</v>
      </c>
      <c r="C183" s="32">
        <f t="shared" si="5"/>
        <v>5</v>
      </c>
      <c r="D183" s="38" cm="1">
        <f t="array" ref="D183">INDEX('Rad-2'!$B$2:$J$100,1+B183,C183)</f>
        <v>0</v>
      </c>
    </row>
    <row r="184" spans="1:4" x14ac:dyDescent="0.75">
      <c r="A184" s="32">
        <v>150</v>
      </c>
      <c r="B184" s="32">
        <f t="shared" si="4"/>
        <v>16</v>
      </c>
      <c r="C184" s="32">
        <f t="shared" si="5"/>
        <v>6</v>
      </c>
      <c r="D184" s="38" cm="1">
        <f t="array" ref="D184">INDEX('Rad-2'!$B$2:$J$100,1+B184,C184)</f>
        <v>0</v>
      </c>
    </row>
    <row r="185" spans="1:4" x14ac:dyDescent="0.75">
      <c r="A185" s="32">
        <v>151</v>
      </c>
      <c r="B185" s="32">
        <f t="shared" si="4"/>
        <v>16</v>
      </c>
      <c r="C185" s="32">
        <f t="shared" si="5"/>
        <v>7</v>
      </c>
      <c r="D185" s="38" cm="1">
        <f t="array" ref="D185">INDEX('Rad-2'!$B$2:$J$100,1+B185,C185)</f>
        <v>0</v>
      </c>
    </row>
    <row r="186" spans="1:4" x14ac:dyDescent="0.75">
      <c r="A186" s="32">
        <v>152</v>
      </c>
      <c r="B186" s="32">
        <f t="shared" si="4"/>
        <v>16</v>
      </c>
      <c r="C186" s="32">
        <f t="shared" si="5"/>
        <v>8</v>
      </c>
      <c r="D186" s="38" cm="1">
        <f t="array" ref="D186">INDEX('Rad-2'!$B$2:$J$100,1+B186,C186)</f>
        <v>0</v>
      </c>
    </row>
    <row r="187" spans="1:4" x14ac:dyDescent="0.75">
      <c r="A187" s="32">
        <v>153</v>
      </c>
      <c r="B187" s="32">
        <f t="shared" si="4"/>
        <v>16</v>
      </c>
      <c r="C187" s="32">
        <f t="shared" si="5"/>
        <v>9</v>
      </c>
      <c r="D187" s="38" cm="1">
        <f t="array" ref="D187">INDEX('Rad-2'!$B$2:$J$100,1+B187,C187)</f>
        <v>0</v>
      </c>
    </row>
    <row r="188" spans="1:4" x14ac:dyDescent="0.75">
      <c r="A188" s="32">
        <v>154</v>
      </c>
      <c r="B188" s="32">
        <f t="shared" si="4"/>
        <v>17</v>
      </c>
      <c r="C188" s="32">
        <f t="shared" si="5"/>
        <v>1</v>
      </c>
      <c r="D188" s="38" cm="1">
        <f t="array" ref="D188">INDEX('Rad-2'!$B$2:$J$100,1+B188,C188)</f>
        <v>0</v>
      </c>
    </row>
    <row r="189" spans="1:4" x14ac:dyDescent="0.75">
      <c r="A189" s="32">
        <v>155</v>
      </c>
      <c r="B189" s="32">
        <f t="shared" si="4"/>
        <v>17</v>
      </c>
      <c r="C189" s="32">
        <f t="shared" si="5"/>
        <v>2</v>
      </c>
      <c r="D189" s="38" cm="1">
        <f t="array" ref="D189">INDEX('Rad-2'!$B$2:$J$100,1+B189,C189)</f>
        <v>0</v>
      </c>
    </row>
    <row r="190" spans="1:4" x14ac:dyDescent="0.75">
      <c r="A190" s="32">
        <v>156</v>
      </c>
      <c r="B190" s="32">
        <f t="shared" si="4"/>
        <v>17</v>
      </c>
      <c r="C190" s="32">
        <f t="shared" si="5"/>
        <v>3</v>
      </c>
      <c r="D190" s="38" cm="1">
        <f t="array" ref="D190">INDEX('Rad-2'!$B$2:$J$100,1+B190,C190)</f>
        <v>0</v>
      </c>
    </row>
    <row r="191" spans="1:4" x14ac:dyDescent="0.75">
      <c r="A191" s="32">
        <v>157</v>
      </c>
      <c r="B191" s="32">
        <f t="shared" si="4"/>
        <v>17</v>
      </c>
      <c r="C191" s="32">
        <f t="shared" si="5"/>
        <v>4</v>
      </c>
      <c r="D191" s="38" cm="1">
        <f t="array" ref="D191">INDEX('Rad-2'!$B$2:$J$100,1+B191,C191)</f>
        <v>0</v>
      </c>
    </row>
    <row r="192" spans="1:4" x14ac:dyDescent="0.75">
      <c r="A192" s="32">
        <v>158</v>
      </c>
      <c r="B192" s="32">
        <f t="shared" si="4"/>
        <v>17</v>
      </c>
      <c r="C192" s="32">
        <f t="shared" si="5"/>
        <v>5</v>
      </c>
      <c r="D192" s="38" cm="1">
        <f t="array" ref="D192">INDEX('Rad-2'!$B$2:$J$100,1+B192,C192)</f>
        <v>0</v>
      </c>
    </row>
    <row r="193" spans="1:4" x14ac:dyDescent="0.75">
      <c r="A193" s="32">
        <v>159</v>
      </c>
      <c r="B193" s="32">
        <f t="shared" si="4"/>
        <v>17</v>
      </c>
      <c r="C193" s="32">
        <f t="shared" si="5"/>
        <v>6</v>
      </c>
      <c r="D193" s="38" cm="1">
        <f t="array" ref="D193">INDEX('Rad-2'!$B$2:$J$100,1+B193,C193)</f>
        <v>0</v>
      </c>
    </row>
    <row r="194" spans="1:4" x14ac:dyDescent="0.75">
      <c r="A194" s="32">
        <v>160</v>
      </c>
      <c r="B194" s="32">
        <f t="shared" si="4"/>
        <v>17</v>
      </c>
      <c r="C194" s="32">
        <f t="shared" si="5"/>
        <v>7</v>
      </c>
      <c r="D194" s="38" cm="1">
        <f t="array" ref="D194">INDEX('Rad-2'!$B$2:$J$100,1+B194,C194)</f>
        <v>0</v>
      </c>
    </row>
    <row r="195" spans="1:4" x14ac:dyDescent="0.75">
      <c r="A195" s="32">
        <v>161</v>
      </c>
      <c r="B195" s="32">
        <f t="shared" si="4"/>
        <v>17</v>
      </c>
      <c r="C195" s="32">
        <f t="shared" si="5"/>
        <v>8</v>
      </c>
      <c r="D195" s="38" cm="1">
        <f t="array" ref="D195">INDEX('Rad-2'!$B$2:$J$100,1+B195,C195)</f>
        <v>0</v>
      </c>
    </row>
    <row r="196" spans="1:4" x14ac:dyDescent="0.75">
      <c r="A196" s="32">
        <v>162</v>
      </c>
      <c r="B196" s="32">
        <f t="shared" si="4"/>
        <v>17</v>
      </c>
      <c r="C196" s="32">
        <f t="shared" si="5"/>
        <v>9</v>
      </c>
      <c r="D196" s="38" cm="1">
        <f t="array" ref="D196">INDEX('Rad-2'!$B$2:$J$100,1+B196,C196)</f>
        <v>0</v>
      </c>
    </row>
    <row r="197" spans="1:4" x14ac:dyDescent="0.75">
      <c r="A197" s="32">
        <v>163</v>
      </c>
      <c r="B197" s="32">
        <f t="shared" si="4"/>
        <v>18</v>
      </c>
      <c r="C197" s="32">
        <f t="shared" si="5"/>
        <v>1</v>
      </c>
      <c r="D197" s="38" cm="1">
        <f t="array" ref="D197">INDEX('Rad-2'!$B$2:$J$100,1+B197,C197)</f>
        <v>0</v>
      </c>
    </row>
    <row r="198" spans="1:4" x14ac:dyDescent="0.75">
      <c r="A198" s="32">
        <v>164</v>
      </c>
      <c r="B198" s="32">
        <f t="shared" si="4"/>
        <v>18</v>
      </c>
      <c r="C198" s="32">
        <f t="shared" si="5"/>
        <v>2</v>
      </c>
      <c r="D198" s="38" cm="1">
        <f t="array" ref="D198">INDEX('Rad-2'!$B$2:$J$100,1+B198,C198)</f>
        <v>0</v>
      </c>
    </row>
    <row r="199" spans="1:4" x14ac:dyDescent="0.75">
      <c r="A199" s="32">
        <v>165</v>
      </c>
      <c r="B199" s="32">
        <f t="shared" si="4"/>
        <v>18</v>
      </c>
      <c r="C199" s="32">
        <f t="shared" si="5"/>
        <v>3</v>
      </c>
      <c r="D199" s="38" cm="1">
        <f t="array" ref="D199">INDEX('Rad-2'!$B$2:$J$100,1+B199,C199)</f>
        <v>0</v>
      </c>
    </row>
    <row r="200" spans="1:4" x14ac:dyDescent="0.75">
      <c r="A200" s="32">
        <v>166</v>
      </c>
      <c r="B200" s="32">
        <f t="shared" si="4"/>
        <v>18</v>
      </c>
      <c r="C200" s="32">
        <f t="shared" si="5"/>
        <v>4</v>
      </c>
      <c r="D200" s="38" cm="1">
        <f t="array" ref="D200">INDEX('Rad-2'!$B$2:$J$100,1+B200,C200)</f>
        <v>0</v>
      </c>
    </row>
    <row r="201" spans="1:4" x14ac:dyDescent="0.75">
      <c r="A201" s="32">
        <v>167</v>
      </c>
      <c r="B201" s="32">
        <f t="shared" si="4"/>
        <v>18</v>
      </c>
      <c r="C201" s="32">
        <f t="shared" si="5"/>
        <v>5</v>
      </c>
      <c r="D201" s="38" cm="1">
        <f t="array" ref="D201">INDEX('Rad-2'!$B$2:$J$100,1+B201,C201)</f>
        <v>0</v>
      </c>
    </row>
    <row r="202" spans="1:4" x14ac:dyDescent="0.75">
      <c r="A202" s="32">
        <v>168</v>
      </c>
      <c r="B202" s="32">
        <f t="shared" si="4"/>
        <v>18</v>
      </c>
      <c r="C202" s="32">
        <f t="shared" si="5"/>
        <v>6</v>
      </c>
      <c r="D202" s="38" cm="1">
        <f t="array" ref="D202">INDEX('Rad-2'!$B$2:$J$100,1+B202,C202)</f>
        <v>0</v>
      </c>
    </row>
    <row r="203" spans="1:4" x14ac:dyDescent="0.75">
      <c r="A203" s="32">
        <v>169</v>
      </c>
      <c r="B203" s="32">
        <f t="shared" si="4"/>
        <v>18</v>
      </c>
      <c r="C203" s="32">
        <f t="shared" si="5"/>
        <v>7</v>
      </c>
      <c r="D203" s="38" cm="1">
        <f t="array" ref="D203">INDEX('Rad-2'!$B$2:$J$100,1+B203,C203)</f>
        <v>0</v>
      </c>
    </row>
    <row r="204" spans="1:4" x14ac:dyDescent="0.75">
      <c r="A204" s="32">
        <v>170</v>
      </c>
      <c r="B204" s="32">
        <f t="shared" si="4"/>
        <v>18</v>
      </c>
      <c r="C204" s="32">
        <f t="shared" si="5"/>
        <v>8</v>
      </c>
      <c r="D204" s="38" cm="1">
        <f t="array" ref="D204">INDEX('Rad-2'!$B$2:$J$100,1+B204,C204)</f>
        <v>0</v>
      </c>
    </row>
    <row r="205" spans="1:4" x14ac:dyDescent="0.75">
      <c r="A205" s="32">
        <v>171</v>
      </c>
      <c r="B205" s="32">
        <f t="shared" si="4"/>
        <v>18</v>
      </c>
      <c r="C205" s="32">
        <f t="shared" si="5"/>
        <v>9</v>
      </c>
      <c r="D205" s="38" cm="1">
        <f t="array" ref="D205">INDEX('Rad-2'!$B$2:$J$100,1+B205,C205)</f>
        <v>0</v>
      </c>
    </row>
    <row r="206" spans="1:4" x14ac:dyDescent="0.75">
      <c r="A206" s="32">
        <v>172</v>
      </c>
      <c r="B206" s="32">
        <f t="shared" si="4"/>
        <v>19</v>
      </c>
      <c r="C206" s="32">
        <f t="shared" si="5"/>
        <v>1</v>
      </c>
      <c r="D206" s="38" cm="1">
        <f t="array" ref="D206">INDEX('Rad-2'!$B$2:$J$100,1+B206,C206)</f>
        <v>0</v>
      </c>
    </row>
    <row r="207" spans="1:4" x14ac:dyDescent="0.75">
      <c r="A207" s="32">
        <v>173</v>
      </c>
      <c r="B207" s="32">
        <f t="shared" si="4"/>
        <v>19</v>
      </c>
      <c r="C207" s="32">
        <f t="shared" si="5"/>
        <v>2</v>
      </c>
      <c r="D207" s="38" cm="1">
        <f t="array" ref="D207">INDEX('Rad-2'!$B$2:$J$100,1+B207,C207)</f>
        <v>0</v>
      </c>
    </row>
    <row r="208" spans="1:4" x14ac:dyDescent="0.75">
      <c r="A208" s="32">
        <v>174</v>
      </c>
      <c r="B208" s="32">
        <f t="shared" si="4"/>
        <v>19</v>
      </c>
      <c r="C208" s="32">
        <f t="shared" si="5"/>
        <v>3</v>
      </c>
      <c r="D208" s="38" cm="1">
        <f t="array" ref="D208">INDEX('Rad-2'!$B$2:$J$100,1+B208,C208)</f>
        <v>0</v>
      </c>
    </row>
    <row r="209" spans="1:4" x14ac:dyDescent="0.75">
      <c r="A209" s="32">
        <v>175</v>
      </c>
      <c r="B209" s="32">
        <f t="shared" si="4"/>
        <v>19</v>
      </c>
      <c r="C209" s="32">
        <f t="shared" si="5"/>
        <v>4</v>
      </c>
      <c r="D209" s="38" cm="1">
        <f t="array" ref="D209">INDEX('Rad-2'!$B$2:$J$100,1+B209,C209)</f>
        <v>0</v>
      </c>
    </row>
    <row r="210" spans="1:4" x14ac:dyDescent="0.75">
      <c r="A210" s="32">
        <v>176</v>
      </c>
      <c r="B210" s="32">
        <f t="shared" si="4"/>
        <v>19</v>
      </c>
      <c r="C210" s="32">
        <f t="shared" si="5"/>
        <v>5</v>
      </c>
      <c r="D210" s="38" cm="1">
        <f t="array" ref="D210">INDEX('Rad-2'!$B$2:$J$100,1+B210,C210)</f>
        <v>0</v>
      </c>
    </row>
    <row r="211" spans="1:4" x14ac:dyDescent="0.75">
      <c r="A211" s="32">
        <v>177</v>
      </c>
      <c r="B211" s="32">
        <f t="shared" si="4"/>
        <v>19</v>
      </c>
      <c r="C211" s="32">
        <f t="shared" si="5"/>
        <v>6</v>
      </c>
      <c r="D211" s="38" cm="1">
        <f t="array" ref="D211">INDEX('Rad-2'!$B$2:$J$100,1+B211,C211)</f>
        <v>0</v>
      </c>
    </row>
    <row r="212" spans="1:4" x14ac:dyDescent="0.75">
      <c r="A212" s="32">
        <v>178</v>
      </c>
      <c r="B212" s="32">
        <f t="shared" si="4"/>
        <v>19</v>
      </c>
      <c r="C212" s="32">
        <f t="shared" si="5"/>
        <v>7</v>
      </c>
      <c r="D212" s="38" cm="1">
        <f t="array" ref="D212">INDEX('Rad-2'!$B$2:$J$100,1+B212,C212)</f>
        <v>0</v>
      </c>
    </row>
    <row r="213" spans="1:4" x14ac:dyDescent="0.75">
      <c r="A213" s="32">
        <v>179</v>
      </c>
      <c r="B213" s="32">
        <f t="shared" si="4"/>
        <v>19</v>
      </c>
      <c r="C213" s="32">
        <f t="shared" si="5"/>
        <v>8</v>
      </c>
      <c r="D213" s="38" cm="1">
        <f t="array" ref="D213">INDEX('Rad-2'!$B$2:$J$100,1+B213,C213)</f>
        <v>0</v>
      </c>
    </row>
    <row r="214" spans="1:4" x14ac:dyDescent="0.75">
      <c r="A214" s="32">
        <v>180</v>
      </c>
      <c r="B214" s="32">
        <f t="shared" si="4"/>
        <v>19</v>
      </c>
      <c r="C214" s="32">
        <f t="shared" si="5"/>
        <v>9</v>
      </c>
      <c r="D214" s="38" cm="1">
        <f t="array" ref="D214">INDEX('Rad-2'!$B$2:$J$100,1+B214,C214)</f>
        <v>0</v>
      </c>
    </row>
    <row r="215" spans="1:4" x14ac:dyDescent="0.75">
      <c r="A215" s="32">
        <v>181</v>
      </c>
      <c r="B215" s="32">
        <f t="shared" si="4"/>
        <v>20</v>
      </c>
      <c r="C215" s="32">
        <f t="shared" si="5"/>
        <v>1</v>
      </c>
      <c r="D215" s="38" cm="1">
        <f t="array" ref="D215">INDEX('Rad-2'!$B$2:$J$100,1+B215,C215)</f>
        <v>0</v>
      </c>
    </row>
    <row r="216" spans="1:4" x14ac:dyDescent="0.75">
      <c r="A216" s="32">
        <v>182</v>
      </c>
      <c r="B216" s="32">
        <f t="shared" si="4"/>
        <v>20</v>
      </c>
      <c r="C216" s="32">
        <f t="shared" si="5"/>
        <v>2</v>
      </c>
      <c r="D216" s="38" cm="1">
        <f t="array" ref="D216">INDEX('Rad-2'!$B$2:$J$100,1+B216,C216)</f>
        <v>0</v>
      </c>
    </row>
    <row r="217" spans="1:4" x14ac:dyDescent="0.75">
      <c r="A217" s="32">
        <v>183</v>
      </c>
      <c r="B217" s="32">
        <f t="shared" si="4"/>
        <v>20</v>
      </c>
      <c r="C217" s="32">
        <f t="shared" si="5"/>
        <v>3</v>
      </c>
      <c r="D217" s="38" cm="1">
        <f t="array" ref="D217">INDEX('Rad-2'!$B$2:$J$100,1+B217,C217)</f>
        <v>0</v>
      </c>
    </row>
    <row r="218" spans="1:4" x14ac:dyDescent="0.75">
      <c r="A218" s="32">
        <v>184</v>
      </c>
      <c r="B218" s="32">
        <f t="shared" si="4"/>
        <v>20</v>
      </c>
      <c r="C218" s="32">
        <f t="shared" si="5"/>
        <v>4</v>
      </c>
      <c r="D218" s="38" cm="1">
        <f t="array" ref="D218">INDEX('Rad-2'!$B$2:$J$100,1+B218,C218)</f>
        <v>0</v>
      </c>
    </row>
    <row r="219" spans="1:4" x14ac:dyDescent="0.75">
      <c r="A219" s="32">
        <v>185</v>
      </c>
      <c r="B219" s="32">
        <f t="shared" si="4"/>
        <v>20</v>
      </c>
      <c r="C219" s="32">
        <f t="shared" si="5"/>
        <v>5</v>
      </c>
      <c r="D219" s="38" cm="1">
        <f t="array" ref="D219">INDEX('Rad-2'!$B$2:$J$100,1+B219,C219)</f>
        <v>0</v>
      </c>
    </row>
    <row r="220" spans="1:4" x14ac:dyDescent="0.75">
      <c r="A220" s="32">
        <v>186</v>
      </c>
      <c r="B220" s="32">
        <f t="shared" si="4"/>
        <v>20</v>
      </c>
      <c r="C220" s="32">
        <f t="shared" si="5"/>
        <v>6</v>
      </c>
      <c r="D220" s="38" cm="1">
        <f t="array" ref="D220">INDEX('Rad-2'!$B$2:$J$100,1+B220,C220)</f>
        <v>0</v>
      </c>
    </row>
    <row r="221" spans="1:4" x14ac:dyDescent="0.75">
      <c r="A221" s="32">
        <v>187</v>
      </c>
      <c r="B221" s="32">
        <f t="shared" si="4"/>
        <v>20</v>
      </c>
      <c r="C221" s="32">
        <f t="shared" si="5"/>
        <v>7</v>
      </c>
      <c r="D221" s="38" cm="1">
        <f t="array" ref="D221">INDEX('Rad-2'!$B$2:$J$100,1+B221,C221)</f>
        <v>0</v>
      </c>
    </row>
    <row r="222" spans="1:4" x14ac:dyDescent="0.75">
      <c r="A222" s="32">
        <v>188</v>
      </c>
      <c r="B222" s="32">
        <f t="shared" si="4"/>
        <v>20</v>
      </c>
      <c r="C222" s="32">
        <f t="shared" si="5"/>
        <v>8</v>
      </c>
      <c r="D222" s="38" cm="1">
        <f t="array" ref="D222">INDEX('Rad-2'!$B$2:$J$100,1+B222,C222)</f>
        <v>0</v>
      </c>
    </row>
    <row r="223" spans="1:4" x14ac:dyDescent="0.75">
      <c r="A223" s="32">
        <v>189</v>
      </c>
      <c r="B223" s="32">
        <f t="shared" si="4"/>
        <v>20</v>
      </c>
      <c r="C223" s="32">
        <f t="shared" si="5"/>
        <v>9</v>
      </c>
      <c r="D223" s="38" cm="1">
        <f t="array" ref="D223">INDEX('Rad-2'!$B$2:$J$100,1+B223,C223)</f>
        <v>0</v>
      </c>
    </row>
    <row r="224" spans="1:4" x14ac:dyDescent="0.75">
      <c r="A224" s="32">
        <v>190</v>
      </c>
      <c r="B224" s="32">
        <f t="shared" si="4"/>
        <v>21</v>
      </c>
      <c r="C224" s="32">
        <f t="shared" si="5"/>
        <v>1</v>
      </c>
      <c r="D224" s="38" cm="1">
        <f t="array" ref="D224">INDEX('Rad-2'!$B$2:$J$100,1+B224,C224)</f>
        <v>0</v>
      </c>
    </row>
    <row r="225" spans="1:4" x14ac:dyDescent="0.75">
      <c r="A225" s="32">
        <v>191</v>
      </c>
      <c r="B225" s="32">
        <f t="shared" si="4"/>
        <v>21</v>
      </c>
      <c r="C225" s="32">
        <f t="shared" si="5"/>
        <v>2</v>
      </c>
      <c r="D225" s="38" cm="1">
        <f t="array" ref="D225">INDEX('Rad-2'!$B$2:$J$100,1+B225,C225)</f>
        <v>0</v>
      </c>
    </row>
    <row r="226" spans="1:4" x14ac:dyDescent="0.75">
      <c r="A226" s="32">
        <v>192</v>
      </c>
      <c r="B226" s="32">
        <f t="shared" si="4"/>
        <v>21</v>
      </c>
      <c r="C226" s="32">
        <f t="shared" si="5"/>
        <v>3</v>
      </c>
      <c r="D226" s="38" cm="1">
        <f t="array" ref="D226">INDEX('Rad-2'!$B$2:$J$100,1+B226,C226)</f>
        <v>0</v>
      </c>
    </row>
    <row r="227" spans="1:4" x14ac:dyDescent="0.75">
      <c r="A227" s="32">
        <v>193</v>
      </c>
      <c r="B227" s="32">
        <f t="shared" si="4"/>
        <v>21</v>
      </c>
      <c r="C227" s="32">
        <f t="shared" si="5"/>
        <v>4</v>
      </c>
      <c r="D227" s="38" cm="1">
        <f t="array" ref="D227">INDEX('Rad-2'!$B$2:$J$100,1+B227,C227)</f>
        <v>0</v>
      </c>
    </row>
    <row r="228" spans="1:4" x14ac:dyDescent="0.75">
      <c r="A228" s="32">
        <v>194</v>
      </c>
      <c r="B228" s="32">
        <f t="shared" ref="B228:B291" si="6">IF(MOD(A228,$B$25)=0,A228/$B$25-1,INT(A228/$B$25))</f>
        <v>21</v>
      </c>
      <c r="C228" s="32">
        <f t="shared" ref="C228:C291" si="7">IF(MOD(A228,$B$25)=0,$B$25,MOD(A228,$B$25))</f>
        <v>5</v>
      </c>
      <c r="D228" s="38" cm="1">
        <f t="array" ref="D228">INDEX('Rad-2'!$B$2:$J$100,1+B228,C228)</f>
        <v>0</v>
      </c>
    </row>
    <row r="229" spans="1:4" x14ac:dyDescent="0.75">
      <c r="A229" s="32">
        <v>195</v>
      </c>
      <c r="B229" s="32">
        <f t="shared" si="6"/>
        <v>21</v>
      </c>
      <c r="C229" s="32">
        <f t="shared" si="7"/>
        <v>6</v>
      </c>
      <c r="D229" s="38" cm="1">
        <f t="array" ref="D229">INDEX('Rad-2'!$B$2:$J$100,1+B229,C229)</f>
        <v>0</v>
      </c>
    </row>
    <row r="230" spans="1:4" x14ac:dyDescent="0.75">
      <c r="A230" s="32">
        <v>196</v>
      </c>
      <c r="B230" s="32">
        <f t="shared" si="6"/>
        <v>21</v>
      </c>
      <c r="C230" s="32">
        <f t="shared" si="7"/>
        <v>7</v>
      </c>
      <c r="D230" s="38" cm="1">
        <f t="array" ref="D230">INDEX('Rad-2'!$B$2:$J$100,1+B230,C230)</f>
        <v>0</v>
      </c>
    </row>
    <row r="231" spans="1:4" x14ac:dyDescent="0.75">
      <c r="A231" s="32">
        <v>197</v>
      </c>
      <c r="B231" s="32">
        <f t="shared" si="6"/>
        <v>21</v>
      </c>
      <c r="C231" s="32">
        <f t="shared" si="7"/>
        <v>8</v>
      </c>
      <c r="D231" s="38" cm="1">
        <f t="array" ref="D231">INDEX('Rad-2'!$B$2:$J$100,1+B231,C231)</f>
        <v>0</v>
      </c>
    </row>
    <row r="232" spans="1:4" x14ac:dyDescent="0.75">
      <c r="A232" s="32">
        <v>198</v>
      </c>
      <c r="B232" s="32">
        <f t="shared" si="6"/>
        <v>21</v>
      </c>
      <c r="C232" s="32">
        <f t="shared" si="7"/>
        <v>9</v>
      </c>
      <c r="D232" s="38" cm="1">
        <f t="array" ref="D232">INDEX('Rad-2'!$B$2:$J$100,1+B232,C232)</f>
        <v>0</v>
      </c>
    </row>
    <row r="233" spans="1:4" x14ac:dyDescent="0.75">
      <c r="A233" s="32">
        <v>199</v>
      </c>
      <c r="B233" s="32">
        <f t="shared" si="6"/>
        <v>22</v>
      </c>
      <c r="C233" s="32">
        <f t="shared" si="7"/>
        <v>1</v>
      </c>
      <c r="D233" s="38" cm="1">
        <f t="array" ref="D233">INDEX('Rad-2'!$B$2:$J$100,1+B233,C233)</f>
        <v>0</v>
      </c>
    </row>
    <row r="234" spans="1:4" x14ac:dyDescent="0.75">
      <c r="A234" s="32">
        <v>200</v>
      </c>
      <c r="B234" s="32">
        <f t="shared" si="6"/>
        <v>22</v>
      </c>
      <c r="C234" s="32">
        <f t="shared" si="7"/>
        <v>2</v>
      </c>
      <c r="D234" s="38" cm="1">
        <f t="array" ref="D234">INDEX('Rad-2'!$B$2:$J$100,1+B234,C234)</f>
        <v>0</v>
      </c>
    </row>
    <row r="235" spans="1:4" x14ac:dyDescent="0.75">
      <c r="A235" s="32">
        <v>201</v>
      </c>
      <c r="B235" s="32">
        <f t="shared" si="6"/>
        <v>22</v>
      </c>
      <c r="C235" s="32">
        <f t="shared" si="7"/>
        <v>3</v>
      </c>
      <c r="D235" s="38" cm="1">
        <f t="array" ref="D235">INDEX('Rad-2'!$B$2:$J$100,1+B235,C235)</f>
        <v>0</v>
      </c>
    </row>
    <row r="236" spans="1:4" x14ac:dyDescent="0.75">
      <c r="A236" s="32">
        <v>202</v>
      </c>
      <c r="B236" s="32">
        <f t="shared" si="6"/>
        <v>22</v>
      </c>
      <c r="C236" s="32">
        <f t="shared" si="7"/>
        <v>4</v>
      </c>
      <c r="D236" s="38" cm="1">
        <f t="array" ref="D236">INDEX('Rad-2'!$B$2:$J$100,1+B236,C236)</f>
        <v>0</v>
      </c>
    </row>
    <row r="237" spans="1:4" x14ac:dyDescent="0.75">
      <c r="A237" s="32">
        <v>203</v>
      </c>
      <c r="B237" s="32">
        <f t="shared" si="6"/>
        <v>22</v>
      </c>
      <c r="C237" s="32">
        <f t="shared" si="7"/>
        <v>5</v>
      </c>
      <c r="D237" s="38" cm="1">
        <f t="array" ref="D237">INDEX('Rad-2'!$B$2:$J$100,1+B237,C237)</f>
        <v>0</v>
      </c>
    </row>
    <row r="238" spans="1:4" x14ac:dyDescent="0.75">
      <c r="A238" s="32">
        <v>204</v>
      </c>
      <c r="B238" s="32">
        <f t="shared" si="6"/>
        <v>22</v>
      </c>
      <c r="C238" s="32">
        <f t="shared" si="7"/>
        <v>6</v>
      </c>
      <c r="D238" s="38" cm="1">
        <f t="array" ref="D238">INDEX('Rad-2'!$B$2:$J$100,1+B238,C238)</f>
        <v>0</v>
      </c>
    </row>
    <row r="239" spans="1:4" x14ac:dyDescent="0.75">
      <c r="A239" s="32">
        <v>205</v>
      </c>
      <c r="B239" s="32">
        <f t="shared" si="6"/>
        <v>22</v>
      </c>
      <c r="C239" s="32">
        <f t="shared" si="7"/>
        <v>7</v>
      </c>
      <c r="D239" s="38" cm="1">
        <f t="array" ref="D239">INDEX('Rad-2'!$B$2:$J$100,1+B239,C239)</f>
        <v>0</v>
      </c>
    </row>
    <row r="240" spans="1:4" x14ac:dyDescent="0.75">
      <c r="A240" s="32">
        <v>206</v>
      </c>
      <c r="B240" s="32">
        <f t="shared" si="6"/>
        <v>22</v>
      </c>
      <c r="C240" s="32">
        <f t="shared" si="7"/>
        <v>8</v>
      </c>
      <c r="D240" s="38" cm="1">
        <f t="array" ref="D240">INDEX('Rad-2'!$B$2:$J$100,1+B240,C240)</f>
        <v>0</v>
      </c>
    </row>
    <row r="241" spans="1:4" x14ac:dyDescent="0.75">
      <c r="A241" s="32">
        <v>207</v>
      </c>
      <c r="B241" s="32">
        <f t="shared" si="6"/>
        <v>22</v>
      </c>
      <c r="C241" s="32">
        <f t="shared" si="7"/>
        <v>9</v>
      </c>
      <c r="D241" s="38" cm="1">
        <f t="array" ref="D241">INDEX('Rad-2'!$B$2:$J$100,1+B241,C241)</f>
        <v>0</v>
      </c>
    </row>
    <row r="242" spans="1:4" x14ac:dyDescent="0.75">
      <c r="A242" s="32">
        <v>208</v>
      </c>
      <c r="B242" s="32">
        <f t="shared" si="6"/>
        <v>23</v>
      </c>
      <c r="C242" s="32">
        <f t="shared" si="7"/>
        <v>1</v>
      </c>
      <c r="D242" s="38" cm="1">
        <f t="array" ref="D242">INDEX('Rad-2'!$B$2:$J$100,1+B242,C242)</f>
        <v>0</v>
      </c>
    </row>
    <row r="243" spans="1:4" x14ac:dyDescent="0.75">
      <c r="A243" s="32">
        <v>209</v>
      </c>
      <c r="B243" s="32">
        <f t="shared" si="6"/>
        <v>23</v>
      </c>
      <c r="C243" s="32">
        <f t="shared" si="7"/>
        <v>2</v>
      </c>
      <c r="D243" s="38" cm="1">
        <f t="array" ref="D243">INDEX('Rad-2'!$B$2:$J$100,1+B243,C243)</f>
        <v>0</v>
      </c>
    </row>
    <row r="244" spans="1:4" x14ac:dyDescent="0.75">
      <c r="A244" s="32">
        <v>210</v>
      </c>
      <c r="B244" s="32">
        <f t="shared" si="6"/>
        <v>23</v>
      </c>
      <c r="C244" s="32">
        <f t="shared" si="7"/>
        <v>3</v>
      </c>
      <c r="D244" s="38" cm="1">
        <f t="array" ref="D244">INDEX('Rad-2'!$B$2:$J$100,1+B244,C244)</f>
        <v>0</v>
      </c>
    </row>
    <row r="245" spans="1:4" x14ac:dyDescent="0.75">
      <c r="A245" s="32">
        <v>211</v>
      </c>
      <c r="B245" s="32">
        <f t="shared" si="6"/>
        <v>23</v>
      </c>
      <c r="C245" s="32">
        <f t="shared" si="7"/>
        <v>4</v>
      </c>
      <c r="D245" s="38" cm="1">
        <f t="array" ref="D245">INDEX('Rad-2'!$B$2:$J$100,1+B245,C245)</f>
        <v>0</v>
      </c>
    </row>
    <row r="246" spans="1:4" x14ac:dyDescent="0.75">
      <c r="A246" s="32">
        <v>212</v>
      </c>
      <c r="B246" s="32">
        <f t="shared" si="6"/>
        <v>23</v>
      </c>
      <c r="C246" s="32">
        <f t="shared" si="7"/>
        <v>5</v>
      </c>
      <c r="D246" s="38" cm="1">
        <f t="array" ref="D246">INDEX('Rad-2'!$B$2:$J$100,1+B246,C246)</f>
        <v>0</v>
      </c>
    </row>
    <row r="247" spans="1:4" x14ac:dyDescent="0.75">
      <c r="A247" s="32">
        <v>213</v>
      </c>
      <c r="B247" s="32">
        <f t="shared" si="6"/>
        <v>23</v>
      </c>
      <c r="C247" s="32">
        <f t="shared" si="7"/>
        <v>6</v>
      </c>
      <c r="D247" s="38" cm="1">
        <f t="array" ref="D247">INDEX('Rad-2'!$B$2:$J$100,1+B247,C247)</f>
        <v>0</v>
      </c>
    </row>
    <row r="248" spans="1:4" x14ac:dyDescent="0.75">
      <c r="A248" s="32">
        <v>214</v>
      </c>
      <c r="B248" s="32">
        <f t="shared" si="6"/>
        <v>23</v>
      </c>
      <c r="C248" s="32">
        <f t="shared" si="7"/>
        <v>7</v>
      </c>
      <c r="D248" s="38" cm="1">
        <f t="array" ref="D248">INDEX('Rad-2'!$B$2:$J$100,1+B248,C248)</f>
        <v>0</v>
      </c>
    </row>
    <row r="249" spans="1:4" x14ac:dyDescent="0.75">
      <c r="A249" s="32">
        <v>215</v>
      </c>
      <c r="B249" s="32">
        <f t="shared" si="6"/>
        <v>23</v>
      </c>
      <c r="C249" s="32">
        <f t="shared" si="7"/>
        <v>8</v>
      </c>
      <c r="D249" s="38" cm="1">
        <f t="array" ref="D249">INDEX('Rad-2'!$B$2:$J$100,1+B249,C249)</f>
        <v>0</v>
      </c>
    </row>
    <row r="250" spans="1:4" x14ac:dyDescent="0.75">
      <c r="A250" s="32">
        <v>216</v>
      </c>
      <c r="B250" s="32">
        <f t="shared" si="6"/>
        <v>23</v>
      </c>
      <c r="C250" s="32">
        <f t="shared" si="7"/>
        <v>9</v>
      </c>
      <c r="D250" s="38" cm="1">
        <f t="array" ref="D250">INDEX('Rad-2'!$B$2:$J$100,1+B250,C250)</f>
        <v>0</v>
      </c>
    </row>
    <row r="251" spans="1:4" x14ac:dyDescent="0.75">
      <c r="A251" s="32">
        <v>217</v>
      </c>
      <c r="B251" s="32">
        <f t="shared" si="6"/>
        <v>24</v>
      </c>
      <c r="C251" s="32">
        <f t="shared" si="7"/>
        <v>1</v>
      </c>
      <c r="D251" s="38" cm="1">
        <f t="array" ref="D251">INDEX('Rad-2'!$B$2:$J$100,1+B251,C251)</f>
        <v>0</v>
      </c>
    </row>
    <row r="252" spans="1:4" x14ac:dyDescent="0.75">
      <c r="A252" s="32">
        <v>218</v>
      </c>
      <c r="B252" s="32">
        <f t="shared" si="6"/>
        <v>24</v>
      </c>
      <c r="C252" s="32">
        <f t="shared" si="7"/>
        <v>2</v>
      </c>
      <c r="D252" s="38" cm="1">
        <f t="array" ref="D252">INDEX('Rad-2'!$B$2:$J$100,1+B252,C252)</f>
        <v>0</v>
      </c>
    </row>
    <row r="253" spans="1:4" x14ac:dyDescent="0.75">
      <c r="A253" s="32">
        <v>219</v>
      </c>
      <c r="B253" s="32">
        <f t="shared" si="6"/>
        <v>24</v>
      </c>
      <c r="C253" s="32">
        <f t="shared" si="7"/>
        <v>3</v>
      </c>
      <c r="D253" s="38" cm="1">
        <f t="array" ref="D253">INDEX('Rad-2'!$B$2:$J$100,1+B253,C253)</f>
        <v>0</v>
      </c>
    </row>
    <row r="254" spans="1:4" x14ac:dyDescent="0.75">
      <c r="A254" s="32">
        <v>220</v>
      </c>
      <c r="B254" s="32">
        <f t="shared" si="6"/>
        <v>24</v>
      </c>
      <c r="C254" s="32">
        <f t="shared" si="7"/>
        <v>4</v>
      </c>
      <c r="D254" s="38" cm="1">
        <f t="array" ref="D254">INDEX('Rad-2'!$B$2:$J$100,1+B254,C254)</f>
        <v>0</v>
      </c>
    </row>
    <row r="255" spans="1:4" x14ac:dyDescent="0.75">
      <c r="A255" s="32">
        <v>221</v>
      </c>
      <c r="B255" s="32">
        <f t="shared" si="6"/>
        <v>24</v>
      </c>
      <c r="C255" s="32">
        <f t="shared" si="7"/>
        <v>5</v>
      </c>
      <c r="D255" s="38" cm="1">
        <f t="array" ref="D255">INDEX('Rad-2'!$B$2:$J$100,1+B255,C255)</f>
        <v>0</v>
      </c>
    </row>
    <row r="256" spans="1:4" x14ac:dyDescent="0.75">
      <c r="A256" s="32">
        <v>222</v>
      </c>
      <c r="B256" s="32">
        <f t="shared" si="6"/>
        <v>24</v>
      </c>
      <c r="C256" s="32">
        <f t="shared" si="7"/>
        <v>6</v>
      </c>
      <c r="D256" s="38" cm="1">
        <f t="array" ref="D256">INDEX('Rad-2'!$B$2:$J$100,1+B256,C256)</f>
        <v>0</v>
      </c>
    </row>
    <row r="257" spans="1:4" x14ac:dyDescent="0.75">
      <c r="A257" s="32">
        <v>223</v>
      </c>
      <c r="B257" s="32">
        <f t="shared" si="6"/>
        <v>24</v>
      </c>
      <c r="C257" s="32">
        <f t="shared" si="7"/>
        <v>7</v>
      </c>
      <c r="D257" s="38" cm="1">
        <f t="array" ref="D257">INDEX('Rad-2'!$B$2:$J$100,1+B257,C257)</f>
        <v>0</v>
      </c>
    </row>
    <row r="258" spans="1:4" x14ac:dyDescent="0.75">
      <c r="A258" s="32">
        <v>224</v>
      </c>
      <c r="B258" s="32">
        <f t="shared" si="6"/>
        <v>24</v>
      </c>
      <c r="C258" s="32">
        <f t="shared" si="7"/>
        <v>8</v>
      </c>
      <c r="D258" s="38" cm="1">
        <f t="array" ref="D258">INDEX('Rad-2'!$B$2:$J$100,1+B258,C258)</f>
        <v>0</v>
      </c>
    </row>
    <row r="259" spans="1:4" x14ac:dyDescent="0.75">
      <c r="A259" s="32">
        <v>225</v>
      </c>
      <c r="B259" s="32">
        <f t="shared" si="6"/>
        <v>24</v>
      </c>
      <c r="C259" s="32">
        <f t="shared" si="7"/>
        <v>9</v>
      </c>
      <c r="D259" s="38" cm="1">
        <f t="array" ref="D259">INDEX('Rad-2'!$B$2:$J$100,1+B259,C259)</f>
        <v>0</v>
      </c>
    </row>
    <row r="260" spans="1:4" x14ac:dyDescent="0.75">
      <c r="A260" s="32">
        <v>226</v>
      </c>
      <c r="B260" s="32">
        <f t="shared" si="6"/>
        <v>25</v>
      </c>
      <c r="C260" s="32">
        <f t="shared" si="7"/>
        <v>1</v>
      </c>
      <c r="D260" s="38" cm="1">
        <f t="array" ref="D260">INDEX('Rad-2'!$B$2:$J$100,1+B260,C260)</f>
        <v>0</v>
      </c>
    </row>
    <row r="261" spans="1:4" x14ac:dyDescent="0.75">
      <c r="A261" s="32">
        <v>227</v>
      </c>
      <c r="B261" s="32">
        <f t="shared" si="6"/>
        <v>25</v>
      </c>
      <c r="C261" s="32">
        <f t="shared" si="7"/>
        <v>2</v>
      </c>
      <c r="D261" s="38" cm="1">
        <f t="array" ref="D261">INDEX('Rad-2'!$B$2:$J$100,1+B261,C261)</f>
        <v>0</v>
      </c>
    </row>
    <row r="262" spans="1:4" x14ac:dyDescent="0.75">
      <c r="A262" s="32">
        <v>228</v>
      </c>
      <c r="B262" s="32">
        <f t="shared" si="6"/>
        <v>25</v>
      </c>
      <c r="C262" s="32">
        <f t="shared" si="7"/>
        <v>3</v>
      </c>
      <c r="D262" s="38" cm="1">
        <f t="array" ref="D262">INDEX('Rad-2'!$B$2:$J$100,1+B262,C262)</f>
        <v>0</v>
      </c>
    </row>
    <row r="263" spans="1:4" x14ac:dyDescent="0.75">
      <c r="A263" s="32">
        <v>229</v>
      </c>
      <c r="B263" s="32">
        <f t="shared" si="6"/>
        <v>25</v>
      </c>
      <c r="C263" s="32">
        <f t="shared" si="7"/>
        <v>4</v>
      </c>
      <c r="D263" s="38" cm="1">
        <f t="array" ref="D263">INDEX('Rad-2'!$B$2:$J$100,1+B263,C263)</f>
        <v>0</v>
      </c>
    </row>
    <row r="264" spans="1:4" x14ac:dyDescent="0.75">
      <c r="A264" s="32">
        <v>230</v>
      </c>
      <c r="B264" s="32">
        <f t="shared" si="6"/>
        <v>25</v>
      </c>
      <c r="C264" s="32">
        <f t="shared" si="7"/>
        <v>5</v>
      </c>
      <c r="D264" s="38" cm="1">
        <f t="array" ref="D264">INDEX('Rad-2'!$B$2:$J$100,1+B264,C264)</f>
        <v>0</v>
      </c>
    </row>
    <row r="265" spans="1:4" x14ac:dyDescent="0.75">
      <c r="A265" s="32">
        <v>231</v>
      </c>
      <c r="B265" s="32">
        <f t="shared" si="6"/>
        <v>25</v>
      </c>
      <c r="C265" s="32">
        <f t="shared" si="7"/>
        <v>6</v>
      </c>
      <c r="D265" s="38" cm="1">
        <f t="array" ref="D265">INDEX('Rad-2'!$B$2:$J$100,1+B265,C265)</f>
        <v>0</v>
      </c>
    </row>
    <row r="266" spans="1:4" x14ac:dyDescent="0.75">
      <c r="A266" s="32">
        <v>232</v>
      </c>
      <c r="B266" s="32">
        <f t="shared" si="6"/>
        <v>25</v>
      </c>
      <c r="C266" s="32">
        <f t="shared" si="7"/>
        <v>7</v>
      </c>
      <c r="D266" s="38" cm="1">
        <f t="array" ref="D266">INDEX('Rad-2'!$B$2:$J$100,1+B266,C266)</f>
        <v>0</v>
      </c>
    </row>
    <row r="267" spans="1:4" x14ac:dyDescent="0.75">
      <c r="A267" s="32">
        <v>233</v>
      </c>
      <c r="B267" s="32">
        <f t="shared" si="6"/>
        <v>25</v>
      </c>
      <c r="C267" s="32">
        <f t="shared" si="7"/>
        <v>8</v>
      </c>
      <c r="D267" s="38" cm="1">
        <f t="array" ref="D267">INDEX('Rad-2'!$B$2:$J$100,1+B267,C267)</f>
        <v>0</v>
      </c>
    </row>
    <row r="268" spans="1:4" x14ac:dyDescent="0.75">
      <c r="A268" s="32">
        <v>234</v>
      </c>
      <c r="B268" s="32">
        <f t="shared" si="6"/>
        <v>25</v>
      </c>
      <c r="C268" s="32">
        <f t="shared" si="7"/>
        <v>9</v>
      </c>
      <c r="D268" s="38" cm="1">
        <f t="array" ref="D268">INDEX('Rad-2'!$B$2:$J$100,1+B268,C268)</f>
        <v>0</v>
      </c>
    </row>
    <row r="269" spans="1:4" x14ac:dyDescent="0.75">
      <c r="A269" s="32">
        <v>235</v>
      </c>
      <c r="B269" s="32">
        <f t="shared" si="6"/>
        <v>26</v>
      </c>
      <c r="C269" s="32">
        <f t="shared" si="7"/>
        <v>1</v>
      </c>
      <c r="D269" s="38" cm="1">
        <f t="array" ref="D269">INDEX('Rad-2'!$B$2:$J$100,1+B269,C269)</f>
        <v>0</v>
      </c>
    </row>
    <row r="270" spans="1:4" x14ac:dyDescent="0.75">
      <c r="A270" s="32">
        <v>236</v>
      </c>
      <c r="B270" s="32">
        <f t="shared" si="6"/>
        <v>26</v>
      </c>
      <c r="C270" s="32">
        <f t="shared" si="7"/>
        <v>2</v>
      </c>
      <c r="D270" s="38" cm="1">
        <f t="array" ref="D270">INDEX('Rad-2'!$B$2:$J$100,1+B270,C270)</f>
        <v>0</v>
      </c>
    </row>
    <row r="271" spans="1:4" x14ac:dyDescent="0.75">
      <c r="A271" s="32">
        <v>237</v>
      </c>
      <c r="B271" s="32">
        <f t="shared" si="6"/>
        <v>26</v>
      </c>
      <c r="C271" s="32">
        <f t="shared" si="7"/>
        <v>3</v>
      </c>
      <c r="D271" s="38" cm="1">
        <f t="array" ref="D271">INDEX('Rad-2'!$B$2:$J$100,1+B271,C271)</f>
        <v>0</v>
      </c>
    </row>
    <row r="272" spans="1:4" x14ac:dyDescent="0.75">
      <c r="A272" s="32">
        <v>238</v>
      </c>
      <c r="B272" s="32">
        <f t="shared" si="6"/>
        <v>26</v>
      </c>
      <c r="C272" s="32">
        <f t="shared" si="7"/>
        <v>4</v>
      </c>
      <c r="D272" s="38" cm="1">
        <f t="array" ref="D272">INDEX('Rad-2'!$B$2:$J$100,1+B272,C272)</f>
        <v>0</v>
      </c>
    </row>
    <row r="273" spans="1:4" x14ac:dyDescent="0.75">
      <c r="A273" s="32">
        <v>239</v>
      </c>
      <c r="B273" s="32">
        <f t="shared" si="6"/>
        <v>26</v>
      </c>
      <c r="C273" s="32">
        <f t="shared" si="7"/>
        <v>5</v>
      </c>
      <c r="D273" s="38" cm="1">
        <f t="array" ref="D273">INDEX('Rad-2'!$B$2:$J$100,1+B273,C273)</f>
        <v>0</v>
      </c>
    </row>
    <row r="274" spans="1:4" x14ac:dyDescent="0.75">
      <c r="A274" s="32">
        <v>240</v>
      </c>
      <c r="B274" s="32">
        <f t="shared" si="6"/>
        <v>26</v>
      </c>
      <c r="C274" s="32">
        <f t="shared" si="7"/>
        <v>6</v>
      </c>
      <c r="D274" s="38" cm="1">
        <f t="array" ref="D274">INDEX('Rad-2'!$B$2:$J$100,1+B274,C274)</f>
        <v>0</v>
      </c>
    </row>
    <row r="275" spans="1:4" x14ac:dyDescent="0.75">
      <c r="A275" s="32">
        <v>241</v>
      </c>
      <c r="B275" s="32">
        <f t="shared" si="6"/>
        <v>26</v>
      </c>
      <c r="C275" s="32">
        <f t="shared" si="7"/>
        <v>7</v>
      </c>
      <c r="D275" s="38" cm="1">
        <f t="array" ref="D275">INDEX('Rad-2'!$B$2:$J$100,1+B275,C275)</f>
        <v>0</v>
      </c>
    </row>
    <row r="276" spans="1:4" x14ac:dyDescent="0.75">
      <c r="A276" s="32">
        <v>242</v>
      </c>
      <c r="B276" s="32">
        <f t="shared" si="6"/>
        <v>26</v>
      </c>
      <c r="C276" s="32">
        <f t="shared" si="7"/>
        <v>8</v>
      </c>
      <c r="D276" s="38" cm="1">
        <f t="array" ref="D276">INDEX('Rad-2'!$B$2:$J$100,1+B276,C276)</f>
        <v>0</v>
      </c>
    </row>
    <row r="277" spans="1:4" x14ac:dyDescent="0.75">
      <c r="A277" s="32">
        <v>243</v>
      </c>
      <c r="B277" s="32">
        <f t="shared" si="6"/>
        <v>26</v>
      </c>
      <c r="C277" s="32">
        <f t="shared" si="7"/>
        <v>9</v>
      </c>
      <c r="D277" s="38" cm="1">
        <f t="array" ref="D277">INDEX('Rad-2'!$B$2:$J$100,1+B277,C277)</f>
        <v>0</v>
      </c>
    </row>
    <row r="278" spans="1:4" x14ac:dyDescent="0.75">
      <c r="A278" s="32">
        <v>244</v>
      </c>
      <c r="B278" s="32">
        <f t="shared" si="6"/>
        <v>27</v>
      </c>
      <c r="C278" s="32">
        <f t="shared" si="7"/>
        <v>1</v>
      </c>
      <c r="D278" s="38" cm="1">
        <f t="array" ref="D278">INDEX('Rad-2'!$B$2:$J$100,1+B278,C278)</f>
        <v>0</v>
      </c>
    </row>
    <row r="279" spans="1:4" x14ac:dyDescent="0.75">
      <c r="A279" s="32">
        <v>245</v>
      </c>
      <c r="B279" s="32">
        <f t="shared" si="6"/>
        <v>27</v>
      </c>
      <c r="C279" s="32">
        <f t="shared" si="7"/>
        <v>2</v>
      </c>
      <c r="D279" s="38" cm="1">
        <f t="array" ref="D279">INDEX('Rad-2'!$B$2:$J$100,1+B279,C279)</f>
        <v>0</v>
      </c>
    </row>
    <row r="280" spans="1:4" x14ac:dyDescent="0.75">
      <c r="A280" s="32">
        <v>246</v>
      </c>
      <c r="B280" s="32">
        <f t="shared" si="6"/>
        <v>27</v>
      </c>
      <c r="C280" s="32">
        <f t="shared" si="7"/>
        <v>3</v>
      </c>
      <c r="D280" s="38" cm="1">
        <f t="array" ref="D280">INDEX('Rad-2'!$B$2:$J$100,1+B280,C280)</f>
        <v>0</v>
      </c>
    </row>
    <row r="281" spans="1:4" x14ac:dyDescent="0.75">
      <c r="A281" s="32">
        <v>247</v>
      </c>
      <c r="B281" s="32">
        <f t="shared" si="6"/>
        <v>27</v>
      </c>
      <c r="C281" s="32">
        <f t="shared" si="7"/>
        <v>4</v>
      </c>
      <c r="D281" s="38" cm="1">
        <f t="array" ref="D281">INDEX('Rad-2'!$B$2:$J$100,1+B281,C281)</f>
        <v>0</v>
      </c>
    </row>
    <row r="282" spans="1:4" x14ac:dyDescent="0.75">
      <c r="A282" s="32">
        <v>248</v>
      </c>
      <c r="B282" s="32">
        <f t="shared" si="6"/>
        <v>27</v>
      </c>
      <c r="C282" s="32">
        <f t="shared" si="7"/>
        <v>5</v>
      </c>
      <c r="D282" s="38" cm="1">
        <f t="array" ref="D282">INDEX('Rad-2'!$B$2:$J$100,1+B282,C282)</f>
        <v>0</v>
      </c>
    </row>
    <row r="283" spans="1:4" x14ac:dyDescent="0.75">
      <c r="A283" s="32">
        <v>249</v>
      </c>
      <c r="B283" s="32">
        <f t="shared" si="6"/>
        <v>27</v>
      </c>
      <c r="C283" s="32">
        <f t="shared" si="7"/>
        <v>6</v>
      </c>
      <c r="D283" s="38" cm="1">
        <f t="array" ref="D283">INDEX('Rad-2'!$B$2:$J$100,1+B283,C283)</f>
        <v>0</v>
      </c>
    </row>
    <row r="284" spans="1:4" x14ac:dyDescent="0.75">
      <c r="A284" s="32">
        <v>250</v>
      </c>
      <c r="B284" s="32">
        <f t="shared" si="6"/>
        <v>27</v>
      </c>
      <c r="C284" s="32">
        <f t="shared" si="7"/>
        <v>7</v>
      </c>
      <c r="D284" s="38" cm="1">
        <f t="array" ref="D284">INDEX('Rad-2'!$B$2:$J$100,1+B284,C284)</f>
        <v>0</v>
      </c>
    </row>
    <row r="285" spans="1:4" x14ac:dyDescent="0.75">
      <c r="A285" s="32">
        <v>251</v>
      </c>
      <c r="B285" s="32">
        <f t="shared" si="6"/>
        <v>27</v>
      </c>
      <c r="C285" s="32">
        <f t="shared" si="7"/>
        <v>8</v>
      </c>
      <c r="D285" s="38" cm="1">
        <f t="array" ref="D285">INDEX('Rad-2'!$B$2:$J$100,1+B285,C285)</f>
        <v>0</v>
      </c>
    </row>
    <row r="286" spans="1:4" x14ac:dyDescent="0.75">
      <c r="A286" s="32">
        <v>252</v>
      </c>
      <c r="B286" s="32">
        <f t="shared" si="6"/>
        <v>27</v>
      </c>
      <c r="C286" s="32">
        <f t="shared" si="7"/>
        <v>9</v>
      </c>
      <c r="D286" s="38" cm="1">
        <f t="array" ref="D286">INDEX('Rad-2'!$B$2:$J$100,1+B286,C286)</f>
        <v>0</v>
      </c>
    </row>
    <row r="287" spans="1:4" x14ac:dyDescent="0.75">
      <c r="A287" s="32">
        <v>253</v>
      </c>
      <c r="B287" s="32">
        <f t="shared" si="6"/>
        <v>28</v>
      </c>
      <c r="C287" s="32">
        <f t="shared" si="7"/>
        <v>1</v>
      </c>
      <c r="D287" s="38" cm="1">
        <f t="array" ref="D287">INDEX('Rad-2'!$B$2:$J$100,1+B287,C287)</f>
        <v>0</v>
      </c>
    </row>
    <row r="288" spans="1:4" x14ac:dyDescent="0.75">
      <c r="A288" s="32">
        <v>254</v>
      </c>
      <c r="B288" s="32">
        <f t="shared" si="6"/>
        <v>28</v>
      </c>
      <c r="C288" s="32">
        <f t="shared" si="7"/>
        <v>2</v>
      </c>
      <c r="D288" s="38" cm="1">
        <f t="array" ref="D288">INDEX('Rad-2'!$B$2:$J$100,1+B288,C288)</f>
        <v>0</v>
      </c>
    </row>
    <row r="289" spans="1:4" x14ac:dyDescent="0.75">
      <c r="A289" s="32">
        <v>255</v>
      </c>
      <c r="B289" s="32">
        <f t="shared" si="6"/>
        <v>28</v>
      </c>
      <c r="C289" s="32">
        <f t="shared" si="7"/>
        <v>3</v>
      </c>
      <c r="D289" s="38" cm="1">
        <f t="array" ref="D289">INDEX('Rad-2'!$B$2:$J$100,1+B289,C289)</f>
        <v>0</v>
      </c>
    </row>
    <row r="290" spans="1:4" x14ac:dyDescent="0.75">
      <c r="A290" s="32">
        <v>256</v>
      </c>
      <c r="B290" s="32">
        <f t="shared" si="6"/>
        <v>28</v>
      </c>
      <c r="C290" s="32">
        <f t="shared" si="7"/>
        <v>4</v>
      </c>
      <c r="D290" s="38" cm="1">
        <f t="array" ref="D290">INDEX('Rad-2'!$B$2:$J$100,1+B290,C290)</f>
        <v>0</v>
      </c>
    </row>
    <row r="291" spans="1:4" x14ac:dyDescent="0.75">
      <c r="A291" s="32">
        <v>257</v>
      </c>
      <c r="B291" s="32">
        <f t="shared" si="6"/>
        <v>28</v>
      </c>
      <c r="C291" s="32">
        <f t="shared" si="7"/>
        <v>5</v>
      </c>
      <c r="D291" s="38" cm="1">
        <f t="array" ref="D291">INDEX('Rad-2'!$B$2:$J$100,1+B291,C291)</f>
        <v>0</v>
      </c>
    </row>
    <row r="292" spans="1:4" x14ac:dyDescent="0.75">
      <c r="A292" s="32">
        <v>258</v>
      </c>
      <c r="B292" s="32">
        <f t="shared" ref="B292:B355" si="8">IF(MOD(A292,$B$25)=0,A292/$B$25-1,INT(A292/$B$25))</f>
        <v>28</v>
      </c>
      <c r="C292" s="32">
        <f t="shared" ref="C292:C355" si="9">IF(MOD(A292,$B$25)=0,$B$25,MOD(A292,$B$25))</f>
        <v>6</v>
      </c>
      <c r="D292" s="38" cm="1">
        <f t="array" ref="D292">INDEX('Rad-2'!$B$2:$J$100,1+B292,C292)</f>
        <v>0</v>
      </c>
    </row>
    <row r="293" spans="1:4" x14ac:dyDescent="0.75">
      <c r="A293" s="32">
        <v>259</v>
      </c>
      <c r="B293" s="32">
        <f t="shared" si="8"/>
        <v>28</v>
      </c>
      <c r="C293" s="32">
        <f t="shared" si="9"/>
        <v>7</v>
      </c>
      <c r="D293" s="38" cm="1">
        <f t="array" ref="D293">INDEX('Rad-2'!$B$2:$J$100,1+B293,C293)</f>
        <v>0</v>
      </c>
    </row>
    <row r="294" spans="1:4" x14ac:dyDescent="0.75">
      <c r="A294" s="32">
        <v>260</v>
      </c>
      <c r="B294" s="32">
        <f t="shared" si="8"/>
        <v>28</v>
      </c>
      <c r="C294" s="32">
        <f t="shared" si="9"/>
        <v>8</v>
      </c>
      <c r="D294" s="38" cm="1">
        <f t="array" ref="D294">INDEX('Rad-2'!$B$2:$J$100,1+B294,C294)</f>
        <v>0</v>
      </c>
    </row>
    <row r="295" spans="1:4" x14ac:dyDescent="0.75">
      <c r="A295" s="32">
        <v>261</v>
      </c>
      <c r="B295" s="32">
        <f t="shared" si="8"/>
        <v>28</v>
      </c>
      <c r="C295" s="32">
        <f t="shared" si="9"/>
        <v>9</v>
      </c>
      <c r="D295" s="38" cm="1">
        <f t="array" ref="D295">INDEX('Rad-2'!$B$2:$J$100,1+B295,C295)</f>
        <v>0</v>
      </c>
    </row>
    <row r="296" spans="1:4" x14ac:dyDescent="0.75">
      <c r="A296" s="32">
        <v>262</v>
      </c>
      <c r="B296" s="32">
        <f t="shared" si="8"/>
        <v>29</v>
      </c>
      <c r="C296" s="32">
        <f t="shared" si="9"/>
        <v>1</v>
      </c>
      <c r="D296" s="38" cm="1">
        <f t="array" ref="D296">INDEX('Rad-2'!$B$2:$J$100,1+B296,C296)</f>
        <v>0</v>
      </c>
    </row>
    <row r="297" spans="1:4" x14ac:dyDescent="0.75">
      <c r="A297" s="32">
        <v>263</v>
      </c>
      <c r="B297" s="32">
        <f t="shared" si="8"/>
        <v>29</v>
      </c>
      <c r="C297" s="32">
        <f t="shared" si="9"/>
        <v>2</v>
      </c>
      <c r="D297" s="38" cm="1">
        <f t="array" ref="D297">INDEX('Rad-2'!$B$2:$J$100,1+B297,C297)</f>
        <v>0</v>
      </c>
    </row>
    <row r="298" spans="1:4" x14ac:dyDescent="0.75">
      <c r="A298" s="32">
        <v>264</v>
      </c>
      <c r="B298" s="32">
        <f t="shared" si="8"/>
        <v>29</v>
      </c>
      <c r="C298" s="32">
        <f t="shared" si="9"/>
        <v>3</v>
      </c>
      <c r="D298" s="38" cm="1">
        <f t="array" ref="D298">INDEX('Rad-2'!$B$2:$J$100,1+B298,C298)</f>
        <v>0</v>
      </c>
    </row>
    <row r="299" spans="1:4" x14ac:dyDescent="0.75">
      <c r="A299" s="32">
        <v>265</v>
      </c>
      <c r="B299" s="32">
        <f t="shared" si="8"/>
        <v>29</v>
      </c>
      <c r="C299" s="32">
        <f t="shared" si="9"/>
        <v>4</v>
      </c>
      <c r="D299" s="38" cm="1">
        <f t="array" ref="D299">INDEX('Rad-2'!$B$2:$J$100,1+B299,C299)</f>
        <v>0</v>
      </c>
    </row>
    <row r="300" spans="1:4" x14ac:dyDescent="0.75">
      <c r="A300" s="32">
        <v>266</v>
      </c>
      <c r="B300" s="32">
        <f t="shared" si="8"/>
        <v>29</v>
      </c>
      <c r="C300" s="32">
        <f t="shared" si="9"/>
        <v>5</v>
      </c>
      <c r="D300" s="38" cm="1">
        <f t="array" ref="D300">INDEX('Rad-2'!$B$2:$J$100,1+B300,C300)</f>
        <v>0</v>
      </c>
    </row>
    <row r="301" spans="1:4" x14ac:dyDescent="0.75">
      <c r="A301" s="32">
        <v>267</v>
      </c>
      <c r="B301" s="32">
        <f t="shared" si="8"/>
        <v>29</v>
      </c>
      <c r="C301" s="32">
        <f t="shared" si="9"/>
        <v>6</v>
      </c>
      <c r="D301" s="38" cm="1">
        <f t="array" ref="D301">INDEX('Rad-2'!$B$2:$J$100,1+B301,C301)</f>
        <v>0</v>
      </c>
    </row>
    <row r="302" spans="1:4" x14ac:dyDescent="0.75">
      <c r="A302" s="32">
        <v>268</v>
      </c>
      <c r="B302" s="32">
        <f t="shared" si="8"/>
        <v>29</v>
      </c>
      <c r="C302" s="32">
        <f t="shared" si="9"/>
        <v>7</v>
      </c>
      <c r="D302" s="38" cm="1">
        <f t="array" ref="D302">INDEX('Rad-2'!$B$2:$J$100,1+B302,C302)</f>
        <v>0</v>
      </c>
    </row>
    <row r="303" spans="1:4" x14ac:dyDescent="0.75">
      <c r="A303" s="32">
        <v>269</v>
      </c>
      <c r="B303" s="32">
        <f t="shared" si="8"/>
        <v>29</v>
      </c>
      <c r="C303" s="32">
        <f t="shared" si="9"/>
        <v>8</v>
      </c>
      <c r="D303" s="38" cm="1">
        <f t="array" ref="D303">INDEX('Rad-2'!$B$2:$J$100,1+B303,C303)</f>
        <v>0</v>
      </c>
    </row>
    <row r="304" spans="1:4" x14ac:dyDescent="0.75">
      <c r="A304" s="32">
        <v>270</v>
      </c>
      <c r="B304" s="32">
        <f t="shared" si="8"/>
        <v>29</v>
      </c>
      <c r="C304" s="32">
        <f t="shared" si="9"/>
        <v>9</v>
      </c>
      <c r="D304" s="38" cm="1">
        <f t="array" ref="D304">INDEX('Rad-2'!$B$2:$J$100,1+B304,C304)</f>
        <v>0</v>
      </c>
    </row>
    <row r="305" spans="1:4" x14ac:dyDescent="0.75">
      <c r="A305" s="32">
        <v>271</v>
      </c>
      <c r="B305" s="32">
        <f t="shared" si="8"/>
        <v>30</v>
      </c>
      <c r="C305" s="32">
        <f t="shared" si="9"/>
        <v>1</v>
      </c>
      <c r="D305" s="38" cm="1">
        <f t="array" ref="D305">INDEX('Rad-2'!$B$2:$J$100,1+B305,C305)</f>
        <v>0</v>
      </c>
    </row>
    <row r="306" spans="1:4" x14ac:dyDescent="0.75">
      <c r="A306" s="32">
        <v>272</v>
      </c>
      <c r="B306" s="32">
        <f t="shared" si="8"/>
        <v>30</v>
      </c>
      <c r="C306" s="32">
        <f t="shared" si="9"/>
        <v>2</v>
      </c>
      <c r="D306" s="38" cm="1">
        <f t="array" ref="D306">INDEX('Rad-2'!$B$2:$J$100,1+B306,C306)</f>
        <v>0</v>
      </c>
    </row>
    <row r="307" spans="1:4" x14ac:dyDescent="0.75">
      <c r="A307" s="32">
        <v>273</v>
      </c>
      <c r="B307" s="32">
        <f t="shared" si="8"/>
        <v>30</v>
      </c>
      <c r="C307" s="32">
        <f t="shared" si="9"/>
        <v>3</v>
      </c>
      <c r="D307" s="38" cm="1">
        <f t="array" ref="D307">INDEX('Rad-2'!$B$2:$J$100,1+B307,C307)</f>
        <v>0</v>
      </c>
    </row>
    <row r="308" spans="1:4" x14ac:dyDescent="0.75">
      <c r="A308" s="32">
        <v>274</v>
      </c>
      <c r="B308" s="32">
        <f t="shared" si="8"/>
        <v>30</v>
      </c>
      <c r="C308" s="32">
        <f t="shared" si="9"/>
        <v>4</v>
      </c>
      <c r="D308" s="38" cm="1">
        <f t="array" ref="D308">INDEX('Rad-2'!$B$2:$J$100,1+B308,C308)</f>
        <v>0</v>
      </c>
    </row>
    <row r="309" spans="1:4" x14ac:dyDescent="0.75">
      <c r="A309" s="32">
        <v>275</v>
      </c>
      <c r="B309" s="32">
        <f t="shared" si="8"/>
        <v>30</v>
      </c>
      <c r="C309" s="32">
        <f t="shared" si="9"/>
        <v>5</v>
      </c>
      <c r="D309" s="38" cm="1">
        <f t="array" ref="D309">INDEX('Rad-2'!$B$2:$J$100,1+B309,C309)</f>
        <v>0</v>
      </c>
    </row>
    <row r="310" spans="1:4" x14ac:dyDescent="0.75">
      <c r="A310" s="32">
        <v>276</v>
      </c>
      <c r="B310" s="32">
        <f t="shared" si="8"/>
        <v>30</v>
      </c>
      <c r="C310" s="32">
        <f t="shared" si="9"/>
        <v>6</v>
      </c>
      <c r="D310" s="38" cm="1">
        <f t="array" ref="D310">INDEX('Rad-2'!$B$2:$J$100,1+B310,C310)</f>
        <v>0</v>
      </c>
    </row>
    <row r="311" spans="1:4" x14ac:dyDescent="0.75">
      <c r="A311" s="32">
        <v>277</v>
      </c>
      <c r="B311" s="32">
        <f t="shared" si="8"/>
        <v>30</v>
      </c>
      <c r="C311" s="32">
        <f t="shared" si="9"/>
        <v>7</v>
      </c>
      <c r="D311" s="38" cm="1">
        <f t="array" ref="D311">INDEX('Rad-2'!$B$2:$J$100,1+B311,C311)</f>
        <v>0</v>
      </c>
    </row>
    <row r="312" spans="1:4" x14ac:dyDescent="0.75">
      <c r="A312" s="32">
        <v>278</v>
      </c>
      <c r="B312" s="32">
        <f t="shared" si="8"/>
        <v>30</v>
      </c>
      <c r="C312" s="32">
        <f t="shared" si="9"/>
        <v>8</v>
      </c>
      <c r="D312" s="38" cm="1">
        <f t="array" ref="D312">INDEX('Rad-2'!$B$2:$J$100,1+B312,C312)</f>
        <v>0</v>
      </c>
    </row>
    <row r="313" spans="1:4" x14ac:dyDescent="0.75">
      <c r="A313" s="32">
        <v>279</v>
      </c>
      <c r="B313" s="32">
        <f t="shared" si="8"/>
        <v>30</v>
      </c>
      <c r="C313" s="32">
        <f t="shared" si="9"/>
        <v>9</v>
      </c>
      <c r="D313" s="38" cm="1">
        <f t="array" ref="D313">INDEX('Rad-2'!$B$2:$J$100,1+B313,C313)</f>
        <v>0</v>
      </c>
    </row>
    <row r="314" spans="1:4" x14ac:dyDescent="0.75">
      <c r="A314" s="32">
        <v>280</v>
      </c>
      <c r="B314" s="32">
        <f t="shared" si="8"/>
        <v>31</v>
      </c>
      <c r="C314" s="32">
        <f t="shared" si="9"/>
        <v>1</v>
      </c>
      <c r="D314" s="38" cm="1">
        <f t="array" ref="D314">INDEX('Rad-2'!$B$2:$J$100,1+B314,C314)</f>
        <v>0</v>
      </c>
    </row>
    <row r="315" spans="1:4" x14ac:dyDescent="0.75">
      <c r="A315" s="32">
        <v>281</v>
      </c>
      <c r="B315" s="32">
        <f t="shared" si="8"/>
        <v>31</v>
      </c>
      <c r="C315" s="32">
        <f t="shared" si="9"/>
        <v>2</v>
      </c>
      <c r="D315" s="38" cm="1">
        <f t="array" ref="D315">INDEX('Rad-2'!$B$2:$J$100,1+B315,C315)</f>
        <v>0</v>
      </c>
    </row>
    <row r="316" spans="1:4" x14ac:dyDescent="0.75">
      <c r="A316" s="32">
        <v>282</v>
      </c>
      <c r="B316" s="32">
        <f t="shared" si="8"/>
        <v>31</v>
      </c>
      <c r="C316" s="32">
        <f t="shared" si="9"/>
        <v>3</v>
      </c>
      <c r="D316" s="38" cm="1">
        <f t="array" ref="D316">INDEX('Rad-2'!$B$2:$J$100,1+B316,C316)</f>
        <v>0</v>
      </c>
    </row>
    <row r="317" spans="1:4" x14ac:dyDescent="0.75">
      <c r="A317" s="32">
        <v>283</v>
      </c>
      <c r="B317" s="32">
        <f t="shared" si="8"/>
        <v>31</v>
      </c>
      <c r="C317" s="32">
        <f t="shared" si="9"/>
        <v>4</v>
      </c>
      <c r="D317" s="38" cm="1">
        <f t="array" ref="D317">INDEX('Rad-2'!$B$2:$J$100,1+B317,C317)</f>
        <v>0</v>
      </c>
    </row>
    <row r="318" spans="1:4" x14ac:dyDescent="0.75">
      <c r="A318" s="32">
        <v>284</v>
      </c>
      <c r="B318" s="32">
        <f t="shared" si="8"/>
        <v>31</v>
      </c>
      <c r="C318" s="32">
        <f t="shared" si="9"/>
        <v>5</v>
      </c>
      <c r="D318" s="38" cm="1">
        <f t="array" ref="D318">INDEX('Rad-2'!$B$2:$J$100,1+B318,C318)</f>
        <v>0</v>
      </c>
    </row>
    <row r="319" spans="1:4" x14ac:dyDescent="0.75">
      <c r="A319" s="32">
        <v>285</v>
      </c>
      <c r="B319" s="32">
        <f t="shared" si="8"/>
        <v>31</v>
      </c>
      <c r="C319" s="32">
        <f t="shared" si="9"/>
        <v>6</v>
      </c>
      <c r="D319" s="38" cm="1">
        <f t="array" ref="D319">INDEX('Rad-2'!$B$2:$J$100,1+B319,C319)</f>
        <v>0</v>
      </c>
    </row>
    <row r="320" spans="1:4" x14ac:dyDescent="0.75">
      <c r="A320" s="32">
        <v>286</v>
      </c>
      <c r="B320" s="32">
        <f t="shared" si="8"/>
        <v>31</v>
      </c>
      <c r="C320" s="32">
        <f t="shared" si="9"/>
        <v>7</v>
      </c>
      <c r="D320" s="38" cm="1">
        <f t="array" ref="D320">INDEX('Rad-2'!$B$2:$J$100,1+B320,C320)</f>
        <v>0</v>
      </c>
    </row>
    <row r="321" spans="1:4" x14ac:dyDescent="0.75">
      <c r="A321" s="32">
        <v>287</v>
      </c>
      <c r="B321" s="32">
        <f t="shared" si="8"/>
        <v>31</v>
      </c>
      <c r="C321" s="32">
        <f t="shared" si="9"/>
        <v>8</v>
      </c>
      <c r="D321" s="38" cm="1">
        <f t="array" ref="D321">INDEX('Rad-2'!$B$2:$J$100,1+B321,C321)</f>
        <v>0</v>
      </c>
    </row>
    <row r="322" spans="1:4" x14ac:dyDescent="0.75">
      <c r="A322" s="32">
        <v>288</v>
      </c>
      <c r="B322" s="32">
        <f t="shared" si="8"/>
        <v>31</v>
      </c>
      <c r="C322" s="32">
        <f t="shared" si="9"/>
        <v>9</v>
      </c>
      <c r="D322" s="38" cm="1">
        <f t="array" ref="D322">INDEX('Rad-2'!$B$2:$J$100,1+B322,C322)</f>
        <v>0</v>
      </c>
    </row>
    <row r="323" spans="1:4" x14ac:dyDescent="0.75">
      <c r="A323" s="32">
        <v>289</v>
      </c>
      <c r="B323" s="32">
        <f t="shared" si="8"/>
        <v>32</v>
      </c>
      <c r="C323" s="32">
        <f t="shared" si="9"/>
        <v>1</v>
      </c>
      <c r="D323" s="38" cm="1">
        <f t="array" ref="D323">INDEX('Rad-2'!$B$2:$J$100,1+B323,C323)</f>
        <v>0</v>
      </c>
    </row>
    <row r="324" spans="1:4" x14ac:dyDescent="0.75">
      <c r="A324" s="32">
        <v>290</v>
      </c>
      <c r="B324" s="32">
        <f t="shared" si="8"/>
        <v>32</v>
      </c>
      <c r="C324" s="32">
        <f t="shared" si="9"/>
        <v>2</v>
      </c>
      <c r="D324" s="38" cm="1">
        <f t="array" ref="D324">INDEX('Rad-2'!$B$2:$J$100,1+B324,C324)</f>
        <v>0</v>
      </c>
    </row>
    <row r="325" spans="1:4" x14ac:dyDescent="0.75">
      <c r="A325" s="32">
        <v>291</v>
      </c>
      <c r="B325" s="32">
        <f t="shared" si="8"/>
        <v>32</v>
      </c>
      <c r="C325" s="32">
        <f t="shared" si="9"/>
        <v>3</v>
      </c>
      <c r="D325" s="38" cm="1">
        <f t="array" ref="D325">INDEX('Rad-2'!$B$2:$J$100,1+B325,C325)</f>
        <v>0</v>
      </c>
    </row>
    <row r="326" spans="1:4" x14ac:dyDescent="0.75">
      <c r="A326" s="32">
        <v>292</v>
      </c>
      <c r="B326" s="32">
        <f t="shared" si="8"/>
        <v>32</v>
      </c>
      <c r="C326" s="32">
        <f t="shared" si="9"/>
        <v>4</v>
      </c>
      <c r="D326" s="38" cm="1">
        <f t="array" ref="D326">INDEX('Rad-2'!$B$2:$J$100,1+B326,C326)</f>
        <v>0</v>
      </c>
    </row>
    <row r="327" spans="1:4" x14ac:dyDescent="0.75">
      <c r="A327" s="32">
        <v>293</v>
      </c>
      <c r="B327" s="32">
        <f t="shared" si="8"/>
        <v>32</v>
      </c>
      <c r="C327" s="32">
        <f t="shared" si="9"/>
        <v>5</v>
      </c>
      <c r="D327" s="38" cm="1">
        <f t="array" ref="D327">INDEX('Rad-2'!$B$2:$J$100,1+B327,C327)</f>
        <v>0</v>
      </c>
    </row>
    <row r="328" spans="1:4" x14ac:dyDescent="0.75">
      <c r="A328" s="32">
        <v>294</v>
      </c>
      <c r="B328" s="32">
        <f t="shared" si="8"/>
        <v>32</v>
      </c>
      <c r="C328" s="32">
        <f t="shared" si="9"/>
        <v>6</v>
      </c>
      <c r="D328" s="38" cm="1">
        <f t="array" ref="D328">INDEX('Rad-2'!$B$2:$J$100,1+B328,C328)</f>
        <v>0</v>
      </c>
    </row>
    <row r="329" spans="1:4" x14ac:dyDescent="0.75">
      <c r="A329" s="32">
        <v>295</v>
      </c>
      <c r="B329" s="32">
        <f t="shared" si="8"/>
        <v>32</v>
      </c>
      <c r="C329" s="32">
        <f t="shared" si="9"/>
        <v>7</v>
      </c>
      <c r="D329" s="38" cm="1">
        <f t="array" ref="D329">INDEX('Rad-2'!$B$2:$J$100,1+B329,C329)</f>
        <v>0</v>
      </c>
    </row>
    <row r="330" spans="1:4" x14ac:dyDescent="0.75">
      <c r="A330" s="32">
        <v>296</v>
      </c>
      <c r="B330" s="32">
        <f t="shared" si="8"/>
        <v>32</v>
      </c>
      <c r="C330" s="32">
        <f t="shared" si="9"/>
        <v>8</v>
      </c>
      <c r="D330" s="38" cm="1">
        <f t="array" ref="D330">INDEX('Rad-2'!$B$2:$J$100,1+B330,C330)</f>
        <v>0</v>
      </c>
    </row>
    <row r="331" spans="1:4" x14ac:dyDescent="0.75">
      <c r="A331" s="32">
        <v>297</v>
      </c>
      <c r="B331" s="32">
        <f t="shared" si="8"/>
        <v>32</v>
      </c>
      <c r="C331" s="32">
        <f t="shared" si="9"/>
        <v>9</v>
      </c>
      <c r="D331" s="38" cm="1">
        <f t="array" ref="D331">INDEX('Rad-2'!$B$2:$J$100,1+B331,C331)</f>
        <v>0</v>
      </c>
    </row>
    <row r="332" spans="1:4" x14ac:dyDescent="0.75">
      <c r="A332" s="32">
        <v>298</v>
      </c>
      <c r="B332" s="32">
        <f t="shared" si="8"/>
        <v>33</v>
      </c>
      <c r="C332" s="32">
        <f t="shared" si="9"/>
        <v>1</v>
      </c>
      <c r="D332" s="38" cm="1">
        <f t="array" ref="D332">INDEX('Rad-2'!$B$2:$J$100,1+B332,C332)</f>
        <v>0</v>
      </c>
    </row>
    <row r="333" spans="1:4" x14ac:dyDescent="0.75">
      <c r="A333" s="32">
        <v>299</v>
      </c>
      <c r="B333" s="32">
        <f t="shared" si="8"/>
        <v>33</v>
      </c>
      <c r="C333" s="32">
        <f t="shared" si="9"/>
        <v>2</v>
      </c>
      <c r="D333" s="38" cm="1">
        <f t="array" ref="D333">INDEX('Rad-2'!$B$2:$J$100,1+B333,C333)</f>
        <v>0</v>
      </c>
    </row>
    <row r="334" spans="1:4" x14ac:dyDescent="0.75">
      <c r="A334" s="32">
        <v>300</v>
      </c>
      <c r="B334" s="32">
        <f t="shared" si="8"/>
        <v>33</v>
      </c>
      <c r="C334" s="32">
        <f t="shared" si="9"/>
        <v>3</v>
      </c>
      <c r="D334" s="38" cm="1">
        <f t="array" ref="D334">INDEX('Rad-2'!$B$2:$J$100,1+B334,C334)</f>
        <v>0</v>
      </c>
    </row>
    <row r="335" spans="1:4" x14ac:dyDescent="0.75">
      <c r="A335" s="32">
        <v>301</v>
      </c>
      <c r="B335" s="32">
        <f t="shared" si="8"/>
        <v>33</v>
      </c>
      <c r="C335" s="32">
        <f t="shared" si="9"/>
        <v>4</v>
      </c>
      <c r="D335" s="38" cm="1">
        <f t="array" ref="D335">INDEX('Rad-2'!$B$2:$J$100,1+B335,C335)</f>
        <v>0</v>
      </c>
    </row>
    <row r="336" spans="1:4" x14ac:dyDescent="0.75">
      <c r="A336" s="32">
        <v>302</v>
      </c>
      <c r="B336" s="32">
        <f t="shared" si="8"/>
        <v>33</v>
      </c>
      <c r="C336" s="32">
        <f t="shared" si="9"/>
        <v>5</v>
      </c>
      <c r="D336" s="38" cm="1">
        <f t="array" ref="D336">INDEX('Rad-2'!$B$2:$J$100,1+B336,C336)</f>
        <v>0</v>
      </c>
    </row>
    <row r="337" spans="1:4" x14ac:dyDescent="0.75">
      <c r="A337" s="32">
        <v>303</v>
      </c>
      <c r="B337" s="32">
        <f t="shared" si="8"/>
        <v>33</v>
      </c>
      <c r="C337" s="32">
        <f t="shared" si="9"/>
        <v>6</v>
      </c>
      <c r="D337" s="38" cm="1">
        <f t="array" ref="D337">INDEX('Rad-2'!$B$2:$J$100,1+B337,C337)</f>
        <v>0</v>
      </c>
    </row>
    <row r="338" spans="1:4" x14ac:dyDescent="0.75">
      <c r="A338" s="32">
        <v>304</v>
      </c>
      <c r="B338" s="32">
        <f t="shared" si="8"/>
        <v>33</v>
      </c>
      <c r="C338" s="32">
        <f t="shared" si="9"/>
        <v>7</v>
      </c>
      <c r="D338" s="38" cm="1">
        <f t="array" ref="D338">INDEX('Rad-2'!$B$2:$J$100,1+B338,C338)</f>
        <v>0</v>
      </c>
    </row>
    <row r="339" spans="1:4" x14ac:dyDescent="0.75">
      <c r="A339" s="32">
        <v>305</v>
      </c>
      <c r="B339" s="32">
        <f t="shared" si="8"/>
        <v>33</v>
      </c>
      <c r="C339" s="32">
        <f t="shared" si="9"/>
        <v>8</v>
      </c>
      <c r="D339" s="38" cm="1">
        <f t="array" ref="D339">INDEX('Rad-2'!$B$2:$J$100,1+B339,C339)</f>
        <v>0</v>
      </c>
    </row>
    <row r="340" spans="1:4" x14ac:dyDescent="0.75">
      <c r="A340" s="32">
        <v>306</v>
      </c>
      <c r="B340" s="32">
        <f t="shared" si="8"/>
        <v>33</v>
      </c>
      <c r="C340" s="32">
        <f t="shared" si="9"/>
        <v>9</v>
      </c>
      <c r="D340" s="38" cm="1">
        <f t="array" ref="D340">INDEX('Rad-2'!$B$2:$J$100,1+B340,C340)</f>
        <v>0</v>
      </c>
    </row>
    <row r="341" spans="1:4" x14ac:dyDescent="0.75">
      <c r="A341" s="32">
        <v>307</v>
      </c>
      <c r="B341" s="32">
        <f t="shared" si="8"/>
        <v>34</v>
      </c>
      <c r="C341" s="32">
        <f t="shared" si="9"/>
        <v>1</v>
      </c>
      <c r="D341" s="38" cm="1">
        <f t="array" ref="D341">INDEX('Rad-2'!$B$2:$J$100,1+B341,C341)</f>
        <v>0</v>
      </c>
    </row>
    <row r="342" spans="1:4" x14ac:dyDescent="0.75">
      <c r="A342" s="32">
        <v>308</v>
      </c>
      <c r="B342" s="32">
        <f t="shared" si="8"/>
        <v>34</v>
      </c>
      <c r="C342" s="32">
        <f t="shared" si="9"/>
        <v>2</v>
      </c>
      <c r="D342" s="38" cm="1">
        <f t="array" ref="D342">INDEX('Rad-2'!$B$2:$J$100,1+B342,C342)</f>
        <v>0</v>
      </c>
    </row>
    <row r="343" spans="1:4" x14ac:dyDescent="0.75">
      <c r="A343" s="32">
        <v>309</v>
      </c>
      <c r="B343" s="32">
        <f t="shared" si="8"/>
        <v>34</v>
      </c>
      <c r="C343" s="32">
        <f t="shared" si="9"/>
        <v>3</v>
      </c>
      <c r="D343" s="38" cm="1">
        <f t="array" ref="D343">INDEX('Rad-2'!$B$2:$J$100,1+B343,C343)</f>
        <v>0</v>
      </c>
    </row>
    <row r="344" spans="1:4" x14ac:dyDescent="0.75">
      <c r="A344" s="32">
        <v>310</v>
      </c>
      <c r="B344" s="32">
        <f t="shared" si="8"/>
        <v>34</v>
      </c>
      <c r="C344" s="32">
        <f t="shared" si="9"/>
        <v>4</v>
      </c>
      <c r="D344" s="38" cm="1">
        <f t="array" ref="D344">INDEX('Rad-2'!$B$2:$J$100,1+B344,C344)</f>
        <v>0</v>
      </c>
    </row>
    <row r="345" spans="1:4" x14ac:dyDescent="0.75">
      <c r="A345" s="32">
        <v>311</v>
      </c>
      <c r="B345" s="32">
        <f t="shared" si="8"/>
        <v>34</v>
      </c>
      <c r="C345" s="32">
        <f t="shared" si="9"/>
        <v>5</v>
      </c>
      <c r="D345" s="38" cm="1">
        <f t="array" ref="D345">INDEX('Rad-2'!$B$2:$J$100,1+B345,C345)</f>
        <v>0</v>
      </c>
    </row>
    <row r="346" spans="1:4" x14ac:dyDescent="0.75">
      <c r="A346" s="32">
        <v>312</v>
      </c>
      <c r="B346" s="32">
        <f t="shared" si="8"/>
        <v>34</v>
      </c>
      <c r="C346" s="32">
        <f t="shared" si="9"/>
        <v>6</v>
      </c>
      <c r="D346" s="38" cm="1">
        <f t="array" ref="D346">INDEX('Rad-2'!$B$2:$J$100,1+B346,C346)</f>
        <v>0</v>
      </c>
    </row>
    <row r="347" spans="1:4" x14ac:dyDescent="0.75">
      <c r="A347" s="32">
        <v>313</v>
      </c>
      <c r="B347" s="32">
        <f t="shared" si="8"/>
        <v>34</v>
      </c>
      <c r="C347" s="32">
        <f t="shared" si="9"/>
        <v>7</v>
      </c>
      <c r="D347" s="38" cm="1">
        <f t="array" ref="D347">INDEX('Rad-2'!$B$2:$J$100,1+B347,C347)</f>
        <v>0</v>
      </c>
    </row>
    <row r="348" spans="1:4" x14ac:dyDescent="0.75">
      <c r="A348" s="32">
        <v>314</v>
      </c>
      <c r="B348" s="32">
        <f t="shared" si="8"/>
        <v>34</v>
      </c>
      <c r="C348" s="32">
        <f t="shared" si="9"/>
        <v>8</v>
      </c>
      <c r="D348" s="38" cm="1">
        <f t="array" ref="D348">INDEX('Rad-2'!$B$2:$J$100,1+B348,C348)</f>
        <v>0</v>
      </c>
    </row>
    <row r="349" spans="1:4" x14ac:dyDescent="0.75">
      <c r="A349" s="32">
        <v>315</v>
      </c>
      <c r="B349" s="32">
        <f t="shared" si="8"/>
        <v>34</v>
      </c>
      <c r="C349" s="32">
        <f t="shared" si="9"/>
        <v>9</v>
      </c>
      <c r="D349" s="38" cm="1">
        <f t="array" ref="D349">INDEX('Rad-2'!$B$2:$J$100,1+B349,C349)</f>
        <v>0</v>
      </c>
    </row>
    <row r="350" spans="1:4" x14ac:dyDescent="0.75">
      <c r="A350" s="32">
        <v>316</v>
      </c>
      <c r="B350" s="32">
        <f t="shared" si="8"/>
        <v>35</v>
      </c>
      <c r="C350" s="32">
        <f t="shared" si="9"/>
        <v>1</v>
      </c>
      <c r="D350" s="38" cm="1">
        <f t="array" ref="D350">INDEX('Rad-2'!$B$2:$J$100,1+B350,C350)</f>
        <v>0</v>
      </c>
    </row>
    <row r="351" spans="1:4" x14ac:dyDescent="0.75">
      <c r="A351" s="32">
        <v>317</v>
      </c>
      <c r="B351" s="32">
        <f t="shared" si="8"/>
        <v>35</v>
      </c>
      <c r="C351" s="32">
        <f t="shared" si="9"/>
        <v>2</v>
      </c>
      <c r="D351" s="38" cm="1">
        <f t="array" ref="D351">INDEX('Rad-2'!$B$2:$J$100,1+B351,C351)</f>
        <v>0</v>
      </c>
    </row>
    <row r="352" spans="1:4" x14ac:dyDescent="0.75">
      <c r="A352" s="32">
        <v>318</v>
      </c>
      <c r="B352" s="32">
        <f t="shared" si="8"/>
        <v>35</v>
      </c>
      <c r="C352" s="32">
        <f t="shared" si="9"/>
        <v>3</v>
      </c>
      <c r="D352" s="38" cm="1">
        <f t="array" ref="D352">INDEX('Rad-2'!$B$2:$J$100,1+B352,C352)</f>
        <v>0</v>
      </c>
    </row>
    <row r="353" spans="1:4" x14ac:dyDescent="0.75">
      <c r="A353" s="32">
        <v>319</v>
      </c>
      <c r="B353" s="32">
        <f t="shared" si="8"/>
        <v>35</v>
      </c>
      <c r="C353" s="32">
        <f t="shared" si="9"/>
        <v>4</v>
      </c>
      <c r="D353" s="38" cm="1">
        <f t="array" ref="D353">INDEX('Rad-2'!$B$2:$J$100,1+B353,C353)</f>
        <v>0</v>
      </c>
    </row>
    <row r="354" spans="1:4" x14ac:dyDescent="0.75">
      <c r="A354" s="32">
        <v>320</v>
      </c>
      <c r="B354" s="32">
        <f t="shared" si="8"/>
        <v>35</v>
      </c>
      <c r="C354" s="32">
        <f t="shared" si="9"/>
        <v>5</v>
      </c>
      <c r="D354" s="38" cm="1">
        <f t="array" ref="D354">INDEX('Rad-2'!$B$2:$J$100,1+B354,C354)</f>
        <v>0</v>
      </c>
    </row>
    <row r="355" spans="1:4" x14ac:dyDescent="0.75">
      <c r="A355" s="32">
        <v>321</v>
      </c>
      <c r="B355" s="32">
        <f t="shared" si="8"/>
        <v>35</v>
      </c>
      <c r="C355" s="32">
        <f t="shared" si="9"/>
        <v>6</v>
      </c>
      <c r="D355" s="38" cm="1">
        <f t="array" ref="D355">INDEX('Rad-2'!$B$2:$J$100,1+B355,C355)</f>
        <v>0</v>
      </c>
    </row>
    <row r="356" spans="1:4" x14ac:dyDescent="0.75">
      <c r="A356" s="32">
        <v>322</v>
      </c>
      <c r="B356" s="32">
        <f t="shared" ref="B356:B419" si="10">IF(MOD(A356,$B$25)=0,A356/$B$25-1,INT(A356/$B$25))</f>
        <v>35</v>
      </c>
      <c r="C356" s="32">
        <f t="shared" ref="C356:C419" si="11">IF(MOD(A356,$B$25)=0,$B$25,MOD(A356,$B$25))</f>
        <v>7</v>
      </c>
      <c r="D356" s="38" cm="1">
        <f t="array" ref="D356">INDEX('Rad-2'!$B$2:$J$100,1+B356,C356)</f>
        <v>0</v>
      </c>
    </row>
    <row r="357" spans="1:4" x14ac:dyDescent="0.75">
      <c r="A357" s="32">
        <v>323</v>
      </c>
      <c r="B357" s="32">
        <f t="shared" si="10"/>
        <v>35</v>
      </c>
      <c r="C357" s="32">
        <f t="shared" si="11"/>
        <v>8</v>
      </c>
      <c r="D357" s="38" cm="1">
        <f t="array" ref="D357">INDEX('Rad-2'!$B$2:$J$100,1+B357,C357)</f>
        <v>0</v>
      </c>
    </row>
    <row r="358" spans="1:4" x14ac:dyDescent="0.75">
      <c r="A358" s="32">
        <v>324</v>
      </c>
      <c r="B358" s="32">
        <f t="shared" si="10"/>
        <v>35</v>
      </c>
      <c r="C358" s="32">
        <f t="shared" si="11"/>
        <v>9</v>
      </c>
      <c r="D358" s="38" cm="1">
        <f t="array" ref="D358">INDEX('Rad-2'!$B$2:$J$100,1+B358,C358)</f>
        <v>0</v>
      </c>
    </row>
    <row r="359" spans="1:4" x14ac:dyDescent="0.75">
      <c r="A359" s="32">
        <v>325</v>
      </c>
      <c r="B359" s="32">
        <f t="shared" si="10"/>
        <v>36</v>
      </c>
      <c r="C359" s="32">
        <f t="shared" si="11"/>
        <v>1</v>
      </c>
      <c r="D359" s="38" cm="1">
        <f t="array" ref="D359">INDEX('Rad-2'!$B$2:$J$100,1+B359,C359)</f>
        <v>0</v>
      </c>
    </row>
    <row r="360" spans="1:4" x14ac:dyDescent="0.75">
      <c r="A360" s="32">
        <v>326</v>
      </c>
      <c r="B360" s="32">
        <f t="shared" si="10"/>
        <v>36</v>
      </c>
      <c r="C360" s="32">
        <f t="shared" si="11"/>
        <v>2</v>
      </c>
      <c r="D360" s="38" cm="1">
        <f t="array" ref="D360">INDEX('Rad-2'!$B$2:$J$100,1+B360,C360)</f>
        <v>0</v>
      </c>
    </row>
    <row r="361" spans="1:4" x14ac:dyDescent="0.75">
      <c r="A361" s="32">
        <v>327</v>
      </c>
      <c r="B361" s="32">
        <f t="shared" si="10"/>
        <v>36</v>
      </c>
      <c r="C361" s="32">
        <f t="shared" si="11"/>
        <v>3</v>
      </c>
      <c r="D361" s="38" cm="1">
        <f t="array" ref="D361">INDEX('Rad-2'!$B$2:$J$100,1+B361,C361)</f>
        <v>0</v>
      </c>
    </row>
    <row r="362" spans="1:4" x14ac:dyDescent="0.75">
      <c r="A362" s="32">
        <v>328</v>
      </c>
      <c r="B362" s="32">
        <f t="shared" si="10"/>
        <v>36</v>
      </c>
      <c r="C362" s="32">
        <f t="shared" si="11"/>
        <v>4</v>
      </c>
      <c r="D362" s="38" cm="1">
        <f t="array" ref="D362">INDEX('Rad-2'!$B$2:$J$100,1+B362,C362)</f>
        <v>0</v>
      </c>
    </row>
    <row r="363" spans="1:4" x14ac:dyDescent="0.75">
      <c r="A363" s="32">
        <v>329</v>
      </c>
      <c r="B363" s="32">
        <f t="shared" si="10"/>
        <v>36</v>
      </c>
      <c r="C363" s="32">
        <f t="shared" si="11"/>
        <v>5</v>
      </c>
      <c r="D363" s="38" cm="1">
        <f t="array" ref="D363">INDEX('Rad-2'!$B$2:$J$100,1+B363,C363)</f>
        <v>0</v>
      </c>
    </row>
    <row r="364" spans="1:4" x14ac:dyDescent="0.75">
      <c r="A364" s="32">
        <v>330</v>
      </c>
      <c r="B364" s="32">
        <f t="shared" si="10"/>
        <v>36</v>
      </c>
      <c r="C364" s="32">
        <f t="shared" si="11"/>
        <v>6</v>
      </c>
      <c r="D364" s="38" cm="1">
        <f t="array" ref="D364">INDEX('Rad-2'!$B$2:$J$100,1+B364,C364)</f>
        <v>0</v>
      </c>
    </row>
    <row r="365" spans="1:4" x14ac:dyDescent="0.75">
      <c r="A365" s="32">
        <v>331</v>
      </c>
      <c r="B365" s="32">
        <f t="shared" si="10"/>
        <v>36</v>
      </c>
      <c r="C365" s="32">
        <f t="shared" si="11"/>
        <v>7</v>
      </c>
      <c r="D365" s="38" cm="1">
        <f t="array" ref="D365">INDEX('Rad-2'!$B$2:$J$100,1+B365,C365)</f>
        <v>0</v>
      </c>
    </row>
    <row r="366" spans="1:4" x14ac:dyDescent="0.75">
      <c r="A366" s="32">
        <v>332</v>
      </c>
      <c r="B366" s="32">
        <f t="shared" si="10"/>
        <v>36</v>
      </c>
      <c r="C366" s="32">
        <f t="shared" si="11"/>
        <v>8</v>
      </c>
      <c r="D366" s="38" cm="1">
        <f t="array" ref="D366">INDEX('Rad-2'!$B$2:$J$100,1+B366,C366)</f>
        <v>0</v>
      </c>
    </row>
    <row r="367" spans="1:4" x14ac:dyDescent="0.75">
      <c r="A367" s="32">
        <v>333</v>
      </c>
      <c r="B367" s="32">
        <f t="shared" si="10"/>
        <v>36</v>
      </c>
      <c r="C367" s="32">
        <f t="shared" si="11"/>
        <v>9</v>
      </c>
      <c r="D367" s="38" cm="1">
        <f t="array" ref="D367">INDEX('Rad-2'!$B$2:$J$100,1+B367,C367)</f>
        <v>0</v>
      </c>
    </row>
    <row r="368" spans="1:4" x14ac:dyDescent="0.75">
      <c r="A368" s="32">
        <v>334</v>
      </c>
      <c r="B368" s="32">
        <f t="shared" si="10"/>
        <v>37</v>
      </c>
      <c r="C368" s="32">
        <f t="shared" si="11"/>
        <v>1</v>
      </c>
      <c r="D368" s="38" cm="1">
        <f t="array" ref="D368">INDEX('Rad-2'!$B$2:$J$100,1+B368,C368)</f>
        <v>0</v>
      </c>
    </row>
    <row r="369" spans="1:4" x14ac:dyDescent="0.75">
      <c r="A369" s="32">
        <v>335</v>
      </c>
      <c r="B369" s="32">
        <f t="shared" si="10"/>
        <v>37</v>
      </c>
      <c r="C369" s="32">
        <f t="shared" si="11"/>
        <v>2</v>
      </c>
      <c r="D369" s="38" cm="1">
        <f t="array" ref="D369">INDEX('Rad-2'!$B$2:$J$100,1+B369,C369)</f>
        <v>0</v>
      </c>
    </row>
    <row r="370" spans="1:4" x14ac:dyDescent="0.75">
      <c r="A370" s="32">
        <v>336</v>
      </c>
      <c r="B370" s="32">
        <f t="shared" si="10"/>
        <v>37</v>
      </c>
      <c r="C370" s="32">
        <f t="shared" si="11"/>
        <v>3</v>
      </c>
      <c r="D370" s="38" cm="1">
        <f t="array" ref="D370">INDEX('Rad-2'!$B$2:$J$100,1+B370,C370)</f>
        <v>0</v>
      </c>
    </row>
    <row r="371" spans="1:4" x14ac:dyDescent="0.75">
      <c r="A371" s="32">
        <v>337</v>
      </c>
      <c r="B371" s="32">
        <f t="shared" si="10"/>
        <v>37</v>
      </c>
      <c r="C371" s="32">
        <f t="shared" si="11"/>
        <v>4</v>
      </c>
      <c r="D371" s="38" cm="1">
        <f t="array" ref="D371">INDEX('Rad-2'!$B$2:$J$100,1+B371,C371)</f>
        <v>0</v>
      </c>
    </row>
    <row r="372" spans="1:4" x14ac:dyDescent="0.75">
      <c r="A372" s="32">
        <v>338</v>
      </c>
      <c r="B372" s="32">
        <f t="shared" si="10"/>
        <v>37</v>
      </c>
      <c r="C372" s="32">
        <f t="shared" si="11"/>
        <v>5</v>
      </c>
      <c r="D372" s="38" cm="1">
        <f t="array" ref="D372">INDEX('Rad-2'!$B$2:$J$100,1+B372,C372)</f>
        <v>0</v>
      </c>
    </row>
    <row r="373" spans="1:4" x14ac:dyDescent="0.75">
      <c r="A373" s="32">
        <v>339</v>
      </c>
      <c r="B373" s="32">
        <f t="shared" si="10"/>
        <v>37</v>
      </c>
      <c r="C373" s="32">
        <f t="shared" si="11"/>
        <v>6</v>
      </c>
      <c r="D373" s="38" cm="1">
        <f t="array" ref="D373">INDEX('Rad-2'!$B$2:$J$100,1+B373,C373)</f>
        <v>0</v>
      </c>
    </row>
    <row r="374" spans="1:4" x14ac:dyDescent="0.75">
      <c r="A374" s="32">
        <v>340</v>
      </c>
      <c r="B374" s="32">
        <f t="shared" si="10"/>
        <v>37</v>
      </c>
      <c r="C374" s="32">
        <f t="shared" si="11"/>
        <v>7</v>
      </c>
      <c r="D374" s="38" cm="1">
        <f t="array" ref="D374">INDEX('Rad-2'!$B$2:$J$100,1+B374,C374)</f>
        <v>0</v>
      </c>
    </row>
    <row r="375" spans="1:4" x14ac:dyDescent="0.75">
      <c r="A375" s="32">
        <v>341</v>
      </c>
      <c r="B375" s="32">
        <f t="shared" si="10"/>
        <v>37</v>
      </c>
      <c r="C375" s="32">
        <f t="shared" si="11"/>
        <v>8</v>
      </c>
      <c r="D375" s="38" cm="1">
        <f t="array" ref="D375">INDEX('Rad-2'!$B$2:$J$100,1+B375,C375)</f>
        <v>0</v>
      </c>
    </row>
    <row r="376" spans="1:4" x14ac:dyDescent="0.75">
      <c r="A376" s="32">
        <v>342</v>
      </c>
      <c r="B376" s="32">
        <f t="shared" si="10"/>
        <v>37</v>
      </c>
      <c r="C376" s="32">
        <f t="shared" si="11"/>
        <v>9</v>
      </c>
      <c r="D376" s="38" cm="1">
        <f t="array" ref="D376">INDEX('Rad-2'!$B$2:$J$100,1+B376,C376)</f>
        <v>0</v>
      </c>
    </row>
    <row r="377" spans="1:4" x14ac:dyDescent="0.75">
      <c r="A377" s="32">
        <v>343</v>
      </c>
      <c r="B377" s="32">
        <f t="shared" si="10"/>
        <v>38</v>
      </c>
      <c r="C377" s="32">
        <f t="shared" si="11"/>
        <v>1</v>
      </c>
      <c r="D377" s="38" cm="1">
        <f t="array" ref="D377">INDEX('Rad-2'!$B$2:$J$100,1+B377,C377)</f>
        <v>0</v>
      </c>
    </row>
    <row r="378" spans="1:4" x14ac:dyDescent="0.75">
      <c r="A378" s="32">
        <v>344</v>
      </c>
      <c r="B378" s="32">
        <f t="shared" si="10"/>
        <v>38</v>
      </c>
      <c r="C378" s="32">
        <f t="shared" si="11"/>
        <v>2</v>
      </c>
      <c r="D378" s="38" cm="1">
        <f t="array" ref="D378">INDEX('Rad-2'!$B$2:$J$100,1+B378,C378)</f>
        <v>0</v>
      </c>
    </row>
    <row r="379" spans="1:4" x14ac:dyDescent="0.75">
      <c r="A379" s="32">
        <v>345</v>
      </c>
      <c r="B379" s="32">
        <f t="shared" si="10"/>
        <v>38</v>
      </c>
      <c r="C379" s="32">
        <f t="shared" si="11"/>
        <v>3</v>
      </c>
      <c r="D379" s="38" cm="1">
        <f t="array" ref="D379">INDEX('Rad-2'!$B$2:$J$100,1+B379,C379)</f>
        <v>0</v>
      </c>
    </row>
    <row r="380" spans="1:4" x14ac:dyDescent="0.75">
      <c r="A380" s="32">
        <v>346</v>
      </c>
      <c r="B380" s="32">
        <f t="shared" si="10"/>
        <v>38</v>
      </c>
      <c r="C380" s="32">
        <f t="shared" si="11"/>
        <v>4</v>
      </c>
      <c r="D380" s="38" cm="1">
        <f t="array" ref="D380">INDEX('Rad-2'!$B$2:$J$100,1+B380,C380)</f>
        <v>0</v>
      </c>
    </row>
    <row r="381" spans="1:4" x14ac:dyDescent="0.75">
      <c r="A381" s="32">
        <v>347</v>
      </c>
      <c r="B381" s="32">
        <f t="shared" si="10"/>
        <v>38</v>
      </c>
      <c r="C381" s="32">
        <f t="shared" si="11"/>
        <v>5</v>
      </c>
      <c r="D381" s="38" cm="1">
        <f t="array" ref="D381">INDEX('Rad-2'!$B$2:$J$100,1+B381,C381)</f>
        <v>0</v>
      </c>
    </row>
    <row r="382" spans="1:4" x14ac:dyDescent="0.75">
      <c r="A382" s="32">
        <v>348</v>
      </c>
      <c r="B382" s="32">
        <f t="shared" si="10"/>
        <v>38</v>
      </c>
      <c r="C382" s="32">
        <f t="shared" si="11"/>
        <v>6</v>
      </c>
      <c r="D382" s="38" cm="1">
        <f t="array" ref="D382">INDEX('Rad-2'!$B$2:$J$100,1+B382,C382)</f>
        <v>0</v>
      </c>
    </row>
    <row r="383" spans="1:4" x14ac:dyDescent="0.75">
      <c r="A383" s="32">
        <v>349</v>
      </c>
      <c r="B383" s="32">
        <f t="shared" si="10"/>
        <v>38</v>
      </c>
      <c r="C383" s="32">
        <f t="shared" si="11"/>
        <v>7</v>
      </c>
      <c r="D383" s="38" cm="1">
        <f t="array" ref="D383">INDEX('Rad-2'!$B$2:$J$100,1+B383,C383)</f>
        <v>0</v>
      </c>
    </row>
    <row r="384" spans="1:4" x14ac:dyDescent="0.75">
      <c r="A384" s="32">
        <v>350</v>
      </c>
      <c r="B384" s="32">
        <f t="shared" si="10"/>
        <v>38</v>
      </c>
      <c r="C384" s="32">
        <f t="shared" si="11"/>
        <v>8</v>
      </c>
      <c r="D384" s="38" cm="1">
        <f t="array" ref="D384">INDEX('Rad-2'!$B$2:$J$100,1+B384,C384)</f>
        <v>0</v>
      </c>
    </row>
    <row r="385" spans="1:4" x14ac:dyDescent="0.75">
      <c r="A385" s="32">
        <v>351</v>
      </c>
      <c r="B385" s="32">
        <f t="shared" si="10"/>
        <v>38</v>
      </c>
      <c r="C385" s="32">
        <f t="shared" si="11"/>
        <v>9</v>
      </c>
      <c r="D385" s="38" cm="1">
        <f t="array" ref="D385">INDEX('Rad-2'!$B$2:$J$100,1+B385,C385)</f>
        <v>0</v>
      </c>
    </row>
    <row r="386" spans="1:4" x14ac:dyDescent="0.75">
      <c r="A386" s="32">
        <v>352</v>
      </c>
      <c r="B386" s="32">
        <f t="shared" si="10"/>
        <v>39</v>
      </c>
      <c r="C386" s="32">
        <f t="shared" si="11"/>
        <v>1</v>
      </c>
      <c r="D386" s="38" cm="1">
        <f t="array" ref="D386">INDEX('Rad-2'!$B$2:$J$100,1+B386,C386)</f>
        <v>0</v>
      </c>
    </row>
    <row r="387" spans="1:4" x14ac:dyDescent="0.75">
      <c r="A387" s="32">
        <v>353</v>
      </c>
      <c r="B387" s="32">
        <f t="shared" si="10"/>
        <v>39</v>
      </c>
      <c r="C387" s="32">
        <f t="shared" si="11"/>
        <v>2</v>
      </c>
      <c r="D387" s="38" cm="1">
        <f t="array" ref="D387">INDEX('Rad-2'!$B$2:$J$100,1+B387,C387)</f>
        <v>0</v>
      </c>
    </row>
    <row r="388" spans="1:4" x14ac:dyDescent="0.75">
      <c r="A388" s="32">
        <v>354</v>
      </c>
      <c r="B388" s="32">
        <f t="shared" si="10"/>
        <v>39</v>
      </c>
      <c r="C388" s="32">
        <f t="shared" si="11"/>
        <v>3</v>
      </c>
      <c r="D388" s="38" cm="1">
        <f t="array" ref="D388">INDEX('Rad-2'!$B$2:$J$100,1+B388,C388)</f>
        <v>0</v>
      </c>
    </row>
    <row r="389" spans="1:4" x14ac:dyDescent="0.75">
      <c r="A389" s="32">
        <v>355</v>
      </c>
      <c r="B389" s="32">
        <f t="shared" si="10"/>
        <v>39</v>
      </c>
      <c r="C389" s="32">
        <f t="shared" si="11"/>
        <v>4</v>
      </c>
      <c r="D389" s="38" cm="1">
        <f t="array" ref="D389">INDEX('Rad-2'!$B$2:$J$100,1+B389,C389)</f>
        <v>0</v>
      </c>
    </row>
    <row r="390" spans="1:4" x14ac:dyDescent="0.75">
      <c r="A390" s="32">
        <v>356</v>
      </c>
      <c r="B390" s="32">
        <f t="shared" si="10"/>
        <v>39</v>
      </c>
      <c r="C390" s="32">
        <f t="shared" si="11"/>
        <v>5</v>
      </c>
      <c r="D390" s="38" cm="1">
        <f t="array" ref="D390">INDEX('Rad-2'!$B$2:$J$100,1+B390,C390)</f>
        <v>0</v>
      </c>
    </row>
    <row r="391" spans="1:4" x14ac:dyDescent="0.75">
      <c r="A391" s="32">
        <v>357</v>
      </c>
      <c r="B391" s="32">
        <f t="shared" si="10"/>
        <v>39</v>
      </c>
      <c r="C391" s="32">
        <f t="shared" si="11"/>
        <v>6</v>
      </c>
      <c r="D391" s="38" cm="1">
        <f t="array" ref="D391">INDEX('Rad-2'!$B$2:$J$100,1+B391,C391)</f>
        <v>0</v>
      </c>
    </row>
    <row r="392" spans="1:4" x14ac:dyDescent="0.75">
      <c r="A392" s="32">
        <v>358</v>
      </c>
      <c r="B392" s="32">
        <f t="shared" si="10"/>
        <v>39</v>
      </c>
      <c r="C392" s="32">
        <f t="shared" si="11"/>
        <v>7</v>
      </c>
      <c r="D392" s="38" cm="1">
        <f t="array" ref="D392">INDEX('Rad-2'!$B$2:$J$100,1+B392,C392)</f>
        <v>0</v>
      </c>
    </row>
    <row r="393" spans="1:4" x14ac:dyDescent="0.75">
      <c r="A393" s="32">
        <v>359</v>
      </c>
      <c r="B393" s="32">
        <f t="shared" si="10"/>
        <v>39</v>
      </c>
      <c r="C393" s="32">
        <f t="shared" si="11"/>
        <v>8</v>
      </c>
      <c r="D393" s="38" cm="1">
        <f t="array" ref="D393">INDEX('Rad-2'!$B$2:$J$100,1+B393,C393)</f>
        <v>0</v>
      </c>
    </row>
    <row r="394" spans="1:4" x14ac:dyDescent="0.75">
      <c r="A394" s="32">
        <v>360</v>
      </c>
      <c r="B394" s="32">
        <f t="shared" si="10"/>
        <v>39</v>
      </c>
      <c r="C394" s="32">
        <f t="shared" si="11"/>
        <v>9</v>
      </c>
      <c r="D394" s="38" cm="1">
        <f t="array" ref="D394">INDEX('Rad-2'!$B$2:$J$100,1+B394,C394)</f>
        <v>0</v>
      </c>
    </row>
    <row r="395" spans="1:4" x14ac:dyDescent="0.75">
      <c r="A395" s="32">
        <v>361</v>
      </c>
      <c r="B395" s="32">
        <f t="shared" si="10"/>
        <v>40</v>
      </c>
      <c r="C395" s="32">
        <f t="shared" si="11"/>
        <v>1</v>
      </c>
      <c r="D395" s="38" cm="1">
        <f t="array" ref="D395">INDEX('Rad-2'!$B$2:$J$100,1+B395,C395)</f>
        <v>0</v>
      </c>
    </row>
    <row r="396" spans="1:4" x14ac:dyDescent="0.75">
      <c r="A396" s="32">
        <v>362</v>
      </c>
      <c r="B396" s="32">
        <f t="shared" si="10"/>
        <v>40</v>
      </c>
      <c r="C396" s="32">
        <f t="shared" si="11"/>
        <v>2</v>
      </c>
      <c r="D396" s="38" cm="1">
        <f t="array" ref="D396">INDEX('Rad-2'!$B$2:$J$100,1+B396,C396)</f>
        <v>0</v>
      </c>
    </row>
    <row r="397" spans="1:4" x14ac:dyDescent="0.75">
      <c r="A397" s="32">
        <v>363</v>
      </c>
      <c r="B397" s="32">
        <f t="shared" si="10"/>
        <v>40</v>
      </c>
      <c r="C397" s="32">
        <f t="shared" si="11"/>
        <v>3</v>
      </c>
      <c r="D397" s="38" cm="1">
        <f t="array" ref="D397">INDEX('Rad-2'!$B$2:$J$100,1+B397,C397)</f>
        <v>0</v>
      </c>
    </row>
    <row r="398" spans="1:4" x14ac:dyDescent="0.75">
      <c r="A398" s="32">
        <v>364</v>
      </c>
      <c r="B398" s="32">
        <f t="shared" si="10"/>
        <v>40</v>
      </c>
      <c r="C398" s="32">
        <f t="shared" si="11"/>
        <v>4</v>
      </c>
      <c r="D398" s="38" cm="1">
        <f t="array" ref="D398">INDEX('Rad-2'!$B$2:$J$100,1+B398,C398)</f>
        <v>0</v>
      </c>
    </row>
    <row r="399" spans="1:4" x14ac:dyDescent="0.75">
      <c r="A399" s="32">
        <v>365</v>
      </c>
      <c r="B399" s="32">
        <f t="shared" si="10"/>
        <v>40</v>
      </c>
      <c r="C399" s="32">
        <f t="shared" si="11"/>
        <v>5</v>
      </c>
      <c r="D399" s="38" cm="1">
        <f t="array" ref="D399">INDEX('Rad-2'!$B$2:$J$100,1+B399,C399)</f>
        <v>0</v>
      </c>
    </row>
    <row r="400" spans="1:4" x14ac:dyDescent="0.75">
      <c r="A400" s="32">
        <v>366</v>
      </c>
      <c r="B400" s="32">
        <f t="shared" si="10"/>
        <v>40</v>
      </c>
      <c r="C400" s="32">
        <f t="shared" si="11"/>
        <v>6</v>
      </c>
      <c r="D400" s="38" cm="1">
        <f t="array" ref="D400">INDEX('Rad-2'!$B$2:$J$100,1+B400,C400)</f>
        <v>0</v>
      </c>
    </row>
    <row r="401" spans="1:4" x14ac:dyDescent="0.75">
      <c r="A401" s="32">
        <v>367</v>
      </c>
      <c r="B401" s="32">
        <f t="shared" si="10"/>
        <v>40</v>
      </c>
      <c r="C401" s="32">
        <f t="shared" si="11"/>
        <v>7</v>
      </c>
      <c r="D401" s="38" cm="1">
        <f t="array" ref="D401">INDEX('Rad-2'!$B$2:$J$100,1+B401,C401)</f>
        <v>0</v>
      </c>
    </row>
    <row r="402" spans="1:4" x14ac:dyDescent="0.75">
      <c r="A402" s="32">
        <v>368</v>
      </c>
      <c r="B402" s="32">
        <f t="shared" si="10"/>
        <v>40</v>
      </c>
      <c r="C402" s="32">
        <f t="shared" si="11"/>
        <v>8</v>
      </c>
      <c r="D402" s="38" cm="1">
        <f t="array" ref="D402">INDEX('Rad-2'!$B$2:$J$100,1+B402,C402)</f>
        <v>0</v>
      </c>
    </row>
    <row r="403" spans="1:4" x14ac:dyDescent="0.75">
      <c r="A403" s="32">
        <v>369</v>
      </c>
      <c r="B403" s="32">
        <f t="shared" si="10"/>
        <v>40</v>
      </c>
      <c r="C403" s="32">
        <f t="shared" si="11"/>
        <v>9</v>
      </c>
      <c r="D403" s="38" cm="1">
        <f t="array" ref="D403">INDEX('Rad-2'!$B$2:$J$100,1+B403,C403)</f>
        <v>0</v>
      </c>
    </row>
    <row r="404" spans="1:4" x14ac:dyDescent="0.75">
      <c r="A404" s="32">
        <v>370</v>
      </c>
      <c r="B404" s="32">
        <f t="shared" si="10"/>
        <v>41</v>
      </c>
      <c r="C404" s="32">
        <f t="shared" si="11"/>
        <v>1</v>
      </c>
      <c r="D404" s="38" cm="1">
        <f t="array" ref="D404">INDEX('Rad-2'!$B$2:$J$100,1+B404,C404)</f>
        <v>0</v>
      </c>
    </row>
    <row r="405" spans="1:4" x14ac:dyDescent="0.75">
      <c r="A405" s="32">
        <v>371</v>
      </c>
      <c r="B405" s="32">
        <f t="shared" si="10"/>
        <v>41</v>
      </c>
      <c r="C405" s="32">
        <f t="shared" si="11"/>
        <v>2</v>
      </c>
      <c r="D405" s="38" cm="1">
        <f t="array" ref="D405">INDEX('Rad-2'!$B$2:$J$100,1+B405,C405)</f>
        <v>0</v>
      </c>
    </row>
    <row r="406" spans="1:4" x14ac:dyDescent="0.75">
      <c r="A406" s="32">
        <v>372</v>
      </c>
      <c r="B406" s="32">
        <f t="shared" si="10"/>
        <v>41</v>
      </c>
      <c r="C406" s="32">
        <f t="shared" si="11"/>
        <v>3</v>
      </c>
      <c r="D406" s="38" cm="1">
        <f t="array" ref="D406">INDEX('Rad-2'!$B$2:$J$100,1+B406,C406)</f>
        <v>0</v>
      </c>
    </row>
    <row r="407" spans="1:4" x14ac:dyDescent="0.75">
      <c r="A407" s="32">
        <v>373</v>
      </c>
      <c r="B407" s="32">
        <f t="shared" si="10"/>
        <v>41</v>
      </c>
      <c r="C407" s="32">
        <f t="shared" si="11"/>
        <v>4</v>
      </c>
      <c r="D407" s="38" cm="1">
        <f t="array" ref="D407">INDEX('Rad-2'!$B$2:$J$100,1+B407,C407)</f>
        <v>0</v>
      </c>
    </row>
    <row r="408" spans="1:4" x14ac:dyDescent="0.75">
      <c r="A408" s="32">
        <v>374</v>
      </c>
      <c r="B408" s="32">
        <f t="shared" si="10"/>
        <v>41</v>
      </c>
      <c r="C408" s="32">
        <f t="shared" si="11"/>
        <v>5</v>
      </c>
      <c r="D408" s="38" cm="1">
        <f t="array" ref="D408">INDEX('Rad-2'!$B$2:$J$100,1+B408,C408)</f>
        <v>0</v>
      </c>
    </row>
    <row r="409" spans="1:4" x14ac:dyDescent="0.75">
      <c r="A409" s="32">
        <v>375</v>
      </c>
      <c r="B409" s="32">
        <f t="shared" si="10"/>
        <v>41</v>
      </c>
      <c r="C409" s="32">
        <f t="shared" si="11"/>
        <v>6</v>
      </c>
      <c r="D409" s="38" cm="1">
        <f t="array" ref="D409">INDEX('Rad-2'!$B$2:$J$100,1+B409,C409)</f>
        <v>0</v>
      </c>
    </row>
    <row r="410" spans="1:4" x14ac:dyDescent="0.75">
      <c r="A410" s="32">
        <v>376</v>
      </c>
      <c r="B410" s="32">
        <f t="shared" si="10"/>
        <v>41</v>
      </c>
      <c r="C410" s="32">
        <f t="shared" si="11"/>
        <v>7</v>
      </c>
      <c r="D410" s="38" cm="1">
        <f t="array" ref="D410">INDEX('Rad-2'!$B$2:$J$100,1+B410,C410)</f>
        <v>0</v>
      </c>
    </row>
    <row r="411" spans="1:4" x14ac:dyDescent="0.75">
      <c r="A411" s="32">
        <v>377</v>
      </c>
      <c r="B411" s="32">
        <f t="shared" si="10"/>
        <v>41</v>
      </c>
      <c r="C411" s="32">
        <f t="shared" si="11"/>
        <v>8</v>
      </c>
      <c r="D411" s="38" cm="1">
        <f t="array" ref="D411">INDEX('Rad-2'!$B$2:$J$100,1+B411,C411)</f>
        <v>0</v>
      </c>
    </row>
    <row r="412" spans="1:4" x14ac:dyDescent="0.75">
      <c r="A412" s="32">
        <v>378</v>
      </c>
      <c r="B412" s="32">
        <f t="shared" si="10"/>
        <v>41</v>
      </c>
      <c r="C412" s="32">
        <f t="shared" si="11"/>
        <v>9</v>
      </c>
      <c r="D412" s="38" cm="1">
        <f t="array" ref="D412">INDEX('Rad-2'!$B$2:$J$100,1+B412,C412)</f>
        <v>0</v>
      </c>
    </row>
    <row r="413" spans="1:4" x14ac:dyDescent="0.75">
      <c r="A413" s="32">
        <v>379</v>
      </c>
      <c r="B413" s="32">
        <f t="shared" si="10"/>
        <v>42</v>
      </c>
      <c r="C413" s="32">
        <f t="shared" si="11"/>
        <v>1</v>
      </c>
      <c r="D413" s="38" cm="1">
        <f t="array" ref="D413">INDEX('Rad-2'!$B$2:$J$100,1+B413,C413)</f>
        <v>0</v>
      </c>
    </row>
    <row r="414" spans="1:4" x14ac:dyDescent="0.75">
      <c r="A414" s="32">
        <v>380</v>
      </c>
      <c r="B414" s="32">
        <f t="shared" si="10"/>
        <v>42</v>
      </c>
      <c r="C414" s="32">
        <f t="shared" si="11"/>
        <v>2</v>
      </c>
      <c r="D414" s="38" cm="1">
        <f t="array" ref="D414">INDEX('Rad-2'!$B$2:$J$100,1+B414,C414)</f>
        <v>0</v>
      </c>
    </row>
    <row r="415" spans="1:4" x14ac:dyDescent="0.75">
      <c r="A415" s="32">
        <v>381</v>
      </c>
      <c r="B415" s="32">
        <f t="shared" si="10"/>
        <v>42</v>
      </c>
      <c r="C415" s="32">
        <f t="shared" si="11"/>
        <v>3</v>
      </c>
      <c r="D415" s="38" cm="1">
        <f t="array" ref="D415">INDEX('Rad-2'!$B$2:$J$100,1+B415,C415)</f>
        <v>0</v>
      </c>
    </row>
    <row r="416" spans="1:4" x14ac:dyDescent="0.75">
      <c r="A416" s="32">
        <v>382</v>
      </c>
      <c r="B416" s="32">
        <f t="shared" si="10"/>
        <v>42</v>
      </c>
      <c r="C416" s="32">
        <f t="shared" si="11"/>
        <v>4</v>
      </c>
      <c r="D416" s="38" cm="1">
        <f t="array" ref="D416">INDEX('Rad-2'!$B$2:$J$100,1+B416,C416)</f>
        <v>0</v>
      </c>
    </row>
    <row r="417" spans="1:4" x14ac:dyDescent="0.75">
      <c r="A417" s="32">
        <v>383</v>
      </c>
      <c r="B417" s="32">
        <f t="shared" si="10"/>
        <v>42</v>
      </c>
      <c r="C417" s="32">
        <f t="shared" si="11"/>
        <v>5</v>
      </c>
      <c r="D417" s="38" cm="1">
        <f t="array" ref="D417">INDEX('Rad-2'!$B$2:$J$100,1+B417,C417)</f>
        <v>0</v>
      </c>
    </row>
    <row r="418" spans="1:4" x14ac:dyDescent="0.75">
      <c r="A418" s="32">
        <v>384</v>
      </c>
      <c r="B418" s="32">
        <f t="shared" si="10"/>
        <v>42</v>
      </c>
      <c r="C418" s="32">
        <f t="shared" si="11"/>
        <v>6</v>
      </c>
      <c r="D418" s="38" cm="1">
        <f t="array" ref="D418">INDEX('Rad-2'!$B$2:$J$100,1+B418,C418)</f>
        <v>0</v>
      </c>
    </row>
    <row r="419" spans="1:4" x14ac:dyDescent="0.75">
      <c r="A419" s="32">
        <v>385</v>
      </c>
      <c r="B419" s="32">
        <f t="shared" si="10"/>
        <v>42</v>
      </c>
      <c r="C419" s="32">
        <f t="shared" si="11"/>
        <v>7</v>
      </c>
      <c r="D419" s="38" cm="1">
        <f t="array" ref="D419">INDEX('Rad-2'!$B$2:$J$100,1+B419,C419)</f>
        <v>0</v>
      </c>
    </row>
    <row r="420" spans="1:4" x14ac:dyDescent="0.75">
      <c r="A420" s="32">
        <v>386</v>
      </c>
      <c r="B420" s="32">
        <f t="shared" ref="B420:B483" si="12">IF(MOD(A420,$B$25)=0,A420/$B$25-1,INT(A420/$B$25))</f>
        <v>42</v>
      </c>
      <c r="C420" s="32">
        <f t="shared" ref="C420:C483" si="13">IF(MOD(A420,$B$25)=0,$B$25,MOD(A420,$B$25))</f>
        <v>8</v>
      </c>
      <c r="D420" s="38" cm="1">
        <f t="array" ref="D420">INDEX('Rad-2'!$B$2:$J$100,1+B420,C420)</f>
        <v>0</v>
      </c>
    </row>
    <row r="421" spans="1:4" x14ac:dyDescent="0.75">
      <c r="A421" s="32">
        <v>387</v>
      </c>
      <c r="B421" s="32">
        <f t="shared" si="12"/>
        <v>42</v>
      </c>
      <c r="C421" s="32">
        <f t="shared" si="13"/>
        <v>9</v>
      </c>
      <c r="D421" s="38" cm="1">
        <f t="array" ref="D421">INDEX('Rad-2'!$B$2:$J$100,1+B421,C421)</f>
        <v>0</v>
      </c>
    </row>
    <row r="422" spans="1:4" x14ac:dyDescent="0.75">
      <c r="A422" s="32">
        <v>388</v>
      </c>
      <c r="B422" s="32">
        <f t="shared" si="12"/>
        <v>43</v>
      </c>
      <c r="C422" s="32">
        <f t="shared" si="13"/>
        <v>1</v>
      </c>
      <c r="D422" s="38" cm="1">
        <f t="array" ref="D422">INDEX('Rad-2'!$B$2:$J$100,1+B422,C422)</f>
        <v>0</v>
      </c>
    </row>
    <row r="423" spans="1:4" x14ac:dyDescent="0.75">
      <c r="A423" s="32">
        <v>389</v>
      </c>
      <c r="B423" s="32">
        <f t="shared" si="12"/>
        <v>43</v>
      </c>
      <c r="C423" s="32">
        <f t="shared" si="13"/>
        <v>2</v>
      </c>
      <c r="D423" s="38" cm="1">
        <f t="array" ref="D423">INDEX('Rad-2'!$B$2:$J$100,1+B423,C423)</f>
        <v>0</v>
      </c>
    </row>
    <row r="424" spans="1:4" x14ac:dyDescent="0.75">
      <c r="A424" s="32">
        <v>390</v>
      </c>
      <c r="B424" s="32">
        <f t="shared" si="12"/>
        <v>43</v>
      </c>
      <c r="C424" s="32">
        <f t="shared" si="13"/>
        <v>3</v>
      </c>
      <c r="D424" s="38" cm="1">
        <f t="array" ref="D424">INDEX('Rad-2'!$B$2:$J$100,1+B424,C424)</f>
        <v>0</v>
      </c>
    </row>
    <row r="425" spans="1:4" x14ac:dyDescent="0.75">
      <c r="A425" s="32">
        <v>391</v>
      </c>
      <c r="B425" s="32">
        <f t="shared" si="12"/>
        <v>43</v>
      </c>
      <c r="C425" s="32">
        <f t="shared" si="13"/>
        <v>4</v>
      </c>
      <c r="D425" s="38" cm="1">
        <f t="array" ref="D425">INDEX('Rad-2'!$B$2:$J$100,1+B425,C425)</f>
        <v>0</v>
      </c>
    </row>
    <row r="426" spans="1:4" x14ac:dyDescent="0.75">
      <c r="A426" s="32">
        <v>392</v>
      </c>
      <c r="B426" s="32">
        <f t="shared" si="12"/>
        <v>43</v>
      </c>
      <c r="C426" s="32">
        <f t="shared" si="13"/>
        <v>5</v>
      </c>
      <c r="D426" s="38" cm="1">
        <f t="array" ref="D426">INDEX('Rad-2'!$B$2:$J$100,1+B426,C426)</f>
        <v>0</v>
      </c>
    </row>
    <row r="427" spans="1:4" x14ac:dyDescent="0.75">
      <c r="A427" s="32">
        <v>393</v>
      </c>
      <c r="B427" s="32">
        <f t="shared" si="12"/>
        <v>43</v>
      </c>
      <c r="C427" s="32">
        <f t="shared" si="13"/>
        <v>6</v>
      </c>
      <c r="D427" s="38" cm="1">
        <f t="array" ref="D427">INDEX('Rad-2'!$B$2:$J$100,1+B427,C427)</f>
        <v>0</v>
      </c>
    </row>
    <row r="428" spans="1:4" x14ac:dyDescent="0.75">
      <c r="A428" s="32">
        <v>394</v>
      </c>
      <c r="B428" s="32">
        <f t="shared" si="12"/>
        <v>43</v>
      </c>
      <c r="C428" s="32">
        <f t="shared" si="13"/>
        <v>7</v>
      </c>
      <c r="D428" s="38" cm="1">
        <f t="array" ref="D428">INDEX('Rad-2'!$B$2:$J$100,1+B428,C428)</f>
        <v>0</v>
      </c>
    </row>
    <row r="429" spans="1:4" x14ac:dyDescent="0.75">
      <c r="A429" s="32">
        <v>395</v>
      </c>
      <c r="B429" s="32">
        <f t="shared" si="12"/>
        <v>43</v>
      </c>
      <c r="C429" s="32">
        <f t="shared" si="13"/>
        <v>8</v>
      </c>
      <c r="D429" s="38" cm="1">
        <f t="array" ref="D429">INDEX('Rad-2'!$B$2:$J$100,1+B429,C429)</f>
        <v>0</v>
      </c>
    </row>
    <row r="430" spans="1:4" x14ac:dyDescent="0.75">
      <c r="A430" s="32">
        <v>396</v>
      </c>
      <c r="B430" s="32">
        <f t="shared" si="12"/>
        <v>43</v>
      </c>
      <c r="C430" s="32">
        <f t="shared" si="13"/>
        <v>9</v>
      </c>
      <c r="D430" s="38" cm="1">
        <f t="array" ref="D430">INDEX('Rad-2'!$B$2:$J$100,1+B430,C430)</f>
        <v>0</v>
      </c>
    </row>
    <row r="431" spans="1:4" x14ac:dyDescent="0.75">
      <c r="A431" s="32">
        <v>397</v>
      </c>
      <c r="B431" s="32">
        <f t="shared" si="12"/>
        <v>44</v>
      </c>
      <c r="C431" s="32">
        <f t="shared" si="13"/>
        <v>1</v>
      </c>
      <c r="D431" s="38" cm="1">
        <f t="array" ref="D431">INDEX('Rad-2'!$B$2:$J$100,1+B431,C431)</f>
        <v>0</v>
      </c>
    </row>
    <row r="432" spans="1:4" x14ac:dyDescent="0.75">
      <c r="A432" s="32">
        <v>398</v>
      </c>
      <c r="B432" s="32">
        <f t="shared" si="12"/>
        <v>44</v>
      </c>
      <c r="C432" s="32">
        <f t="shared" si="13"/>
        <v>2</v>
      </c>
      <c r="D432" s="38" cm="1">
        <f t="array" ref="D432">INDEX('Rad-2'!$B$2:$J$100,1+B432,C432)</f>
        <v>0</v>
      </c>
    </row>
    <row r="433" spans="1:4" x14ac:dyDescent="0.75">
      <c r="A433" s="32">
        <v>399</v>
      </c>
      <c r="B433" s="32">
        <f t="shared" si="12"/>
        <v>44</v>
      </c>
      <c r="C433" s="32">
        <f t="shared" si="13"/>
        <v>3</v>
      </c>
      <c r="D433" s="38" cm="1">
        <f t="array" ref="D433">INDEX('Rad-2'!$B$2:$J$100,1+B433,C433)</f>
        <v>0</v>
      </c>
    </row>
    <row r="434" spans="1:4" x14ac:dyDescent="0.75">
      <c r="A434" s="32">
        <v>400</v>
      </c>
      <c r="B434" s="32">
        <f t="shared" si="12"/>
        <v>44</v>
      </c>
      <c r="C434" s="32">
        <f t="shared" si="13"/>
        <v>4</v>
      </c>
      <c r="D434" s="38" cm="1">
        <f t="array" ref="D434">INDEX('Rad-2'!$B$2:$J$100,1+B434,C434)</f>
        <v>0</v>
      </c>
    </row>
    <row r="435" spans="1:4" x14ac:dyDescent="0.75">
      <c r="A435" s="32">
        <v>401</v>
      </c>
      <c r="B435" s="32">
        <f t="shared" si="12"/>
        <v>44</v>
      </c>
      <c r="C435" s="32">
        <f t="shared" si="13"/>
        <v>5</v>
      </c>
      <c r="D435" s="38" cm="1">
        <f t="array" ref="D435">INDEX('Rad-2'!$B$2:$J$100,1+B435,C435)</f>
        <v>0</v>
      </c>
    </row>
    <row r="436" spans="1:4" x14ac:dyDescent="0.75">
      <c r="A436" s="32">
        <v>402</v>
      </c>
      <c r="B436" s="32">
        <f t="shared" si="12"/>
        <v>44</v>
      </c>
      <c r="C436" s="32">
        <f t="shared" si="13"/>
        <v>6</v>
      </c>
      <c r="D436" s="38" cm="1">
        <f t="array" ref="D436">INDEX('Rad-2'!$B$2:$J$100,1+B436,C436)</f>
        <v>0</v>
      </c>
    </row>
    <row r="437" spans="1:4" x14ac:dyDescent="0.75">
      <c r="A437" s="32">
        <v>403</v>
      </c>
      <c r="B437" s="32">
        <f t="shared" si="12"/>
        <v>44</v>
      </c>
      <c r="C437" s="32">
        <f t="shared" si="13"/>
        <v>7</v>
      </c>
      <c r="D437" s="38" cm="1">
        <f t="array" ref="D437">INDEX('Rad-2'!$B$2:$J$100,1+B437,C437)</f>
        <v>0</v>
      </c>
    </row>
    <row r="438" spans="1:4" x14ac:dyDescent="0.75">
      <c r="A438" s="32">
        <v>404</v>
      </c>
      <c r="B438" s="32">
        <f t="shared" si="12"/>
        <v>44</v>
      </c>
      <c r="C438" s="32">
        <f t="shared" si="13"/>
        <v>8</v>
      </c>
      <c r="D438" s="38" cm="1">
        <f t="array" ref="D438">INDEX('Rad-2'!$B$2:$J$100,1+B438,C438)</f>
        <v>0</v>
      </c>
    </row>
    <row r="439" spans="1:4" x14ac:dyDescent="0.75">
      <c r="A439" s="32">
        <v>405</v>
      </c>
      <c r="B439" s="32">
        <f t="shared" si="12"/>
        <v>44</v>
      </c>
      <c r="C439" s="32">
        <f t="shared" si="13"/>
        <v>9</v>
      </c>
      <c r="D439" s="38" cm="1">
        <f t="array" ref="D439">INDEX('Rad-2'!$B$2:$J$100,1+B439,C439)</f>
        <v>0</v>
      </c>
    </row>
    <row r="440" spans="1:4" x14ac:dyDescent="0.75">
      <c r="A440" s="32">
        <v>406</v>
      </c>
      <c r="B440" s="32">
        <f t="shared" si="12"/>
        <v>45</v>
      </c>
      <c r="C440" s="32">
        <f t="shared" si="13"/>
        <v>1</v>
      </c>
      <c r="D440" s="38" cm="1">
        <f t="array" ref="D440">INDEX('Rad-2'!$B$2:$J$100,1+B440,C440)</f>
        <v>0</v>
      </c>
    </row>
    <row r="441" spans="1:4" x14ac:dyDescent="0.75">
      <c r="A441" s="32">
        <v>407</v>
      </c>
      <c r="B441" s="32">
        <f t="shared" si="12"/>
        <v>45</v>
      </c>
      <c r="C441" s="32">
        <f t="shared" si="13"/>
        <v>2</v>
      </c>
      <c r="D441" s="38" cm="1">
        <f t="array" ref="D441">INDEX('Rad-2'!$B$2:$J$100,1+B441,C441)</f>
        <v>0</v>
      </c>
    </row>
    <row r="442" spans="1:4" x14ac:dyDescent="0.75">
      <c r="A442" s="32">
        <v>408</v>
      </c>
      <c r="B442" s="32">
        <f t="shared" si="12"/>
        <v>45</v>
      </c>
      <c r="C442" s="32">
        <f t="shared" si="13"/>
        <v>3</v>
      </c>
      <c r="D442" s="38" cm="1">
        <f t="array" ref="D442">INDEX('Rad-2'!$B$2:$J$100,1+B442,C442)</f>
        <v>0</v>
      </c>
    </row>
    <row r="443" spans="1:4" x14ac:dyDescent="0.75">
      <c r="A443" s="32">
        <v>409</v>
      </c>
      <c r="B443" s="32">
        <f t="shared" si="12"/>
        <v>45</v>
      </c>
      <c r="C443" s="32">
        <f t="shared" si="13"/>
        <v>4</v>
      </c>
      <c r="D443" s="38" cm="1">
        <f t="array" ref="D443">INDEX('Rad-2'!$B$2:$J$100,1+B443,C443)</f>
        <v>0</v>
      </c>
    </row>
    <row r="444" spans="1:4" x14ac:dyDescent="0.75">
      <c r="A444" s="32">
        <v>410</v>
      </c>
      <c r="B444" s="32">
        <f t="shared" si="12"/>
        <v>45</v>
      </c>
      <c r="C444" s="32">
        <f t="shared" si="13"/>
        <v>5</v>
      </c>
      <c r="D444" s="38" cm="1">
        <f t="array" ref="D444">INDEX('Rad-2'!$B$2:$J$100,1+B444,C444)</f>
        <v>0</v>
      </c>
    </row>
    <row r="445" spans="1:4" x14ac:dyDescent="0.75">
      <c r="A445" s="32">
        <v>411</v>
      </c>
      <c r="B445" s="32">
        <f t="shared" si="12"/>
        <v>45</v>
      </c>
      <c r="C445" s="32">
        <f t="shared" si="13"/>
        <v>6</v>
      </c>
      <c r="D445" s="38" cm="1">
        <f t="array" ref="D445">INDEX('Rad-2'!$B$2:$J$100,1+B445,C445)</f>
        <v>0</v>
      </c>
    </row>
    <row r="446" spans="1:4" x14ac:dyDescent="0.75">
      <c r="A446" s="32">
        <v>412</v>
      </c>
      <c r="B446" s="32">
        <f t="shared" si="12"/>
        <v>45</v>
      </c>
      <c r="C446" s="32">
        <f t="shared" si="13"/>
        <v>7</v>
      </c>
      <c r="D446" s="38" cm="1">
        <f t="array" ref="D446">INDEX('Rad-2'!$B$2:$J$100,1+B446,C446)</f>
        <v>0</v>
      </c>
    </row>
    <row r="447" spans="1:4" x14ac:dyDescent="0.75">
      <c r="A447" s="32">
        <v>413</v>
      </c>
      <c r="B447" s="32">
        <f t="shared" si="12"/>
        <v>45</v>
      </c>
      <c r="C447" s="32">
        <f t="shared" si="13"/>
        <v>8</v>
      </c>
      <c r="D447" s="38" cm="1">
        <f t="array" ref="D447">INDEX('Rad-2'!$B$2:$J$100,1+B447,C447)</f>
        <v>0</v>
      </c>
    </row>
    <row r="448" spans="1:4" x14ac:dyDescent="0.75">
      <c r="A448" s="32">
        <v>414</v>
      </c>
      <c r="B448" s="32">
        <f t="shared" si="12"/>
        <v>45</v>
      </c>
      <c r="C448" s="32">
        <f t="shared" si="13"/>
        <v>9</v>
      </c>
      <c r="D448" s="38" cm="1">
        <f t="array" ref="D448">INDEX('Rad-2'!$B$2:$J$100,1+B448,C448)</f>
        <v>0</v>
      </c>
    </row>
    <row r="449" spans="1:4" x14ac:dyDescent="0.75">
      <c r="A449" s="32">
        <v>415</v>
      </c>
      <c r="B449" s="32">
        <f t="shared" si="12"/>
        <v>46</v>
      </c>
      <c r="C449" s="32">
        <f t="shared" si="13"/>
        <v>1</v>
      </c>
      <c r="D449" s="38" cm="1">
        <f t="array" ref="D449">INDEX('Rad-2'!$B$2:$J$100,1+B449,C449)</f>
        <v>0</v>
      </c>
    </row>
    <row r="450" spans="1:4" x14ac:dyDescent="0.75">
      <c r="A450" s="32">
        <v>416</v>
      </c>
      <c r="B450" s="32">
        <f t="shared" si="12"/>
        <v>46</v>
      </c>
      <c r="C450" s="32">
        <f t="shared" si="13"/>
        <v>2</v>
      </c>
      <c r="D450" s="38" cm="1">
        <f t="array" ref="D450">INDEX('Rad-2'!$B$2:$J$100,1+B450,C450)</f>
        <v>0</v>
      </c>
    </row>
    <row r="451" spans="1:4" x14ac:dyDescent="0.75">
      <c r="A451" s="32">
        <v>417</v>
      </c>
      <c r="B451" s="32">
        <f t="shared" si="12"/>
        <v>46</v>
      </c>
      <c r="C451" s="32">
        <f t="shared" si="13"/>
        <v>3</v>
      </c>
      <c r="D451" s="38" cm="1">
        <f t="array" ref="D451">INDEX('Rad-2'!$B$2:$J$100,1+B451,C451)</f>
        <v>0</v>
      </c>
    </row>
    <row r="452" spans="1:4" x14ac:dyDescent="0.75">
      <c r="A452" s="32">
        <v>418</v>
      </c>
      <c r="B452" s="32">
        <f t="shared" si="12"/>
        <v>46</v>
      </c>
      <c r="C452" s="32">
        <f t="shared" si="13"/>
        <v>4</v>
      </c>
      <c r="D452" s="38" cm="1">
        <f t="array" ref="D452">INDEX('Rad-2'!$B$2:$J$100,1+B452,C452)</f>
        <v>0</v>
      </c>
    </row>
    <row r="453" spans="1:4" x14ac:dyDescent="0.75">
      <c r="A453" s="32">
        <v>419</v>
      </c>
      <c r="B453" s="32">
        <f t="shared" si="12"/>
        <v>46</v>
      </c>
      <c r="C453" s="32">
        <f t="shared" si="13"/>
        <v>5</v>
      </c>
      <c r="D453" s="38" cm="1">
        <f t="array" ref="D453">INDEX('Rad-2'!$B$2:$J$100,1+B453,C453)</f>
        <v>0</v>
      </c>
    </row>
    <row r="454" spans="1:4" x14ac:dyDescent="0.75">
      <c r="A454" s="32">
        <v>420</v>
      </c>
      <c r="B454" s="32">
        <f t="shared" si="12"/>
        <v>46</v>
      </c>
      <c r="C454" s="32">
        <f t="shared" si="13"/>
        <v>6</v>
      </c>
      <c r="D454" s="38" cm="1">
        <f t="array" ref="D454">INDEX('Rad-2'!$B$2:$J$100,1+B454,C454)</f>
        <v>0</v>
      </c>
    </row>
    <row r="455" spans="1:4" x14ac:dyDescent="0.75">
      <c r="A455" s="32">
        <v>421</v>
      </c>
      <c r="B455" s="32">
        <f t="shared" si="12"/>
        <v>46</v>
      </c>
      <c r="C455" s="32">
        <f t="shared" si="13"/>
        <v>7</v>
      </c>
      <c r="D455" s="38" cm="1">
        <f t="array" ref="D455">INDEX('Rad-2'!$B$2:$J$100,1+B455,C455)</f>
        <v>0</v>
      </c>
    </row>
    <row r="456" spans="1:4" x14ac:dyDescent="0.75">
      <c r="A456" s="32">
        <v>422</v>
      </c>
      <c r="B456" s="32">
        <f t="shared" si="12"/>
        <v>46</v>
      </c>
      <c r="C456" s="32">
        <f t="shared" si="13"/>
        <v>8</v>
      </c>
      <c r="D456" s="38" cm="1">
        <f t="array" ref="D456">INDEX('Rad-2'!$B$2:$J$100,1+B456,C456)</f>
        <v>0</v>
      </c>
    </row>
    <row r="457" spans="1:4" x14ac:dyDescent="0.75">
      <c r="A457" s="32">
        <v>423</v>
      </c>
      <c r="B457" s="32">
        <f t="shared" si="12"/>
        <v>46</v>
      </c>
      <c r="C457" s="32">
        <f t="shared" si="13"/>
        <v>9</v>
      </c>
      <c r="D457" s="38" cm="1">
        <f t="array" ref="D457">INDEX('Rad-2'!$B$2:$J$100,1+B457,C457)</f>
        <v>0</v>
      </c>
    </row>
    <row r="458" spans="1:4" x14ac:dyDescent="0.75">
      <c r="A458" s="32">
        <v>424</v>
      </c>
      <c r="B458" s="32">
        <f t="shared" si="12"/>
        <v>47</v>
      </c>
      <c r="C458" s="32">
        <f t="shared" si="13"/>
        <v>1</v>
      </c>
      <c r="D458" s="38" cm="1">
        <f t="array" ref="D458">INDEX('Rad-2'!$B$2:$J$100,1+B458,C458)</f>
        <v>0</v>
      </c>
    </row>
    <row r="459" spans="1:4" x14ac:dyDescent="0.75">
      <c r="A459" s="32">
        <v>425</v>
      </c>
      <c r="B459" s="32">
        <f t="shared" si="12"/>
        <v>47</v>
      </c>
      <c r="C459" s="32">
        <f t="shared" si="13"/>
        <v>2</v>
      </c>
      <c r="D459" s="38" cm="1">
        <f t="array" ref="D459">INDEX('Rad-2'!$B$2:$J$100,1+B459,C459)</f>
        <v>0</v>
      </c>
    </row>
    <row r="460" spans="1:4" x14ac:dyDescent="0.75">
      <c r="A460" s="32">
        <v>426</v>
      </c>
      <c r="B460" s="32">
        <f t="shared" si="12"/>
        <v>47</v>
      </c>
      <c r="C460" s="32">
        <f t="shared" si="13"/>
        <v>3</v>
      </c>
      <c r="D460" s="38" cm="1">
        <f t="array" ref="D460">INDEX('Rad-2'!$B$2:$J$100,1+B460,C460)</f>
        <v>0</v>
      </c>
    </row>
    <row r="461" spans="1:4" x14ac:dyDescent="0.75">
      <c r="A461" s="32">
        <v>427</v>
      </c>
      <c r="B461" s="32">
        <f t="shared" si="12"/>
        <v>47</v>
      </c>
      <c r="C461" s="32">
        <f t="shared" si="13"/>
        <v>4</v>
      </c>
      <c r="D461" s="38" cm="1">
        <f t="array" ref="D461">INDEX('Rad-2'!$B$2:$J$100,1+B461,C461)</f>
        <v>0</v>
      </c>
    </row>
    <row r="462" spans="1:4" x14ac:dyDescent="0.75">
      <c r="A462" s="32">
        <v>428</v>
      </c>
      <c r="B462" s="32">
        <f t="shared" si="12"/>
        <v>47</v>
      </c>
      <c r="C462" s="32">
        <f t="shared" si="13"/>
        <v>5</v>
      </c>
      <c r="D462" s="38" cm="1">
        <f t="array" ref="D462">INDEX('Rad-2'!$B$2:$J$100,1+B462,C462)</f>
        <v>0</v>
      </c>
    </row>
    <row r="463" spans="1:4" x14ac:dyDescent="0.75">
      <c r="A463" s="32">
        <v>429</v>
      </c>
      <c r="B463" s="32">
        <f t="shared" si="12"/>
        <v>47</v>
      </c>
      <c r="C463" s="32">
        <f t="shared" si="13"/>
        <v>6</v>
      </c>
      <c r="D463" s="38" cm="1">
        <f t="array" ref="D463">INDEX('Rad-2'!$B$2:$J$100,1+B463,C463)</f>
        <v>0</v>
      </c>
    </row>
    <row r="464" spans="1:4" x14ac:dyDescent="0.75">
      <c r="A464" s="32">
        <v>430</v>
      </c>
      <c r="B464" s="32">
        <f t="shared" si="12"/>
        <v>47</v>
      </c>
      <c r="C464" s="32">
        <f t="shared" si="13"/>
        <v>7</v>
      </c>
      <c r="D464" s="38" cm="1">
        <f t="array" ref="D464">INDEX('Rad-2'!$B$2:$J$100,1+B464,C464)</f>
        <v>0</v>
      </c>
    </row>
    <row r="465" spans="1:4" x14ac:dyDescent="0.75">
      <c r="A465" s="32">
        <v>431</v>
      </c>
      <c r="B465" s="32">
        <f t="shared" si="12"/>
        <v>47</v>
      </c>
      <c r="C465" s="32">
        <f t="shared" si="13"/>
        <v>8</v>
      </c>
      <c r="D465" s="38" cm="1">
        <f t="array" ref="D465">INDEX('Rad-2'!$B$2:$J$100,1+B465,C465)</f>
        <v>0</v>
      </c>
    </row>
    <row r="466" spans="1:4" x14ac:dyDescent="0.75">
      <c r="A466" s="32">
        <v>432</v>
      </c>
      <c r="B466" s="32">
        <f t="shared" si="12"/>
        <v>47</v>
      </c>
      <c r="C466" s="32">
        <f t="shared" si="13"/>
        <v>9</v>
      </c>
      <c r="D466" s="38" cm="1">
        <f t="array" ref="D466">INDEX('Rad-2'!$B$2:$J$100,1+B466,C466)</f>
        <v>0</v>
      </c>
    </row>
    <row r="467" spans="1:4" x14ac:dyDescent="0.75">
      <c r="A467" s="32">
        <v>433</v>
      </c>
      <c r="B467" s="32">
        <f t="shared" si="12"/>
        <v>48</v>
      </c>
      <c r="C467" s="32">
        <f t="shared" si="13"/>
        <v>1</v>
      </c>
      <c r="D467" s="38" cm="1">
        <f t="array" ref="D467">INDEX('Rad-2'!$B$2:$J$100,1+B467,C467)</f>
        <v>0</v>
      </c>
    </row>
    <row r="468" spans="1:4" x14ac:dyDescent="0.75">
      <c r="A468" s="32">
        <v>434</v>
      </c>
      <c r="B468" s="32">
        <f t="shared" si="12"/>
        <v>48</v>
      </c>
      <c r="C468" s="32">
        <f t="shared" si="13"/>
        <v>2</v>
      </c>
      <c r="D468" s="38" cm="1">
        <f t="array" ref="D468">INDEX('Rad-2'!$B$2:$J$100,1+B468,C468)</f>
        <v>0</v>
      </c>
    </row>
    <row r="469" spans="1:4" x14ac:dyDescent="0.75">
      <c r="A469" s="32">
        <v>435</v>
      </c>
      <c r="B469" s="32">
        <f t="shared" si="12"/>
        <v>48</v>
      </c>
      <c r="C469" s="32">
        <f t="shared" si="13"/>
        <v>3</v>
      </c>
      <c r="D469" s="38" cm="1">
        <f t="array" ref="D469">INDEX('Rad-2'!$B$2:$J$100,1+B469,C469)</f>
        <v>0</v>
      </c>
    </row>
    <row r="470" spans="1:4" x14ac:dyDescent="0.75">
      <c r="A470" s="32">
        <v>436</v>
      </c>
      <c r="B470" s="32">
        <f t="shared" si="12"/>
        <v>48</v>
      </c>
      <c r="C470" s="32">
        <f t="shared" si="13"/>
        <v>4</v>
      </c>
      <c r="D470" s="38" cm="1">
        <f t="array" ref="D470">INDEX('Rad-2'!$B$2:$J$100,1+B470,C470)</f>
        <v>0</v>
      </c>
    </row>
    <row r="471" spans="1:4" x14ac:dyDescent="0.75">
      <c r="A471" s="32">
        <v>437</v>
      </c>
      <c r="B471" s="32">
        <f t="shared" si="12"/>
        <v>48</v>
      </c>
      <c r="C471" s="32">
        <f t="shared" si="13"/>
        <v>5</v>
      </c>
      <c r="D471" s="38" cm="1">
        <f t="array" ref="D471">INDEX('Rad-2'!$B$2:$J$100,1+B471,C471)</f>
        <v>0</v>
      </c>
    </row>
    <row r="472" spans="1:4" x14ac:dyDescent="0.75">
      <c r="A472" s="32">
        <v>438</v>
      </c>
      <c r="B472" s="32">
        <f t="shared" si="12"/>
        <v>48</v>
      </c>
      <c r="C472" s="32">
        <f t="shared" si="13"/>
        <v>6</v>
      </c>
      <c r="D472" s="38" cm="1">
        <f t="array" ref="D472">INDEX('Rad-2'!$B$2:$J$100,1+B472,C472)</f>
        <v>0</v>
      </c>
    </row>
    <row r="473" spans="1:4" x14ac:dyDescent="0.75">
      <c r="A473" s="32">
        <v>439</v>
      </c>
      <c r="B473" s="32">
        <f t="shared" si="12"/>
        <v>48</v>
      </c>
      <c r="C473" s="32">
        <f t="shared" si="13"/>
        <v>7</v>
      </c>
      <c r="D473" s="38" cm="1">
        <f t="array" ref="D473">INDEX('Rad-2'!$B$2:$J$100,1+B473,C473)</f>
        <v>0</v>
      </c>
    </row>
    <row r="474" spans="1:4" x14ac:dyDescent="0.75">
      <c r="A474" s="32">
        <v>440</v>
      </c>
      <c r="B474" s="32">
        <f t="shared" si="12"/>
        <v>48</v>
      </c>
      <c r="C474" s="32">
        <f t="shared" si="13"/>
        <v>8</v>
      </c>
      <c r="D474" s="38" cm="1">
        <f t="array" ref="D474">INDEX('Rad-2'!$B$2:$J$100,1+B474,C474)</f>
        <v>0</v>
      </c>
    </row>
    <row r="475" spans="1:4" x14ac:dyDescent="0.75">
      <c r="A475" s="32">
        <v>441</v>
      </c>
      <c r="B475" s="32">
        <f t="shared" si="12"/>
        <v>48</v>
      </c>
      <c r="C475" s="32">
        <f t="shared" si="13"/>
        <v>9</v>
      </c>
      <c r="D475" s="38" cm="1">
        <f t="array" ref="D475">INDEX('Rad-2'!$B$2:$J$100,1+B475,C475)</f>
        <v>0</v>
      </c>
    </row>
    <row r="476" spans="1:4" x14ac:dyDescent="0.75">
      <c r="A476" s="32">
        <v>442</v>
      </c>
      <c r="B476" s="32">
        <f t="shared" si="12"/>
        <v>49</v>
      </c>
      <c r="C476" s="32">
        <f t="shared" si="13"/>
        <v>1</v>
      </c>
      <c r="D476" s="38" cm="1">
        <f t="array" ref="D476">INDEX('Rad-2'!$B$2:$J$100,1+B476,C476)</f>
        <v>0</v>
      </c>
    </row>
    <row r="477" spans="1:4" x14ac:dyDescent="0.75">
      <c r="A477" s="32">
        <v>443</v>
      </c>
      <c r="B477" s="32">
        <f t="shared" si="12"/>
        <v>49</v>
      </c>
      <c r="C477" s="32">
        <f t="shared" si="13"/>
        <v>2</v>
      </c>
      <c r="D477" s="38" cm="1">
        <f t="array" ref="D477">INDEX('Rad-2'!$B$2:$J$100,1+B477,C477)</f>
        <v>0</v>
      </c>
    </row>
    <row r="478" spans="1:4" x14ac:dyDescent="0.75">
      <c r="A478" s="32">
        <v>444</v>
      </c>
      <c r="B478" s="32">
        <f t="shared" si="12"/>
        <v>49</v>
      </c>
      <c r="C478" s="32">
        <f t="shared" si="13"/>
        <v>3</v>
      </c>
      <c r="D478" s="38" cm="1">
        <f t="array" ref="D478">INDEX('Rad-2'!$B$2:$J$100,1+B478,C478)</f>
        <v>0</v>
      </c>
    </row>
    <row r="479" spans="1:4" x14ac:dyDescent="0.75">
      <c r="A479" s="32">
        <v>445</v>
      </c>
      <c r="B479" s="32">
        <f t="shared" si="12"/>
        <v>49</v>
      </c>
      <c r="C479" s="32">
        <f t="shared" si="13"/>
        <v>4</v>
      </c>
      <c r="D479" s="38" cm="1">
        <f t="array" ref="D479">INDEX('Rad-2'!$B$2:$J$100,1+B479,C479)</f>
        <v>0</v>
      </c>
    </row>
    <row r="480" spans="1:4" x14ac:dyDescent="0.75">
      <c r="A480" s="32">
        <v>446</v>
      </c>
      <c r="B480" s="32">
        <f t="shared" si="12"/>
        <v>49</v>
      </c>
      <c r="C480" s="32">
        <f t="shared" si="13"/>
        <v>5</v>
      </c>
      <c r="D480" s="38" cm="1">
        <f t="array" ref="D480">INDEX('Rad-2'!$B$2:$J$100,1+B480,C480)</f>
        <v>0</v>
      </c>
    </row>
    <row r="481" spans="1:4" x14ac:dyDescent="0.75">
      <c r="A481" s="32">
        <v>447</v>
      </c>
      <c r="B481" s="32">
        <f t="shared" si="12"/>
        <v>49</v>
      </c>
      <c r="C481" s="32">
        <f t="shared" si="13"/>
        <v>6</v>
      </c>
      <c r="D481" s="38" cm="1">
        <f t="array" ref="D481">INDEX('Rad-2'!$B$2:$J$100,1+B481,C481)</f>
        <v>0</v>
      </c>
    </row>
    <row r="482" spans="1:4" x14ac:dyDescent="0.75">
      <c r="A482" s="32">
        <v>448</v>
      </c>
      <c r="B482" s="32">
        <f t="shared" si="12"/>
        <v>49</v>
      </c>
      <c r="C482" s="32">
        <f t="shared" si="13"/>
        <v>7</v>
      </c>
      <c r="D482" s="38" cm="1">
        <f t="array" ref="D482">INDEX('Rad-2'!$B$2:$J$100,1+B482,C482)</f>
        <v>0</v>
      </c>
    </row>
    <row r="483" spans="1:4" x14ac:dyDescent="0.75">
      <c r="A483" s="32">
        <v>449</v>
      </c>
      <c r="B483" s="32">
        <f t="shared" si="12"/>
        <v>49</v>
      </c>
      <c r="C483" s="32">
        <f t="shared" si="13"/>
        <v>8</v>
      </c>
      <c r="D483" s="38" cm="1">
        <f t="array" ref="D483">INDEX('Rad-2'!$B$2:$J$100,1+B483,C483)</f>
        <v>0</v>
      </c>
    </row>
    <row r="484" spans="1:4" x14ac:dyDescent="0.75">
      <c r="A484" s="32">
        <v>450</v>
      </c>
      <c r="B484" s="32">
        <f t="shared" ref="B484:B547" si="14">IF(MOD(A484,$B$25)=0,A484/$B$25-1,INT(A484/$B$25))</f>
        <v>49</v>
      </c>
      <c r="C484" s="32">
        <f t="shared" ref="C484:C547" si="15">IF(MOD(A484,$B$25)=0,$B$25,MOD(A484,$B$25))</f>
        <v>9</v>
      </c>
      <c r="D484" s="38" cm="1">
        <f t="array" ref="D484">INDEX('Rad-2'!$B$2:$J$100,1+B484,C484)</f>
        <v>0</v>
      </c>
    </row>
    <row r="485" spans="1:4" x14ac:dyDescent="0.75">
      <c r="A485" s="32">
        <v>451</v>
      </c>
      <c r="B485" s="32">
        <f t="shared" si="14"/>
        <v>50</v>
      </c>
      <c r="C485" s="32">
        <f t="shared" si="15"/>
        <v>1</v>
      </c>
      <c r="D485" s="38" cm="1">
        <f t="array" ref="D485">INDEX('Rad-2'!$B$2:$J$100,1+B485,C485)</f>
        <v>0</v>
      </c>
    </row>
    <row r="486" spans="1:4" x14ac:dyDescent="0.75">
      <c r="A486" s="32">
        <v>452</v>
      </c>
      <c r="B486" s="32">
        <f t="shared" si="14"/>
        <v>50</v>
      </c>
      <c r="C486" s="32">
        <f t="shared" si="15"/>
        <v>2</v>
      </c>
      <c r="D486" s="38" cm="1">
        <f t="array" ref="D486">INDEX('Rad-2'!$B$2:$J$100,1+B486,C486)</f>
        <v>0</v>
      </c>
    </row>
    <row r="487" spans="1:4" x14ac:dyDescent="0.75">
      <c r="A487" s="32">
        <v>453</v>
      </c>
      <c r="B487" s="32">
        <f t="shared" si="14"/>
        <v>50</v>
      </c>
      <c r="C487" s="32">
        <f t="shared" si="15"/>
        <v>3</v>
      </c>
      <c r="D487" s="38" cm="1">
        <f t="array" ref="D487">INDEX('Rad-2'!$B$2:$J$100,1+B487,C487)</f>
        <v>0</v>
      </c>
    </row>
    <row r="488" spans="1:4" x14ac:dyDescent="0.75">
      <c r="A488" s="32">
        <v>454</v>
      </c>
      <c r="B488" s="32">
        <f t="shared" si="14"/>
        <v>50</v>
      </c>
      <c r="C488" s="32">
        <f t="shared" si="15"/>
        <v>4</v>
      </c>
      <c r="D488" s="38" cm="1">
        <f t="array" ref="D488">INDEX('Rad-2'!$B$2:$J$100,1+B488,C488)</f>
        <v>0</v>
      </c>
    </row>
    <row r="489" spans="1:4" x14ac:dyDescent="0.75">
      <c r="A489" s="32">
        <v>455</v>
      </c>
      <c r="B489" s="32">
        <f t="shared" si="14"/>
        <v>50</v>
      </c>
      <c r="C489" s="32">
        <f t="shared" si="15"/>
        <v>5</v>
      </c>
      <c r="D489" s="38" cm="1">
        <f t="array" ref="D489">INDEX('Rad-2'!$B$2:$J$100,1+B489,C489)</f>
        <v>0</v>
      </c>
    </row>
    <row r="490" spans="1:4" x14ac:dyDescent="0.75">
      <c r="A490" s="32">
        <v>456</v>
      </c>
      <c r="B490" s="32">
        <f t="shared" si="14"/>
        <v>50</v>
      </c>
      <c r="C490" s="32">
        <f t="shared" si="15"/>
        <v>6</v>
      </c>
      <c r="D490" s="38" cm="1">
        <f t="array" ref="D490">INDEX('Rad-2'!$B$2:$J$100,1+B490,C490)</f>
        <v>0</v>
      </c>
    </row>
    <row r="491" spans="1:4" x14ac:dyDescent="0.75">
      <c r="A491" s="32">
        <v>457</v>
      </c>
      <c r="B491" s="32">
        <f t="shared" si="14"/>
        <v>50</v>
      </c>
      <c r="C491" s="32">
        <f t="shared" si="15"/>
        <v>7</v>
      </c>
      <c r="D491" s="38" cm="1">
        <f t="array" ref="D491">INDEX('Rad-2'!$B$2:$J$100,1+B491,C491)</f>
        <v>0</v>
      </c>
    </row>
    <row r="492" spans="1:4" x14ac:dyDescent="0.75">
      <c r="A492" s="32">
        <v>458</v>
      </c>
      <c r="B492" s="32">
        <f t="shared" si="14"/>
        <v>50</v>
      </c>
      <c r="C492" s="32">
        <f t="shared" si="15"/>
        <v>8</v>
      </c>
      <c r="D492" s="38" cm="1">
        <f t="array" ref="D492">INDEX('Rad-2'!$B$2:$J$100,1+B492,C492)</f>
        <v>0</v>
      </c>
    </row>
    <row r="493" spans="1:4" x14ac:dyDescent="0.75">
      <c r="A493" s="32">
        <v>459</v>
      </c>
      <c r="B493" s="32">
        <f t="shared" si="14"/>
        <v>50</v>
      </c>
      <c r="C493" s="32">
        <f t="shared" si="15"/>
        <v>9</v>
      </c>
      <c r="D493" s="38" cm="1">
        <f t="array" ref="D493">INDEX('Rad-2'!$B$2:$J$100,1+B493,C493)</f>
        <v>0</v>
      </c>
    </row>
    <row r="494" spans="1:4" x14ac:dyDescent="0.75">
      <c r="A494" s="32">
        <v>460</v>
      </c>
      <c r="B494" s="32">
        <f t="shared" si="14"/>
        <v>51</v>
      </c>
      <c r="C494" s="32">
        <f t="shared" si="15"/>
        <v>1</v>
      </c>
      <c r="D494" s="38" cm="1">
        <f t="array" ref="D494">INDEX('Rad-2'!$B$2:$J$100,1+B494,C494)</f>
        <v>0</v>
      </c>
    </row>
    <row r="495" spans="1:4" x14ac:dyDescent="0.75">
      <c r="A495" s="32">
        <v>461</v>
      </c>
      <c r="B495" s="32">
        <f t="shared" si="14"/>
        <v>51</v>
      </c>
      <c r="C495" s="32">
        <f t="shared" si="15"/>
        <v>2</v>
      </c>
      <c r="D495" s="38" cm="1">
        <f t="array" ref="D495">INDEX('Rad-2'!$B$2:$J$100,1+B495,C495)</f>
        <v>0</v>
      </c>
    </row>
    <row r="496" spans="1:4" x14ac:dyDescent="0.75">
      <c r="A496" s="32">
        <v>462</v>
      </c>
      <c r="B496" s="32">
        <f t="shared" si="14"/>
        <v>51</v>
      </c>
      <c r="C496" s="32">
        <f t="shared" si="15"/>
        <v>3</v>
      </c>
      <c r="D496" s="38" cm="1">
        <f t="array" ref="D496">INDEX('Rad-2'!$B$2:$J$100,1+B496,C496)</f>
        <v>0</v>
      </c>
    </row>
    <row r="497" spans="1:4" x14ac:dyDescent="0.75">
      <c r="A497" s="32">
        <v>463</v>
      </c>
      <c r="B497" s="32">
        <f t="shared" si="14"/>
        <v>51</v>
      </c>
      <c r="C497" s="32">
        <f t="shared" si="15"/>
        <v>4</v>
      </c>
      <c r="D497" s="38" cm="1">
        <f t="array" ref="D497">INDEX('Rad-2'!$B$2:$J$100,1+B497,C497)</f>
        <v>0</v>
      </c>
    </row>
    <row r="498" spans="1:4" x14ac:dyDescent="0.75">
      <c r="A498" s="32">
        <v>464</v>
      </c>
      <c r="B498" s="32">
        <f t="shared" si="14"/>
        <v>51</v>
      </c>
      <c r="C498" s="32">
        <f t="shared" si="15"/>
        <v>5</v>
      </c>
      <c r="D498" s="38" cm="1">
        <f t="array" ref="D498">INDEX('Rad-2'!$B$2:$J$100,1+B498,C498)</f>
        <v>0</v>
      </c>
    </row>
    <row r="499" spans="1:4" x14ac:dyDescent="0.75">
      <c r="A499" s="32">
        <v>465</v>
      </c>
      <c r="B499" s="32">
        <f t="shared" si="14"/>
        <v>51</v>
      </c>
      <c r="C499" s="32">
        <f t="shared" si="15"/>
        <v>6</v>
      </c>
      <c r="D499" s="38" cm="1">
        <f t="array" ref="D499">INDEX('Rad-2'!$B$2:$J$100,1+B499,C499)</f>
        <v>0</v>
      </c>
    </row>
    <row r="500" spans="1:4" x14ac:dyDescent="0.75">
      <c r="A500" s="32">
        <v>466</v>
      </c>
      <c r="B500" s="32">
        <f t="shared" si="14"/>
        <v>51</v>
      </c>
      <c r="C500" s="32">
        <f t="shared" si="15"/>
        <v>7</v>
      </c>
      <c r="D500" s="38" cm="1">
        <f t="array" ref="D500">INDEX('Rad-2'!$B$2:$J$100,1+B500,C500)</f>
        <v>0</v>
      </c>
    </row>
    <row r="501" spans="1:4" x14ac:dyDescent="0.75">
      <c r="A501" s="32">
        <v>467</v>
      </c>
      <c r="B501" s="32">
        <f t="shared" si="14"/>
        <v>51</v>
      </c>
      <c r="C501" s="32">
        <f t="shared" si="15"/>
        <v>8</v>
      </c>
      <c r="D501" s="38" cm="1">
        <f t="array" ref="D501">INDEX('Rad-2'!$B$2:$J$100,1+B501,C501)</f>
        <v>0</v>
      </c>
    </row>
    <row r="502" spans="1:4" x14ac:dyDescent="0.75">
      <c r="A502" s="32">
        <v>468</v>
      </c>
      <c r="B502" s="32">
        <f t="shared" si="14"/>
        <v>51</v>
      </c>
      <c r="C502" s="32">
        <f t="shared" si="15"/>
        <v>9</v>
      </c>
      <c r="D502" s="38" cm="1">
        <f t="array" ref="D502">INDEX('Rad-2'!$B$2:$J$100,1+B502,C502)</f>
        <v>0</v>
      </c>
    </row>
    <row r="503" spans="1:4" x14ac:dyDescent="0.75">
      <c r="A503" s="32">
        <v>469</v>
      </c>
      <c r="B503" s="32">
        <f t="shared" si="14"/>
        <v>52</v>
      </c>
      <c r="C503" s="32">
        <f t="shared" si="15"/>
        <v>1</v>
      </c>
      <c r="D503" s="38" cm="1">
        <f t="array" ref="D503">INDEX('Rad-2'!$B$2:$J$100,1+B503,C503)</f>
        <v>0</v>
      </c>
    </row>
    <row r="504" spans="1:4" x14ac:dyDescent="0.75">
      <c r="A504" s="32">
        <v>470</v>
      </c>
      <c r="B504" s="32">
        <f t="shared" si="14"/>
        <v>52</v>
      </c>
      <c r="C504" s="32">
        <f t="shared" si="15"/>
        <v>2</v>
      </c>
      <c r="D504" s="38" cm="1">
        <f t="array" ref="D504">INDEX('Rad-2'!$B$2:$J$100,1+B504,C504)</f>
        <v>0</v>
      </c>
    </row>
    <row r="505" spans="1:4" x14ac:dyDescent="0.75">
      <c r="A505" s="32">
        <v>471</v>
      </c>
      <c r="B505" s="32">
        <f t="shared" si="14"/>
        <v>52</v>
      </c>
      <c r="C505" s="32">
        <f t="shared" si="15"/>
        <v>3</v>
      </c>
      <c r="D505" s="38" cm="1">
        <f t="array" ref="D505">INDEX('Rad-2'!$B$2:$J$100,1+B505,C505)</f>
        <v>0</v>
      </c>
    </row>
    <row r="506" spans="1:4" x14ac:dyDescent="0.75">
      <c r="A506" s="32">
        <v>472</v>
      </c>
      <c r="B506" s="32">
        <f t="shared" si="14"/>
        <v>52</v>
      </c>
      <c r="C506" s="32">
        <f t="shared" si="15"/>
        <v>4</v>
      </c>
      <c r="D506" s="38" cm="1">
        <f t="array" ref="D506">INDEX('Rad-2'!$B$2:$J$100,1+B506,C506)</f>
        <v>0</v>
      </c>
    </row>
    <row r="507" spans="1:4" x14ac:dyDescent="0.75">
      <c r="A507" s="32">
        <v>473</v>
      </c>
      <c r="B507" s="32">
        <f t="shared" si="14"/>
        <v>52</v>
      </c>
      <c r="C507" s="32">
        <f t="shared" si="15"/>
        <v>5</v>
      </c>
      <c r="D507" s="38" cm="1">
        <f t="array" ref="D507">INDEX('Rad-2'!$B$2:$J$100,1+B507,C507)</f>
        <v>0</v>
      </c>
    </row>
    <row r="508" spans="1:4" x14ac:dyDescent="0.75">
      <c r="A508" s="32">
        <v>474</v>
      </c>
      <c r="B508" s="32">
        <f t="shared" si="14"/>
        <v>52</v>
      </c>
      <c r="C508" s="32">
        <f t="shared" si="15"/>
        <v>6</v>
      </c>
      <c r="D508" s="38" cm="1">
        <f t="array" ref="D508">INDEX('Rad-2'!$B$2:$J$100,1+B508,C508)</f>
        <v>0</v>
      </c>
    </row>
    <row r="509" spans="1:4" x14ac:dyDescent="0.75">
      <c r="A509" s="32">
        <v>475</v>
      </c>
      <c r="B509" s="32">
        <f t="shared" si="14"/>
        <v>52</v>
      </c>
      <c r="C509" s="32">
        <f t="shared" si="15"/>
        <v>7</v>
      </c>
      <c r="D509" s="38" cm="1">
        <f t="array" ref="D509">INDEX('Rad-2'!$B$2:$J$100,1+B509,C509)</f>
        <v>0</v>
      </c>
    </row>
    <row r="510" spans="1:4" x14ac:dyDescent="0.75">
      <c r="A510" s="32">
        <v>476</v>
      </c>
      <c r="B510" s="32">
        <f t="shared" si="14"/>
        <v>52</v>
      </c>
      <c r="C510" s="32">
        <f t="shared" si="15"/>
        <v>8</v>
      </c>
      <c r="D510" s="38" cm="1">
        <f t="array" ref="D510">INDEX('Rad-2'!$B$2:$J$100,1+B510,C510)</f>
        <v>0</v>
      </c>
    </row>
    <row r="511" spans="1:4" x14ac:dyDescent="0.75">
      <c r="A511" s="32">
        <v>477</v>
      </c>
      <c r="B511" s="32">
        <f t="shared" si="14"/>
        <v>52</v>
      </c>
      <c r="C511" s="32">
        <f t="shared" si="15"/>
        <v>9</v>
      </c>
      <c r="D511" s="38" cm="1">
        <f t="array" ref="D511">INDEX('Rad-2'!$B$2:$J$100,1+B511,C511)</f>
        <v>0</v>
      </c>
    </row>
    <row r="512" spans="1:4" x14ac:dyDescent="0.75">
      <c r="A512" s="32">
        <v>478</v>
      </c>
      <c r="B512" s="32">
        <f t="shared" si="14"/>
        <v>53</v>
      </c>
      <c r="C512" s="32">
        <f t="shared" si="15"/>
        <v>1</v>
      </c>
      <c r="D512" s="38" cm="1">
        <f t="array" ref="D512">INDEX('Rad-2'!$B$2:$J$100,1+B512,C512)</f>
        <v>0</v>
      </c>
    </row>
    <row r="513" spans="1:4" x14ac:dyDescent="0.75">
      <c r="A513" s="32">
        <v>479</v>
      </c>
      <c r="B513" s="32">
        <f t="shared" si="14"/>
        <v>53</v>
      </c>
      <c r="C513" s="32">
        <f t="shared" si="15"/>
        <v>2</v>
      </c>
      <c r="D513" s="38" cm="1">
        <f t="array" ref="D513">INDEX('Rad-2'!$B$2:$J$100,1+B513,C513)</f>
        <v>0</v>
      </c>
    </row>
    <row r="514" spans="1:4" x14ac:dyDescent="0.75">
      <c r="A514" s="32">
        <v>480</v>
      </c>
      <c r="B514" s="32">
        <f t="shared" si="14"/>
        <v>53</v>
      </c>
      <c r="C514" s="32">
        <f t="shared" si="15"/>
        <v>3</v>
      </c>
      <c r="D514" s="38" cm="1">
        <f t="array" ref="D514">INDEX('Rad-2'!$B$2:$J$100,1+B514,C514)</f>
        <v>0</v>
      </c>
    </row>
    <row r="515" spans="1:4" x14ac:dyDescent="0.75">
      <c r="A515" s="32">
        <v>481</v>
      </c>
      <c r="B515" s="32">
        <f t="shared" si="14"/>
        <v>53</v>
      </c>
      <c r="C515" s="32">
        <f t="shared" si="15"/>
        <v>4</v>
      </c>
      <c r="D515" s="38" cm="1">
        <f t="array" ref="D515">INDEX('Rad-2'!$B$2:$J$100,1+B515,C515)</f>
        <v>0</v>
      </c>
    </row>
    <row r="516" spans="1:4" x14ac:dyDescent="0.75">
      <c r="A516" s="32">
        <v>482</v>
      </c>
      <c r="B516" s="32">
        <f t="shared" si="14"/>
        <v>53</v>
      </c>
      <c r="C516" s="32">
        <f t="shared" si="15"/>
        <v>5</v>
      </c>
      <c r="D516" s="38" cm="1">
        <f t="array" ref="D516">INDEX('Rad-2'!$B$2:$J$100,1+B516,C516)</f>
        <v>0</v>
      </c>
    </row>
    <row r="517" spans="1:4" x14ac:dyDescent="0.75">
      <c r="A517" s="32">
        <v>483</v>
      </c>
      <c r="B517" s="32">
        <f t="shared" si="14"/>
        <v>53</v>
      </c>
      <c r="C517" s="32">
        <f t="shared" si="15"/>
        <v>6</v>
      </c>
      <c r="D517" s="38" cm="1">
        <f t="array" ref="D517">INDEX('Rad-2'!$B$2:$J$100,1+B517,C517)</f>
        <v>0</v>
      </c>
    </row>
    <row r="518" spans="1:4" x14ac:dyDescent="0.75">
      <c r="A518" s="32">
        <v>484</v>
      </c>
      <c r="B518" s="32">
        <f t="shared" si="14"/>
        <v>53</v>
      </c>
      <c r="C518" s="32">
        <f t="shared" si="15"/>
        <v>7</v>
      </c>
      <c r="D518" s="38" cm="1">
        <f t="array" ref="D518">INDEX('Rad-2'!$B$2:$J$100,1+B518,C518)</f>
        <v>0</v>
      </c>
    </row>
    <row r="519" spans="1:4" x14ac:dyDescent="0.75">
      <c r="A519" s="32">
        <v>485</v>
      </c>
      <c r="B519" s="32">
        <f t="shared" si="14"/>
        <v>53</v>
      </c>
      <c r="C519" s="32">
        <f t="shared" si="15"/>
        <v>8</v>
      </c>
      <c r="D519" s="38" cm="1">
        <f t="array" ref="D519">INDEX('Rad-2'!$B$2:$J$100,1+B519,C519)</f>
        <v>0</v>
      </c>
    </row>
    <row r="520" spans="1:4" x14ac:dyDescent="0.75">
      <c r="A520" s="32">
        <v>486</v>
      </c>
      <c r="B520" s="32">
        <f t="shared" si="14"/>
        <v>53</v>
      </c>
      <c r="C520" s="32">
        <f t="shared" si="15"/>
        <v>9</v>
      </c>
      <c r="D520" s="38" cm="1">
        <f t="array" ref="D520">INDEX('Rad-2'!$B$2:$J$100,1+B520,C520)</f>
        <v>0</v>
      </c>
    </row>
    <row r="521" spans="1:4" x14ac:dyDescent="0.75">
      <c r="A521" s="32">
        <v>487</v>
      </c>
      <c r="B521" s="32">
        <f t="shared" si="14"/>
        <v>54</v>
      </c>
      <c r="C521" s="32">
        <f t="shared" si="15"/>
        <v>1</v>
      </c>
      <c r="D521" s="38" cm="1">
        <f t="array" ref="D521">INDEX('Rad-2'!$B$2:$J$100,1+B521,C521)</f>
        <v>0</v>
      </c>
    </row>
    <row r="522" spans="1:4" x14ac:dyDescent="0.75">
      <c r="A522" s="32">
        <v>488</v>
      </c>
      <c r="B522" s="32">
        <f t="shared" si="14"/>
        <v>54</v>
      </c>
      <c r="C522" s="32">
        <f t="shared" si="15"/>
        <v>2</v>
      </c>
      <c r="D522" s="38" cm="1">
        <f t="array" ref="D522">INDEX('Rad-2'!$B$2:$J$100,1+B522,C522)</f>
        <v>0</v>
      </c>
    </row>
    <row r="523" spans="1:4" x14ac:dyDescent="0.75">
      <c r="A523" s="32">
        <v>489</v>
      </c>
      <c r="B523" s="32">
        <f t="shared" si="14"/>
        <v>54</v>
      </c>
      <c r="C523" s="32">
        <f t="shared" si="15"/>
        <v>3</v>
      </c>
      <c r="D523" s="38" cm="1">
        <f t="array" ref="D523">INDEX('Rad-2'!$B$2:$J$100,1+B523,C523)</f>
        <v>0</v>
      </c>
    </row>
    <row r="524" spans="1:4" x14ac:dyDescent="0.75">
      <c r="A524" s="32">
        <v>490</v>
      </c>
      <c r="B524" s="32">
        <f t="shared" si="14"/>
        <v>54</v>
      </c>
      <c r="C524" s="32">
        <f t="shared" si="15"/>
        <v>4</v>
      </c>
      <c r="D524" s="38" cm="1">
        <f t="array" ref="D524">INDEX('Rad-2'!$B$2:$J$100,1+B524,C524)</f>
        <v>0</v>
      </c>
    </row>
    <row r="525" spans="1:4" x14ac:dyDescent="0.75">
      <c r="A525" s="32">
        <v>491</v>
      </c>
      <c r="B525" s="32">
        <f t="shared" si="14"/>
        <v>54</v>
      </c>
      <c r="C525" s="32">
        <f t="shared" si="15"/>
        <v>5</v>
      </c>
      <c r="D525" s="38" cm="1">
        <f t="array" ref="D525">INDEX('Rad-2'!$B$2:$J$100,1+B525,C525)</f>
        <v>0</v>
      </c>
    </row>
    <row r="526" spans="1:4" x14ac:dyDescent="0.75">
      <c r="A526" s="32">
        <v>492</v>
      </c>
      <c r="B526" s="32">
        <f t="shared" si="14"/>
        <v>54</v>
      </c>
      <c r="C526" s="32">
        <f t="shared" si="15"/>
        <v>6</v>
      </c>
      <c r="D526" s="38" cm="1">
        <f t="array" ref="D526">INDEX('Rad-2'!$B$2:$J$100,1+B526,C526)</f>
        <v>0</v>
      </c>
    </row>
    <row r="527" spans="1:4" x14ac:dyDescent="0.75">
      <c r="A527" s="32">
        <v>493</v>
      </c>
      <c r="B527" s="32">
        <f t="shared" si="14"/>
        <v>54</v>
      </c>
      <c r="C527" s="32">
        <f t="shared" si="15"/>
        <v>7</v>
      </c>
      <c r="D527" s="38" cm="1">
        <f t="array" ref="D527">INDEX('Rad-2'!$B$2:$J$100,1+B527,C527)</f>
        <v>0</v>
      </c>
    </row>
    <row r="528" spans="1:4" x14ac:dyDescent="0.75">
      <c r="A528" s="32">
        <v>494</v>
      </c>
      <c r="B528" s="32">
        <f t="shared" si="14"/>
        <v>54</v>
      </c>
      <c r="C528" s="32">
        <f t="shared" si="15"/>
        <v>8</v>
      </c>
      <c r="D528" s="38" cm="1">
        <f t="array" ref="D528">INDEX('Rad-2'!$B$2:$J$100,1+B528,C528)</f>
        <v>0</v>
      </c>
    </row>
    <row r="529" spans="1:4" x14ac:dyDescent="0.75">
      <c r="A529" s="32">
        <v>495</v>
      </c>
      <c r="B529" s="32">
        <f t="shared" si="14"/>
        <v>54</v>
      </c>
      <c r="C529" s="32">
        <f t="shared" si="15"/>
        <v>9</v>
      </c>
      <c r="D529" s="38" cm="1">
        <f t="array" ref="D529">INDEX('Rad-2'!$B$2:$J$100,1+B529,C529)</f>
        <v>0</v>
      </c>
    </row>
    <row r="530" spans="1:4" x14ac:dyDescent="0.75">
      <c r="A530" s="32">
        <v>496</v>
      </c>
      <c r="B530" s="32">
        <f t="shared" si="14"/>
        <v>55</v>
      </c>
      <c r="C530" s="32">
        <f t="shared" si="15"/>
        <v>1</v>
      </c>
      <c r="D530" s="38" cm="1">
        <f t="array" ref="D530">INDEX('Rad-2'!$B$2:$J$100,1+B530,C530)</f>
        <v>0</v>
      </c>
    </row>
    <row r="531" spans="1:4" x14ac:dyDescent="0.75">
      <c r="A531" s="32">
        <v>497</v>
      </c>
      <c r="B531" s="32">
        <f t="shared" si="14"/>
        <v>55</v>
      </c>
      <c r="C531" s="32">
        <f t="shared" si="15"/>
        <v>2</v>
      </c>
      <c r="D531" s="38" cm="1">
        <f t="array" ref="D531">INDEX('Rad-2'!$B$2:$J$100,1+B531,C531)</f>
        <v>0</v>
      </c>
    </row>
    <row r="532" spans="1:4" x14ac:dyDescent="0.75">
      <c r="A532" s="32">
        <v>498</v>
      </c>
      <c r="B532" s="32">
        <f t="shared" si="14"/>
        <v>55</v>
      </c>
      <c r="C532" s="32">
        <f t="shared" si="15"/>
        <v>3</v>
      </c>
      <c r="D532" s="38" cm="1">
        <f t="array" ref="D532">INDEX('Rad-2'!$B$2:$J$100,1+B532,C532)</f>
        <v>0</v>
      </c>
    </row>
    <row r="533" spans="1:4" x14ac:dyDescent="0.75">
      <c r="A533" s="32">
        <v>499</v>
      </c>
      <c r="B533" s="32">
        <f t="shared" si="14"/>
        <v>55</v>
      </c>
      <c r="C533" s="32">
        <f t="shared" si="15"/>
        <v>4</v>
      </c>
      <c r="D533" s="38" cm="1">
        <f t="array" ref="D533">INDEX('Rad-2'!$B$2:$J$100,1+B533,C533)</f>
        <v>0</v>
      </c>
    </row>
    <row r="534" spans="1:4" x14ac:dyDescent="0.75">
      <c r="A534" s="32">
        <v>500</v>
      </c>
      <c r="B534" s="32">
        <f t="shared" si="14"/>
        <v>55</v>
      </c>
      <c r="C534" s="32">
        <f t="shared" si="15"/>
        <v>5</v>
      </c>
      <c r="D534" s="38" cm="1">
        <f t="array" ref="D534">INDEX('Rad-2'!$B$2:$J$100,1+B534,C534)</f>
        <v>0</v>
      </c>
    </row>
    <row r="535" spans="1:4" x14ac:dyDescent="0.75">
      <c r="A535" s="32">
        <v>501</v>
      </c>
      <c r="B535" s="32">
        <f t="shared" si="14"/>
        <v>55</v>
      </c>
      <c r="C535" s="32">
        <f t="shared" si="15"/>
        <v>6</v>
      </c>
      <c r="D535" s="38" cm="1">
        <f t="array" ref="D535">INDEX('Rad-2'!$B$2:$J$100,1+B535,C535)</f>
        <v>0</v>
      </c>
    </row>
    <row r="536" spans="1:4" x14ac:dyDescent="0.75">
      <c r="A536" s="32">
        <v>502</v>
      </c>
      <c r="B536" s="32">
        <f t="shared" si="14"/>
        <v>55</v>
      </c>
      <c r="C536" s="32">
        <f t="shared" si="15"/>
        <v>7</v>
      </c>
      <c r="D536" s="38" cm="1">
        <f t="array" ref="D536">INDEX('Rad-2'!$B$2:$J$100,1+B536,C536)</f>
        <v>0</v>
      </c>
    </row>
    <row r="537" spans="1:4" x14ac:dyDescent="0.75">
      <c r="A537" s="32">
        <v>503</v>
      </c>
      <c r="B537" s="32">
        <f t="shared" si="14"/>
        <v>55</v>
      </c>
      <c r="C537" s="32">
        <f t="shared" si="15"/>
        <v>8</v>
      </c>
      <c r="D537" s="38" cm="1">
        <f t="array" ref="D537">INDEX('Rad-2'!$B$2:$J$100,1+B537,C537)</f>
        <v>0</v>
      </c>
    </row>
    <row r="538" spans="1:4" x14ac:dyDescent="0.75">
      <c r="A538" s="32">
        <v>504</v>
      </c>
      <c r="B538" s="32">
        <f t="shared" si="14"/>
        <v>55</v>
      </c>
      <c r="C538" s="32">
        <f t="shared" si="15"/>
        <v>9</v>
      </c>
      <c r="D538" s="38" cm="1">
        <f t="array" ref="D538">INDEX('Rad-2'!$B$2:$J$100,1+B538,C538)</f>
        <v>0</v>
      </c>
    </row>
    <row r="539" spans="1:4" x14ac:dyDescent="0.75">
      <c r="A539" s="32">
        <v>505</v>
      </c>
      <c r="B539" s="32">
        <f t="shared" si="14"/>
        <v>56</v>
      </c>
      <c r="C539" s="32">
        <f t="shared" si="15"/>
        <v>1</v>
      </c>
      <c r="D539" s="38" cm="1">
        <f t="array" ref="D539">INDEX('Rad-2'!$B$2:$J$100,1+B539,C539)</f>
        <v>0</v>
      </c>
    </row>
    <row r="540" spans="1:4" x14ac:dyDescent="0.75">
      <c r="A540" s="32">
        <v>506</v>
      </c>
      <c r="B540" s="32">
        <f t="shared" si="14"/>
        <v>56</v>
      </c>
      <c r="C540" s="32">
        <f t="shared" si="15"/>
        <v>2</v>
      </c>
      <c r="D540" s="38" cm="1">
        <f t="array" ref="D540">INDEX('Rad-2'!$B$2:$J$100,1+B540,C540)</f>
        <v>0</v>
      </c>
    </row>
    <row r="541" spans="1:4" x14ac:dyDescent="0.75">
      <c r="A541" s="32">
        <v>507</v>
      </c>
      <c r="B541" s="32">
        <f t="shared" si="14"/>
        <v>56</v>
      </c>
      <c r="C541" s="32">
        <f t="shared" si="15"/>
        <v>3</v>
      </c>
      <c r="D541" s="38" cm="1">
        <f t="array" ref="D541">INDEX('Rad-2'!$B$2:$J$100,1+B541,C541)</f>
        <v>0</v>
      </c>
    </row>
    <row r="542" spans="1:4" x14ac:dyDescent="0.75">
      <c r="A542" s="32">
        <v>508</v>
      </c>
      <c r="B542" s="32">
        <f t="shared" si="14"/>
        <v>56</v>
      </c>
      <c r="C542" s="32">
        <f t="shared" si="15"/>
        <v>4</v>
      </c>
      <c r="D542" s="38" cm="1">
        <f t="array" ref="D542">INDEX('Rad-2'!$B$2:$J$100,1+B542,C542)</f>
        <v>0</v>
      </c>
    </row>
    <row r="543" spans="1:4" x14ac:dyDescent="0.75">
      <c r="A543" s="32">
        <v>509</v>
      </c>
      <c r="B543" s="32">
        <f t="shared" si="14"/>
        <v>56</v>
      </c>
      <c r="C543" s="32">
        <f t="shared" si="15"/>
        <v>5</v>
      </c>
      <c r="D543" s="38" cm="1">
        <f t="array" ref="D543">INDEX('Rad-2'!$B$2:$J$100,1+B543,C543)</f>
        <v>0</v>
      </c>
    </row>
    <row r="544" spans="1:4" x14ac:dyDescent="0.75">
      <c r="A544" s="32">
        <v>510</v>
      </c>
      <c r="B544" s="32">
        <f t="shared" si="14"/>
        <v>56</v>
      </c>
      <c r="C544" s="32">
        <f t="shared" si="15"/>
        <v>6</v>
      </c>
      <c r="D544" s="38" cm="1">
        <f t="array" ref="D544">INDEX('Rad-2'!$B$2:$J$100,1+B544,C544)</f>
        <v>0</v>
      </c>
    </row>
    <row r="545" spans="1:4" x14ac:dyDescent="0.75">
      <c r="A545" s="32">
        <v>511</v>
      </c>
      <c r="B545" s="32">
        <f t="shared" si="14"/>
        <v>56</v>
      </c>
      <c r="C545" s="32">
        <f t="shared" si="15"/>
        <v>7</v>
      </c>
      <c r="D545" s="38" cm="1">
        <f t="array" ref="D545">INDEX('Rad-2'!$B$2:$J$100,1+B545,C545)</f>
        <v>0</v>
      </c>
    </row>
    <row r="546" spans="1:4" x14ac:dyDescent="0.75">
      <c r="A546" s="32">
        <v>512</v>
      </c>
      <c r="B546" s="32">
        <f t="shared" si="14"/>
        <v>56</v>
      </c>
      <c r="C546" s="32">
        <f t="shared" si="15"/>
        <v>8</v>
      </c>
      <c r="D546" s="38" cm="1">
        <f t="array" ref="D546">INDEX('Rad-2'!$B$2:$J$100,1+B546,C546)</f>
        <v>0</v>
      </c>
    </row>
    <row r="547" spans="1:4" x14ac:dyDescent="0.75">
      <c r="A547" s="32">
        <v>513</v>
      </c>
      <c r="B547" s="32">
        <f t="shared" si="14"/>
        <v>56</v>
      </c>
      <c r="C547" s="32">
        <f t="shared" si="15"/>
        <v>9</v>
      </c>
      <c r="D547" s="38" cm="1">
        <f t="array" ref="D547">INDEX('Rad-2'!$B$2:$J$100,1+B547,C547)</f>
        <v>0</v>
      </c>
    </row>
    <row r="548" spans="1:4" x14ac:dyDescent="0.75">
      <c r="A548" s="32">
        <v>514</v>
      </c>
      <c r="B548" s="32">
        <f t="shared" ref="B548:B583" si="16">IF(MOD(A548,$B$25)=0,A548/$B$25-1,INT(A548/$B$25))</f>
        <v>57</v>
      </c>
      <c r="C548" s="32">
        <f t="shared" ref="C548:C583" si="17">IF(MOD(A548,$B$25)=0,$B$25,MOD(A548,$B$25))</f>
        <v>1</v>
      </c>
      <c r="D548" s="38" cm="1">
        <f t="array" ref="D548">INDEX('Rad-2'!$B$2:$J$100,1+B548,C548)</f>
        <v>0</v>
      </c>
    </row>
    <row r="549" spans="1:4" x14ac:dyDescent="0.75">
      <c r="A549" s="32">
        <v>515</v>
      </c>
      <c r="B549" s="32">
        <f t="shared" si="16"/>
        <v>57</v>
      </c>
      <c r="C549" s="32">
        <f t="shared" si="17"/>
        <v>2</v>
      </c>
      <c r="D549" s="38" cm="1">
        <f t="array" ref="D549">INDEX('Rad-2'!$B$2:$J$100,1+B549,C549)</f>
        <v>0</v>
      </c>
    </row>
    <row r="550" spans="1:4" x14ac:dyDescent="0.75">
      <c r="A550" s="32">
        <v>516</v>
      </c>
      <c r="B550" s="32">
        <f t="shared" si="16"/>
        <v>57</v>
      </c>
      <c r="C550" s="32">
        <f t="shared" si="17"/>
        <v>3</v>
      </c>
      <c r="D550" s="38" cm="1">
        <f t="array" ref="D550">INDEX('Rad-2'!$B$2:$J$100,1+B550,C550)</f>
        <v>0</v>
      </c>
    </row>
    <row r="551" spans="1:4" x14ac:dyDescent="0.75">
      <c r="A551" s="32">
        <v>517</v>
      </c>
      <c r="B551" s="32">
        <f t="shared" si="16"/>
        <v>57</v>
      </c>
      <c r="C551" s="32">
        <f t="shared" si="17"/>
        <v>4</v>
      </c>
      <c r="D551" s="38" cm="1">
        <f t="array" ref="D551">INDEX('Rad-2'!$B$2:$J$100,1+B551,C551)</f>
        <v>0</v>
      </c>
    </row>
    <row r="552" spans="1:4" x14ac:dyDescent="0.75">
      <c r="A552" s="32">
        <v>518</v>
      </c>
      <c r="B552" s="32">
        <f t="shared" si="16"/>
        <v>57</v>
      </c>
      <c r="C552" s="32">
        <f t="shared" si="17"/>
        <v>5</v>
      </c>
      <c r="D552" s="38" cm="1">
        <f t="array" ref="D552">INDEX('Rad-2'!$B$2:$J$100,1+B552,C552)</f>
        <v>0</v>
      </c>
    </row>
    <row r="553" spans="1:4" x14ac:dyDescent="0.75">
      <c r="A553" s="32">
        <v>519</v>
      </c>
      <c r="B553" s="32">
        <f t="shared" si="16"/>
        <v>57</v>
      </c>
      <c r="C553" s="32">
        <f t="shared" si="17"/>
        <v>6</v>
      </c>
      <c r="D553" s="38" cm="1">
        <f t="array" ref="D553">INDEX('Rad-2'!$B$2:$J$100,1+B553,C553)</f>
        <v>0</v>
      </c>
    </row>
    <row r="554" spans="1:4" x14ac:dyDescent="0.75">
      <c r="A554" s="32">
        <v>520</v>
      </c>
      <c r="B554" s="32">
        <f t="shared" si="16"/>
        <v>57</v>
      </c>
      <c r="C554" s="32">
        <f t="shared" si="17"/>
        <v>7</v>
      </c>
      <c r="D554" s="38" cm="1">
        <f t="array" ref="D554">INDEX('Rad-2'!$B$2:$J$100,1+B554,C554)</f>
        <v>0</v>
      </c>
    </row>
    <row r="555" spans="1:4" x14ac:dyDescent="0.75">
      <c r="A555" s="32">
        <v>521</v>
      </c>
      <c r="B555" s="32">
        <f t="shared" si="16"/>
        <v>57</v>
      </c>
      <c r="C555" s="32">
        <f t="shared" si="17"/>
        <v>8</v>
      </c>
      <c r="D555" s="38" cm="1">
        <f t="array" ref="D555">INDEX('Rad-2'!$B$2:$J$100,1+B555,C555)</f>
        <v>0</v>
      </c>
    </row>
    <row r="556" spans="1:4" x14ac:dyDescent="0.75">
      <c r="A556" s="32">
        <v>522</v>
      </c>
      <c r="B556" s="32">
        <f t="shared" si="16"/>
        <v>57</v>
      </c>
      <c r="C556" s="32">
        <f t="shared" si="17"/>
        <v>9</v>
      </c>
      <c r="D556" s="38" cm="1">
        <f t="array" ref="D556">INDEX('Rad-2'!$B$2:$J$100,1+B556,C556)</f>
        <v>0</v>
      </c>
    </row>
    <row r="557" spans="1:4" x14ac:dyDescent="0.75">
      <c r="A557" s="32">
        <v>523</v>
      </c>
      <c r="B557" s="32">
        <f t="shared" si="16"/>
        <v>58</v>
      </c>
      <c r="C557" s="32">
        <f t="shared" si="17"/>
        <v>1</v>
      </c>
      <c r="D557" s="38" cm="1">
        <f t="array" ref="D557">INDEX('Rad-2'!$B$2:$J$100,1+B557,C557)</f>
        <v>0</v>
      </c>
    </row>
    <row r="558" spans="1:4" x14ac:dyDescent="0.75">
      <c r="A558" s="32">
        <v>524</v>
      </c>
      <c r="B558" s="32">
        <f t="shared" si="16"/>
        <v>58</v>
      </c>
      <c r="C558" s="32">
        <f t="shared" si="17"/>
        <v>2</v>
      </c>
      <c r="D558" s="38" cm="1">
        <f t="array" ref="D558">INDEX('Rad-2'!$B$2:$J$100,1+B558,C558)</f>
        <v>0</v>
      </c>
    </row>
    <row r="559" spans="1:4" x14ac:dyDescent="0.75">
      <c r="A559" s="32">
        <v>525</v>
      </c>
      <c r="B559" s="32">
        <f t="shared" si="16"/>
        <v>58</v>
      </c>
      <c r="C559" s="32">
        <f t="shared" si="17"/>
        <v>3</v>
      </c>
      <c r="D559" s="38" cm="1">
        <f t="array" ref="D559">INDEX('Rad-2'!$B$2:$J$100,1+B559,C559)</f>
        <v>0</v>
      </c>
    </row>
    <row r="560" spans="1:4" x14ac:dyDescent="0.75">
      <c r="A560" s="32">
        <v>526</v>
      </c>
      <c r="B560" s="32">
        <f t="shared" si="16"/>
        <v>58</v>
      </c>
      <c r="C560" s="32">
        <f t="shared" si="17"/>
        <v>4</v>
      </c>
      <c r="D560" s="38" cm="1">
        <f t="array" ref="D560">INDEX('Rad-2'!$B$2:$J$100,1+B560,C560)</f>
        <v>0</v>
      </c>
    </row>
    <row r="561" spans="1:4" x14ac:dyDescent="0.75">
      <c r="A561" s="32">
        <v>527</v>
      </c>
      <c r="B561" s="32">
        <f t="shared" si="16"/>
        <v>58</v>
      </c>
      <c r="C561" s="32">
        <f t="shared" si="17"/>
        <v>5</v>
      </c>
      <c r="D561" s="38" cm="1">
        <f t="array" ref="D561">INDEX('Rad-2'!$B$2:$J$100,1+B561,C561)</f>
        <v>0</v>
      </c>
    </row>
    <row r="562" spans="1:4" x14ac:dyDescent="0.75">
      <c r="A562" s="32">
        <v>528</v>
      </c>
      <c r="B562" s="32">
        <f t="shared" si="16"/>
        <v>58</v>
      </c>
      <c r="C562" s="32">
        <f t="shared" si="17"/>
        <v>6</v>
      </c>
      <c r="D562" s="38" cm="1">
        <f t="array" ref="D562">INDEX('Rad-2'!$B$2:$J$100,1+B562,C562)</f>
        <v>0</v>
      </c>
    </row>
    <row r="563" spans="1:4" x14ac:dyDescent="0.75">
      <c r="A563" s="32">
        <v>529</v>
      </c>
      <c r="B563" s="32">
        <f t="shared" si="16"/>
        <v>58</v>
      </c>
      <c r="C563" s="32">
        <f t="shared" si="17"/>
        <v>7</v>
      </c>
      <c r="D563" s="38" cm="1">
        <f t="array" ref="D563">INDEX('Rad-2'!$B$2:$J$100,1+B563,C563)</f>
        <v>0</v>
      </c>
    </row>
    <row r="564" spans="1:4" x14ac:dyDescent="0.75">
      <c r="A564" s="32">
        <v>530</v>
      </c>
      <c r="B564" s="32">
        <f t="shared" si="16"/>
        <v>58</v>
      </c>
      <c r="C564" s="32">
        <f t="shared" si="17"/>
        <v>8</v>
      </c>
      <c r="D564" s="38" cm="1">
        <f t="array" ref="D564">INDEX('Rad-2'!$B$2:$J$100,1+B564,C564)</f>
        <v>0</v>
      </c>
    </row>
    <row r="565" spans="1:4" x14ac:dyDescent="0.75">
      <c r="A565" s="32">
        <v>531</v>
      </c>
      <c r="B565" s="32">
        <f t="shared" si="16"/>
        <v>58</v>
      </c>
      <c r="C565" s="32">
        <f t="shared" si="17"/>
        <v>9</v>
      </c>
      <c r="D565" s="38" cm="1">
        <f t="array" ref="D565">INDEX('Rad-2'!$B$2:$J$100,1+B565,C565)</f>
        <v>0</v>
      </c>
    </row>
    <row r="566" spans="1:4" x14ac:dyDescent="0.75">
      <c r="A566" s="32">
        <v>532</v>
      </c>
      <c r="B566" s="32">
        <f t="shared" si="16"/>
        <v>59</v>
      </c>
      <c r="C566" s="32">
        <f t="shared" si="17"/>
        <v>1</v>
      </c>
      <c r="D566" s="38" cm="1">
        <f t="array" ref="D566">INDEX('Rad-2'!$B$2:$J$100,1+B566,C566)</f>
        <v>0</v>
      </c>
    </row>
    <row r="567" spans="1:4" x14ac:dyDescent="0.75">
      <c r="A567" s="32">
        <v>533</v>
      </c>
      <c r="B567" s="32">
        <f t="shared" si="16"/>
        <v>59</v>
      </c>
      <c r="C567" s="32">
        <f t="shared" si="17"/>
        <v>2</v>
      </c>
      <c r="D567" s="38" cm="1">
        <f t="array" ref="D567">INDEX('Rad-2'!$B$2:$J$100,1+B567,C567)</f>
        <v>0</v>
      </c>
    </row>
    <row r="568" spans="1:4" x14ac:dyDescent="0.75">
      <c r="A568" s="32">
        <v>534</v>
      </c>
      <c r="B568" s="32">
        <f t="shared" si="16"/>
        <v>59</v>
      </c>
      <c r="C568" s="32">
        <f t="shared" si="17"/>
        <v>3</v>
      </c>
      <c r="D568" s="38" cm="1">
        <f t="array" ref="D568">INDEX('Rad-2'!$B$2:$J$100,1+B568,C568)</f>
        <v>0</v>
      </c>
    </row>
    <row r="569" spans="1:4" x14ac:dyDescent="0.75">
      <c r="A569" s="32">
        <v>535</v>
      </c>
      <c r="B569" s="32">
        <f t="shared" si="16"/>
        <v>59</v>
      </c>
      <c r="C569" s="32">
        <f t="shared" si="17"/>
        <v>4</v>
      </c>
      <c r="D569" s="38" cm="1">
        <f t="array" ref="D569">INDEX('Rad-2'!$B$2:$J$100,1+B569,C569)</f>
        <v>0</v>
      </c>
    </row>
    <row r="570" spans="1:4" x14ac:dyDescent="0.75">
      <c r="A570" s="32">
        <v>536</v>
      </c>
      <c r="B570" s="32">
        <f t="shared" si="16"/>
        <v>59</v>
      </c>
      <c r="C570" s="32">
        <f t="shared" si="17"/>
        <v>5</v>
      </c>
      <c r="D570" s="38" cm="1">
        <f t="array" ref="D570">INDEX('Rad-2'!$B$2:$J$100,1+B570,C570)</f>
        <v>0</v>
      </c>
    </row>
    <row r="571" spans="1:4" x14ac:dyDescent="0.75">
      <c r="A571" s="32">
        <v>537</v>
      </c>
      <c r="B571" s="32">
        <f t="shared" si="16"/>
        <v>59</v>
      </c>
      <c r="C571" s="32">
        <f t="shared" si="17"/>
        <v>6</v>
      </c>
      <c r="D571" s="38" cm="1">
        <f t="array" ref="D571">INDEX('Rad-2'!$B$2:$J$100,1+B571,C571)</f>
        <v>0</v>
      </c>
    </row>
    <row r="572" spans="1:4" x14ac:dyDescent="0.75">
      <c r="A572" s="32">
        <v>538</v>
      </c>
      <c r="B572" s="32">
        <f t="shared" si="16"/>
        <v>59</v>
      </c>
      <c r="C572" s="32">
        <f t="shared" si="17"/>
        <v>7</v>
      </c>
      <c r="D572" s="38" cm="1">
        <f t="array" ref="D572">INDEX('Rad-2'!$B$2:$J$100,1+B572,C572)</f>
        <v>0</v>
      </c>
    </row>
    <row r="573" spans="1:4" x14ac:dyDescent="0.75">
      <c r="A573" s="32">
        <v>539</v>
      </c>
      <c r="B573" s="32">
        <f t="shared" si="16"/>
        <v>59</v>
      </c>
      <c r="C573" s="32">
        <f t="shared" si="17"/>
        <v>8</v>
      </c>
      <c r="D573" s="38" cm="1">
        <f t="array" ref="D573">INDEX('Rad-2'!$B$2:$J$100,1+B573,C573)</f>
        <v>0</v>
      </c>
    </row>
    <row r="574" spans="1:4" x14ac:dyDescent="0.75">
      <c r="A574" s="32">
        <v>540</v>
      </c>
      <c r="B574" s="32">
        <f t="shared" si="16"/>
        <v>59</v>
      </c>
      <c r="C574" s="32">
        <f t="shared" si="17"/>
        <v>9</v>
      </c>
      <c r="D574" s="38" cm="1">
        <f t="array" ref="D574">INDEX('Rad-2'!$B$2:$J$100,1+B574,C574)</f>
        <v>0</v>
      </c>
    </row>
    <row r="575" spans="1:4" x14ac:dyDescent="0.75">
      <c r="A575" s="32">
        <v>541</v>
      </c>
      <c r="B575" s="32">
        <f t="shared" si="16"/>
        <v>60</v>
      </c>
      <c r="C575" s="32">
        <f t="shared" si="17"/>
        <v>1</v>
      </c>
      <c r="D575" s="38" cm="1">
        <f t="array" ref="D575">INDEX('Rad-2'!$B$2:$J$100,1+B575,C575)</f>
        <v>0</v>
      </c>
    </row>
    <row r="576" spans="1:4" x14ac:dyDescent="0.75">
      <c r="A576" s="32">
        <v>542</v>
      </c>
      <c r="B576" s="32">
        <f t="shared" si="16"/>
        <v>60</v>
      </c>
      <c r="C576" s="32">
        <f t="shared" si="17"/>
        <v>2</v>
      </c>
      <c r="D576" s="38" cm="1">
        <f t="array" ref="D576">INDEX('Rad-2'!$B$2:$J$100,1+B576,C576)</f>
        <v>0</v>
      </c>
    </row>
    <row r="577" spans="1:4" x14ac:dyDescent="0.75">
      <c r="A577" s="32">
        <v>543</v>
      </c>
      <c r="B577" s="32">
        <f t="shared" si="16"/>
        <v>60</v>
      </c>
      <c r="C577" s="32">
        <f t="shared" si="17"/>
        <v>3</v>
      </c>
      <c r="D577" s="38" cm="1">
        <f t="array" ref="D577">INDEX('Rad-2'!$B$2:$J$100,1+B577,C577)</f>
        <v>0</v>
      </c>
    </row>
    <row r="578" spans="1:4" x14ac:dyDescent="0.75">
      <c r="A578" s="32">
        <v>544</v>
      </c>
      <c r="B578" s="32">
        <f t="shared" si="16"/>
        <v>60</v>
      </c>
      <c r="C578" s="32">
        <f t="shared" si="17"/>
        <v>4</v>
      </c>
      <c r="D578" s="38" cm="1">
        <f t="array" ref="D578">INDEX('Rad-2'!$B$2:$J$100,1+B578,C578)</f>
        <v>0</v>
      </c>
    </row>
    <row r="579" spans="1:4" x14ac:dyDescent="0.75">
      <c r="A579" s="32">
        <v>545</v>
      </c>
      <c r="B579" s="32">
        <f t="shared" si="16"/>
        <v>60</v>
      </c>
      <c r="C579" s="32">
        <f t="shared" si="17"/>
        <v>5</v>
      </c>
      <c r="D579" s="38" cm="1">
        <f t="array" ref="D579">INDEX('Rad-2'!$B$2:$J$100,1+B579,C579)</f>
        <v>0</v>
      </c>
    </row>
    <row r="580" spans="1:4" x14ac:dyDescent="0.75">
      <c r="A580" s="32">
        <v>546</v>
      </c>
      <c r="B580" s="32">
        <f t="shared" si="16"/>
        <v>60</v>
      </c>
      <c r="C580" s="32">
        <f t="shared" si="17"/>
        <v>6</v>
      </c>
      <c r="D580" s="38" cm="1">
        <f t="array" ref="D580">INDEX('Rad-2'!$B$2:$J$100,1+B580,C580)</f>
        <v>0</v>
      </c>
    </row>
    <row r="581" spans="1:4" x14ac:dyDescent="0.75">
      <c r="A581" s="32">
        <v>547</v>
      </c>
      <c r="B581" s="32">
        <f t="shared" si="16"/>
        <v>60</v>
      </c>
      <c r="C581" s="32">
        <f t="shared" si="17"/>
        <v>7</v>
      </c>
      <c r="D581" s="38" cm="1">
        <f t="array" ref="D581">INDEX('Rad-2'!$B$2:$J$100,1+B581,C581)</f>
        <v>0</v>
      </c>
    </row>
    <row r="582" spans="1:4" x14ac:dyDescent="0.75">
      <c r="A582" s="32">
        <v>548</v>
      </c>
      <c r="B582" s="32">
        <f t="shared" si="16"/>
        <v>60</v>
      </c>
      <c r="C582" s="32">
        <f t="shared" si="17"/>
        <v>8</v>
      </c>
      <c r="D582" s="38" cm="1">
        <f t="array" ref="D582">INDEX('Rad-2'!$B$2:$J$100,1+B582,C582)</f>
        <v>0</v>
      </c>
    </row>
    <row r="583" spans="1:4" x14ac:dyDescent="0.75">
      <c r="A583" s="32">
        <v>549</v>
      </c>
      <c r="B583" s="32">
        <f t="shared" si="16"/>
        <v>60</v>
      </c>
      <c r="C583" s="32">
        <f t="shared" si="17"/>
        <v>9</v>
      </c>
      <c r="D583" s="38" cm="1">
        <f t="array" ref="D583">INDEX('Rad-2'!$B$2:$J$100,1+B583,C583)</f>
        <v>0</v>
      </c>
    </row>
  </sheetData>
  <hyperlinks>
    <hyperlink ref="G10" r:id="rId1" xr:uid="{697AE629-A226-4A6E-8337-E3469F2C97EB}"/>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F500E-2B83-463D-AB02-681B644E53C1}">
  <sheetPr codeName="Foglio11"/>
  <dimension ref="A1:M99"/>
  <sheetViews>
    <sheetView workbookViewId="0">
      <selection activeCell="B25" sqref="B25"/>
    </sheetView>
  </sheetViews>
  <sheetFormatPr defaultRowHeight="14.75" x14ac:dyDescent="0.75"/>
  <cols>
    <col min="1" max="2" width="8.7265625" style="31"/>
    <col min="3" max="3" width="31.6796875" style="31" bestFit="1" customWidth="1"/>
    <col min="4" max="4" width="53.81640625" style="31" customWidth="1"/>
    <col min="5" max="5" width="24.81640625" style="31" customWidth="1"/>
    <col min="6" max="6" width="16.1328125" style="31" customWidth="1"/>
    <col min="7" max="7" width="10.76953125" style="31" customWidth="1"/>
    <col min="8" max="8" width="45.26953125" style="31" customWidth="1"/>
    <col min="9" max="9" width="40.1328125" style="1" customWidth="1"/>
    <col min="10" max="10" width="26.6328125" style="1" customWidth="1"/>
    <col min="11" max="11" width="48.54296875" style="1" customWidth="1"/>
    <col min="12" max="12" width="53.36328125" style="31" customWidth="1"/>
    <col min="13" max="13" width="51.5" style="31" customWidth="1"/>
    <col min="14" max="16384" width="8.7265625" style="31"/>
  </cols>
  <sheetData>
    <row r="1" spans="1:13" ht="15.5" thickBot="1" x14ac:dyDescent="0.9">
      <c r="C1" s="145" t="str">
        <f>'Rad-1'!B1</f>
        <v>canonical</v>
      </c>
      <c r="D1" s="20" t="s">
        <v>31</v>
      </c>
      <c r="E1" s="21"/>
      <c r="F1" s="59" t="s">
        <v>89</v>
      </c>
      <c r="M1" s="31" t="s">
        <v>87</v>
      </c>
    </row>
    <row r="2" spans="1:13" ht="15.5" thickBot="1" x14ac:dyDescent="0.9">
      <c r="C2" s="146" t="str">
        <f>'Rad-1'!B2</f>
        <v>http://hl7.eu/fhir/ig/pcsp</v>
      </c>
      <c r="D2" s="18" t="s">
        <v>95</v>
      </c>
      <c r="E2" s="44"/>
      <c r="F2" s="31" t="s">
        <v>71</v>
      </c>
      <c r="L2" s="62"/>
      <c r="M2" s="31" t="str">
        <f>CONCATENATE("Mapping: ",E2)</f>
        <v xml:space="preserve">Mapping: </v>
      </c>
    </row>
    <row r="3" spans="1:13" ht="15.5" thickBot="1" x14ac:dyDescent="0.9">
      <c r="C3" s="145" t="str">
        <f>'Rad-1'!B3</f>
        <v>Publisher</v>
      </c>
      <c r="D3" s="52"/>
      <c r="E3" s="45"/>
      <c r="L3" s="62"/>
      <c r="M3" s="31" t="str">
        <f>CONCATENATE("Id: ",E2)</f>
        <v xml:space="preserve">Id: </v>
      </c>
    </row>
    <row r="4" spans="1:13" ht="15.5" thickBot="1" x14ac:dyDescent="0.9">
      <c r="C4" s="146" t="str">
        <f>'Rad-1'!B4</f>
        <v>PanCareSurPass project</v>
      </c>
      <c r="D4" s="61"/>
      <c r="E4" s="46"/>
      <c r="L4" s="62"/>
      <c r="M4" s="31" t="str">
        <f>CONCATENATE("Title: """,D2,"""")</f>
        <v>Title: "FHIR"</v>
      </c>
    </row>
    <row r="5" spans="1:13" x14ac:dyDescent="0.75">
      <c r="L5" s="62"/>
      <c r="M5" s="31" t="str">
        <f>CONCATENATE("Source: ",C2,"/",C7)</f>
        <v>Source: http://hl7.eu/fhir/ig/pcsp/Radiotherapy</v>
      </c>
    </row>
    <row r="6" spans="1:13" x14ac:dyDescent="0.75">
      <c r="D6" s="31" t="s">
        <v>70</v>
      </c>
      <c r="L6" s="62"/>
      <c r="M6" s="31" t="str">
        <f>CONCATENATE("Target: """,D4,"""")</f>
        <v>Target: ""</v>
      </c>
    </row>
    <row r="7" spans="1:13" x14ac:dyDescent="0.75">
      <c r="A7" s="32"/>
      <c r="B7" s="32">
        <f>'Rad-1'!A6</f>
        <v>0</v>
      </c>
      <c r="C7" s="28" t="str">
        <f>'Rad-1'!B6</f>
        <v>Radiotherapy</v>
      </c>
      <c r="D7" s="28"/>
      <c r="L7" s="31" t="s">
        <v>88</v>
      </c>
      <c r="M7" s="31" t="s">
        <v>87</v>
      </c>
    </row>
    <row r="8" spans="1:13" ht="44.25" x14ac:dyDescent="0.75">
      <c r="A8" s="32">
        <v>0</v>
      </c>
      <c r="B8" s="32">
        <f>'Rad-1'!A7</f>
        <v>1</v>
      </c>
      <c r="C8" s="32" t="str">
        <f>'Rad-1'!B7</f>
        <v>type</v>
      </c>
      <c r="D8" s="32"/>
      <c r="E8" s="31" t="s">
        <v>90</v>
      </c>
      <c r="G8" s="31"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62"/>
      <c r="M8" s="31" t="str">
        <f t="shared" ref="M8:M26" si="0">CONCATENATE("* ",C8," -&gt; """,D8,"""")</f>
        <v>* type -&gt; ""</v>
      </c>
    </row>
    <row r="9" spans="1:13" x14ac:dyDescent="0.75">
      <c r="A9" s="32">
        <v>0</v>
      </c>
      <c r="B9" s="32">
        <f>'Rad-1'!A10</f>
        <v>4</v>
      </c>
      <c r="C9" s="32" t="str">
        <f>'Rad-1'!B10</f>
        <v>target.site</v>
      </c>
      <c r="D9" s="28"/>
      <c r="G9" s="31"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62"/>
      <c r="M9" s="31" t="str">
        <f t="shared" si="0"/>
        <v>* target.site -&gt; ""</v>
      </c>
    </row>
    <row r="10" spans="1:13" x14ac:dyDescent="0.75">
      <c r="A10" s="32">
        <v>0</v>
      </c>
      <c r="B10" s="32">
        <f>'Rad-1'!A13</f>
        <v>7</v>
      </c>
      <c r="C10" s="32" t="str">
        <f>'Rad-1'!B13</f>
        <v>target.comulativeDose.dose</v>
      </c>
      <c r="D10" s="32"/>
      <c r="G10" s="31" t="b">
        <f t="shared" si="1"/>
        <v>0</v>
      </c>
      <c r="H10" s="1" t="str">
        <f t="shared" si="2"/>
        <v/>
      </c>
      <c r="I10" s="1" t="str">
        <f t="shared" si="3"/>
        <v/>
      </c>
      <c r="J10" s="1" t="str">
        <f t="shared" si="4"/>
        <v/>
      </c>
      <c r="L10" s="62"/>
      <c r="M10" s="31" t="str">
        <f t="shared" si="0"/>
        <v>* target.comulativeDose.dose -&gt; ""</v>
      </c>
    </row>
    <row r="11" spans="1:13" x14ac:dyDescent="0.75">
      <c r="A11" s="32">
        <v>0</v>
      </c>
      <c r="B11" s="32">
        <f>'Rad-1'!A15</f>
        <v>9</v>
      </c>
      <c r="C11" s="32" t="str">
        <f>'Rad-1'!B15</f>
        <v>target.boost</v>
      </c>
      <c r="D11" s="32"/>
      <c r="G11" s="31" t="b">
        <f t="shared" si="1"/>
        <v>0</v>
      </c>
      <c r="H11" s="1" t="str">
        <f t="shared" si="2"/>
        <v/>
      </c>
      <c r="I11" s="1" t="str">
        <f t="shared" si="3"/>
        <v/>
      </c>
      <c r="J11" s="1" t="str">
        <f t="shared" si="4"/>
        <v/>
      </c>
      <c r="L11" s="62"/>
      <c r="M11" s="31" t="str">
        <f t="shared" si="0"/>
        <v>* target.boost -&gt; ""</v>
      </c>
    </row>
    <row r="12" spans="1:13" x14ac:dyDescent="0.75">
      <c r="A12" s="32">
        <v>0</v>
      </c>
      <c r="B12" s="32">
        <f>'Rad-1'!A24</f>
        <v>18</v>
      </c>
      <c r="C12" s="32">
        <f>'Rad-1'!B24</f>
        <v>0</v>
      </c>
      <c r="D12" s="32"/>
      <c r="G12" s="31" t="b">
        <f t="shared" si="1"/>
        <v>0</v>
      </c>
      <c r="H12" s="1" t="str">
        <f t="shared" si="2"/>
        <v/>
      </c>
      <c r="I12" s="1" t="str">
        <f t="shared" si="3"/>
        <v/>
      </c>
      <c r="J12" s="1" t="str">
        <f t="shared" si="4"/>
        <v/>
      </c>
      <c r="L12" s="62"/>
      <c r="M12" s="31" t="str">
        <f t="shared" si="0"/>
        <v>* 0 -&gt; ""</v>
      </c>
    </row>
    <row r="13" spans="1:13" x14ac:dyDescent="0.75">
      <c r="A13" s="32">
        <v>0</v>
      </c>
      <c r="B13" s="32">
        <f>'Rad-1'!A27</f>
        <v>21</v>
      </c>
      <c r="C13" s="32">
        <f>'Rad-1'!B27</f>
        <v>0</v>
      </c>
      <c r="D13" s="32"/>
      <c r="G13" s="31" t="b">
        <f t="shared" si="1"/>
        <v>0</v>
      </c>
      <c r="H13" s="1" t="str">
        <f t="shared" si="2"/>
        <v/>
      </c>
      <c r="I13" s="1" t="str">
        <f t="shared" si="3"/>
        <v/>
      </c>
      <c r="J13" s="1" t="str">
        <f t="shared" si="4"/>
        <v/>
      </c>
      <c r="L13" s="62"/>
      <c r="M13" s="31" t="str">
        <f t="shared" si="0"/>
        <v>* 0 -&gt; ""</v>
      </c>
    </row>
    <row r="14" spans="1:13" x14ac:dyDescent="0.75">
      <c r="A14" s="32">
        <v>0</v>
      </c>
      <c r="B14" s="32">
        <f>'Rad-1'!A44</f>
        <v>38</v>
      </c>
      <c r="C14" s="32">
        <f>'Rad-1'!B44</f>
        <v>0</v>
      </c>
      <c r="D14" s="32"/>
      <c r="G14" s="31" t="b">
        <f t="shared" si="1"/>
        <v>0</v>
      </c>
      <c r="H14" s="1" t="str">
        <f t="shared" si="2"/>
        <v/>
      </c>
      <c r="I14" s="1" t="str">
        <f t="shared" si="3"/>
        <v/>
      </c>
      <c r="J14" s="1" t="str">
        <f t="shared" si="4"/>
        <v/>
      </c>
      <c r="L14" s="62"/>
      <c r="M14" s="31" t="str">
        <f t="shared" si="0"/>
        <v>* 0 -&gt; ""</v>
      </c>
    </row>
    <row r="15" spans="1:13" x14ac:dyDescent="0.75">
      <c r="A15" s="32">
        <v>0</v>
      </c>
      <c r="B15" s="32" t="e">
        <f>'Rad-1'!#REF!</f>
        <v>#REF!</v>
      </c>
      <c r="C15" s="32" t="e">
        <f>'Rad-1'!#REF!</f>
        <v>#REF!</v>
      </c>
      <c r="D15" s="32"/>
      <c r="G15" s="31" t="b">
        <f t="shared" si="1"/>
        <v>0</v>
      </c>
      <c r="H15" s="1" t="str">
        <f t="shared" si="2"/>
        <v/>
      </c>
      <c r="I15" s="1" t="str">
        <f t="shared" si="3"/>
        <v/>
      </c>
      <c r="J15" s="1" t="str">
        <f t="shared" si="4"/>
        <v/>
      </c>
      <c r="M15" s="31" t="e">
        <f t="shared" si="0"/>
        <v>#REF!</v>
      </c>
    </row>
    <row r="16" spans="1:13" x14ac:dyDescent="0.75">
      <c r="A16" s="32">
        <v>0</v>
      </c>
      <c r="B16" s="32">
        <f>'Rad-1'!A57</f>
        <v>51</v>
      </c>
      <c r="C16" s="32">
        <f>'Rad-1'!B57</f>
        <v>0</v>
      </c>
      <c r="D16" s="32"/>
      <c r="G16" s="31" t="b">
        <f t="shared" si="1"/>
        <v>0</v>
      </c>
      <c r="H16" s="1" t="str">
        <f t="shared" si="2"/>
        <v/>
      </c>
      <c r="I16" s="1" t="str">
        <f t="shared" si="3"/>
        <v/>
      </c>
      <c r="J16" s="1" t="str">
        <f t="shared" si="4"/>
        <v/>
      </c>
      <c r="M16" s="31" t="str">
        <f t="shared" si="0"/>
        <v>* 0 -&gt; ""</v>
      </c>
    </row>
    <row r="17" spans="1:13" x14ac:dyDescent="0.75">
      <c r="A17" s="32">
        <v>0</v>
      </c>
      <c r="B17" s="32" t="e">
        <f>'Rad-1'!#REF!</f>
        <v>#REF!</v>
      </c>
      <c r="C17" s="32" t="e">
        <f>'Rad-1'!#REF!</f>
        <v>#REF!</v>
      </c>
      <c r="D17" s="32"/>
      <c r="G17" s="31" t="b">
        <f t="shared" si="1"/>
        <v>0</v>
      </c>
      <c r="H17" s="1" t="str">
        <f t="shared" si="2"/>
        <v/>
      </c>
      <c r="I17" s="1" t="str">
        <f t="shared" si="3"/>
        <v/>
      </c>
      <c r="J17" s="1" t="str">
        <f t="shared" si="4"/>
        <v/>
      </c>
      <c r="M17" s="31" t="e">
        <f t="shared" si="0"/>
        <v>#REF!</v>
      </c>
    </row>
    <row r="18" spans="1:13" x14ac:dyDescent="0.75">
      <c r="A18" s="32">
        <v>0</v>
      </c>
      <c r="B18" s="32">
        <f>'Rad-1'!A64</f>
        <v>58</v>
      </c>
      <c r="C18" s="32">
        <f>'Rad-1'!B64</f>
        <v>0</v>
      </c>
      <c r="D18" s="28"/>
      <c r="G18" s="31" t="b">
        <f t="shared" si="1"/>
        <v>0</v>
      </c>
      <c r="H18" s="1" t="str">
        <f t="shared" si="2"/>
        <v/>
      </c>
      <c r="I18" s="1" t="str">
        <f t="shared" si="3"/>
        <v/>
      </c>
      <c r="J18" s="1" t="str">
        <f t="shared" si="4"/>
        <v/>
      </c>
      <c r="M18" s="31" t="str">
        <f t="shared" si="0"/>
        <v>* 0 -&gt; ""</v>
      </c>
    </row>
    <row r="19" spans="1:13" x14ac:dyDescent="0.75">
      <c r="A19" s="32">
        <v>0</v>
      </c>
      <c r="B19" s="32">
        <f>'Rad-1'!A65</f>
        <v>59</v>
      </c>
      <c r="C19" s="32">
        <f>'Rad-1'!B65</f>
        <v>0</v>
      </c>
      <c r="D19" s="32"/>
      <c r="G19" s="31" t="b">
        <f t="shared" si="1"/>
        <v>0</v>
      </c>
      <c r="H19" s="1" t="str">
        <f t="shared" si="2"/>
        <v/>
      </c>
      <c r="I19" s="1" t="str">
        <f t="shared" si="3"/>
        <v/>
      </c>
      <c r="J19" s="1" t="str">
        <f t="shared" si="4"/>
        <v/>
      </c>
      <c r="M19" s="31" t="str">
        <f t="shared" si="0"/>
        <v>* 0 -&gt; ""</v>
      </c>
    </row>
    <row r="20" spans="1:13" x14ac:dyDescent="0.75">
      <c r="A20" s="32">
        <v>0</v>
      </c>
      <c r="B20" s="32">
        <f>'Rad-1'!A66</f>
        <v>0</v>
      </c>
      <c r="C20" s="32">
        <f>'Rad-1'!B66</f>
        <v>0</v>
      </c>
      <c r="D20" s="28"/>
      <c r="G20" s="31" t="b">
        <f t="shared" si="1"/>
        <v>0</v>
      </c>
      <c r="H20" s="1" t="str">
        <f t="shared" si="2"/>
        <v/>
      </c>
      <c r="I20" s="1" t="str">
        <f t="shared" si="3"/>
        <v/>
      </c>
      <c r="J20" s="1" t="str">
        <f t="shared" si="4"/>
        <v/>
      </c>
      <c r="M20" s="31" t="str">
        <f t="shared" si="0"/>
        <v>* 0 -&gt; ""</v>
      </c>
    </row>
    <row r="21" spans="1:13" x14ac:dyDescent="0.75">
      <c r="A21" s="32">
        <v>0</v>
      </c>
      <c r="B21" s="32">
        <f>'Rad-1'!A67</f>
        <v>0</v>
      </c>
      <c r="C21" s="32">
        <f>'Rad-1'!B67</f>
        <v>0</v>
      </c>
      <c r="D21" s="32"/>
      <c r="G21" s="31" t="b">
        <f t="shared" si="1"/>
        <v>0</v>
      </c>
      <c r="H21" s="1" t="str">
        <f t="shared" si="2"/>
        <v/>
      </c>
      <c r="I21" s="1" t="str">
        <f t="shared" si="3"/>
        <v/>
      </c>
      <c r="J21" s="1" t="str">
        <f t="shared" si="4"/>
        <v/>
      </c>
      <c r="M21" s="31" t="str">
        <f t="shared" si="0"/>
        <v>* 0 -&gt; ""</v>
      </c>
    </row>
    <row r="22" spans="1:13" x14ac:dyDescent="0.75">
      <c r="A22" s="32">
        <v>0</v>
      </c>
      <c r="B22" s="32">
        <f>'Rad-1'!A68</f>
        <v>0</v>
      </c>
      <c r="C22" s="32">
        <f>'Rad-1'!B68</f>
        <v>0</v>
      </c>
      <c r="D22" s="32"/>
      <c r="G22" s="31" t="b">
        <f t="shared" si="1"/>
        <v>0</v>
      </c>
      <c r="H22" s="1" t="str">
        <f t="shared" si="2"/>
        <v/>
      </c>
      <c r="I22" s="1" t="str">
        <f t="shared" si="3"/>
        <v/>
      </c>
      <c r="J22" s="1" t="str">
        <f t="shared" si="4"/>
        <v/>
      </c>
      <c r="M22" s="31" t="str">
        <f t="shared" si="0"/>
        <v>* 0 -&gt; ""</v>
      </c>
    </row>
    <row r="23" spans="1:13" x14ac:dyDescent="0.75">
      <c r="A23" s="32">
        <v>0</v>
      </c>
      <c r="B23" s="32">
        <f>'Rad-1'!A69</f>
        <v>0</v>
      </c>
      <c r="C23" s="32" t="str">
        <f>'Rad-1'!C11</f>
        <v>Comulative dose</v>
      </c>
      <c r="D23" s="32"/>
      <c r="G23" s="31" t="b">
        <f t="shared" si="1"/>
        <v>0</v>
      </c>
      <c r="H23" s="1" t="str">
        <f t="shared" si="2"/>
        <v/>
      </c>
      <c r="I23" s="1" t="str">
        <f t="shared" si="3"/>
        <v/>
      </c>
      <c r="J23" s="1" t="str">
        <f t="shared" si="4"/>
        <v/>
      </c>
      <c r="M23" s="31" t="str">
        <f t="shared" si="0"/>
        <v>* Comulative dose -&gt; ""</v>
      </c>
    </row>
    <row r="24" spans="1:13" x14ac:dyDescent="0.75">
      <c r="A24" s="32">
        <v>0</v>
      </c>
      <c r="B24" s="32">
        <f>'Rad-1'!A70</f>
        <v>0</v>
      </c>
      <c r="C24" s="32">
        <f>'Rad-1'!B70</f>
        <v>0</v>
      </c>
      <c r="D24" s="32"/>
      <c r="G24" s="31" t="b">
        <f t="shared" si="1"/>
        <v>0</v>
      </c>
      <c r="H24" s="1" t="str">
        <f t="shared" si="2"/>
        <v/>
      </c>
      <c r="I24" s="1" t="str">
        <f t="shared" si="3"/>
        <v/>
      </c>
      <c r="J24" s="1" t="str">
        <f t="shared" si="4"/>
        <v/>
      </c>
      <c r="M24" s="31" t="str">
        <f t="shared" si="0"/>
        <v>* 0 -&gt; ""</v>
      </c>
    </row>
    <row r="25" spans="1:13" x14ac:dyDescent="0.75">
      <c r="A25" s="32">
        <v>0</v>
      </c>
      <c r="B25" s="32">
        <f>'Rad-1'!A71</f>
        <v>0</v>
      </c>
      <c r="C25" s="32">
        <f>'Rad-1'!B71</f>
        <v>0</v>
      </c>
      <c r="D25" s="32"/>
      <c r="G25" s="31" t="b">
        <f t="shared" si="1"/>
        <v>0</v>
      </c>
      <c r="H25" s="1" t="str">
        <f t="shared" si="2"/>
        <v/>
      </c>
      <c r="I25" s="1" t="str">
        <f t="shared" si="3"/>
        <v/>
      </c>
      <c r="J25" s="1" t="str">
        <f t="shared" si="4"/>
        <v/>
      </c>
      <c r="M25" s="31" t="str">
        <f t="shared" si="0"/>
        <v>* 0 -&gt; ""</v>
      </c>
    </row>
    <row r="26" spans="1:13" x14ac:dyDescent="0.75">
      <c r="A26" s="32">
        <v>0</v>
      </c>
      <c r="B26" s="32">
        <f>'Rad-1'!A72</f>
        <v>0</v>
      </c>
      <c r="C26" s="32">
        <f>'Rad-1'!B72</f>
        <v>0</v>
      </c>
      <c r="D26" s="32"/>
      <c r="G26" s="31" t="b">
        <f t="shared" si="1"/>
        <v>0</v>
      </c>
      <c r="H26" s="1" t="str">
        <f t="shared" si="2"/>
        <v/>
      </c>
      <c r="I26" s="1" t="str">
        <f t="shared" si="3"/>
        <v/>
      </c>
      <c r="J26" s="1" t="str">
        <f t="shared" si="4"/>
        <v/>
      </c>
      <c r="M26" s="31" t="str">
        <f t="shared" si="0"/>
        <v>* 0 -&gt; ""</v>
      </c>
    </row>
    <row r="27" spans="1:13" x14ac:dyDescent="0.75">
      <c r="A27" s="68">
        <v>0</v>
      </c>
      <c r="B27" s="68">
        <f>B28</f>
        <v>0</v>
      </c>
      <c r="C27" s="68">
        <f>C28</f>
        <v>0</v>
      </c>
      <c r="D27" s="68"/>
      <c r="G27" s="31" t="b">
        <f t="shared" si="1"/>
        <v>0</v>
      </c>
      <c r="H27" s="1" t="str">
        <f t="shared" si="2"/>
        <v/>
      </c>
      <c r="I27" s="1" t="str">
        <f t="shared" si="3"/>
        <v/>
      </c>
      <c r="J27" s="1" t="str">
        <f t="shared" si="4"/>
        <v/>
      </c>
    </row>
    <row r="28" spans="1:13" x14ac:dyDescent="0.75">
      <c r="A28" s="32">
        <v>1</v>
      </c>
      <c r="B28" s="32">
        <f>'Rad-1'!A73</f>
        <v>0</v>
      </c>
      <c r="C28" s="32">
        <f>'Rad-1'!B73</f>
        <v>0</v>
      </c>
      <c r="D28" s="32"/>
      <c r="G28" s="31" t="b">
        <f t="shared" si="1"/>
        <v>0</v>
      </c>
      <c r="H28" s="1" t="str">
        <f t="shared" si="2"/>
        <v/>
      </c>
      <c r="I28" s="1" t="str">
        <f t="shared" si="3"/>
        <v/>
      </c>
      <c r="J28" s="1" t="str">
        <f t="shared" si="4"/>
        <v/>
      </c>
      <c r="M28" s="31" t="str">
        <f t="shared" ref="M28:M36" si="5">CONCATENATE("* ",C28," -&gt; """,D28,"""")</f>
        <v>* 0 -&gt; ""</v>
      </c>
    </row>
    <row r="29" spans="1:13" x14ac:dyDescent="0.75">
      <c r="A29" s="32">
        <v>0</v>
      </c>
      <c r="B29" s="32">
        <f>'Rad-1'!A74</f>
        <v>0</v>
      </c>
      <c r="C29" s="32">
        <f>'Rad-1'!B74</f>
        <v>0</v>
      </c>
      <c r="D29" s="32"/>
      <c r="G29" s="31" t="b">
        <f t="shared" si="1"/>
        <v>0</v>
      </c>
      <c r="H29" s="1" t="str">
        <f t="shared" si="2"/>
        <v/>
      </c>
      <c r="I29" s="1" t="str">
        <f t="shared" si="3"/>
        <v/>
      </c>
      <c r="J29" s="1" t="str">
        <f t="shared" si="4"/>
        <v/>
      </c>
      <c r="M29" s="31" t="str">
        <f t="shared" si="5"/>
        <v>* 0 -&gt; ""</v>
      </c>
    </row>
    <row r="30" spans="1:13" x14ac:dyDescent="0.75">
      <c r="A30" s="32">
        <v>0</v>
      </c>
      <c r="B30" s="32">
        <f>'Rad-1'!A75</f>
        <v>0</v>
      </c>
      <c r="C30" s="32">
        <f>'Rad-1'!B75</f>
        <v>0</v>
      </c>
      <c r="D30" s="32"/>
      <c r="G30" s="31" t="b">
        <f t="shared" si="1"/>
        <v>0</v>
      </c>
      <c r="H30" s="1" t="str">
        <f t="shared" si="2"/>
        <v/>
      </c>
      <c r="I30" s="1" t="str">
        <f t="shared" si="3"/>
        <v/>
      </c>
      <c r="J30" s="1" t="str">
        <f t="shared" si="4"/>
        <v/>
      </c>
      <c r="M30" s="31" t="str">
        <f t="shared" si="5"/>
        <v>* 0 -&gt; ""</v>
      </c>
    </row>
    <row r="31" spans="1:13" x14ac:dyDescent="0.75">
      <c r="A31" s="32">
        <v>0</v>
      </c>
      <c r="B31" s="32">
        <f>'Rad-1'!A76</f>
        <v>0</v>
      </c>
      <c r="C31" s="32">
        <f>'Rad-1'!B76</f>
        <v>0</v>
      </c>
      <c r="D31" s="32"/>
      <c r="G31" s="31" t="b">
        <f t="shared" si="1"/>
        <v>0</v>
      </c>
      <c r="H31" s="1" t="str">
        <f t="shared" si="2"/>
        <v/>
      </c>
      <c r="I31" s="1" t="str">
        <f t="shared" si="3"/>
        <v/>
      </c>
      <c r="J31" s="1" t="str">
        <f t="shared" si="4"/>
        <v/>
      </c>
      <c r="M31" s="31" t="str">
        <f t="shared" si="5"/>
        <v>* 0 -&gt; ""</v>
      </c>
    </row>
    <row r="32" spans="1:13" x14ac:dyDescent="0.75">
      <c r="A32" s="32">
        <v>0</v>
      </c>
      <c r="B32" s="32">
        <f>'Rad-1'!A77</f>
        <v>24</v>
      </c>
      <c r="C32" s="32">
        <f>'Rad-1'!B77</f>
        <v>0</v>
      </c>
      <c r="D32" s="32"/>
      <c r="G32" s="31" t="b">
        <f t="shared" si="1"/>
        <v>0</v>
      </c>
      <c r="H32" s="1" t="str">
        <f t="shared" si="2"/>
        <v/>
      </c>
      <c r="I32" s="1" t="str">
        <f t="shared" si="3"/>
        <v/>
      </c>
      <c r="J32" s="1" t="str">
        <f t="shared" si="4"/>
        <v/>
      </c>
      <c r="M32" s="31" t="str">
        <f t="shared" si="5"/>
        <v>* 0 -&gt; ""</v>
      </c>
    </row>
    <row r="33" spans="1:13" x14ac:dyDescent="0.75">
      <c r="A33" s="32">
        <v>0</v>
      </c>
      <c r="B33" s="32">
        <f>'Rad-1'!A78</f>
        <v>25</v>
      </c>
      <c r="C33" s="32">
        <f>'Rad-1'!B78</f>
        <v>0</v>
      </c>
      <c r="D33" s="32"/>
      <c r="G33" s="31" t="b">
        <f t="shared" si="1"/>
        <v>0</v>
      </c>
      <c r="H33" s="1" t="str">
        <f t="shared" si="2"/>
        <v/>
      </c>
      <c r="I33" s="1" t="str">
        <f t="shared" si="3"/>
        <v/>
      </c>
      <c r="J33" s="1" t="str">
        <f t="shared" si="4"/>
        <v/>
      </c>
      <c r="M33" s="31" t="str">
        <f t="shared" si="5"/>
        <v>* 0 -&gt; ""</v>
      </c>
    </row>
    <row r="34" spans="1:13" x14ac:dyDescent="0.75">
      <c r="A34" s="32">
        <v>0</v>
      </c>
      <c r="B34" s="32">
        <f>'Rad-1'!A79</f>
        <v>26</v>
      </c>
      <c r="C34" s="32">
        <f>'Rad-1'!B79</f>
        <v>0</v>
      </c>
      <c r="D34" s="32"/>
      <c r="G34" s="31" t="b">
        <f t="shared" si="1"/>
        <v>0</v>
      </c>
      <c r="H34" s="1" t="str">
        <f t="shared" si="2"/>
        <v/>
      </c>
      <c r="I34" s="1" t="str">
        <f t="shared" si="3"/>
        <v/>
      </c>
      <c r="J34" s="1" t="str">
        <f t="shared" si="4"/>
        <v/>
      </c>
      <c r="M34" s="31" t="str">
        <f t="shared" si="5"/>
        <v>* 0 -&gt; ""</v>
      </c>
    </row>
    <row r="35" spans="1:13" x14ac:dyDescent="0.75">
      <c r="A35" s="32">
        <v>0</v>
      </c>
      <c r="B35" s="32">
        <f>'Rad-1'!A80</f>
        <v>27</v>
      </c>
      <c r="C35" s="32">
        <f>'Rad-1'!B80</f>
        <v>0</v>
      </c>
      <c r="D35" s="32"/>
      <c r="G35" s="31" t="b">
        <f t="shared" si="1"/>
        <v>0</v>
      </c>
      <c r="H35" s="1" t="str">
        <f t="shared" si="2"/>
        <v/>
      </c>
      <c r="I35" s="1" t="str">
        <f t="shared" si="3"/>
        <v/>
      </c>
      <c r="J35" s="1" t="str">
        <f t="shared" si="4"/>
        <v/>
      </c>
      <c r="M35" s="31" t="str">
        <f t="shared" si="5"/>
        <v>* 0 -&gt; ""</v>
      </c>
    </row>
    <row r="36" spans="1:13" x14ac:dyDescent="0.75">
      <c r="A36" s="32">
        <v>0</v>
      </c>
      <c r="B36" s="32">
        <f>'Rad-1'!A81</f>
        <v>28</v>
      </c>
      <c r="C36" s="32">
        <f>'Rad-1'!B81</f>
        <v>0</v>
      </c>
      <c r="D36" s="32"/>
      <c r="G36" s="31" t="b">
        <f t="shared" si="1"/>
        <v>0</v>
      </c>
      <c r="H36" s="1" t="str">
        <f t="shared" si="2"/>
        <v/>
      </c>
      <c r="I36" s="1" t="str">
        <f t="shared" si="3"/>
        <v/>
      </c>
      <c r="J36" s="1" t="str">
        <f t="shared" si="4"/>
        <v/>
      </c>
      <c r="M36" s="31" t="str">
        <f t="shared" si="5"/>
        <v>* 0 -&gt; ""</v>
      </c>
    </row>
    <row r="37" spans="1:13" x14ac:dyDescent="0.75">
      <c r="A37" s="32">
        <v>0</v>
      </c>
      <c r="B37" s="32">
        <f>'Rad-1'!A82</f>
        <v>29</v>
      </c>
      <c r="C37" s="32">
        <f>'Rad-1'!B82</f>
        <v>0</v>
      </c>
      <c r="D37" s="32"/>
      <c r="G37" s="31" t="b">
        <f t="shared" si="1"/>
        <v>0</v>
      </c>
      <c r="H37" s="1" t="str">
        <f t="shared" si="2"/>
        <v/>
      </c>
      <c r="I37" s="1" t="str">
        <f t="shared" si="3"/>
        <v/>
      </c>
      <c r="J37" s="1" t="str">
        <f t="shared" si="4"/>
        <v/>
      </c>
    </row>
    <row r="38" spans="1:13" x14ac:dyDescent="0.75">
      <c r="A38" s="32"/>
      <c r="B38" s="32"/>
      <c r="C38" s="32"/>
      <c r="D38" s="32"/>
      <c r="G38" s="31" t="b">
        <f t="shared" si="1"/>
        <v>0</v>
      </c>
      <c r="H38" s="1" t="str">
        <f t="shared" si="2"/>
        <v/>
      </c>
      <c r="I38" s="1" t="str">
        <f t="shared" si="3"/>
        <v/>
      </c>
      <c r="J38" s="1" t="str">
        <f t="shared" si="4"/>
        <v/>
      </c>
    </row>
    <row r="39" spans="1:13" x14ac:dyDescent="0.75">
      <c r="A39" s="32"/>
      <c r="B39" s="32"/>
      <c r="C39" s="32"/>
      <c r="D39" s="32"/>
      <c r="G39" s="31" t="b">
        <f t="shared" si="1"/>
        <v>0</v>
      </c>
      <c r="H39" s="1" t="str">
        <f t="shared" si="2"/>
        <v/>
      </c>
      <c r="I39" s="1" t="str">
        <f t="shared" si="3"/>
        <v/>
      </c>
      <c r="J39" s="1" t="str">
        <f t="shared" si="4"/>
        <v/>
      </c>
    </row>
    <row r="40" spans="1:13" x14ac:dyDescent="0.75">
      <c r="B40" s="31">
        <f>'Rad-1'!A84</f>
        <v>0</v>
      </c>
      <c r="G40" s="31" t="b">
        <f t="shared" si="1"/>
        <v>0</v>
      </c>
      <c r="H40" s="1" t="str">
        <f t="shared" si="2"/>
        <v/>
      </c>
      <c r="I40" s="1" t="str">
        <f t="shared" si="3"/>
        <v/>
      </c>
      <c r="J40" s="1" t="str">
        <f t="shared" si="4"/>
        <v/>
      </c>
    </row>
    <row r="41" spans="1:13" x14ac:dyDescent="0.75">
      <c r="B41" s="31">
        <f>'Rad-1'!A85</f>
        <v>0</v>
      </c>
      <c r="C41" s="31">
        <f>'Rad-1'!B85</f>
        <v>0</v>
      </c>
      <c r="G41" s="31" t="b">
        <f t="shared" si="1"/>
        <v>0</v>
      </c>
      <c r="H41" s="1" t="str">
        <f t="shared" si="2"/>
        <v/>
      </c>
      <c r="I41" s="1" t="str">
        <f t="shared" si="3"/>
        <v/>
      </c>
      <c r="J41" s="1" t="str">
        <f t="shared" si="4"/>
        <v/>
      </c>
    </row>
    <row r="42" spans="1:13" x14ac:dyDescent="0.75">
      <c r="B42" s="31">
        <f>'Rad-1'!A86</f>
        <v>0</v>
      </c>
      <c r="C42" s="31">
        <f>'Rad-1'!B86</f>
        <v>0</v>
      </c>
      <c r="G42" s="31" t="b">
        <f t="shared" si="1"/>
        <v>0</v>
      </c>
      <c r="H42" s="1" t="str">
        <f t="shared" si="2"/>
        <v/>
      </c>
      <c r="I42" s="1" t="str">
        <f t="shared" si="3"/>
        <v/>
      </c>
      <c r="J42" s="1" t="str">
        <f t="shared" si="4"/>
        <v/>
      </c>
    </row>
    <row r="43" spans="1:13" x14ac:dyDescent="0.75">
      <c r="B43" s="31">
        <f>'Rad-1'!A87</f>
        <v>0</v>
      </c>
      <c r="C43" s="31">
        <f>'Rad-1'!B87</f>
        <v>0</v>
      </c>
      <c r="D43" s="63"/>
      <c r="G43" s="31" t="b">
        <f t="shared" si="1"/>
        <v>0</v>
      </c>
      <c r="H43" s="1" t="str">
        <f t="shared" si="2"/>
        <v/>
      </c>
      <c r="I43" s="1" t="str">
        <f t="shared" si="3"/>
        <v/>
      </c>
      <c r="J43" s="1" t="str">
        <f t="shared" si="4"/>
        <v/>
      </c>
    </row>
    <row r="44" spans="1:13" x14ac:dyDescent="0.75">
      <c r="B44" s="31">
        <f>'Rad-1'!A88</f>
        <v>0</v>
      </c>
      <c r="C44" s="31">
        <f>'Rad-1'!B88</f>
        <v>0</v>
      </c>
      <c r="D44" s="32"/>
      <c r="G44" s="31" t="b">
        <f t="shared" si="1"/>
        <v>0</v>
      </c>
      <c r="H44" s="1" t="str">
        <f t="shared" si="2"/>
        <v/>
      </c>
      <c r="I44" s="1" t="str">
        <f t="shared" si="3"/>
        <v/>
      </c>
      <c r="J44" s="1" t="str">
        <f t="shared" si="4"/>
        <v/>
      </c>
    </row>
    <row r="45" spans="1:13" x14ac:dyDescent="0.75">
      <c r="B45" s="31">
        <f>'Rad-1'!A89</f>
        <v>0</v>
      </c>
      <c r="C45" s="31">
        <f>'Rad-1'!B89</f>
        <v>0</v>
      </c>
      <c r="D45" s="63"/>
      <c r="G45" s="31" t="b">
        <f t="shared" si="1"/>
        <v>0</v>
      </c>
      <c r="H45" s="1" t="str">
        <f t="shared" si="2"/>
        <v/>
      </c>
      <c r="I45" s="1" t="str">
        <f t="shared" si="3"/>
        <v/>
      </c>
      <c r="J45" s="1" t="str">
        <f t="shared" si="4"/>
        <v/>
      </c>
    </row>
    <row r="46" spans="1:13" x14ac:dyDescent="0.75">
      <c r="B46" s="31">
        <f>'Rad-1'!A90</f>
        <v>0</v>
      </c>
      <c r="C46" s="31">
        <f>'Rad-1'!B90</f>
        <v>0</v>
      </c>
      <c r="G46" s="31" t="b">
        <f t="shared" si="1"/>
        <v>0</v>
      </c>
      <c r="H46" s="1" t="str">
        <f t="shared" si="2"/>
        <v/>
      </c>
      <c r="I46" s="1" t="str">
        <f t="shared" si="3"/>
        <v/>
      </c>
      <c r="J46" s="1" t="str">
        <f t="shared" si="4"/>
        <v/>
      </c>
    </row>
    <row r="47" spans="1:13" x14ac:dyDescent="0.75">
      <c r="B47" s="31">
        <f>'Rad-1'!A91</f>
        <v>0</v>
      </c>
      <c r="C47" s="31">
        <f>'Rad-1'!B91</f>
        <v>0</v>
      </c>
      <c r="G47" s="31" t="b">
        <f t="shared" si="1"/>
        <v>0</v>
      </c>
      <c r="H47" s="1" t="str">
        <f t="shared" si="2"/>
        <v/>
      </c>
      <c r="I47" s="1" t="str">
        <f t="shared" si="3"/>
        <v/>
      </c>
      <c r="J47" s="1" t="str">
        <f t="shared" si="4"/>
        <v/>
      </c>
    </row>
    <row r="48" spans="1:13" x14ac:dyDescent="0.75">
      <c r="B48" s="31">
        <f>'Rad-1'!A92</f>
        <v>0</v>
      </c>
      <c r="C48" s="31">
        <f>'Rad-1'!B92</f>
        <v>0</v>
      </c>
      <c r="G48" s="31" t="b">
        <f t="shared" si="1"/>
        <v>0</v>
      </c>
      <c r="H48" s="1" t="str">
        <f t="shared" si="2"/>
        <v/>
      </c>
      <c r="I48" s="1" t="str">
        <f t="shared" si="3"/>
        <v/>
      </c>
      <c r="J48" s="1" t="str">
        <f t="shared" si="4"/>
        <v/>
      </c>
    </row>
    <row r="49" spans="2:10" x14ac:dyDescent="0.75">
      <c r="B49" s="31">
        <f>'Rad-1'!A93</f>
        <v>0</v>
      </c>
      <c r="C49" s="31">
        <f>'Rad-1'!B93</f>
        <v>0</v>
      </c>
      <c r="G49" s="31" t="b">
        <f t="shared" si="1"/>
        <v>0</v>
      </c>
      <c r="H49" s="1" t="str">
        <f t="shared" si="2"/>
        <v/>
      </c>
      <c r="I49" s="1" t="str">
        <f t="shared" si="3"/>
        <v/>
      </c>
      <c r="J49" s="1" t="str">
        <f t="shared" si="4"/>
        <v/>
      </c>
    </row>
    <row r="50" spans="2:10" x14ac:dyDescent="0.75">
      <c r="B50" s="31">
        <f>'Rad-1'!A94</f>
        <v>0</v>
      </c>
      <c r="C50" s="31">
        <f>'Rad-1'!B94</f>
        <v>0</v>
      </c>
      <c r="G50" s="31" t="b">
        <f t="shared" si="1"/>
        <v>0</v>
      </c>
      <c r="H50" s="1" t="str">
        <f t="shared" si="2"/>
        <v/>
      </c>
      <c r="I50" s="1" t="str">
        <f t="shared" si="3"/>
        <v/>
      </c>
      <c r="J50" s="1" t="str">
        <f t="shared" si="4"/>
        <v/>
      </c>
    </row>
    <row r="51" spans="2:10" x14ac:dyDescent="0.75">
      <c r="B51" s="31">
        <f>'Rad-1'!A95</f>
        <v>0</v>
      </c>
      <c r="C51" s="31">
        <f>'Rad-1'!B95</f>
        <v>0</v>
      </c>
      <c r="G51" s="31" t="b">
        <f t="shared" si="1"/>
        <v>0</v>
      </c>
      <c r="H51" s="1" t="str">
        <f t="shared" si="2"/>
        <v/>
      </c>
      <c r="I51" s="1" t="str">
        <f t="shared" si="3"/>
        <v/>
      </c>
      <c r="J51" s="1" t="str">
        <f t="shared" si="4"/>
        <v/>
      </c>
    </row>
    <row r="52" spans="2:10" x14ac:dyDescent="0.75">
      <c r="B52" s="31">
        <f>'Rad-1'!A96</f>
        <v>0</v>
      </c>
      <c r="C52" s="31">
        <f>'Rad-1'!B96</f>
        <v>0</v>
      </c>
      <c r="G52" s="31" t="b">
        <f t="shared" si="1"/>
        <v>0</v>
      </c>
      <c r="H52" s="1" t="str">
        <f t="shared" si="2"/>
        <v/>
      </c>
      <c r="I52" s="1" t="str">
        <f t="shared" si="3"/>
        <v/>
      </c>
      <c r="J52" s="1" t="str">
        <f t="shared" si="4"/>
        <v/>
      </c>
    </row>
    <row r="53" spans="2:10" x14ac:dyDescent="0.75">
      <c r="B53" s="31">
        <f>'Rad-1'!A97</f>
        <v>0</v>
      </c>
      <c r="C53" s="31">
        <f>'Rad-1'!B97</f>
        <v>0</v>
      </c>
      <c r="G53" s="31" t="b">
        <f t="shared" si="1"/>
        <v>0</v>
      </c>
      <c r="H53" s="1" t="str">
        <f t="shared" si="2"/>
        <v/>
      </c>
      <c r="I53" s="1" t="str">
        <f t="shared" si="3"/>
        <v/>
      </c>
      <c r="J53" s="1" t="str">
        <f t="shared" si="4"/>
        <v/>
      </c>
    </row>
    <row r="54" spans="2:10" x14ac:dyDescent="0.75">
      <c r="B54" s="31">
        <f>'Rad-1'!A98</f>
        <v>0</v>
      </c>
      <c r="C54" s="31">
        <f>'Rad-1'!B98</f>
        <v>0</v>
      </c>
      <c r="G54" s="31" t="b">
        <f t="shared" si="1"/>
        <v>0</v>
      </c>
      <c r="H54" s="1" t="str">
        <f t="shared" si="2"/>
        <v/>
      </c>
      <c r="I54" s="1" t="str">
        <f t="shared" si="3"/>
        <v/>
      </c>
      <c r="J54" s="1" t="str">
        <f t="shared" si="4"/>
        <v/>
      </c>
    </row>
    <row r="55" spans="2:10" x14ac:dyDescent="0.75">
      <c r="B55" s="31">
        <f>'Rad-1'!A99</f>
        <v>0</v>
      </c>
      <c r="C55" s="31">
        <f>'Rad-1'!B99</f>
        <v>0</v>
      </c>
      <c r="G55" s="31" t="b">
        <f t="shared" si="1"/>
        <v>0</v>
      </c>
      <c r="H55" s="1" t="str">
        <f t="shared" si="2"/>
        <v/>
      </c>
      <c r="I55" s="1" t="str">
        <f t="shared" si="3"/>
        <v/>
      </c>
      <c r="J55" s="1" t="str">
        <f t="shared" si="4"/>
        <v/>
      </c>
    </row>
    <row r="56" spans="2:10" x14ac:dyDescent="0.75">
      <c r="B56" s="31">
        <f>'Rad-1'!A100</f>
        <v>0</v>
      </c>
      <c r="C56" s="31">
        <f>'Rad-1'!B100</f>
        <v>0</v>
      </c>
      <c r="G56" s="31" t="b">
        <f t="shared" si="1"/>
        <v>0</v>
      </c>
      <c r="H56" s="1" t="str">
        <f t="shared" si="2"/>
        <v/>
      </c>
      <c r="I56" s="1" t="str">
        <f t="shared" si="3"/>
        <v/>
      </c>
      <c r="J56" s="1" t="str">
        <f t="shared" si="4"/>
        <v/>
      </c>
    </row>
    <row r="57" spans="2:10" x14ac:dyDescent="0.75">
      <c r="B57" s="31">
        <f>'Rad-1'!A101</f>
        <v>0</v>
      </c>
      <c r="C57" s="31">
        <f>'Rad-1'!B101</f>
        <v>0</v>
      </c>
      <c r="G57" s="31" t="b">
        <f t="shared" si="1"/>
        <v>0</v>
      </c>
      <c r="H57" s="1" t="str">
        <f t="shared" si="2"/>
        <v/>
      </c>
      <c r="I57" s="1" t="str">
        <f t="shared" si="3"/>
        <v/>
      </c>
      <c r="J57" s="1" t="str">
        <f t="shared" si="4"/>
        <v/>
      </c>
    </row>
    <row r="58" spans="2:10" x14ac:dyDescent="0.75">
      <c r="B58" s="31">
        <f>'Rad-1'!A102</f>
        <v>0</v>
      </c>
      <c r="C58" s="31">
        <f>'Rad-1'!B102</f>
        <v>0</v>
      </c>
      <c r="G58" s="31" t="b">
        <f t="shared" si="1"/>
        <v>0</v>
      </c>
      <c r="H58" s="1" t="str">
        <f t="shared" si="2"/>
        <v/>
      </c>
      <c r="I58" s="1" t="str">
        <f t="shared" si="3"/>
        <v/>
      </c>
      <c r="J58" s="1" t="str">
        <f t="shared" si="4"/>
        <v/>
      </c>
    </row>
    <row r="59" spans="2:10" x14ac:dyDescent="0.75">
      <c r="B59" s="31">
        <f>'Rad-1'!A103</f>
        <v>0</v>
      </c>
      <c r="C59" s="31">
        <f>'Rad-1'!B103</f>
        <v>0</v>
      </c>
      <c r="G59" s="31" t="b">
        <f t="shared" si="1"/>
        <v>0</v>
      </c>
      <c r="H59" s="1" t="str">
        <f t="shared" si="2"/>
        <v/>
      </c>
      <c r="I59" s="1" t="str">
        <f t="shared" si="3"/>
        <v/>
      </c>
      <c r="J59" s="1" t="str">
        <f t="shared" si="4"/>
        <v/>
      </c>
    </row>
    <row r="60" spans="2:10" x14ac:dyDescent="0.75">
      <c r="B60" s="31">
        <f>'Rad-1'!A104</f>
        <v>0</v>
      </c>
      <c r="C60" s="31">
        <f>'Rad-1'!B104</f>
        <v>0</v>
      </c>
    </row>
    <row r="61" spans="2:10" x14ac:dyDescent="0.75">
      <c r="B61" s="31">
        <f>'Rad-1'!A105</f>
        <v>0</v>
      </c>
      <c r="C61" s="31">
        <f>'Rad-1'!B105</f>
        <v>0</v>
      </c>
    </row>
    <row r="62" spans="2:10" x14ac:dyDescent="0.75">
      <c r="B62" s="31">
        <f>'Rad-1'!A106</f>
        <v>0</v>
      </c>
      <c r="C62" s="31">
        <f>'Rad-1'!B106</f>
        <v>0</v>
      </c>
    </row>
    <row r="63" spans="2:10" x14ac:dyDescent="0.75">
      <c r="B63" s="31">
        <f>'Rad-1'!A107</f>
        <v>0</v>
      </c>
      <c r="C63" s="31">
        <f>'Rad-1'!B107</f>
        <v>0</v>
      </c>
    </row>
    <row r="64" spans="2:10" x14ac:dyDescent="0.75">
      <c r="B64" s="31">
        <f>'Rad-1'!A108</f>
        <v>0</v>
      </c>
      <c r="C64" s="31">
        <f>'Rad-1'!B108</f>
        <v>0</v>
      </c>
    </row>
    <row r="65" spans="2:3" x14ac:dyDescent="0.75">
      <c r="B65" s="31">
        <f>'Rad-1'!A109</f>
        <v>0</v>
      </c>
      <c r="C65" s="31">
        <f>'Rad-1'!B109</f>
        <v>0</v>
      </c>
    </row>
    <row r="66" spans="2:3" x14ac:dyDescent="0.75">
      <c r="B66" s="31">
        <f>'Rad-1'!A110</f>
        <v>0</v>
      </c>
      <c r="C66" s="31">
        <f>'Rad-1'!B110</f>
        <v>0</v>
      </c>
    </row>
    <row r="67" spans="2:3" x14ac:dyDescent="0.75">
      <c r="B67" s="31">
        <f>'Rad-1'!A111</f>
        <v>0</v>
      </c>
      <c r="C67" s="31">
        <f>'Rad-1'!B111</f>
        <v>0</v>
      </c>
    </row>
    <row r="68" spans="2:3" x14ac:dyDescent="0.75">
      <c r="B68" s="31">
        <f>'Rad-1'!A112</f>
        <v>0</v>
      </c>
      <c r="C68" s="31">
        <f>'Rad-1'!B112</f>
        <v>0</v>
      </c>
    </row>
    <row r="69" spans="2:3" x14ac:dyDescent="0.75">
      <c r="B69" s="31">
        <f>'Rad-1'!A113</f>
        <v>0</v>
      </c>
      <c r="C69" s="31">
        <f>'Rad-1'!B113</f>
        <v>0</v>
      </c>
    </row>
    <row r="70" spans="2:3" x14ac:dyDescent="0.75">
      <c r="B70" s="31">
        <f>'Rad-1'!A114</f>
        <v>0</v>
      </c>
      <c r="C70" s="31">
        <f>'Rad-1'!B114</f>
        <v>0</v>
      </c>
    </row>
    <row r="71" spans="2:3" x14ac:dyDescent="0.75">
      <c r="B71" s="31">
        <f>'Rad-1'!A115</f>
        <v>0</v>
      </c>
      <c r="C71" s="31">
        <f>'Rad-1'!B115</f>
        <v>0</v>
      </c>
    </row>
    <row r="72" spans="2:3" x14ac:dyDescent="0.75">
      <c r="B72" s="31">
        <f>'Rad-1'!A116</f>
        <v>0</v>
      </c>
      <c r="C72" s="31">
        <f>'Rad-1'!B116</f>
        <v>0</v>
      </c>
    </row>
    <row r="73" spans="2:3" x14ac:dyDescent="0.75">
      <c r="B73" s="31">
        <f>'Rad-1'!A117</f>
        <v>0</v>
      </c>
      <c r="C73" s="31">
        <f>'Rad-1'!B117</f>
        <v>0</v>
      </c>
    </row>
    <row r="74" spans="2:3" x14ac:dyDescent="0.75">
      <c r="B74" s="31">
        <f>'Rad-1'!A118</f>
        <v>0</v>
      </c>
      <c r="C74" s="31">
        <f>'Rad-1'!B118</f>
        <v>0</v>
      </c>
    </row>
    <row r="75" spans="2:3" x14ac:dyDescent="0.75">
      <c r="B75" s="31">
        <f>'Rad-1'!A119</f>
        <v>0</v>
      </c>
      <c r="C75" s="31">
        <f>'Rad-1'!B119</f>
        <v>0</v>
      </c>
    </row>
    <row r="76" spans="2:3" x14ac:dyDescent="0.75">
      <c r="B76" s="31">
        <f>'Rad-1'!A120</f>
        <v>0</v>
      </c>
      <c r="C76" s="31">
        <f>'Rad-1'!B120</f>
        <v>0</v>
      </c>
    </row>
    <row r="77" spans="2:3" x14ac:dyDescent="0.75">
      <c r="B77" s="31">
        <f>'Rad-1'!A121</f>
        <v>0</v>
      </c>
      <c r="C77" s="31">
        <f>'Rad-1'!B121</f>
        <v>0</v>
      </c>
    </row>
    <row r="78" spans="2:3" x14ac:dyDescent="0.75">
      <c r="B78" s="31">
        <f>'Rad-1'!A122</f>
        <v>0</v>
      </c>
      <c r="C78" s="31">
        <f>'Rad-1'!B122</f>
        <v>0</v>
      </c>
    </row>
    <row r="79" spans="2:3" x14ac:dyDescent="0.75">
      <c r="B79" s="31">
        <f>'Rad-1'!A123</f>
        <v>0</v>
      </c>
      <c r="C79" s="31">
        <f>'Rad-1'!B123</f>
        <v>0</v>
      </c>
    </row>
    <row r="80" spans="2:3" x14ac:dyDescent="0.75">
      <c r="B80" s="31">
        <f>'Rad-1'!A124</f>
        <v>0</v>
      </c>
      <c r="C80" s="31">
        <f>'Rad-1'!B124</f>
        <v>0</v>
      </c>
    </row>
    <row r="81" spans="2:3" x14ac:dyDescent="0.75">
      <c r="B81" s="31">
        <f>'Rad-1'!A125</f>
        <v>0</v>
      </c>
      <c r="C81" s="31">
        <f>'Rad-1'!B125</f>
        <v>0</v>
      </c>
    </row>
    <row r="82" spans="2:3" x14ac:dyDescent="0.75">
      <c r="B82" s="31">
        <f>'Rad-1'!A126</f>
        <v>0</v>
      </c>
      <c r="C82" s="31">
        <f>'Rad-1'!B126</f>
        <v>0</v>
      </c>
    </row>
    <row r="83" spans="2:3" x14ac:dyDescent="0.75">
      <c r="B83" s="31">
        <f>'Rad-1'!A127</f>
        <v>0</v>
      </c>
      <c r="C83" s="31">
        <f>'Rad-1'!B127</f>
        <v>0</v>
      </c>
    </row>
    <row r="84" spans="2:3" x14ac:dyDescent="0.75">
      <c r="B84" s="31">
        <f>'Rad-1'!A128</f>
        <v>0</v>
      </c>
      <c r="C84" s="31">
        <f>'Rad-1'!B128</f>
        <v>0</v>
      </c>
    </row>
    <row r="85" spans="2:3" x14ac:dyDescent="0.75">
      <c r="B85" s="31">
        <f>'Rad-1'!A129</f>
        <v>0</v>
      </c>
      <c r="C85" s="31">
        <f>'Rad-1'!B129</f>
        <v>0</v>
      </c>
    </row>
    <row r="86" spans="2:3" x14ac:dyDescent="0.75">
      <c r="B86" s="31">
        <f>'Rad-1'!A130</f>
        <v>0</v>
      </c>
      <c r="C86" s="31">
        <f>'Rad-1'!B130</f>
        <v>0</v>
      </c>
    </row>
    <row r="87" spans="2:3" x14ac:dyDescent="0.75">
      <c r="B87" s="31">
        <f>'Rad-1'!A131</f>
        <v>0</v>
      </c>
      <c r="C87" s="31">
        <f>'Rad-1'!B131</f>
        <v>0</v>
      </c>
    </row>
    <row r="88" spans="2:3" x14ac:dyDescent="0.75">
      <c r="B88" s="31">
        <f>'Rad-1'!A132</f>
        <v>0</v>
      </c>
      <c r="C88" s="31">
        <f>'Rad-1'!B132</f>
        <v>0</v>
      </c>
    </row>
    <row r="89" spans="2:3" x14ac:dyDescent="0.75">
      <c r="B89" s="31">
        <f>'Rad-1'!A133</f>
        <v>0</v>
      </c>
      <c r="C89" s="31">
        <f>'Rad-1'!B133</f>
        <v>0</v>
      </c>
    </row>
    <row r="90" spans="2:3" x14ac:dyDescent="0.75">
      <c r="B90" s="31">
        <f>'Rad-1'!A134</f>
        <v>0</v>
      </c>
      <c r="C90" s="31">
        <f>'Rad-1'!B134</f>
        <v>0</v>
      </c>
    </row>
    <row r="91" spans="2:3" x14ac:dyDescent="0.75">
      <c r="B91" s="31">
        <f>'Rad-1'!A135</f>
        <v>0</v>
      </c>
      <c r="C91" s="31">
        <f>'Rad-1'!B135</f>
        <v>0</v>
      </c>
    </row>
    <row r="92" spans="2:3" x14ac:dyDescent="0.75">
      <c r="B92" s="31">
        <f>'Rad-1'!A136</f>
        <v>0</v>
      </c>
      <c r="C92" s="31">
        <f>'Rad-1'!B136</f>
        <v>0</v>
      </c>
    </row>
    <row r="93" spans="2:3" x14ac:dyDescent="0.75">
      <c r="B93" s="31">
        <f>'Rad-1'!A137</f>
        <v>0</v>
      </c>
      <c r="C93" s="31">
        <f>'Rad-1'!B137</f>
        <v>0</v>
      </c>
    </row>
    <row r="94" spans="2:3" x14ac:dyDescent="0.75">
      <c r="B94" s="31">
        <f>'Rad-1'!A138</f>
        <v>0</v>
      </c>
      <c r="C94" s="31">
        <f>'Rad-1'!B138</f>
        <v>0</v>
      </c>
    </row>
    <row r="95" spans="2:3" x14ac:dyDescent="0.75">
      <c r="B95" s="31">
        <f>'Rad-1'!A139</f>
        <v>0</v>
      </c>
      <c r="C95" s="31">
        <f>'Rad-1'!B139</f>
        <v>0</v>
      </c>
    </row>
    <row r="96" spans="2:3" x14ac:dyDescent="0.75">
      <c r="B96" s="31">
        <f>'Rad-1'!A140</f>
        <v>0</v>
      </c>
      <c r="C96" s="31">
        <f>'Rad-1'!B140</f>
        <v>0</v>
      </c>
    </row>
    <row r="97" spans="2:3" x14ac:dyDescent="0.75">
      <c r="B97" s="31">
        <f>'Rad-1'!A141</f>
        <v>0</v>
      </c>
      <c r="C97" s="31">
        <f>'Rad-1'!B141</f>
        <v>0</v>
      </c>
    </row>
    <row r="98" spans="2:3" x14ac:dyDescent="0.75">
      <c r="B98" s="31">
        <f>'Rad-1'!A142</f>
        <v>0</v>
      </c>
      <c r="C98" s="31">
        <f>'Rad-1'!B142</f>
        <v>0</v>
      </c>
    </row>
    <row r="99" spans="2:3" x14ac:dyDescent="0.75">
      <c r="B99" s="31">
        <f>'Rad-1'!A143</f>
        <v>0</v>
      </c>
      <c r="C99" s="31">
        <f>'Rad-1'!B143</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F0797-03B6-46B7-ACAF-32E264CB1B97}">
  <sheetPr codeName="Foglio12"/>
  <dimension ref="A2:G393"/>
  <sheetViews>
    <sheetView topLeftCell="A130" workbookViewId="0">
      <selection activeCell="B25" sqref="B25"/>
    </sheetView>
  </sheetViews>
  <sheetFormatPr defaultRowHeight="14.75" x14ac:dyDescent="0.75"/>
  <cols>
    <col min="1" max="3" width="8.7265625" style="31"/>
    <col min="4" max="4" width="130.81640625" style="31" customWidth="1"/>
    <col min="5" max="5" width="19.86328125" style="31" customWidth="1"/>
    <col min="6" max="6" width="8.7265625" style="31"/>
    <col min="7" max="7" width="69.36328125" style="31" customWidth="1"/>
    <col min="8" max="16384" width="8.7265625" style="31"/>
  </cols>
  <sheetData>
    <row r="2" spans="1:4" x14ac:dyDescent="0.75">
      <c r="D2" s="8"/>
    </row>
    <row r="3" spans="1:4" x14ac:dyDescent="0.75">
      <c r="A3" s="32">
        <v>1</v>
      </c>
      <c r="B3" s="32">
        <f>IF(MOD(A3,3)=0,A3/3-1,INT(A3/3))</f>
        <v>0</v>
      </c>
      <c r="C3" s="32">
        <f>IF(MOD(A3,3)=0,3,MOD(A3,3))</f>
        <v>1</v>
      </c>
      <c r="D3" s="31" t="str" cm="1">
        <f t="array" ref="D3">INDEX('RadMap-1'!$H$8:$J$94,1+B3,C3)</f>
        <v/>
      </c>
    </row>
    <row r="4" spans="1:4" x14ac:dyDescent="0.75">
      <c r="A4" s="32">
        <v>2</v>
      </c>
      <c r="B4" s="32">
        <f t="shared" ref="B4:B67" si="0">IF(MOD(A4,3)=0,A4/3-1,INT(A4/3))</f>
        <v>0</v>
      </c>
      <c r="C4" s="32">
        <f t="shared" ref="C4:C67" si="1">IF(MOD(A4,3)=0,3,MOD(A4,3))</f>
        <v>2</v>
      </c>
      <c r="D4" s="31" t="str" cm="1">
        <f t="array" ref="D4">INDEX('RadMap-1'!$H$8:$J$94,1+B4,C4)</f>
        <v/>
      </c>
    </row>
    <row r="5" spans="1:4" x14ac:dyDescent="0.75">
      <c r="A5" s="32">
        <v>3</v>
      </c>
      <c r="B5" s="32">
        <f t="shared" si="0"/>
        <v>0</v>
      </c>
      <c r="C5" s="32">
        <f t="shared" si="1"/>
        <v>3</v>
      </c>
      <c r="D5" s="31" t="str" cm="1">
        <f t="array" ref="D5">INDEX('RadMap-1'!$H$8:$J$94,1+B5,C5)</f>
        <v>* differential.element[1].mapping[0].comment = "note"</v>
      </c>
    </row>
    <row r="6" spans="1:4" x14ac:dyDescent="0.75">
      <c r="A6" s="32">
        <v>4</v>
      </c>
      <c r="B6" s="32">
        <f t="shared" si="0"/>
        <v>1</v>
      </c>
      <c r="C6" s="32">
        <f t="shared" si="1"/>
        <v>1</v>
      </c>
      <c r="D6" s="31" t="str" cm="1">
        <f t="array" ref="D6">INDEX('RadMap-1'!$H$8:$J$94,1+B6,C6)</f>
        <v/>
      </c>
    </row>
    <row r="7" spans="1:4" x14ac:dyDescent="0.75">
      <c r="A7" s="32">
        <v>5</v>
      </c>
      <c r="B7" s="32">
        <f t="shared" si="0"/>
        <v>1</v>
      </c>
      <c r="C7" s="32">
        <f t="shared" si="1"/>
        <v>2</v>
      </c>
      <c r="D7" s="31" t="str" cm="1">
        <f t="array" ref="D7">INDEX('RadMap-1'!$H$8:$J$94,1+B7,C7)</f>
        <v/>
      </c>
    </row>
    <row r="8" spans="1:4" x14ac:dyDescent="0.75">
      <c r="A8" s="32">
        <v>6</v>
      </c>
      <c r="B8" s="32">
        <f t="shared" si="0"/>
        <v>1</v>
      </c>
      <c r="C8" s="32">
        <f t="shared" si="1"/>
        <v>3</v>
      </c>
      <c r="D8" s="31" t="str" cm="1">
        <f t="array" ref="D8">INDEX('RadMap-1'!$H$8:$J$94,1+B8,C8)</f>
        <v/>
      </c>
    </row>
    <row r="9" spans="1:4" x14ac:dyDescent="0.75">
      <c r="A9" s="32">
        <v>7</v>
      </c>
      <c r="B9" s="32">
        <f t="shared" si="0"/>
        <v>2</v>
      </c>
      <c r="C9" s="32">
        <f t="shared" si="1"/>
        <v>1</v>
      </c>
      <c r="D9" s="31" t="str" cm="1">
        <f t="array" ref="D9">INDEX('RadMap-1'!$H$8:$J$94,1+B9,C9)</f>
        <v/>
      </c>
    </row>
    <row r="10" spans="1:4" x14ac:dyDescent="0.75">
      <c r="A10" s="32">
        <v>8</v>
      </c>
      <c r="B10" s="32">
        <f t="shared" si="0"/>
        <v>2</v>
      </c>
      <c r="C10" s="32">
        <f t="shared" si="1"/>
        <v>2</v>
      </c>
      <c r="D10" s="31" t="str" cm="1">
        <f t="array" ref="D10">INDEX('RadMap-1'!$H$8:$J$94,1+B10,C10)</f>
        <v/>
      </c>
    </row>
    <row r="11" spans="1:4" x14ac:dyDescent="0.75">
      <c r="A11" s="32">
        <v>9</v>
      </c>
      <c r="B11" s="32">
        <f t="shared" si="0"/>
        <v>2</v>
      </c>
      <c r="C11" s="32">
        <f t="shared" si="1"/>
        <v>3</v>
      </c>
      <c r="D11" s="31" t="str" cm="1">
        <f t="array" ref="D11">INDEX('RadMap-1'!$H$8:$J$94,1+B11,C11)</f>
        <v/>
      </c>
    </row>
    <row r="12" spans="1:4" x14ac:dyDescent="0.75">
      <c r="A12" s="32">
        <v>10</v>
      </c>
      <c r="B12" s="32">
        <f t="shared" si="0"/>
        <v>3</v>
      </c>
      <c r="C12" s="32">
        <f t="shared" si="1"/>
        <v>1</v>
      </c>
      <c r="D12" s="31" t="str" cm="1">
        <f t="array" ref="D12">INDEX('RadMap-1'!$H$8:$J$94,1+B12,C12)</f>
        <v/>
      </c>
    </row>
    <row r="13" spans="1:4" x14ac:dyDescent="0.75">
      <c r="A13" s="32">
        <v>11</v>
      </c>
      <c r="B13" s="32">
        <f t="shared" si="0"/>
        <v>3</v>
      </c>
      <c r="C13" s="32">
        <f t="shared" si="1"/>
        <v>2</v>
      </c>
      <c r="D13" s="31" t="str" cm="1">
        <f t="array" ref="D13">INDEX('RadMap-1'!$H$8:$J$94,1+B13,C13)</f>
        <v/>
      </c>
    </row>
    <row r="14" spans="1:4" x14ac:dyDescent="0.75">
      <c r="A14" s="32">
        <v>12</v>
      </c>
      <c r="B14" s="32">
        <f t="shared" si="0"/>
        <v>3</v>
      </c>
      <c r="C14" s="32">
        <f t="shared" si="1"/>
        <v>3</v>
      </c>
      <c r="D14" s="31" t="str" cm="1">
        <f t="array" ref="D14">INDEX('RadMap-1'!$H$8:$J$94,1+B14,C14)</f>
        <v/>
      </c>
    </row>
    <row r="15" spans="1:4" x14ac:dyDescent="0.75">
      <c r="A15" s="32">
        <v>13</v>
      </c>
      <c r="B15" s="32">
        <f t="shared" si="0"/>
        <v>4</v>
      </c>
      <c r="C15" s="32">
        <f t="shared" si="1"/>
        <v>1</v>
      </c>
      <c r="D15" s="31" t="str" cm="1">
        <f t="array" ref="D15">INDEX('RadMap-1'!$H$8:$J$94,1+B15,C15)</f>
        <v/>
      </c>
    </row>
    <row r="16" spans="1:4" x14ac:dyDescent="0.75">
      <c r="A16" s="32">
        <v>14</v>
      </c>
      <c r="B16" s="32">
        <f t="shared" si="0"/>
        <v>4</v>
      </c>
      <c r="C16" s="32">
        <f t="shared" si="1"/>
        <v>2</v>
      </c>
      <c r="D16" s="31" t="str" cm="1">
        <f t="array" ref="D16">INDEX('RadMap-1'!$H$8:$J$94,1+B16,C16)</f>
        <v/>
      </c>
    </row>
    <row r="17" spans="1:4" x14ac:dyDescent="0.75">
      <c r="A17" s="32">
        <v>15</v>
      </c>
      <c r="B17" s="32">
        <f t="shared" si="0"/>
        <v>4</v>
      </c>
      <c r="C17" s="32">
        <f t="shared" si="1"/>
        <v>3</v>
      </c>
      <c r="D17" s="31" t="str" cm="1">
        <f t="array" ref="D17">INDEX('RadMap-1'!$H$8:$J$94,1+B17,C17)</f>
        <v/>
      </c>
    </row>
    <row r="18" spans="1:4" x14ac:dyDescent="0.75">
      <c r="A18" s="32">
        <v>16</v>
      </c>
      <c r="B18" s="32">
        <f t="shared" si="0"/>
        <v>5</v>
      </c>
      <c r="C18" s="32">
        <f t="shared" si="1"/>
        <v>1</v>
      </c>
      <c r="D18" s="31" t="str" cm="1">
        <f t="array" ref="D18">INDEX('RadMap-1'!$H$8:$J$94,1+B18,C18)</f>
        <v/>
      </c>
    </row>
    <row r="19" spans="1:4" x14ac:dyDescent="0.75">
      <c r="A19" s="32">
        <v>17</v>
      </c>
      <c r="B19" s="32">
        <f t="shared" si="0"/>
        <v>5</v>
      </c>
      <c r="C19" s="32">
        <f t="shared" si="1"/>
        <v>2</v>
      </c>
      <c r="D19" s="31" t="str" cm="1">
        <f t="array" ref="D19">INDEX('RadMap-1'!$H$8:$J$94,1+B19,C19)</f>
        <v/>
      </c>
    </row>
    <row r="20" spans="1:4" x14ac:dyDescent="0.75">
      <c r="A20" s="32">
        <v>18</v>
      </c>
      <c r="B20" s="32">
        <f t="shared" si="0"/>
        <v>5</v>
      </c>
      <c r="C20" s="32">
        <f t="shared" si="1"/>
        <v>3</v>
      </c>
      <c r="D20" s="31" t="str" cm="1">
        <f t="array" ref="D20">INDEX('RadMap-1'!$H$8:$J$94,1+B20,C20)</f>
        <v/>
      </c>
    </row>
    <row r="21" spans="1:4" x14ac:dyDescent="0.75">
      <c r="A21" s="32">
        <v>19</v>
      </c>
      <c r="B21" s="32">
        <f t="shared" si="0"/>
        <v>6</v>
      </c>
      <c r="C21" s="32">
        <f t="shared" si="1"/>
        <v>1</v>
      </c>
      <c r="D21" s="31" t="str" cm="1">
        <f t="array" ref="D21">INDEX('RadMap-1'!$H$8:$J$94,1+B21,C21)</f>
        <v/>
      </c>
    </row>
    <row r="22" spans="1:4" x14ac:dyDescent="0.75">
      <c r="A22" s="32">
        <v>20</v>
      </c>
      <c r="B22" s="32">
        <f t="shared" si="0"/>
        <v>6</v>
      </c>
      <c r="C22" s="32">
        <f t="shared" si="1"/>
        <v>2</v>
      </c>
      <c r="D22" s="31" t="str" cm="1">
        <f t="array" ref="D22">INDEX('RadMap-1'!$H$8:$J$94,1+B22,C22)</f>
        <v/>
      </c>
    </row>
    <row r="23" spans="1:4" x14ac:dyDescent="0.75">
      <c r="A23" s="32">
        <v>21</v>
      </c>
      <c r="B23" s="32">
        <f t="shared" si="0"/>
        <v>6</v>
      </c>
      <c r="C23" s="32">
        <f t="shared" si="1"/>
        <v>3</v>
      </c>
      <c r="D23" s="31" t="str" cm="1">
        <f t="array" ref="D23">INDEX('RadMap-1'!$H$8:$J$94,1+B23,C23)</f>
        <v/>
      </c>
    </row>
    <row r="24" spans="1:4" x14ac:dyDescent="0.75">
      <c r="A24" s="32">
        <v>22</v>
      </c>
      <c r="B24" s="32">
        <f t="shared" si="0"/>
        <v>7</v>
      </c>
      <c r="C24" s="32">
        <f t="shared" si="1"/>
        <v>1</v>
      </c>
      <c r="D24" s="31" t="str" cm="1">
        <f t="array" ref="D24">INDEX('RadMap-1'!$H$8:$J$94,1+B24,C24)</f>
        <v/>
      </c>
    </row>
    <row r="25" spans="1:4" x14ac:dyDescent="0.75">
      <c r="A25" s="32">
        <v>23</v>
      </c>
      <c r="B25" s="32">
        <f t="shared" si="0"/>
        <v>7</v>
      </c>
      <c r="C25" s="32">
        <f t="shared" si="1"/>
        <v>2</v>
      </c>
      <c r="D25" s="31" t="str" cm="1">
        <f t="array" ref="D25">INDEX('RadMap-1'!$H$8:$J$94,1+B25,C25)</f>
        <v/>
      </c>
    </row>
    <row r="26" spans="1:4" x14ac:dyDescent="0.75">
      <c r="A26" s="32">
        <v>24</v>
      </c>
      <c r="B26" s="32">
        <f t="shared" si="0"/>
        <v>7</v>
      </c>
      <c r="C26" s="32">
        <f t="shared" si="1"/>
        <v>3</v>
      </c>
      <c r="D26" s="31" t="str" cm="1">
        <f t="array" ref="D26">INDEX('RadMap-1'!$H$8:$J$94,1+B26,C26)</f>
        <v/>
      </c>
    </row>
    <row r="27" spans="1:4" x14ac:dyDescent="0.75">
      <c r="A27" s="32">
        <v>25</v>
      </c>
      <c r="B27" s="32">
        <f t="shared" si="0"/>
        <v>8</v>
      </c>
      <c r="C27" s="32">
        <f t="shared" si="1"/>
        <v>1</v>
      </c>
      <c r="D27" s="31" t="str" cm="1">
        <f t="array" ref="D27">INDEX('RadMap-1'!$H$8:$J$94,1+B27,C27)</f>
        <v/>
      </c>
    </row>
    <row r="28" spans="1:4" x14ac:dyDescent="0.75">
      <c r="A28" s="32">
        <v>26</v>
      </c>
      <c r="B28" s="32">
        <f t="shared" si="0"/>
        <v>8</v>
      </c>
      <c r="C28" s="32">
        <f t="shared" si="1"/>
        <v>2</v>
      </c>
      <c r="D28" s="31" t="str" cm="1">
        <f t="array" ref="D28">INDEX('RadMap-1'!$H$8:$J$94,1+B28,C28)</f>
        <v/>
      </c>
    </row>
    <row r="29" spans="1:4" x14ac:dyDescent="0.75">
      <c r="A29" s="32">
        <v>27</v>
      </c>
      <c r="B29" s="32">
        <f t="shared" si="0"/>
        <v>8</v>
      </c>
      <c r="C29" s="32">
        <f t="shared" si="1"/>
        <v>3</v>
      </c>
      <c r="D29" s="31" t="str" cm="1">
        <f t="array" ref="D29">INDEX('RadMap-1'!$H$8:$J$94,1+B29,C29)</f>
        <v/>
      </c>
    </row>
    <row r="30" spans="1:4" x14ac:dyDescent="0.75">
      <c r="A30" s="32">
        <v>28</v>
      </c>
      <c r="B30" s="32">
        <f t="shared" si="0"/>
        <v>9</v>
      </c>
      <c r="C30" s="32">
        <f t="shared" si="1"/>
        <v>1</v>
      </c>
      <c r="D30" s="31" t="str" cm="1">
        <f t="array" ref="D30">INDEX('RadMap-1'!$H$8:$J$94,1+B30,C30)</f>
        <v/>
      </c>
    </row>
    <row r="31" spans="1:4" x14ac:dyDescent="0.75">
      <c r="A31" s="32">
        <v>29</v>
      </c>
      <c r="B31" s="32">
        <f t="shared" si="0"/>
        <v>9</v>
      </c>
      <c r="C31" s="32">
        <f t="shared" si="1"/>
        <v>2</v>
      </c>
      <c r="D31" s="31" t="str" cm="1">
        <f t="array" ref="D31">INDEX('RadMap-1'!$H$8:$J$94,1+B31,C31)</f>
        <v/>
      </c>
    </row>
    <row r="32" spans="1:4" x14ac:dyDescent="0.75">
      <c r="A32" s="32">
        <v>30</v>
      </c>
      <c r="B32" s="32">
        <f t="shared" si="0"/>
        <v>9</v>
      </c>
      <c r="C32" s="32">
        <f t="shared" si="1"/>
        <v>3</v>
      </c>
      <c r="D32" s="31" t="str" cm="1">
        <f t="array" ref="D32">INDEX('RadMap-1'!$H$8:$J$94,1+B32,C32)</f>
        <v/>
      </c>
    </row>
    <row r="33" spans="1:4" x14ac:dyDescent="0.75">
      <c r="A33" s="32">
        <v>31</v>
      </c>
      <c r="B33" s="32">
        <f t="shared" si="0"/>
        <v>10</v>
      </c>
      <c r="C33" s="32">
        <f t="shared" si="1"/>
        <v>1</v>
      </c>
      <c r="D33" s="31" t="str" cm="1">
        <f t="array" ref="D33">INDEX('RadMap-1'!$H$8:$J$94,1+B33,C33)</f>
        <v/>
      </c>
    </row>
    <row r="34" spans="1:4" x14ac:dyDescent="0.75">
      <c r="A34" s="32">
        <v>32</v>
      </c>
      <c r="B34" s="32">
        <f t="shared" si="0"/>
        <v>10</v>
      </c>
      <c r="C34" s="32">
        <f t="shared" si="1"/>
        <v>2</v>
      </c>
      <c r="D34" s="31" t="str" cm="1">
        <f t="array" ref="D34">INDEX('RadMap-1'!$H$8:$J$94,1+B34,C34)</f>
        <v/>
      </c>
    </row>
    <row r="35" spans="1:4" x14ac:dyDescent="0.75">
      <c r="A35" s="32">
        <v>33</v>
      </c>
      <c r="B35" s="32">
        <f t="shared" si="0"/>
        <v>10</v>
      </c>
      <c r="C35" s="32">
        <f t="shared" si="1"/>
        <v>3</v>
      </c>
      <c r="D35" s="31" t="str" cm="1">
        <f t="array" ref="D35">INDEX('RadMap-1'!$H$8:$J$94,1+B35,C35)</f>
        <v/>
      </c>
    </row>
    <row r="36" spans="1:4" x14ac:dyDescent="0.75">
      <c r="A36" s="32">
        <v>34</v>
      </c>
      <c r="B36" s="32">
        <f t="shared" si="0"/>
        <v>11</v>
      </c>
      <c r="C36" s="32">
        <f t="shared" si="1"/>
        <v>1</v>
      </c>
      <c r="D36" s="31" t="str" cm="1">
        <f t="array" ref="D36">INDEX('RadMap-1'!$H$8:$J$94,1+B36,C36)</f>
        <v/>
      </c>
    </row>
    <row r="37" spans="1:4" x14ac:dyDescent="0.75">
      <c r="A37" s="32">
        <v>35</v>
      </c>
      <c r="B37" s="32">
        <f t="shared" si="0"/>
        <v>11</v>
      </c>
      <c r="C37" s="32">
        <f t="shared" si="1"/>
        <v>2</v>
      </c>
      <c r="D37" s="31" t="str" cm="1">
        <f t="array" ref="D37">INDEX('RadMap-1'!$H$8:$J$94,1+B37,C37)</f>
        <v/>
      </c>
    </row>
    <row r="38" spans="1:4" x14ac:dyDescent="0.75">
      <c r="A38" s="32">
        <v>36</v>
      </c>
      <c r="B38" s="32">
        <f t="shared" si="0"/>
        <v>11</v>
      </c>
      <c r="C38" s="32">
        <f t="shared" si="1"/>
        <v>3</v>
      </c>
      <c r="D38" s="31" t="str" cm="1">
        <f t="array" ref="D38">INDEX('RadMap-1'!$H$8:$J$94,1+B38,C38)</f>
        <v/>
      </c>
    </row>
    <row r="39" spans="1:4" x14ac:dyDescent="0.75">
      <c r="A39" s="32">
        <v>37</v>
      </c>
      <c r="B39" s="32">
        <f t="shared" si="0"/>
        <v>12</v>
      </c>
      <c r="C39" s="32">
        <f t="shared" si="1"/>
        <v>1</v>
      </c>
      <c r="D39" s="31" t="str" cm="1">
        <f t="array" ref="D39">INDEX('RadMap-1'!$H$8:$J$94,1+B39,C39)</f>
        <v/>
      </c>
    </row>
    <row r="40" spans="1:4" x14ac:dyDescent="0.75">
      <c r="A40" s="32">
        <v>38</v>
      </c>
      <c r="B40" s="32">
        <f t="shared" si="0"/>
        <v>12</v>
      </c>
      <c r="C40" s="32">
        <f t="shared" si="1"/>
        <v>2</v>
      </c>
      <c r="D40" s="31" t="str" cm="1">
        <f t="array" ref="D40">INDEX('RadMap-1'!$H$8:$J$94,1+B40,C40)</f>
        <v/>
      </c>
    </row>
    <row r="41" spans="1:4" x14ac:dyDescent="0.75">
      <c r="A41" s="32">
        <v>39</v>
      </c>
      <c r="B41" s="32">
        <f t="shared" si="0"/>
        <v>12</v>
      </c>
      <c r="C41" s="32">
        <f t="shared" si="1"/>
        <v>3</v>
      </c>
      <c r="D41" s="31" t="str" cm="1">
        <f t="array" ref="D41">INDEX('RadMap-1'!$H$8:$J$94,1+B41,C41)</f>
        <v/>
      </c>
    </row>
    <row r="42" spans="1:4" x14ac:dyDescent="0.75">
      <c r="A42" s="32">
        <v>40</v>
      </c>
      <c r="B42" s="32">
        <f t="shared" si="0"/>
        <v>13</v>
      </c>
      <c r="C42" s="32">
        <f t="shared" si="1"/>
        <v>1</v>
      </c>
      <c r="D42" s="31" t="str" cm="1">
        <f t="array" ref="D42">INDEX('RadMap-1'!$H$8:$J$94,1+B42,C42)</f>
        <v/>
      </c>
    </row>
    <row r="43" spans="1:4" x14ac:dyDescent="0.75">
      <c r="A43" s="32">
        <v>41</v>
      </c>
      <c r="B43" s="32">
        <f t="shared" si="0"/>
        <v>13</v>
      </c>
      <c r="C43" s="32">
        <f t="shared" si="1"/>
        <v>2</v>
      </c>
      <c r="D43" s="31" t="str" cm="1">
        <f t="array" ref="D43">INDEX('RadMap-1'!$H$8:$J$94,1+B43,C43)</f>
        <v/>
      </c>
    </row>
    <row r="44" spans="1:4" x14ac:dyDescent="0.75">
      <c r="A44" s="32">
        <v>42</v>
      </c>
      <c r="B44" s="32">
        <f t="shared" si="0"/>
        <v>13</v>
      </c>
      <c r="C44" s="32">
        <f t="shared" si="1"/>
        <v>3</v>
      </c>
      <c r="D44" s="31" t="str" cm="1">
        <f t="array" ref="D44">INDEX('RadMap-1'!$H$8:$J$94,1+B44,C44)</f>
        <v/>
      </c>
    </row>
    <row r="45" spans="1:4" x14ac:dyDescent="0.75">
      <c r="A45" s="32">
        <v>43</v>
      </c>
      <c r="B45" s="32">
        <f t="shared" si="0"/>
        <v>14</v>
      </c>
      <c r="C45" s="32">
        <f t="shared" si="1"/>
        <v>1</v>
      </c>
      <c r="D45" s="31" t="str" cm="1">
        <f t="array" ref="D45">INDEX('RadMap-1'!$H$8:$J$94,1+B45,C45)</f>
        <v/>
      </c>
    </row>
    <row r="46" spans="1:4" x14ac:dyDescent="0.75">
      <c r="A46" s="32">
        <v>44</v>
      </c>
      <c r="B46" s="32">
        <f t="shared" si="0"/>
        <v>14</v>
      </c>
      <c r="C46" s="32">
        <f t="shared" si="1"/>
        <v>2</v>
      </c>
      <c r="D46" s="31" t="str" cm="1">
        <f t="array" ref="D46">INDEX('RadMap-1'!$H$8:$J$94,1+B46,C46)</f>
        <v/>
      </c>
    </row>
    <row r="47" spans="1:4" x14ac:dyDescent="0.75">
      <c r="A47" s="32">
        <v>45</v>
      </c>
      <c r="B47" s="32">
        <f t="shared" si="0"/>
        <v>14</v>
      </c>
      <c r="C47" s="32">
        <f t="shared" si="1"/>
        <v>3</v>
      </c>
      <c r="D47" s="31" t="str" cm="1">
        <f t="array" ref="D47">INDEX('RadMap-1'!$H$8:$J$94,1+B47,C47)</f>
        <v/>
      </c>
    </row>
    <row r="48" spans="1:4" x14ac:dyDescent="0.75">
      <c r="A48" s="32">
        <v>46</v>
      </c>
      <c r="B48" s="32">
        <f t="shared" si="0"/>
        <v>15</v>
      </c>
      <c r="C48" s="32">
        <f t="shared" si="1"/>
        <v>1</v>
      </c>
      <c r="D48" s="31" t="str" cm="1">
        <f t="array" ref="D48">INDEX('RadMap-1'!$H$8:$J$94,1+B48,C48)</f>
        <v/>
      </c>
    </row>
    <row r="49" spans="1:7" x14ac:dyDescent="0.75">
      <c r="A49" s="32">
        <v>47</v>
      </c>
      <c r="B49" s="32">
        <f t="shared" si="0"/>
        <v>15</v>
      </c>
      <c r="C49" s="32">
        <f t="shared" si="1"/>
        <v>2</v>
      </c>
      <c r="D49" s="31" t="str" cm="1">
        <f t="array" ref="D49">INDEX('RadMap-1'!$H$8:$J$94,1+B49,C49)</f>
        <v/>
      </c>
    </row>
    <row r="50" spans="1:7" x14ac:dyDescent="0.75">
      <c r="A50" s="32">
        <v>48</v>
      </c>
      <c r="B50" s="32">
        <f t="shared" si="0"/>
        <v>15</v>
      </c>
      <c r="C50" s="32">
        <f t="shared" si="1"/>
        <v>3</v>
      </c>
      <c r="D50" s="31" t="str" cm="1">
        <f t="array" ref="D50">INDEX('RadMap-1'!$H$8:$J$94,1+B50,C50)</f>
        <v/>
      </c>
    </row>
    <row r="51" spans="1:7" x14ac:dyDescent="0.75">
      <c r="A51" s="32">
        <v>49</v>
      </c>
      <c r="B51" s="32">
        <f t="shared" si="0"/>
        <v>16</v>
      </c>
      <c r="C51" s="32">
        <f t="shared" si="1"/>
        <v>1</v>
      </c>
      <c r="D51" s="31" t="str" cm="1">
        <f t="array" ref="D51">INDEX('RadMap-1'!$H$8:$J$94,1+B51,C51)</f>
        <v/>
      </c>
    </row>
    <row r="52" spans="1:7" x14ac:dyDescent="0.75">
      <c r="A52" s="32">
        <v>50</v>
      </c>
      <c r="B52" s="32">
        <f t="shared" si="0"/>
        <v>16</v>
      </c>
      <c r="C52" s="32">
        <f t="shared" si="1"/>
        <v>2</v>
      </c>
      <c r="D52" s="31" t="str" cm="1">
        <f t="array" ref="D52">INDEX('RadMap-1'!$H$8:$J$94,1+B52,C52)</f>
        <v/>
      </c>
    </row>
    <row r="53" spans="1:7" x14ac:dyDescent="0.75">
      <c r="A53" s="32">
        <v>51</v>
      </c>
      <c r="B53" s="32">
        <f t="shared" si="0"/>
        <v>16</v>
      </c>
      <c r="C53" s="32">
        <f t="shared" si="1"/>
        <v>3</v>
      </c>
      <c r="D53" s="31" t="str" cm="1">
        <f t="array" ref="D53">INDEX('RadMap-1'!$H$8:$J$94,1+B53,C53)</f>
        <v/>
      </c>
    </row>
    <row r="54" spans="1:7" x14ac:dyDescent="0.75">
      <c r="A54" s="32">
        <v>52</v>
      </c>
      <c r="B54" s="32">
        <f t="shared" si="0"/>
        <v>17</v>
      </c>
      <c r="C54" s="32">
        <f t="shared" si="1"/>
        <v>1</v>
      </c>
      <c r="D54" s="31" t="str" cm="1">
        <f t="array" ref="D54">INDEX('RadMap-1'!$H$8:$J$94,1+B54,C54)</f>
        <v/>
      </c>
    </row>
    <row r="55" spans="1:7" x14ac:dyDescent="0.75">
      <c r="A55" s="32">
        <v>53</v>
      </c>
      <c r="B55" s="32">
        <f t="shared" si="0"/>
        <v>17</v>
      </c>
      <c r="C55" s="32">
        <f t="shared" si="1"/>
        <v>2</v>
      </c>
      <c r="D55" s="31" t="str" cm="1">
        <f t="array" ref="D55">INDEX('RadMap-1'!$H$8:$J$94,1+B55,C55)</f>
        <v/>
      </c>
      <c r="G55" s="16"/>
    </row>
    <row r="56" spans="1:7" x14ac:dyDescent="0.75">
      <c r="A56" s="32">
        <v>54</v>
      </c>
      <c r="B56" s="32">
        <f t="shared" si="0"/>
        <v>17</v>
      </c>
      <c r="C56" s="32">
        <f t="shared" si="1"/>
        <v>3</v>
      </c>
      <c r="D56" s="31" t="str" cm="1">
        <f t="array" ref="D56">INDEX('RadMap-1'!$H$8:$J$94,1+B56,C56)</f>
        <v/>
      </c>
    </row>
    <row r="57" spans="1:7" x14ac:dyDescent="0.75">
      <c r="A57" s="32">
        <v>55</v>
      </c>
      <c r="B57" s="32">
        <f t="shared" si="0"/>
        <v>18</v>
      </c>
      <c r="C57" s="32">
        <f t="shared" si="1"/>
        <v>1</v>
      </c>
      <c r="D57" s="31" t="str" cm="1">
        <f t="array" ref="D57">INDEX('RadMap-1'!$H$8:$J$94,1+B57,C57)</f>
        <v/>
      </c>
    </row>
    <row r="58" spans="1:7" x14ac:dyDescent="0.75">
      <c r="A58" s="32">
        <v>56</v>
      </c>
      <c r="B58" s="32">
        <f t="shared" si="0"/>
        <v>18</v>
      </c>
      <c r="C58" s="32">
        <f t="shared" si="1"/>
        <v>2</v>
      </c>
      <c r="D58" s="31" t="str" cm="1">
        <f t="array" ref="D58">INDEX('RadMap-1'!$H$8:$J$94,1+B58,C58)</f>
        <v/>
      </c>
    </row>
    <row r="59" spans="1:7" x14ac:dyDescent="0.75">
      <c r="A59" s="32">
        <v>57</v>
      </c>
      <c r="B59" s="32">
        <f t="shared" si="0"/>
        <v>18</v>
      </c>
      <c r="C59" s="32">
        <f t="shared" si="1"/>
        <v>3</v>
      </c>
      <c r="D59" s="31" t="str" cm="1">
        <f t="array" ref="D59">INDEX('RadMap-1'!$H$8:$J$94,1+B59,C59)</f>
        <v/>
      </c>
    </row>
    <row r="60" spans="1:7" x14ac:dyDescent="0.75">
      <c r="A60" s="32">
        <v>58</v>
      </c>
      <c r="B60" s="32">
        <f t="shared" si="0"/>
        <v>19</v>
      </c>
      <c r="C60" s="32">
        <f t="shared" si="1"/>
        <v>1</v>
      </c>
      <c r="D60" s="31" t="str" cm="1">
        <f t="array" ref="D60">INDEX('RadMap-1'!$H$8:$J$94,1+B60,C60)</f>
        <v/>
      </c>
    </row>
    <row r="61" spans="1:7" x14ac:dyDescent="0.75">
      <c r="A61" s="32">
        <v>59</v>
      </c>
      <c r="B61" s="32">
        <f t="shared" si="0"/>
        <v>19</v>
      </c>
      <c r="C61" s="32">
        <f t="shared" si="1"/>
        <v>2</v>
      </c>
      <c r="D61" s="31" t="str" cm="1">
        <f t="array" ref="D61">INDEX('RadMap-1'!$H$8:$J$94,1+B61,C61)</f>
        <v/>
      </c>
    </row>
    <row r="62" spans="1:7" x14ac:dyDescent="0.75">
      <c r="A62" s="32">
        <v>60</v>
      </c>
      <c r="B62" s="32">
        <f t="shared" si="0"/>
        <v>19</v>
      </c>
      <c r="C62" s="32">
        <f t="shared" si="1"/>
        <v>3</v>
      </c>
      <c r="D62" s="31" t="str" cm="1">
        <f t="array" ref="D62">INDEX('RadMap-1'!$H$8:$J$94,1+B62,C62)</f>
        <v/>
      </c>
    </row>
    <row r="63" spans="1:7" x14ac:dyDescent="0.75">
      <c r="A63" s="32">
        <v>61</v>
      </c>
      <c r="B63" s="32">
        <f t="shared" si="0"/>
        <v>20</v>
      </c>
      <c r="C63" s="32">
        <f t="shared" si="1"/>
        <v>1</v>
      </c>
      <c r="D63" s="31" t="str" cm="1">
        <f t="array" ref="D63">INDEX('RadMap-1'!$H$8:$J$94,1+B63,C63)</f>
        <v/>
      </c>
    </row>
    <row r="64" spans="1:7" x14ac:dyDescent="0.75">
      <c r="A64" s="32">
        <v>62</v>
      </c>
      <c r="B64" s="32">
        <f t="shared" si="0"/>
        <v>20</v>
      </c>
      <c r="C64" s="32">
        <f t="shared" si="1"/>
        <v>2</v>
      </c>
      <c r="D64" s="31" t="str" cm="1">
        <f t="array" ref="D64">INDEX('RadMap-1'!$H$8:$J$94,1+B64,C64)</f>
        <v/>
      </c>
    </row>
    <row r="65" spans="1:4" x14ac:dyDescent="0.75">
      <c r="A65" s="32">
        <v>63</v>
      </c>
      <c r="B65" s="32">
        <f t="shared" si="0"/>
        <v>20</v>
      </c>
      <c r="C65" s="32">
        <f t="shared" si="1"/>
        <v>3</v>
      </c>
      <c r="D65" s="31" t="str" cm="1">
        <f t="array" ref="D65">INDEX('RadMap-1'!$H$8:$J$94,1+B65,C65)</f>
        <v/>
      </c>
    </row>
    <row r="66" spans="1:4" x14ac:dyDescent="0.75">
      <c r="A66" s="32">
        <v>64</v>
      </c>
      <c r="B66" s="32">
        <f t="shared" si="0"/>
        <v>21</v>
      </c>
      <c r="C66" s="32">
        <f t="shared" si="1"/>
        <v>1</v>
      </c>
      <c r="D66" s="31" t="str" cm="1">
        <f t="array" ref="D66">INDEX('RadMap-1'!$H$8:$J$94,1+B66,C66)</f>
        <v/>
      </c>
    </row>
    <row r="67" spans="1:4" x14ac:dyDescent="0.75">
      <c r="A67" s="32">
        <v>65</v>
      </c>
      <c r="B67" s="32">
        <f t="shared" si="0"/>
        <v>21</v>
      </c>
      <c r="C67" s="32">
        <f t="shared" si="1"/>
        <v>2</v>
      </c>
      <c r="D67" s="31" t="str" cm="1">
        <f t="array" ref="D67">INDEX('RadMap-1'!$H$8:$J$94,1+B67,C67)</f>
        <v/>
      </c>
    </row>
    <row r="68" spans="1:4" x14ac:dyDescent="0.75">
      <c r="A68" s="32">
        <v>66</v>
      </c>
      <c r="B68" s="32">
        <f t="shared" ref="B68:B131" si="2">IF(MOD(A68,3)=0,A68/3-1,INT(A68/3))</f>
        <v>21</v>
      </c>
      <c r="C68" s="32">
        <f t="shared" ref="C68:C131" si="3">IF(MOD(A68,3)=0,3,MOD(A68,3))</f>
        <v>3</v>
      </c>
      <c r="D68" s="31" t="str" cm="1">
        <f t="array" ref="D68">INDEX('RadMap-1'!$H$8:$J$94,1+B68,C68)</f>
        <v/>
      </c>
    </row>
    <row r="69" spans="1:4" x14ac:dyDescent="0.75">
      <c r="A69" s="32">
        <v>67</v>
      </c>
      <c r="B69" s="32">
        <f t="shared" si="2"/>
        <v>22</v>
      </c>
      <c r="C69" s="32">
        <f t="shared" si="3"/>
        <v>1</v>
      </c>
      <c r="D69" s="31" t="str" cm="1">
        <f t="array" ref="D69">INDEX('RadMap-1'!$H$8:$J$94,1+B69,C69)</f>
        <v/>
      </c>
    </row>
    <row r="70" spans="1:4" x14ac:dyDescent="0.75">
      <c r="A70" s="32">
        <v>68</v>
      </c>
      <c r="B70" s="32">
        <f t="shared" si="2"/>
        <v>22</v>
      </c>
      <c r="C70" s="32">
        <f t="shared" si="3"/>
        <v>2</v>
      </c>
      <c r="D70" s="31" t="str" cm="1">
        <f t="array" ref="D70">INDEX('RadMap-1'!$H$8:$J$94,1+B70,C70)</f>
        <v/>
      </c>
    </row>
    <row r="71" spans="1:4" x14ac:dyDescent="0.75">
      <c r="A71" s="32">
        <v>69</v>
      </c>
      <c r="B71" s="32">
        <f t="shared" si="2"/>
        <v>22</v>
      </c>
      <c r="C71" s="32">
        <f t="shared" si="3"/>
        <v>3</v>
      </c>
      <c r="D71" s="31" t="str" cm="1">
        <f t="array" ref="D71">INDEX('RadMap-1'!$H$8:$J$94,1+B71,C71)</f>
        <v/>
      </c>
    </row>
    <row r="72" spans="1:4" x14ac:dyDescent="0.75">
      <c r="A72" s="32">
        <v>70</v>
      </c>
      <c r="B72" s="32">
        <f t="shared" si="2"/>
        <v>23</v>
      </c>
      <c r="C72" s="32">
        <f t="shared" si="3"/>
        <v>1</v>
      </c>
      <c r="D72" s="31" t="str" cm="1">
        <f t="array" ref="D72">INDEX('RadMap-1'!$H$8:$J$94,1+B72,C72)</f>
        <v/>
      </c>
    </row>
    <row r="73" spans="1:4" x14ac:dyDescent="0.75">
      <c r="A73" s="32">
        <v>71</v>
      </c>
      <c r="B73" s="32">
        <f t="shared" si="2"/>
        <v>23</v>
      </c>
      <c r="C73" s="32">
        <f t="shared" si="3"/>
        <v>2</v>
      </c>
      <c r="D73" s="31" t="str" cm="1">
        <f t="array" ref="D73">INDEX('RadMap-1'!$H$8:$J$94,1+B73,C73)</f>
        <v/>
      </c>
    </row>
    <row r="74" spans="1:4" x14ac:dyDescent="0.75">
      <c r="A74" s="32">
        <v>72</v>
      </c>
      <c r="B74" s="32">
        <f t="shared" si="2"/>
        <v>23</v>
      </c>
      <c r="C74" s="32">
        <f t="shared" si="3"/>
        <v>3</v>
      </c>
      <c r="D74" s="31" t="str" cm="1">
        <f t="array" ref="D74">INDEX('RadMap-1'!$H$8:$J$94,1+B74,C74)</f>
        <v/>
      </c>
    </row>
    <row r="75" spans="1:4" x14ac:dyDescent="0.75">
      <c r="A75" s="32">
        <v>73</v>
      </c>
      <c r="B75" s="32">
        <f t="shared" si="2"/>
        <v>24</v>
      </c>
      <c r="C75" s="32">
        <f t="shared" si="3"/>
        <v>1</v>
      </c>
      <c r="D75" s="31" t="str" cm="1">
        <f t="array" ref="D75">INDEX('RadMap-1'!$H$8:$J$94,1+B75,C75)</f>
        <v/>
      </c>
    </row>
    <row r="76" spans="1:4" x14ac:dyDescent="0.75">
      <c r="A76" s="32">
        <v>74</v>
      </c>
      <c r="B76" s="32">
        <f t="shared" si="2"/>
        <v>24</v>
      </c>
      <c r="C76" s="32">
        <f t="shared" si="3"/>
        <v>2</v>
      </c>
      <c r="D76" s="31" t="str" cm="1">
        <f t="array" ref="D76">INDEX('RadMap-1'!$H$8:$J$94,1+B76,C76)</f>
        <v/>
      </c>
    </row>
    <row r="77" spans="1:4" x14ac:dyDescent="0.75">
      <c r="A77" s="32">
        <v>75</v>
      </c>
      <c r="B77" s="32">
        <f t="shared" si="2"/>
        <v>24</v>
      </c>
      <c r="C77" s="32">
        <f t="shared" si="3"/>
        <v>3</v>
      </c>
      <c r="D77" s="31" t="str" cm="1">
        <f t="array" ref="D77">INDEX('RadMap-1'!$H$8:$J$94,1+B77,C77)</f>
        <v/>
      </c>
    </row>
    <row r="78" spans="1:4" x14ac:dyDescent="0.75">
      <c r="A78" s="32">
        <v>76</v>
      </c>
      <c r="B78" s="32">
        <f t="shared" si="2"/>
        <v>25</v>
      </c>
      <c r="C78" s="32">
        <f t="shared" si="3"/>
        <v>1</v>
      </c>
      <c r="D78" s="31" t="str" cm="1">
        <f t="array" ref="D78">INDEX('RadMap-1'!$H$8:$J$94,1+B78,C78)</f>
        <v/>
      </c>
    </row>
    <row r="79" spans="1:4" x14ac:dyDescent="0.75">
      <c r="A79" s="32">
        <v>77</v>
      </c>
      <c r="B79" s="32">
        <f t="shared" si="2"/>
        <v>25</v>
      </c>
      <c r="C79" s="32">
        <f t="shared" si="3"/>
        <v>2</v>
      </c>
      <c r="D79" s="31" t="str" cm="1">
        <f t="array" ref="D79">INDEX('RadMap-1'!$H$8:$J$94,1+B79,C79)</f>
        <v/>
      </c>
    </row>
    <row r="80" spans="1:4" x14ac:dyDescent="0.75">
      <c r="A80" s="32">
        <v>78</v>
      </c>
      <c r="B80" s="32">
        <f t="shared" si="2"/>
        <v>25</v>
      </c>
      <c r="C80" s="32">
        <f t="shared" si="3"/>
        <v>3</v>
      </c>
      <c r="D80" s="31" t="str" cm="1">
        <f t="array" ref="D80">INDEX('RadMap-1'!$H$8:$J$94,1+B80,C80)</f>
        <v/>
      </c>
    </row>
    <row r="81" spans="1:4" x14ac:dyDescent="0.75">
      <c r="A81" s="32">
        <v>79</v>
      </c>
      <c r="B81" s="32">
        <f t="shared" si="2"/>
        <v>26</v>
      </c>
      <c r="C81" s="32">
        <f t="shared" si="3"/>
        <v>1</v>
      </c>
      <c r="D81" s="31" t="str" cm="1">
        <f t="array" ref="D81">INDEX('RadMap-1'!$H$8:$J$94,1+B81,C81)</f>
        <v/>
      </c>
    </row>
    <row r="82" spans="1:4" x14ac:dyDescent="0.75">
      <c r="A82" s="32">
        <v>80</v>
      </c>
      <c r="B82" s="32">
        <f t="shared" si="2"/>
        <v>26</v>
      </c>
      <c r="C82" s="32">
        <f t="shared" si="3"/>
        <v>2</v>
      </c>
      <c r="D82" s="31" t="str" cm="1">
        <f t="array" ref="D82">INDEX('RadMap-1'!$H$8:$J$94,1+B82,C82)</f>
        <v/>
      </c>
    </row>
    <row r="83" spans="1:4" x14ac:dyDescent="0.75">
      <c r="A83" s="32">
        <v>81</v>
      </c>
      <c r="B83" s="32">
        <f t="shared" si="2"/>
        <v>26</v>
      </c>
      <c r="C83" s="32">
        <f t="shared" si="3"/>
        <v>3</v>
      </c>
      <c r="D83" s="31" t="str" cm="1">
        <f t="array" ref="D83">INDEX('RadMap-1'!$H$8:$J$94,1+B83,C83)</f>
        <v/>
      </c>
    </row>
    <row r="84" spans="1:4" x14ac:dyDescent="0.75">
      <c r="A84" s="32">
        <v>82</v>
      </c>
      <c r="B84" s="32">
        <f t="shared" si="2"/>
        <v>27</v>
      </c>
      <c r="C84" s="32">
        <f t="shared" si="3"/>
        <v>1</v>
      </c>
      <c r="D84" s="31" t="str" cm="1">
        <f t="array" ref="D84">INDEX('RadMap-1'!$H$8:$J$94,1+B84,C84)</f>
        <v/>
      </c>
    </row>
    <row r="85" spans="1:4" x14ac:dyDescent="0.75">
      <c r="A85" s="32">
        <v>83</v>
      </c>
      <c r="B85" s="32">
        <f t="shared" si="2"/>
        <v>27</v>
      </c>
      <c r="C85" s="32">
        <f t="shared" si="3"/>
        <v>2</v>
      </c>
      <c r="D85" s="31" t="str" cm="1">
        <f t="array" ref="D85">INDEX('RadMap-1'!$H$8:$J$94,1+B85,C85)</f>
        <v/>
      </c>
    </row>
    <row r="86" spans="1:4" x14ac:dyDescent="0.75">
      <c r="A86" s="32">
        <v>84</v>
      </c>
      <c r="B86" s="32">
        <f t="shared" si="2"/>
        <v>27</v>
      </c>
      <c r="C86" s="32">
        <f t="shared" si="3"/>
        <v>3</v>
      </c>
      <c r="D86" s="31" t="str" cm="1">
        <f t="array" ref="D86">INDEX('RadMap-1'!$H$8:$J$94,1+B86,C86)</f>
        <v/>
      </c>
    </row>
    <row r="87" spans="1:4" x14ac:dyDescent="0.75">
      <c r="A87" s="32">
        <v>85</v>
      </c>
      <c r="B87" s="32">
        <f t="shared" si="2"/>
        <v>28</v>
      </c>
      <c r="C87" s="32">
        <f t="shared" si="3"/>
        <v>1</v>
      </c>
      <c r="D87" s="31" t="str" cm="1">
        <f t="array" ref="D87">INDEX('RadMap-1'!$H$8:$J$94,1+B87,C87)</f>
        <v/>
      </c>
    </row>
    <row r="88" spans="1:4" x14ac:dyDescent="0.75">
      <c r="A88" s="32">
        <v>86</v>
      </c>
      <c r="B88" s="32">
        <f t="shared" si="2"/>
        <v>28</v>
      </c>
      <c r="C88" s="32">
        <f t="shared" si="3"/>
        <v>2</v>
      </c>
      <c r="D88" s="31" t="str" cm="1">
        <f t="array" ref="D88">INDEX('RadMap-1'!$H$8:$J$94,1+B88,C88)</f>
        <v/>
      </c>
    </row>
    <row r="89" spans="1:4" x14ac:dyDescent="0.75">
      <c r="A89" s="32">
        <v>87</v>
      </c>
      <c r="B89" s="32">
        <f t="shared" si="2"/>
        <v>28</v>
      </c>
      <c r="C89" s="32">
        <f t="shared" si="3"/>
        <v>3</v>
      </c>
      <c r="D89" s="31" t="str" cm="1">
        <f t="array" ref="D89">INDEX('RadMap-1'!$H$8:$J$94,1+B89,C89)</f>
        <v/>
      </c>
    </row>
    <row r="90" spans="1:4" x14ac:dyDescent="0.75">
      <c r="A90" s="32">
        <v>88</v>
      </c>
      <c r="B90" s="32">
        <f t="shared" si="2"/>
        <v>29</v>
      </c>
      <c r="C90" s="32">
        <f t="shared" si="3"/>
        <v>1</v>
      </c>
      <c r="D90" s="31" t="str" cm="1">
        <f t="array" ref="D90">INDEX('RadMap-1'!$H$8:$J$94,1+B90,C90)</f>
        <v/>
      </c>
    </row>
    <row r="91" spans="1:4" x14ac:dyDescent="0.75">
      <c r="A91" s="32">
        <v>89</v>
      </c>
      <c r="B91" s="32">
        <f t="shared" si="2"/>
        <v>29</v>
      </c>
      <c r="C91" s="32">
        <f t="shared" si="3"/>
        <v>2</v>
      </c>
      <c r="D91" s="31" t="str" cm="1">
        <f t="array" ref="D91">INDEX('RadMap-1'!$H$8:$J$94,1+B91,C91)</f>
        <v/>
      </c>
    </row>
    <row r="92" spans="1:4" x14ac:dyDescent="0.75">
      <c r="A92" s="32">
        <v>90</v>
      </c>
      <c r="B92" s="32">
        <f t="shared" si="2"/>
        <v>29</v>
      </c>
      <c r="C92" s="32">
        <f t="shared" si="3"/>
        <v>3</v>
      </c>
      <c r="D92" s="31" t="str" cm="1">
        <f t="array" ref="D92">INDEX('RadMap-1'!$H$8:$J$94,1+B92,C92)</f>
        <v/>
      </c>
    </row>
    <row r="93" spans="1:4" x14ac:dyDescent="0.75">
      <c r="A93" s="32">
        <v>91</v>
      </c>
      <c r="B93" s="32">
        <f t="shared" si="2"/>
        <v>30</v>
      </c>
      <c r="C93" s="32">
        <f t="shared" si="3"/>
        <v>1</v>
      </c>
      <c r="D93" s="31" t="str" cm="1">
        <f t="array" ref="D93">INDEX('RadMap-1'!$H$8:$J$94,1+B93,C93)</f>
        <v/>
      </c>
    </row>
    <row r="94" spans="1:4" x14ac:dyDescent="0.75">
      <c r="A94" s="32">
        <v>92</v>
      </c>
      <c r="B94" s="32">
        <f t="shared" si="2"/>
        <v>30</v>
      </c>
      <c r="C94" s="32">
        <f t="shared" si="3"/>
        <v>2</v>
      </c>
      <c r="D94" s="31" t="str" cm="1">
        <f t="array" ref="D94">INDEX('RadMap-1'!$H$8:$J$94,1+B94,C94)</f>
        <v/>
      </c>
    </row>
    <row r="95" spans="1:4" x14ac:dyDescent="0.75">
      <c r="A95" s="32">
        <v>93</v>
      </c>
      <c r="B95" s="32">
        <f t="shared" si="2"/>
        <v>30</v>
      </c>
      <c r="C95" s="32">
        <f t="shared" si="3"/>
        <v>3</v>
      </c>
      <c r="D95" s="31" t="str" cm="1">
        <f t="array" ref="D95">INDEX('RadMap-1'!$H$8:$J$94,1+B95,C95)</f>
        <v/>
      </c>
    </row>
    <row r="96" spans="1:4" x14ac:dyDescent="0.75">
      <c r="A96" s="32">
        <v>94</v>
      </c>
      <c r="B96" s="32">
        <f t="shared" si="2"/>
        <v>31</v>
      </c>
      <c r="C96" s="32">
        <f t="shared" si="3"/>
        <v>1</v>
      </c>
      <c r="D96" s="31" t="str" cm="1">
        <f t="array" ref="D96">INDEX('RadMap-1'!$H$8:$J$94,1+B96,C96)</f>
        <v/>
      </c>
    </row>
    <row r="97" spans="1:4" x14ac:dyDescent="0.75">
      <c r="A97" s="32">
        <v>95</v>
      </c>
      <c r="B97" s="32">
        <f t="shared" si="2"/>
        <v>31</v>
      </c>
      <c r="C97" s="32">
        <f t="shared" si="3"/>
        <v>2</v>
      </c>
      <c r="D97" s="31" t="str" cm="1">
        <f t="array" ref="D97">INDEX('RadMap-1'!$H$8:$J$94,1+B97,C97)</f>
        <v/>
      </c>
    </row>
    <row r="98" spans="1:4" x14ac:dyDescent="0.75">
      <c r="A98" s="32">
        <v>96</v>
      </c>
      <c r="B98" s="32">
        <f t="shared" si="2"/>
        <v>31</v>
      </c>
      <c r="C98" s="32">
        <f t="shared" si="3"/>
        <v>3</v>
      </c>
      <c r="D98" s="31" t="str" cm="1">
        <f t="array" ref="D98">INDEX('RadMap-1'!$H$8:$J$94,1+B98,C98)</f>
        <v/>
      </c>
    </row>
    <row r="99" spans="1:4" x14ac:dyDescent="0.75">
      <c r="A99" s="32">
        <v>97</v>
      </c>
      <c r="B99" s="32">
        <f t="shared" si="2"/>
        <v>32</v>
      </c>
      <c r="C99" s="32">
        <f t="shared" si="3"/>
        <v>1</v>
      </c>
      <c r="D99" s="31" t="str" cm="1">
        <f t="array" ref="D99">INDEX('RadMap-1'!$H$8:$J$94,1+B99,C99)</f>
        <v/>
      </c>
    </row>
    <row r="100" spans="1:4" x14ac:dyDescent="0.75">
      <c r="A100" s="32">
        <v>98</v>
      </c>
      <c r="B100" s="32">
        <f t="shared" si="2"/>
        <v>32</v>
      </c>
      <c r="C100" s="32">
        <f t="shared" si="3"/>
        <v>2</v>
      </c>
      <c r="D100" s="31" t="str" cm="1">
        <f t="array" ref="D100">INDEX('RadMap-1'!$H$8:$J$94,1+B100,C100)</f>
        <v/>
      </c>
    </row>
    <row r="101" spans="1:4" x14ac:dyDescent="0.75">
      <c r="A101" s="32">
        <v>99</v>
      </c>
      <c r="B101" s="32">
        <f t="shared" si="2"/>
        <v>32</v>
      </c>
      <c r="C101" s="32">
        <f t="shared" si="3"/>
        <v>3</v>
      </c>
      <c r="D101" s="31" t="str" cm="1">
        <f t="array" ref="D101">INDEX('RadMap-1'!$H$8:$J$94,1+B101,C101)</f>
        <v/>
      </c>
    </row>
    <row r="102" spans="1:4" x14ac:dyDescent="0.75">
      <c r="A102" s="32">
        <v>100</v>
      </c>
      <c r="B102" s="32">
        <f t="shared" si="2"/>
        <v>33</v>
      </c>
      <c r="C102" s="32">
        <f t="shared" si="3"/>
        <v>1</v>
      </c>
      <c r="D102" s="31" t="str" cm="1">
        <f t="array" ref="D102">INDEX('RadMap-1'!$H$8:$J$94,1+B102,C102)</f>
        <v/>
      </c>
    </row>
    <row r="103" spans="1:4" x14ac:dyDescent="0.75">
      <c r="A103" s="32">
        <v>101</v>
      </c>
      <c r="B103" s="32">
        <f t="shared" si="2"/>
        <v>33</v>
      </c>
      <c r="C103" s="32">
        <f t="shared" si="3"/>
        <v>2</v>
      </c>
      <c r="D103" s="31" t="str" cm="1">
        <f t="array" ref="D103">INDEX('RadMap-1'!$H$8:$J$94,1+B103,C103)</f>
        <v/>
      </c>
    </row>
    <row r="104" spans="1:4" x14ac:dyDescent="0.75">
      <c r="A104" s="32">
        <v>102</v>
      </c>
      <c r="B104" s="32">
        <f t="shared" si="2"/>
        <v>33</v>
      </c>
      <c r="C104" s="32">
        <f t="shared" si="3"/>
        <v>3</v>
      </c>
      <c r="D104" s="31" t="str" cm="1">
        <f t="array" ref="D104">INDEX('RadMap-1'!$H$8:$J$94,1+B104,C104)</f>
        <v/>
      </c>
    </row>
    <row r="105" spans="1:4" x14ac:dyDescent="0.75">
      <c r="A105" s="32">
        <v>103</v>
      </c>
      <c r="B105" s="32">
        <f t="shared" si="2"/>
        <v>34</v>
      </c>
      <c r="C105" s="32">
        <f t="shared" si="3"/>
        <v>1</v>
      </c>
      <c r="D105" s="31" t="str" cm="1">
        <f t="array" ref="D105">INDEX('RadMap-1'!$H$8:$J$94,1+B105,C105)</f>
        <v/>
      </c>
    </row>
    <row r="106" spans="1:4" x14ac:dyDescent="0.75">
      <c r="A106" s="32">
        <v>104</v>
      </c>
      <c r="B106" s="32">
        <f t="shared" si="2"/>
        <v>34</v>
      </c>
      <c r="C106" s="32">
        <f t="shared" si="3"/>
        <v>2</v>
      </c>
      <c r="D106" s="31" t="str" cm="1">
        <f t="array" ref="D106">INDEX('RadMap-1'!$H$8:$J$94,1+B106,C106)</f>
        <v/>
      </c>
    </row>
    <row r="107" spans="1:4" x14ac:dyDescent="0.75">
      <c r="A107" s="32">
        <v>105</v>
      </c>
      <c r="B107" s="32">
        <f t="shared" si="2"/>
        <v>34</v>
      </c>
      <c r="C107" s="32">
        <f t="shared" si="3"/>
        <v>3</v>
      </c>
      <c r="D107" s="31" t="str" cm="1">
        <f t="array" ref="D107">INDEX('RadMap-1'!$H$8:$J$94,1+B107,C107)</f>
        <v/>
      </c>
    </row>
    <row r="108" spans="1:4" x14ac:dyDescent="0.75">
      <c r="A108" s="32">
        <v>106</v>
      </c>
      <c r="B108" s="32">
        <f t="shared" si="2"/>
        <v>35</v>
      </c>
      <c r="C108" s="32">
        <f t="shared" si="3"/>
        <v>1</v>
      </c>
      <c r="D108" s="31" t="str" cm="1">
        <f t="array" ref="D108">INDEX('RadMap-1'!$H$8:$J$94,1+B108,C108)</f>
        <v/>
      </c>
    </row>
    <row r="109" spans="1:4" x14ac:dyDescent="0.75">
      <c r="A109" s="32">
        <v>107</v>
      </c>
      <c r="B109" s="32">
        <f t="shared" si="2"/>
        <v>35</v>
      </c>
      <c r="C109" s="32">
        <f t="shared" si="3"/>
        <v>2</v>
      </c>
      <c r="D109" s="31" t="str" cm="1">
        <f t="array" ref="D109">INDEX('RadMap-1'!$H$8:$J$94,1+B109,C109)</f>
        <v/>
      </c>
    </row>
    <row r="110" spans="1:4" x14ac:dyDescent="0.75">
      <c r="A110" s="32">
        <v>108</v>
      </c>
      <c r="B110" s="32">
        <f t="shared" si="2"/>
        <v>35</v>
      </c>
      <c r="C110" s="32">
        <f t="shared" si="3"/>
        <v>3</v>
      </c>
      <c r="D110" s="31" t="str" cm="1">
        <f t="array" ref="D110">INDEX('RadMap-1'!$H$8:$J$94,1+B110,C110)</f>
        <v/>
      </c>
    </row>
    <row r="111" spans="1:4" x14ac:dyDescent="0.75">
      <c r="A111" s="32">
        <v>109</v>
      </c>
      <c r="B111" s="32">
        <f t="shared" si="2"/>
        <v>36</v>
      </c>
      <c r="C111" s="32">
        <f t="shared" si="3"/>
        <v>1</v>
      </c>
      <c r="D111" s="31" t="str" cm="1">
        <f t="array" ref="D111">INDEX('RadMap-1'!$H$8:$J$94,1+B111,C111)</f>
        <v/>
      </c>
    </row>
    <row r="112" spans="1:4" x14ac:dyDescent="0.75">
      <c r="A112" s="32">
        <v>110</v>
      </c>
      <c r="B112" s="32">
        <f t="shared" si="2"/>
        <v>36</v>
      </c>
      <c r="C112" s="32">
        <f t="shared" si="3"/>
        <v>2</v>
      </c>
      <c r="D112" s="31" t="str" cm="1">
        <f t="array" ref="D112">INDEX('RadMap-1'!$H$8:$J$94,1+B112,C112)</f>
        <v/>
      </c>
    </row>
    <row r="113" spans="1:4" x14ac:dyDescent="0.75">
      <c r="A113" s="32">
        <v>111</v>
      </c>
      <c r="B113" s="32">
        <f t="shared" si="2"/>
        <v>36</v>
      </c>
      <c r="C113" s="32">
        <f t="shared" si="3"/>
        <v>3</v>
      </c>
      <c r="D113" s="31" t="str" cm="1">
        <f t="array" ref="D113">INDEX('RadMap-1'!$H$8:$J$94,1+B113,C113)</f>
        <v/>
      </c>
    </row>
    <row r="114" spans="1:4" x14ac:dyDescent="0.75">
      <c r="A114" s="32">
        <v>112</v>
      </c>
      <c r="B114" s="32">
        <f t="shared" si="2"/>
        <v>37</v>
      </c>
      <c r="C114" s="32">
        <f t="shared" si="3"/>
        <v>1</v>
      </c>
      <c r="D114" s="31" t="str" cm="1">
        <f t="array" ref="D114">INDEX('RadMap-1'!$H$8:$J$94,1+B114,C114)</f>
        <v/>
      </c>
    </row>
    <row r="115" spans="1:4" x14ac:dyDescent="0.75">
      <c r="A115" s="32">
        <v>113</v>
      </c>
      <c r="B115" s="32">
        <f t="shared" si="2"/>
        <v>37</v>
      </c>
      <c r="C115" s="32">
        <f t="shared" si="3"/>
        <v>2</v>
      </c>
      <c r="D115" s="31" t="str" cm="1">
        <f t="array" ref="D115">INDEX('RadMap-1'!$H$8:$J$94,1+B115,C115)</f>
        <v/>
      </c>
    </row>
    <row r="116" spans="1:4" x14ac:dyDescent="0.75">
      <c r="A116" s="32">
        <v>114</v>
      </c>
      <c r="B116" s="32">
        <f t="shared" si="2"/>
        <v>37</v>
      </c>
      <c r="C116" s="32">
        <f t="shared" si="3"/>
        <v>3</v>
      </c>
      <c r="D116" s="31" t="str" cm="1">
        <f t="array" ref="D116">INDEX('RadMap-1'!$H$8:$J$94,1+B116,C116)</f>
        <v/>
      </c>
    </row>
    <row r="117" spans="1:4" x14ac:dyDescent="0.75">
      <c r="A117" s="32">
        <v>115</v>
      </c>
      <c r="B117" s="32">
        <f t="shared" si="2"/>
        <v>38</v>
      </c>
      <c r="C117" s="32">
        <f t="shared" si="3"/>
        <v>1</v>
      </c>
      <c r="D117" s="31" t="str" cm="1">
        <f t="array" ref="D117">INDEX('RadMap-1'!$H$8:$J$94,1+B117,C117)</f>
        <v/>
      </c>
    </row>
    <row r="118" spans="1:4" x14ac:dyDescent="0.75">
      <c r="A118" s="32">
        <v>116</v>
      </c>
      <c r="B118" s="32">
        <f t="shared" si="2"/>
        <v>38</v>
      </c>
      <c r="C118" s="32">
        <f t="shared" si="3"/>
        <v>2</v>
      </c>
      <c r="D118" s="31" t="str" cm="1">
        <f t="array" ref="D118">INDEX('RadMap-1'!$H$8:$J$94,1+B118,C118)</f>
        <v/>
      </c>
    </row>
    <row r="119" spans="1:4" x14ac:dyDescent="0.75">
      <c r="A119" s="32">
        <v>117</v>
      </c>
      <c r="B119" s="32">
        <f t="shared" si="2"/>
        <v>38</v>
      </c>
      <c r="C119" s="32">
        <f t="shared" si="3"/>
        <v>3</v>
      </c>
      <c r="D119" s="31" t="str" cm="1">
        <f t="array" ref="D119">INDEX('RadMap-1'!$H$8:$J$94,1+B119,C119)</f>
        <v/>
      </c>
    </row>
    <row r="120" spans="1:4" x14ac:dyDescent="0.75">
      <c r="A120" s="32">
        <v>118</v>
      </c>
      <c r="B120" s="32">
        <f t="shared" si="2"/>
        <v>39</v>
      </c>
      <c r="C120" s="32">
        <f t="shared" si="3"/>
        <v>1</v>
      </c>
      <c r="D120" s="31" t="str" cm="1">
        <f t="array" ref="D120">INDEX('RadMap-1'!$H$8:$J$94,1+B120,C120)</f>
        <v/>
      </c>
    </row>
    <row r="121" spans="1:4" x14ac:dyDescent="0.75">
      <c r="A121" s="32">
        <v>119</v>
      </c>
      <c r="B121" s="32">
        <f t="shared" si="2"/>
        <v>39</v>
      </c>
      <c r="C121" s="32">
        <f t="shared" si="3"/>
        <v>2</v>
      </c>
      <c r="D121" s="31" t="str" cm="1">
        <f t="array" ref="D121">INDEX('RadMap-1'!$H$8:$J$94,1+B121,C121)</f>
        <v/>
      </c>
    </row>
    <row r="122" spans="1:4" x14ac:dyDescent="0.75">
      <c r="A122" s="32">
        <v>120</v>
      </c>
      <c r="B122" s="32">
        <f t="shared" si="2"/>
        <v>39</v>
      </c>
      <c r="C122" s="32">
        <f t="shared" si="3"/>
        <v>3</v>
      </c>
      <c r="D122" s="31" t="str" cm="1">
        <f t="array" ref="D122">INDEX('RadMap-1'!$H$8:$J$94,1+B122,C122)</f>
        <v/>
      </c>
    </row>
    <row r="123" spans="1:4" x14ac:dyDescent="0.75">
      <c r="A123" s="32">
        <v>121</v>
      </c>
      <c r="B123" s="32">
        <f t="shared" si="2"/>
        <v>40</v>
      </c>
      <c r="C123" s="32">
        <f t="shared" si="3"/>
        <v>1</v>
      </c>
      <c r="D123" s="31" t="str" cm="1">
        <f t="array" ref="D123">INDEX('RadMap-1'!$H$8:$J$94,1+B123,C123)</f>
        <v/>
      </c>
    </row>
    <row r="124" spans="1:4" x14ac:dyDescent="0.75">
      <c r="A124" s="32">
        <v>122</v>
      </c>
      <c r="B124" s="32">
        <f t="shared" si="2"/>
        <v>40</v>
      </c>
      <c r="C124" s="32">
        <f t="shared" si="3"/>
        <v>2</v>
      </c>
      <c r="D124" s="31" t="str" cm="1">
        <f t="array" ref="D124">INDEX('RadMap-1'!$H$8:$J$94,1+B124,C124)</f>
        <v/>
      </c>
    </row>
    <row r="125" spans="1:4" x14ac:dyDescent="0.75">
      <c r="A125" s="32">
        <v>123</v>
      </c>
      <c r="B125" s="32">
        <f t="shared" si="2"/>
        <v>40</v>
      </c>
      <c r="C125" s="32">
        <f t="shared" si="3"/>
        <v>3</v>
      </c>
      <c r="D125" s="31" t="str" cm="1">
        <f t="array" ref="D125">INDEX('RadMap-1'!$H$8:$J$94,1+B125,C125)</f>
        <v/>
      </c>
    </row>
    <row r="126" spans="1:4" x14ac:dyDescent="0.75">
      <c r="A126" s="32">
        <v>124</v>
      </c>
      <c r="B126" s="32">
        <f t="shared" si="2"/>
        <v>41</v>
      </c>
      <c r="C126" s="32">
        <f t="shared" si="3"/>
        <v>1</v>
      </c>
      <c r="D126" s="31" t="str" cm="1">
        <f t="array" ref="D126">INDEX('RadMap-1'!$H$8:$J$94,1+B126,C126)</f>
        <v/>
      </c>
    </row>
    <row r="127" spans="1:4" x14ac:dyDescent="0.75">
      <c r="A127" s="32">
        <v>125</v>
      </c>
      <c r="B127" s="32">
        <f t="shared" si="2"/>
        <v>41</v>
      </c>
      <c r="C127" s="32">
        <f t="shared" si="3"/>
        <v>2</v>
      </c>
      <c r="D127" s="31" t="str" cm="1">
        <f t="array" ref="D127">INDEX('RadMap-1'!$H$8:$J$94,1+B127,C127)</f>
        <v/>
      </c>
    </row>
    <row r="128" spans="1:4" x14ac:dyDescent="0.75">
      <c r="A128" s="32">
        <v>126</v>
      </c>
      <c r="B128" s="32">
        <f t="shared" si="2"/>
        <v>41</v>
      </c>
      <c r="C128" s="32">
        <f t="shared" si="3"/>
        <v>3</v>
      </c>
      <c r="D128" s="31" t="str" cm="1">
        <f t="array" ref="D128">INDEX('RadMap-1'!$H$8:$J$94,1+B128,C128)</f>
        <v/>
      </c>
    </row>
    <row r="129" spans="1:4" x14ac:dyDescent="0.75">
      <c r="A129" s="32">
        <v>127</v>
      </c>
      <c r="B129" s="32">
        <f t="shared" si="2"/>
        <v>42</v>
      </c>
      <c r="C129" s="32">
        <f t="shared" si="3"/>
        <v>1</v>
      </c>
      <c r="D129" s="31" t="str" cm="1">
        <f t="array" ref="D129">INDEX('RadMap-1'!$H$8:$J$94,1+B129,C129)</f>
        <v/>
      </c>
    </row>
    <row r="130" spans="1:4" x14ac:dyDescent="0.75">
      <c r="A130" s="32">
        <v>128</v>
      </c>
      <c r="B130" s="32">
        <f t="shared" si="2"/>
        <v>42</v>
      </c>
      <c r="C130" s="32">
        <f t="shared" si="3"/>
        <v>2</v>
      </c>
      <c r="D130" s="31" t="str" cm="1">
        <f t="array" ref="D130">INDEX('RadMap-1'!$H$8:$J$94,1+B130,C130)</f>
        <v/>
      </c>
    </row>
    <row r="131" spans="1:4" x14ac:dyDescent="0.75">
      <c r="A131" s="32">
        <v>129</v>
      </c>
      <c r="B131" s="32">
        <f t="shared" si="2"/>
        <v>42</v>
      </c>
      <c r="C131" s="32">
        <f t="shared" si="3"/>
        <v>3</v>
      </c>
      <c r="D131" s="31" t="str" cm="1">
        <f t="array" ref="D131">INDEX('RadMap-1'!$H$8:$J$94,1+B131,C131)</f>
        <v/>
      </c>
    </row>
    <row r="132" spans="1:4" x14ac:dyDescent="0.75">
      <c r="A132" s="32">
        <v>130</v>
      </c>
      <c r="B132" s="32">
        <f t="shared" ref="B132:B195" si="4">IF(MOD(A132,3)=0,A132/3-1,INT(A132/3))</f>
        <v>43</v>
      </c>
      <c r="C132" s="32">
        <f t="shared" ref="C132:C195" si="5">IF(MOD(A132,3)=0,3,MOD(A132,3))</f>
        <v>1</v>
      </c>
      <c r="D132" s="31" t="str" cm="1">
        <f t="array" ref="D132">INDEX('RadMap-1'!$H$8:$J$94,1+B132,C132)</f>
        <v/>
      </c>
    </row>
    <row r="133" spans="1:4" x14ac:dyDescent="0.75">
      <c r="A133" s="32">
        <v>131</v>
      </c>
      <c r="B133" s="32">
        <f t="shared" si="4"/>
        <v>43</v>
      </c>
      <c r="C133" s="32">
        <f t="shared" si="5"/>
        <v>2</v>
      </c>
      <c r="D133" s="31" t="str" cm="1">
        <f t="array" ref="D133">INDEX('RadMap-1'!$H$8:$J$94,1+B133,C133)</f>
        <v/>
      </c>
    </row>
    <row r="134" spans="1:4" x14ac:dyDescent="0.75">
      <c r="A134" s="32">
        <v>132</v>
      </c>
      <c r="B134" s="32">
        <f t="shared" si="4"/>
        <v>43</v>
      </c>
      <c r="C134" s="32">
        <f t="shared" si="5"/>
        <v>3</v>
      </c>
      <c r="D134" s="31" t="str" cm="1">
        <f t="array" ref="D134">INDEX('RadMap-1'!$H$8:$J$94,1+B134,C134)</f>
        <v/>
      </c>
    </row>
    <row r="135" spans="1:4" x14ac:dyDescent="0.75">
      <c r="A135" s="32">
        <v>133</v>
      </c>
      <c r="B135" s="32">
        <f t="shared" si="4"/>
        <v>44</v>
      </c>
      <c r="C135" s="32">
        <f t="shared" si="5"/>
        <v>1</v>
      </c>
      <c r="D135" s="31" t="str" cm="1">
        <f t="array" ref="D135">INDEX('RadMap-1'!$H$8:$J$94,1+B135,C135)</f>
        <v/>
      </c>
    </row>
    <row r="136" spans="1:4" x14ac:dyDescent="0.75">
      <c r="A136" s="32">
        <v>134</v>
      </c>
      <c r="B136" s="32">
        <f t="shared" si="4"/>
        <v>44</v>
      </c>
      <c r="C136" s="32">
        <f t="shared" si="5"/>
        <v>2</v>
      </c>
      <c r="D136" s="31" t="str" cm="1">
        <f t="array" ref="D136">INDEX('RadMap-1'!$H$8:$J$94,1+B136,C136)</f>
        <v/>
      </c>
    </row>
    <row r="137" spans="1:4" x14ac:dyDescent="0.75">
      <c r="A137" s="32">
        <v>135</v>
      </c>
      <c r="B137" s="32">
        <f t="shared" si="4"/>
        <v>44</v>
      </c>
      <c r="C137" s="32">
        <f t="shared" si="5"/>
        <v>3</v>
      </c>
      <c r="D137" s="31" t="str" cm="1">
        <f t="array" ref="D137">INDEX('RadMap-1'!$H$8:$J$94,1+B137,C137)</f>
        <v/>
      </c>
    </row>
    <row r="138" spans="1:4" x14ac:dyDescent="0.75">
      <c r="A138" s="32">
        <v>136</v>
      </c>
      <c r="B138" s="32">
        <f t="shared" si="4"/>
        <v>45</v>
      </c>
      <c r="C138" s="32">
        <f t="shared" si="5"/>
        <v>1</v>
      </c>
      <c r="D138" s="31" t="str" cm="1">
        <f t="array" ref="D138">INDEX('RadMap-1'!$H$8:$J$94,1+B138,C138)</f>
        <v/>
      </c>
    </row>
    <row r="139" spans="1:4" x14ac:dyDescent="0.75">
      <c r="A139" s="32">
        <v>137</v>
      </c>
      <c r="B139" s="32">
        <f t="shared" si="4"/>
        <v>45</v>
      </c>
      <c r="C139" s="32">
        <f t="shared" si="5"/>
        <v>2</v>
      </c>
      <c r="D139" s="31" t="str" cm="1">
        <f t="array" ref="D139">INDEX('RadMap-1'!$H$8:$J$94,1+B139,C139)</f>
        <v/>
      </c>
    </row>
    <row r="140" spans="1:4" x14ac:dyDescent="0.75">
      <c r="A140" s="32">
        <v>138</v>
      </c>
      <c r="B140" s="32">
        <f t="shared" si="4"/>
        <v>45</v>
      </c>
      <c r="C140" s="32">
        <f t="shared" si="5"/>
        <v>3</v>
      </c>
      <c r="D140" s="31" t="str" cm="1">
        <f t="array" ref="D140">INDEX('RadMap-1'!$H$8:$J$94,1+B140,C140)</f>
        <v/>
      </c>
    </row>
    <row r="141" spans="1:4" x14ac:dyDescent="0.75">
      <c r="A141" s="32">
        <v>139</v>
      </c>
      <c r="B141" s="32">
        <f t="shared" si="4"/>
        <v>46</v>
      </c>
      <c r="C141" s="32">
        <f t="shared" si="5"/>
        <v>1</v>
      </c>
      <c r="D141" s="31" t="str" cm="1">
        <f t="array" ref="D141">INDEX('RadMap-1'!$H$8:$J$94,1+B141,C141)</f>
        <v/>
      </c>
    </row>
    <row r="142" spans="1:4" x14ac:dyDescent="0.75">
      <c r="A142" s="32">
        <v>140</v>
      </c>
      <c r="B142" s="32">
        <f t="shared" si="4"/>
        <v>46</v>
      </c>
      <c r="C142" s="32">
        <f t="shared" si="5"/>
        <v>2</v>
      </c>
      <c r="D142" s="31" t="str" cm="1">
        <f t="array" ref="D142">INDEX('RadMap-1'!$H$8:$J$94,1+B142,C142)</f>
        <v/>
      </c>
    </row>
    <row r="143" spans="1:4" x14ac:dyDescent="0.75">
      <c r="A143" s="32">
        <v>141</v>
      </c>
      <c r="B143" s="32">
        <f t="shared" si="4"/>
        <v>46</v>
      </c>
      <c r="C143" s="32">
        <f t="shared" si="5"/>
        <v>3</v>
      </c>
      <c r="D143" s="31" t="str" cm="1">
        <f t="array" ref="D143">INDEX('RadMap-1'!$H$8:$J$94,1+B143,C143)</f>
        <v/>
      </c>
    </row>
    <row r="144" spans="1:4" x14ac:dyDescent="0.75">
      <c r="A144" s="32">
        <v>142</v>
      </c>
      <c r="B144" s="32">
        <f t="shared" si="4"/>
        <v>47</v>
      </c>
      <c r="C144" s="32">
        <f t="shared" si="5"/>
        <v>1</v>
      </c>
      <c r="D144" s="31" t="str" cm="1">
        <f t="array" ref="D144">INDEX('RadMap-1'!$H$8:$J$94,1+B144,C144)</f>
        <v/>
      </c>
    </row>
    <row r="145" spans="1:4" x14ac:dyDescent="0.75">
      <c r="A145" s="32">
        <v>143</v>
      </c>
      <c r="B145" s="32">
        <f t="shared" si="4"/>
        <v>47</v>
      </c>
      <c r="C145" s="32">
        <f t="shared" si="5"/>
        <v>2</v>
      </c>
      <c r="D145" s="31" t="str" cm="1">
        <f t="array" ref="D145">INDEX('RadMap-1'!$H$8:$J$94,1+B145,C145)</f>
        <v/>
      </c>
    </row>
    <row r="146" spans="1:4" x14ac:dyDescent="0.75">
      <c r="A146" s="32">
        <v>144</v>
      </c>
      <c r="B146" s="32">
        <f t="shared" si="4"/>
        <v>47</v>
      </c>
      <c r="C146" s="32">
        <f t="shared" si="5"/>
        <v>3</v>
      </c>
      <c r="D146" s="31" t="str" cm="1">
        <f t="array" ref="D146">INDEX('RadMap-1'!$H$8:$J$94,1+B146,C146)</f>
        <v/>
      </c>
    </row>
    <row r="147" spans="1:4" x14ac:dyDescent="0.75">
      <c r="A147" s="32">
        <v>145</v>
      </c>
      <c r="B147" s="32">
        <f t="shared" si="4"/>
        <v>48</v>
      </c>
      <c r="C147" s="32">
        <f t="shared" si="5"/>
        <v>1</v>
      </c>
      <c r="D147" s="31" t="str" cm="1">
        <f t="array" ref="D147">INDEX('RadMap-1'!$H$8:$J$94,1+B147,C147)</f>
        <v/>
      </c>
    </row>
    <row r="148" spans="1:4" x14ac:dyDescent="0.75">
      <c r="A148" s="32">
        <v>146</v>
      </c>
      <c r="B148" s="32">
        <f t="shared" si="4"/>
        <v>48</v>
      </c>
      <c r="C148" s="32">
        <f t="shared" si="5"/>
        <v>2</v>
      </c>
      <c r="D148" s="31" t="str" cm="1">
        <f t="array" ref="D148">INDEX('RadMap-1'!$H$8:$J$94,1+B148,C148)</f>
        <v/>
      </c>
    </row>
    <row r="149" spans="1:4" x14ac:dyDescent="0.75">
      <c r="A149" s="32">
        <v>147</v>
      </c>
      <c r="B149" s="32">
        <f t="shared" si="4"/>
        <v>48</v>
      </c>
      <c r="C149" s="32">
        <f t="shared" si="5"/>
        <v>3</v>
      </c>
      <c r="D149" s="31" t="str" cm="1">
        <f t="array" ref="D149">INDEX('RadMap-1'!$H$8:$J$94,1+B149,C149)</f>
        <v/>
      </c>
    </row>
    <row r="150" spans="1:4" x14ac:dyDescent="0.75">
      <c r="A150" s="32">
        <v>148</v>
      </c>
      <c r="B150" s="32">
        <f t="shared" si="4"/>
        <v>49</v>
      </c>
      <c r="C150" s="32">
        <f t="shared" si="5"/>
        <v>1</v>
      </c>
      <c r="D150" s="31" t="str" cm="1">
        <f t="array" ref="D150">INDEX('RadMap-1'!$H$8:$J$94,1+B150,C150)</f>
        <v/>
      </c>
    </row>
    <row r="151" spans="1:4" x14ac:dyDescent="0.75">
      <c r="A151" s="32">
        <v>149</v>
      </c>
      <c r="B151" s="32">
        <f t="shared" si="4"/>
        <v>49</v>
      </c>
      <c r="C151" s="32">
        <f t="shared" si="5"/>
        <v>2</v>
      </c>
      <c r="D151" s="31" t="str" cm="1">
        <f t="array" ref="D151">INDEX('RadMap-1'!$H$8:$J$94,1+B151,C151)</f>
        <v/>
      </c>
    </row>
    <row r="152" spans="1:4" x14ac:dyDescent="0.75">
      <c r="A152" s="32">
        <v>150</v>
      </c>
      <c r="B152" s="32">
        <f t="shared" si="4"/>
        <v>49</v>
      </c>
      <c r="C152" s="32">
        <f t="shared" si="5"/>
        <v>3</v>
      </c>
      <c r="D152" s="31" t="str" cm="1">
        <f t="array" ref="D152">INDEX('RadMap-1'!$H$8:$J$94,1+B152,C152)</f>
        <v/>
      </c>
    </row>
    <row r="153" spans="1:4" x14ac:dyDescent="0.75">
      <c r="A153" s="32">
        <v>151</v>
      </c>
      <c r="B153" s="32">
        <f t="shared" si="4"/>
        <v>50</v>
      </c>
      <c r="C153" s="32">
        <f t="shared" si="5"/>
        <v>1</v>
      </c>
      <c r="D153" s="31" t="str" cm="1">
        <f t="array" ref="D153">INDEX('RadMap-1'!$H$8:$J$94,1+B153,C153)</f>
        <v/>
      </c>
    </row>
    <row r="154" spans="1:4" x14ac:dyDescent="0.75">
      <c r="A154" s="32">
        <v>152</v>
      </c>
      <c r="B154" s="32">
        <f t="shared" si="4"/>
        <v>50</v>
      </c>
      <c r="C154" s="32">
        <f t="shared" si="5"/>
        <v>2</v>
      </c>
      <c r="D154" s="31" t="str" cm="1">
        <f t="array" ref="D154">INDEX('RadMap-1'!$H$8:$J$94,1+B154,C154)</f>
        <v/>
      </c>
    </row>
    <row r="155" spans="1:4" x14ac:dyDescent="0.75">
      <c r="A155" s="32">
        <v>153</v>
      </c>
      <c r="B155" s="32">
        <f t="shared" si="4"/>
        <v>50</v>
      </c>
      <c r="C155" s="32">
        <f t="shared" si="5"/>
        <v>3</v>
      </c>
      <c r="D155" s="31" t="str" cm="1">
        <f t="array" ref="D155">INDEX('RadMap-1'!$H$8:$J$94,1+B155,C155)</f>
        <v/>
      </c>
    </row>
    <row r="156" spans="1:4" x14ac:dyDescent="0.75">
      <c r="A156" s="32">
        <v>154</v>
      </c>
      <c r="B156" s="32">
        <f t="shared" si="4"/>
        <v>51</v>
      </c>
      <c r="C156" s="32">
        <f t="shared" si="5"/>
        <v>1</v>
      </c>
      <c r="D156" s="31" t="str" cm="1">
        <f t="array" ref="D156">INDEX('RadMap-1'!$H$8:$J$94,1+B156,C156)</f>
        <v/>
      </c>
    </row>
    <row r="157" spans="1:4" x14ac:dyDescent="0.75">
      <c r="A157" s="32">
        <v>155</v>
      </c>
      <c r="B157" s="32">
        <f t="shared" si="4"/>
        <v>51</v>
      </c>
      <c r="C157" s="32">
        <f t="shared" si="5"/>
        <v>2</v>
      </c>
      <c r="D157" s="31" t="str" cm="1">
        <f t="array" ref="D157">INDEX('RadMap-1'!$H$8:$J$94,1+B157,C157)</f>
        <v/>
      </c>
    </row>
    <row r="158" spans="1:4" x14ac:dyDescent="0.75">
      <c r="A158" s="32">
        <v>156</v>
      </c>
      <c r="B158" s="32">
        <f t="shared" si="4"/>
        <v>51</v>
      </c>
      <c r="C158" s="32">
        <f t="shared" si="5"/>
        <v>3</v>
      </c>
      <c r="D158" s="31" t="str" cm="1">
        <f t="array" ref="D158">INDEX('RadMap-1'!$H$8:$J$94,1+B158,C158)</f>
        <v/>
      </c>
    </row>
    <row r="159" spans="1:4" x14ac:dyDescent="0.75">
      <c r="A159" s="32">
        <v>157</v>
      </c>
      <c r="B159" s="32">
        <f t="shared" si="4"/>
        <v>52</v>
      </c>
      <c r="C159" s="32">
        <f t="shared" si="5"/>
        <v>1</v>
      </c>
      <c r="D159" s="31" cm="1">
        <f t="array" ref="D159">INDEX('RadMap-1'!$H$8:$J$94,1+B159,C159)</f>
        <v>0</v>
      </c>
    </row>
    <row r="160" spans="1:4" x14ac:dyDescent="0.75">
      <c r="A160" s="32">
        <v>158</v>
      </c>
      <c r="B160" s="32">
        <f t="shared" si="4"/>
        <v>52</v>
      </c>
      <c r="C160" s="32">
        <f t="shared" si="5"/>
        <v>2</v>
      </c>
      <c r="D160" s="31" cm="1">
        <f t="array" ref="D160">INDEX('RadMap-1'!$H$8:$J$94,1+B160,C160)</f>
        <v>0</v>
      </c>
    </row>
    <row r="161" spans="1:4" x14ac:dyDescent="0.75">
      <c r="A161" s="32">
        <v>159</v>
      </c>
      <c r="B161" s="32">
        <f t="shared" si="4"/>
        <v>52</v>
      </c>
      <c r="C161" s="32">
        <f t="shared" si="5"/>
        <v>3</v>
      </c>
      <c r="D161" s="31" cm="1">
        <f t="array" ref="D161">INDEX('RadMap-1'!$H$8:$J$94,1+B161,C161)</f>
        <v>0</v>
      </c>
    </row>
    <row r="162" spans="1:4" x14ac:dyDescent="0.75">
      <c r="A162" s="32">
        <v>160</v>
      </c>
      <c r="B162" s="32">
        <f t="shared" si="4"/>
        <v>53</v>
      </c>
      <c r="C162" s="32">
        <f t="shared" si="5"/>
        <v>1</v>
      </c>
      <c r="D162" s="31" cm="1">
        <f t="array" ref="D162">INDEX('RadMap-1'!$H$8:$J$94,1+B162,C162)</f>
        <v>0</v>
      </c>
    </row>
    <row r="163" spans="1:4" x14ac:dyDescent="0.75">
      <c r="A163" s="32">
        <v>161</v>
      </c>
      <c r="B163" s="32">
        <f t="shared" si="4"/>
        <v>53</v>
      </c>
      <c r="C163" s="32">
        <f t="shared" si="5"/>
        <v>2</v>
      </c>
      <c r="D163" s="31" cm="1">
        <f t="array" ref="D163">INDEX('RadMap-1'!$H$8:$J$94,1+B163,C163)</f>
        <v>0</v>
      </c>
    </row>
    <row r="164" spans="1:4" x14ac:dyDescent="0.75">
      <c r="A164" s="32">
        <v>162</v>
      </c>
      <c r="B164" s="32">
        <f t="shared" si="4"/>
        <v>53</v>
      </c>
      <c r="C164" s="32">
        <f t="shared" si="5"/>
        <v>3</v>
      </c>
      <c r="D164" s="31" cm="1">
        <f t="array" ref="D164">INDEX('RadMap-1'!$H$8:$J$94,1+B164,C164)</f>
        <v>0</v>
      </c>
    </row>
    <row r="165" spans="1:4" x14ac:dyDescent="0.75">
      <c r="A165" s="32">
        <v>163</v>
      </c>
      <c r="B165" s="32">
        <f t="shared" si="4"/>
        <v>54</v>
      </c>
      <c r="C165" s="32">
        <f t="shared" si="5"/>
        <v>1</v>
      </c>
      <c r="D165" s="31" cm="1">
        <f t="array" ref="D165">INDEX('RadMap-1'!$H$8:$J$94,1+B165,C165)</f>
        <v>0</v>
      </c>
    </row>
    <row r="166" spans="1:4" x14ac:dyDescent="0.75">
      <c r="A166" s="32">
        <v>164</v>
      </c>
      <c r="B166" s="32">
        <f t="shared" si="4"/>
        <v>54</v>
      </c>
      <c r="C166" s="32">
        <f t="shared" si="5"/>
        <v>2</v>
      </c>
      <c r="D166" s="31" cm="1">
        <f t="array" ref="D166">INDEX('RadMap-1'!$H$8:$J$94,1+B166,C166)</f>
        <v>0</v>
      </c>
    </row>
    <row r="167" spans="1:4" x14ac:dyDescent="0.75">
      <c r="A167" s="32">
        <v>165</v>
      </c>
      <c r="B167" s="32">
        <f t="shared" si="4"/>
        <v>54</v>
      </c>
      <c r="C167" s="32">
        <f t="shared" si="5"/>
        <v>3</v>
      </c>
      <c r="D167" s="31" cm="1">
        <f t="array" ref="D167">INDEX('RadMap-1'!$H$8:$J$94,1+B167,C167)</f>
        <v>0</v>
      </c>
    </row>
    <row r="168" spans="1:4" x14ac:dyDescent="0.75">
      <c r="A168" s="32">
        <v>166</v>
      </c>
      <c r="B168" s="32">
        <f t="shared" si="4"/>
        <v>55</v>
      </c>
      <c r="C168" s="32">
        <f t="shared" si="5"/>
        <v>1</v>
      </c>
      <c r="D168" s="31" cm="1">
        <f t="array" ref="D168">INDEX('RadMap-1'!$H$8:$J$94,1+B168,C168)</f>
        <v>0</v>
      </c>
    </row>
    <row r="169" spans="1:4" x14ac:dyDescent="0.75">
      <c r="A169" s="32">
        <v>167</v>
      </c>
      <c r="B169" s="32">
        <f t="shared" si="4"/>
        <v>55</v>
      </c>
      <c r="C169" s="32">
        <f t="shared" si="5"/>
        <v>2</v>
      </c>
      <c r="D169" s="31" cm="1">
        <f t="array" ref="D169">INDEX('RadMap-1'!$H$8:$J$94,1+B169,C169)</f>
        <v>0</v>
      </c>
    </row>
    <row r="170" spans="1:4" x14ac:dyDescent="0.75">
      <c r="A170" s="32">
        <v>168</v>
      </c>
      <c r="B170" s="32">
        <f t="shared" si="4"/>
        <v>55</v>
      </c>
      <c r="C170" s="32">
        <f t="shared" si="5"/>
        <v>3</v>
      </c>
      <c r="D170" s="31" cm="1">
        <f t="array" ref="D170">INDEX('RadMap-1'!$H$8:$J$94,1+B170,C170)</f>
        <v>0</v>
      </c>
    </row>
    <row r="171" spans="1:4" x14ac:dyDescent="0.75">
      <c r="A171" s="32">
        <v>169</v>
      </c>
      <c r="B171" s="32">
        <f t="shared" si="4"/>
        <v>56</v>
      </c>
      <c r="C171" s="32">
        <f t="shared" si="5"/>
        <v>1</v>
      </c>
      <c r="D171" s="31" cm="1">
        <f t="array" ref="D171">INDEX('RadMap-1'!$H$8:$J$94,1+B171,C171)</f>
        <v>0</v>
      </c>
    </row>
    <row r="172" spans="1:4" x14ac:dyDescent="0.75">
      <c r="A172" s="32">
        <v>170</v>
      </c>
      <c r="B172" s="32">
        <f t="shared" si="4"/>
        <v>56</v>
      </c>
      <c r="C172" s="32">
        <f t="shared" si="5"/>
        <v>2</v>
      </c>
      <c r="D172" s="31" cm="1">
        <f t="array" ref="D172">INDEX('RadMap-1'!$H$8:$J$94,1+B172,C172)</f>
        <v>0</v>
      </c>
    </row>
    <row r="173" spans="1:4" x14ac:dyDescent="0.75">
      <c r="A173" s="32">
        <v>171</v>
      </c>
      <c r="B173" s="32">
        <f t="shared" si="4"/>
        <v>56</v>
      </c>
      <c r="C173" s="32">
        <f t="shared" si="5"/>
        <v>3</v>
      </c>
      <c r="D173" s="31" cm="1">
        <f t="array" ref="D173">INDEX('RadMap-1'!$H$8:$J$94,1+B173,C173)</f>
        <v>0</v>
      </c>
    </row>
    <row r="174" spans="1:4" x14ac:dyDescent="0.75">
      <c r="A174" s="32">
        <v>172</v>
      </c>
      <c r="B174" s="32">
        <f t="shared" si="4"/>
        <v>57</v>
      </c>
      <c r="C174" s="32">
        <f t="shared" si="5"/>
        <v>1</v>
      </c>
      <c r="D174" s="31" cm="1">
        <f t="array" ref="D174">INDEX('RadMap-1'!$H$8:$J$94,1+B174,C174)</f>
        <v>0</v>
      </c>
    </row>
    <row r="175" spans="1:4" x14ac:dyDescent="0.75">
      <c r="A175" s="32">
        <v>173</v>
      </c>
      <c r="B175" s="32">
        <f t="shared" si="4"/>
        <v>57</v>
      </c>
      <c r="C175" s="32">
        <f t="shared" si="5"/>
        <v>2</v>
      </c>
      <c r="D175" s="31" cm="1">
        <f t="array" ref="D175">INDEX('RadMap-1'!$H$8:$J$94,1+B175,C175)</f>
        <v>0</v>
      </c>
    </row>
    <row r="176" spans="1:4" x14ac:dyDescent="0.75">
      <c r="A176" s="32">
        <v>174</v>
      </c>
      <c r="B176" s="32">
        <f t="shared" si="4"/>
        <v>57</v>
      </c>
      <c r="C176" s="32">
        <f t="shared" si="5"/>
        <v>3</v>
      </c>
      <c r="D176" s="31" cm="1">
        <f t="array" ref="D176">INDEX('RadMap-1'!$H$8:$J$94,1+B176,C176)</f>
        <v>0</v>
      </c>
    </row>
    <row r="177" spans="1:4" x14ac:dyDescent="0.75">
      <c r="A177" s="32">
        <v>175</v>
      </c>
      <c r="B177" s="32">
        <f t="shared" si="4"/>
        <v>58</v>
      </c>
      <c r="C177" s="32">
        <f t="shared" si="5"/>
        <v>1</v>
      </c>
      <c r="D177" s="31" cm="1">
        <f t="array" ref="D177">INDEX('RadMap-1'!$H$8:$J$94,1+B177,C177)</f>
        <v>0</v>
      </c>
    </row>
    <row r="178" spans="1:4" x14ac:dyDescent="0.75">
      <c r="A178" s="32">
        <v>176</v>
      </c>
      <c r="B178" s="32">
        <f t="shared" si="4"/>
        <v>58</v>
      </c>
      <c r="C178" s="32">
        <f t="shared" si="5"/>
        <v>2</v>
      </c>
      <c r="D178" s="31" cm="1">
        <f t="array" ref="D178">INDEX('RadMap-1'!$H$8:$J$94,1+B178,C178)</f>
        <v>0</v>
      </c>
    </row>
    <row r="179" spans="1:4" x14ac:dyDescent="0.75">
      <c r="A179" s="32">
        <v>177</v>
      </c>
      <c r="B179" s="32">
        <f t="shared" si="4"/>
        <v>58</v>
      </c>
      <c r="C179" s="32">
        <f t="shared" si="5"/>
        <v>3</v>
      </c>
      <c r="D179" s="31" cm="1">
        <f t="array" ref="D179">INDEX('RadMap-1'!$H$8:$J$94,1+B179,C179)</f>
        <v>0</v>
      </c>
    </row>
    <row r="180" spans="1:4" x14ac:dyDescent="0.75">
      <c r="A180" s="32">
        <v>178</v>
      </c>
      <c r="B180" s="32">
        <f t="shared" si="4"/>
        <v>59</v>
      </c>
      <c r="C180" s="32">
        <f t="shared" si="5"/>
        <v>1</v>
      </c>
      <c r="D180" s="31" cm="1">
        <f t="array" ref="D180">INDEX('RadMap-1'!$H$8:$J$94,1+B180,C180)</f>
        <v>0</v>
      </c>
    </row>
    <row r="181" spans="1:4" x14ac:dyDescent="0.75">
      <c r="A181" s="32">
        <v>179</v>
      </c>
      <c r="B181" s="32">
        <f t="shared" si="4"/>
        <v>59</v>
      </c>
      <c r="C181" s="32">
        <f t="shared" si="5"/>
        <v>2</v>
      </c>
      <c r="D181" s="31" cm="1">
        <f t="array" ref="D181">INDEX('RadMap-1'!$H$8:$J$94,1+B181,C181)</f>
        <v>0</v>
      </c>
    </row>
    <row r="182" spans="1:4" x14ac:dyDescent="0.75">
      <c r="A182" s="32">
        <v>180</v>
      </c>
      <c r="B182" s="32">
        <f t="shared" si="4"/>
        <v>59</v>
      </c>
      <c r="C182" s="32">
        <f t="shared" si="5"/>
        <v>3</v>
      </c>
      <c r="D182" s="31" cm="1">
        <f t="array" ref="D182">INDEX('RadMap-1'!$H$8:$J$94,1+B182,C182)</f>
        <v>0</v>
      </c>
    </row>
    <row r="183" spans="1:4" x14ac:dyDescent="0.75">
      <c r="A183" s="32">
        <v>181</v>
      </c>
      <c r="B183" s="32">
        <f t="shared" si="4"/>
        <v>60</v>
      </c>
      <c r="C183" s="32">
        <f t="shared" si="5"/>
        <v>1</v>
      </c>
      <c r="D183" s="31" cm="1">
        <f t="array" ref="D183">INDEX('RadMap-1'!$H$8:$J$94,1+B183,C183)</f>
        <v>0</v>
      </c>
    </row>
    <row r="184" spans="1:4" x14ac:dyDescent="0.75">
      <c r="A184" s="32">
        <v>182</v>
      </c>
      <c r="B184" s="32">
        <f t="shared" si="4"/>
        <v>60</v>
      </c>
      <c r="C184" s="32">
        <f t="shared" si="5"/>
        <v>2</v>
      </c>
      <c r="D184" s="31" cm="1">
        <f t="array" ref="D184">INDEX('RadMap-1'!$H$8:$J$94,1+B184,C184)</f>
        <v>0</v>
      </c>
    </row>
    <row r="185" spans="1:4" x14ac:dyDescent="0.75">
      <c r="A185" s="32">
        <v>183</v>
      </c>
      <c r="B185" s="32">
        <f t="shared" si="4"/>
        <v>60</v>
      </c>
      <c r="C185" s="32">
        <f t="shared" si="5"/>
        <v>3</v>
      </c>
      <c r="D185" s="31" cm="1">
        <f t="array" ref="D185">INDEX('RadMap-1'!$H$8:$J$94,1+B185,C185)</f>
        <v>0</v>
      </c>
    </row>
    <row r="186" spans="1:4" x14ac:dyDescent="0.75">
      <c r="A186" s="32">
        <v>184</v>
      </c>
      <c r="B186" s="32">
        <f t="shared" si="4"/>
        <v>61</v>
      </c>
      <c r="C186" s="32">
        <f t="shared" si="5"/>
        <v>1</v>
      </c>
      <c r="D186" s="31" cm="1">
        <f t="array" ref="D186">INDEX('RadMap-1'!$H$8:$J$94,1+B186,C186)</f>
        <v>0</v>
      </c>
    </row>
    <row r="187" spans="1:4" x14ac:dyDescent="0.75">
      <c r="A187" s="32">
        <v>185</v>
      </c>
      <c r="B187" s="32">
        <f t="shared" si="4"/>
        <v>61</v>
      </c>
      <c r="C187" s="32">
        <f t="shared" si="5"/>
        <v>2</v>
      </c>
      <c r="D187" s="31" cm="1">
        <f t="array" ref="D187">INDEX('RadMap-1'!$H$8:$J$94,1+B187,C187)</f>
        <v>0</v>
      </c>
    </row>
    <row r="188" spans="1:4" x14ac:dyDescent="0.75">
      <c r="A188" s="32">
        <v>186</v>
      </c>
      <c r="B188" s="32">
        <f t="shared" si="4"/>
        <v>61</v>
      </c>
      <c r="C188" s="32">
        <f t="shared" si="5"/>
        <v>3</v>
      </c>
      <c r="D188" s="31" cm="1">
        <f t="array" ref="D188">INDEX('RadMap-1'!$H$8:$J$94,1+B188,C188)</f>
        <v>0</v>
      </c>
    </row>
    <row r="189" spans="1:4" x14ac:dyDescent="0.75">
      <c r="A189" s="32">
        <v>187</v>
      </c>
      <c r="B189" s="32">
        <f t="shared" si="4"/>
        <v>62</v>
      </c>
      <c r="C189" s="32">
        <f t="shared" si="5"/>
        <v>1</v>
      </c>
      <c r="D189" s="31" cm="1">
        <f t="array" ref="D189">INDEX('RadMap-1'!$H$8:$J$94,1+B189,C189)</f>
        <v>0</v>
      </c>
    </row>
    <row r="190" spans="1:4" x14ac:dyDescent="0.75">
      <c r="A190" s="32">
        <v>188</v>
      </c>
      <c r="B190" s="32">
        <f t="shared" si="4"/>
        <v>62</v>
      </c>
      <c r="C190" s="32">
        <f t="shared" si="5"/>
        <v>2</v>
      </c>
      <c r="D190" s="31" cm="1">
        <f t="array" ref="D190">INDEX('RadMap-1'!$H$8:$J$94,1+B190,C190)</f>
        <v>0</v>
      </c>
    </row>
    <row r="191" spans="1:4" x14ac:dyDescent="0.75">
      <c r="A191" s="32">
        <v>189</v>
      </c>
      <c r="B191" s="32">
        <f t="shared" si="4"/>
        <v>62</v>
      </c>
      <c r="C191" s="32">
        <f t="shared" si="5"/>
        <v>3</v>
      </c>
      <c r="D191" s="31" cm="1">
        <f t="array" ref="D191">INDEX('RadMap-1'!$H$8:$J$94,1+B191,C191)</f>
        <v>0</v>
      </c>
    </row>
    <row r="192" spans="1:4" x14ac:dyDescent="0.75">
      <c r="A192" s="32">
        <v>190</v>
      </c>
      <c r="B192" s="32">
        <f t="shared" si="4"/>
        <v>63</v>
      </c>
      <c r="C192" s="32">
        <f t="shared" si="5"/>
        <v>1</v>
      </c>
      <c r="D192" s="31" cm="1">
        <f t="array" ref="D192">INDEX('RadMap-1'!$H$8:$J$94,1+B192,C192)</f>
        <v>0</v>
      </c>
    </row>
    <row r="193" spans="1:4" x14ac:dyDescent="0.75">
      <c r="A193" s="32">
        <v>191</v>
      </c>
      <c r="B193" s="32">
        <f t="shared" si="4"/>
        <v>63</v>
      </c>
      <c r="C193" s="32">
        <f t="shared" si="5"/>
        <v>2</v>
      </c>
      <c r="D193" s="31" cm="1">
        <f t="array" ref="D193">INDEX('RadMap-1'!$H$8:$J$94,1+B193,C193)</f>
        <v>0</v>
      </c>
    </row>
    <row r="194" spans="1:4" x14ac:dyDescent="0.75">
      <c r="A194" s="32">
        <v>192</v>
      </c>
      <c r="B194" s="32">
        <f t="shared" si="4"/>
        <v>63</v>
      </c>
      <c r="C194" s="32">
        <f t="shared" si="5"/>
        <v>3</v>
      </c>
      <c r="D194" s="31" cm="1">
        <f t="array" ref="D194">INDEX('RadMap-1'!$H$8:$J$94,1+B194,C194)</f>
        <v>0</v>
      </c>
    </row>
    <row r="195" spans="1:4" x14ac:dyDescent="0.75">
      <c r="A195" s="32">
        <v>193</v>
      </c>
      <c r="B195" s="32">
        <f t="shared" si="4"/>
        <v>64</v>
      </c>
      <c r="C195" s="32">
        <f t="shared" si="5"/>
        <v>1</v>
      </c>
      <c r="D195" s="31" cm="1">
        <f t="array" ref="D195">INDEX('RadMap-1'!$H$8:$J$94,1+B195,C195)</f>
        <v>0</v>
      </c>
    </row>
    <row r="196" spans="1:4" x14ac:dyDescent="0.75">
      <c r="A196" s="32">
        <v>194</v>
      </c>
      <c r="B196" s="32">
        <f t="shared" ref="B196:B259" si="6">IF(MOD(A196,3)=0,A196/3-1,INT(A196/3))</f>
        <v>64</v>
      </c>
      <c r="C196" s="32">
        <f t="shared" ref="C196:C259" si="7">IF(MOD(A196,3)=0,3,MOD(A196,3))</f>
        <v>2</v>
      </c>
      <c r="D196" s="31" cm="1">
        <f t="array" ref="D196">INDEX('RadMap-1'!$H$8:$J$94,1+B196,C196)</f>
        <v>0</v>
      </c>
    </row>
    <row r="197" spans="1:4" x14ac:dyDescent="0.75">
      <c r="A197" s="32">
        <v>195</v>
      </c>
      <c r="B197" s="32">
        <f t="shared" si="6"/>
        <v>64</v>
      </c>
      <c r="C197" s="32">
        <f t="shared" si="7"/>
        <v>3</v>
      </c>
      <c r="D197" s="31" cm="1">
        <f t="array" ref="D197">INDEX('RadMap-1'!$H$8:$J$94,1+B197,C197)</f>
        <v>0</v>
      </c>
    </row>
    <row r="198" spans="1:4" x14ac:dyDescent="0.75">
      <c r="A198" s="32">
        <v>196</v>
      </c>
      <c r="B198" s="32">
        <f t="shared" si="6"/>
        <v>65</v>
      </c>
      <c r="C198" s="32">
        <f t="shared" si="7"/>
        <v>1</v>
      </c>
      <c r="D198" s="31" cm="1">
        <f t="array" ref="D198">INDEX('RadMap-1'!$H$8:$J$94,1+B198,C198)</f>
        <v>0</v>
      </c>
    </row>
    <row r="199" spans="1:4" x14ac:dyDescent="0.75">
      <c r="A199" s="32">
        <v>197</v>
      </c>
      <c r="B199" s="32">
        <f t="shared" si="6"/>
        <v>65</v>
      </c>
      <c r="C199" s="32">
        <f t="shared" si="7"/>
        <v>2</v>
      </c>
      <c r="D199" s="31" cm="1">
        <f t="array" ref="D199">INDEX('RadMap-1'!$H$8:$J$94,1+B199,C199)</f>
        <v>0</v>
      </c>
    </row>
    <row r="200" spans="1:4" x14ac:dyDescent="0.75">
      <c r="A200" s="32">
        <v>198</v>
      </c>
      <c r="B200" s="32">
        <f t="shared" si="6"/>
        <v>65</v>
      </c>
      <c r="C200" s="32">
        <f t="shared" si="7"/>
        <v>3</v>
      </c>
      <c r="D200" s="31" cm="1">
        <f t="array" ref="D200">INDEX('RadMap-1'!$H$8:$J$94,1+B200,C200)</f>
        <v>0</v>
      </c>
    </row>
    <row r="201" spans="1:4" x14ac:dyDescent="0.75">
      <c r="A201" s="32">
        <v>199</v>
      </c>
      <c r="B201" s="32">
        <f t="shared" si="6"/>
        <v>66</v>
      </c>
      <c r="C201" s="32">
        <f t="shared" si="7"/>
        <v>1</v>
      </c>
      <c r="D201" s="31" cm="1">
        <f t="array" ref="D201">INDEX('RadMap-1'!$H$8:$J$94,1+B201,C201)</f>
        <v>0</v>
      </c>
    </row>
    <row r="202" spans="1:4" x14ac:dyDescent="0.75">
      <c r="A202" s="32">
        <v>200</v>
      </c>
      <c r="B202" s="32">
        <f t="shared" si="6"/>
        <v>66</v>
      </c>
      <c r="C202" s="32">
        <f t="shared" si="7"/>
        <v>2</v>
      </c>
      <c r="D202" s="31" cm="1">
        <f t="array" ref="D202">INDEX('RadMap-1'!$H$8:$J$94,1+B202,C202)</f>
        <v>0</v>
      </c>
    </row>
    <row r="203" spans="1:4" x14ac:dyDescent="0.75">
      <c r="A203" s="32">
        <v>201</v>
      </c>
      <c r="B203" s="32">
        <f t="shared" si="6"/>
        <v>66</v>
      </c>
      <c r="C203" s="32">
        <f t="shared" si="7"/>
        <v>3</v>
      </c>
      <c r="D203" s="31" cm="1">
        <f t="array" ref="D203">INDEX('RadMap-1'!$H$8:$J$94,1+B203,C203)</f>
        <v>0</v>
      </c>
    </row>
    <row r="204" spans="1:4" x14ac:dyDescent="0.75">
      <c r="A204" s="32">
        <v>202</v>
      </c>
      <c r="B204" s="32">
        <f t="shared" si="6"/>
        <v>67</v>
      </c>
      <c r="C204" s="32">
        <f t="shared" si="7"/>
        <v>1</v>
      </c>
      <c r="D204" s="31" cm="1">
        <f t="array" ref="D204">INDEX('RadMap-1'!$H$8:$J$94,1+B204,C204)</f>
        <v>0</v>
      </c>
    </row>
    <row r="205" spans="1:4" x14ac:dyDescent="0.75">
      <c r="A205" s="32">
        <v>203</v>
      </c>
      <c r="B205" s="32">
        <f t="shared" si="6"/>
        <v>67</v>
      </c>
      <c r="C205" s="32">
        <f t="shared" si="7"/>
        <v>2</v>
      </c>
      <c r="D205" s="31" cm="1">
        <f t="array" ref="D205">INDEX('RadMap-1'!$H$8:$J$94,1+B205,C205)</f>
        <v>0</v>
      </c>
    </row>
    <row r="206" spans="1:4" x14ac:dyDescent="0.75">
      <c r="A206" s="32">
        <v>204</v>
      </c>
      <c r="B206" s="32">
        <f t="shared" si="6"/>
        <v>67</v>
      </c>
      <c r="C206" s="32">
        <f t="shared" si="7"/>
        <v>3</v>
      </c>
      <c r="D206" s="31" cm="1">
        <f t="array" ref="D206">INDEX('RadMap-1'!$H$8:$J$94,1+B206,C206)</f>
        <v>0</v>
      </c>
    </row>
    <row r="207" spans="1:4" x14ac:dyDescent="0.75">
      <c r="A207" s="32">
        <v>205</v>
      </c>
      <c r="B207" s="32">
        <f t="shared" si="6"/>
        <v>68</v>
      </c>
      <c r="C207" s="32">
        <f t="shared" si="7"/>
        <v>1</v>
      </c>
      <c r="D207" s="31" cm="1">
        <f t="array" ref="D207">INDEX('RadMap-1'!$H$8:$J$94,1+B207,C207)</f>
        <v>0</v>
      </c>
    </row>
    <row r="208" spans="1:4" x14ac:dyDescent="0.75">
      <c r="A208" s="32">
        <v>206</v>
      </c>
      <c r="B208" s="32">
        <f t="shared" si="6"/>
        <v>68</v>
      </c>
      <c r="C208" s="32">
        <f t="shared" si="7"/>
        <v>2</v>
      </c>
      <c r="D208" s="31" cm="1">
        <f t="array" ref="D208">INDEX('RadMap-1'!$H$8:$J$94,1+B208,C208)</f>
        <v>0</v>
      </c>
    </row>
    <row r="209" spans="1:4" x14ac:dyDescent="0.75">
      <c r="A209" s="32">
        <v>207</v>
      </c>
      <c r="B209" s="32">
        <f t="shared" si="6"/>
        <v>68</v>
      </c>
      <c r="C209" s="32">
        <f t="shared" si="7"/>
        <v>3</v>
      </c>
      <c r="D209" s="31" cm="1">
        <f t="array" ref="D209">INDEX('RadMap-1'!$H$8:$J$94,1+B209,C209)</f>
        <v>0</v>
      </c>
    </row>
    <row r="210" spans="1:4" x14ac:dyDescent="0.75">
      <c r="A210" s="32">
        <v>208</v>
      </c>
      <c r="B210" s="32">
        <f t="shared" si="6"/>
        <v>69</v>
      </c>
      <c r="C210" s="32">
        <f t="shared" si="7"/>
        <v>1</v>
      </c>
      <c r="D210" s="31" cm="1">
        <f t="array" ref="D210">INDEX('RadMap-1'!$H$8:$J$94,1+B210,C210)</f>
        <v>0</v>
      </c>
    </row>
    <row r="211" spans="1:4" x14ac:dyDescent="0.75">
      <c r="A211" s="32">
        <v>209</v>
      </c>
      <c r="B211" s="32">
        <f t="shared" si="6"/>
        <v>69</v>
      </c>
      <c r="C211" s="32">
        <f t="shared" si="7"/>
        <v>2</v>
      </c>
      <c r="D211" s="31" cm="1">
        <f t="array" ref="D211">INDEX('RadMap-1'!$H$8:$J$94,1+B211,C211)</f>
        <v>0</v>
      </c>
    </row>
    <row r="212" spans="1:4" x14ac:dyDescent="0.75">
      <c r="A212" s="32">
        <v>210</v>
      </c>
      <c r="B212" s="32">
        <f t="shared" si="6"/>
        <v>69</v>
      </c>
      <c r="C212" s="32">
        <f t="shared" si="7"/>
        <v>3</v>
      </c>
      <c r="D212" s="31" cm="1">
        <f t="array" ref="D212">INDEX('RadMap-1'!$H$8:$J$94,1+B212,C212)</f>
        <v>0</v>
      </c>
    </row>
    <row r="213" spans="1:4" x14ac:dyDescent="0.75">
      <c r="A213" s="32">
        <v>211</v>
      </c>
      <c r="B213" s="32">
        <f t="shared" si="6"/>
        <v>70</v>
      </c>
      <c r="C213" s="32">
        <f t="shared" si="7"/>
        <v>1</v>
      </c>
      <c r="D213" s="31" cm="1">
        <f t="array" ref="D213">INDEX('RadMap-1'!$H$8:$J$94,1+B213,C213)</f>
        <v>0</v>
      </c>
    </row>
    <row r="214" spans="1:4" x14ac:dyDescent="0.75">
      <c r="A214" s="32">
        <v>212</v>
      </c>
      <c r="B214" s="32">
        <f t="shared" si="6"/>
        <v>70</v>
      </c>
      <c r="C214" s="32">
        <f t="shared" si="7"/>
        <v>2</v>
      </c>
      <c r="D214" s="31" cm="1">
        <f t="array" ref="D214">INDEX('RadMap-1'!$H$8:$J$94,1+B214,C214)</f>
        <v>0</v>
      </c>
    </row>
    <row r="215" spans="1:4" x14ac:dyDescent="0.75">
      <c r="A215" s="32">
        <v>213</v>
      </c>
      <c r="B215" s="32">
        <f t="shared" si="6"/>
        <v>70</v>
      </c>
      <c r="C215" s="32">
        <f t="shared" si="7"/>
        <v>3</v>
      </c>
      <c r="D215" s="31" cm="1">
        <f t="array" ref="D215">INDEX('RadMap-1'!$H$8:$J$94,1+B215,C215)</f>
        <v>0</v>
      </c>
    </row>
    <row r="216" spans="1:4" x14ac:dyDescent="0.75">
      <c r="A216" s="32">
        <v>214</v>
      </c>
      <c r="B216" s="32">
        <f t="shared" si="6"/>
        <v>71</v>
      </c>
      <c r="C216" s="32">
        <f t="shared" si="7"/>
        <v>1</v>
      </c>
      <c r="D216" s="31" cm="1">
        <f t="array" ref="D216">INDEX('RadMap-1'!$H$8:$J$94,1+B216,C216)</f>
        <v>0</v>
      </c>
    </row>
    <row r="217" spans="1:4" x14ac:dyDescent="0.75">
      <c r="A217" s="32">
        <v>215</v>
      </c>
      <c r="B217" s="32">
        <f t="shared" si="6"/>
        <v>71</v>
      </c>
      <c r="C217" s="32">
        <f t="shared" si="7"/>
        <v>2</v>
      </c>
      <c r="D217" s="31" cm="1">
        <f t="array" ref="D217">INDEX('RadMap-1'!$H$8:$J$94,1+B217,C217)</f>
        <v>0</v>
      </c>
    </row>
    <row r="218" spans="1:4" x14ac:dyDescent="0.75">
      <c r="A218" s="32">
        <v>216</v>
      </c>
      <c r="B218" s="32">
        <f t="shared" si="6"/>
        <v>71</v>
      </c>
      <c r="C218" s="32">
        <f t="shared" si="7"/>
        <v>3</v>
      </c>
      <c r="D218" s="31" cm="1">
        <f t="array" ref="D218">INDEX('RadMap-1'!$H$8:$J$94,1+B218,C218)</f>
        <v>0</v>
      </c>
    </row>
    <row r="219" spans="1:4" x14ac:dyDescent="0.75">
      <c r="A219" s="32">
        <v>217</v>
      </c>
      <c r="B219" s="32">
        <f t="shared" si="6"/>
        <v>72</v>
      </c>
      <c r="C219" s="32">
        <f t="shared" si="7"/>
        <v>1</v>
      </c>
      <c r="D219" s="31" cm="1">
        <f t="array" ref="D219">INDEX('RadMap-1'!$H$8:$J$94,1+B219,C219)</f>
        <v>0</v>
      </c>
    </row>
    <row r="220" spans="1:4" x14ac:dyDescent="0.75">
      <c r="A220" s="32">
        <v>218</v>
      </c>
      <c r="B220" s="32">
        <f t="shared" si="6"/>
        <v>72</v>
      </c>
      <c r="C220" s="32">
        <f t="shared" si="7"/>
        <v>2</v>
      </c>
      <c r="D220" s="31" cm="1">
        <f t="array" ref="D220">INDEX('RadMap-1'!$H$8:$J$94,1+B220,C220)</f>
        <v>0</v>
      </c>
    </row>
    <row r="221" spans="1:4" x14ac:dyDescent="0.75">
      <c r="A221" s="32">
        <v>219</v>
      </c>
      <c r="B221" s="32">
        <f t="shared" si="6"/>
        <v>72</v>
      </c>
      <c r="C221" s="32">
        <f t="shared" si="7"/>
        <v>3</v>
      </c>
      <c r="D221" s="31" cm="1">
        <f t="array" ref="D221">INDEX('RadMap-1'!$H$8:$J$94,1+B221,C221)</f>
        <v>0</v>
      </c>
    </row>
    <row r="222" spans="1:4" x14ac:dyDescent="0.75">
      <c r="A222" s="32">
        <v>220</v>
      </c>
      <c r="B222" s="32">
        <f t="shared" si="6"/>
        <v>73</v>
      </c>
      <c r="C222" s="32">
        <f t="shared" si="7"/>
        <v>1</v>
      </c>
      <c r="D222" s="31" cm="1">
        <f t="array" ref="D222">INDEX('RadMap-1'!$H$8:$J$94,1+B222,C222)</f>
        <v>0</v>
      </c>
    </row>
    <row r="223" spans="1:4" x14ac:dyDescent="0.75">
      <c r="A223" s="32">
        <v>221</v>
      </c>
      <c r="B223" s="32">
        <f t="shared" si="6"/>
        <v>73</v>
      </c>
      <c r="C223" s="32">
        <f t="shared" si="7"/>
        <v>2</v>
      </c>
      <c r="D223" s="31" cm="1">
        <f t="array" ref="D223">INDEX('RadMap-1'!$H$8:$J$94,1+B223,C223)</f>
        <v>0</v>
      </c>
    </row>
    <row r="224" spans="1:4" x14ac:dyDescent="0.75">
      <c r="A224" s="32">
        <v>222</v>
      </c>
      <c r="B224" s="32">
        <f t="shared" si="6"/>
        <v>73</v>
      </c>
      <c r="C224" s="32">
        <f t="shared" si="7"/>
        <v>3</v>
      </c>
      <c r="D224" s="31" cm="1">
        <f t="array" ref="D224">INDEX('RadMap-1'!$H$8:$J$94,1+B224,C224)</f>
        <v>0</v>
      </c>
    </row>
    <row r="225" spans="1:4" x14ac:dyDescent="0.75">
      <c r="A225" s="32">
        <v>223</v>
      </c>
      <c r="B225" s="32">
        <f t="shared" si="6"/>
        <v>74</v>
      </c>
      <c r="C225" s="32">
        <f t="shared" si="7"/>
        <v>1</v>
      </c>
      <c r="D225" s="31" cm="1">
        <f t="array" ref="D225">INDEX('RadMap-1'!$H$8:$J$94,1+B225,C225)</f>
        <v>0</v>
      </c>
    </row>
    <row r="226" spans="1:4" x14ac:dyDescent="0.75">
      <c r="A226" s="32">
        <v>224</v>
      </c>
      <c r="B226" s="32">
        <f t="shared" si="6"/>
        <v>74</v>
      </c>
      <c r="C226" s="32">
        <f t="shared" si="7"/>
        <v>2</v>
      </c>
      <c r="D226" s="31" cm="1">
        <f t="array" ref="D226">INDEX('RadMap-1'!$H$8:$J$94,1+B226,C226)</f>
        <v>0</v>
      </c>
    </row>
    <row r="227" spans="1:4" x14ac:dyDescent="0.75">
      <c r="A227" s="32">
        <v>225</v>
      </c>
      <c r="B227" s="32">
        <f t="shared" si="6"/>
        <v>74</v>
      </c>
      <c r="C227" s="32">
        <f t="shared" si="7"/>
        <v>3</v>
      </c>
      <c r="D227" s="31" cm="1">
        <f t="array" ref="D227">INDEX('RadMap-1'!$H$8:$J$94,1+B227,C227)</f>
        <v>0</v>
      </c>
    </row>
    <row r="228" spans="1:4" x14ac:dyDescent="0.75">
      <c r="A228" s="32">
        <v>226</v>
      </c>
      <c r="B228" s="32">
        <f t="shared" si="6"/>
        <v>75</v>
      </c>
      <c r="C228" s="32">
        <f t="shared" si="7"/>
        <v>1</v>
      </c>
      <c r="D228" s="31" cm="1">
        <f t="array" ref="D228">INDEX('RadMap-1'!$H$8:$J$94,1+B228,C228)</f>
        <v>0</v>
      </c>
    </row>
    <row r="229" spans="1:4" x14ac:dyDescent="0.75">
      <c r="A229" s="32">
        <v>227</v>
      </c>
      <c r="B229" s="32">
        <f t="shared" si="6"/>
        <v>75</v>
      </c>
      <c r="C229" s="32">
        <f t="shared" si="7"/>
        <v>2</v>
      </c>
      <c r="D229" s="31" cm="1">
        <f t="array" ref="D229">INDEX('RadMap-1'!$H$8:$J$94,1+B229,C229)</f>
        <v>0</v>
      </c>
    </row>
    <row r="230" spans="1:4" x14ac:dyDescent="0.75">
      <c r="A230" s="32">
        <v>228</v>
      </c>
      <c r="B230" s="32">
        <f t="shared" si="6"/>
        <v>75</v>
      </c>
      <c r="C230" s="32">
        <f t="shared" si="7"/>
        <v>3</v>
      </c>
      <c r="D230" s="31" cm="1">
        <f t="array" ref="D230">INDEX('RadMap-1'!$H$8:$J$94,1+B230,C230)</f>
        <v>0</v>
      </c>
    </row>
    <row r="231" spans="1:4" x14ac:dyDescent="0.75">
      <c r="A231" s="32">
        <v>229</v>
      </c>
      <c r="B231" s="32">
        <f t="shared" si="6"/>
        <v>76</v>
      </c>
      <c r="C231" s="32">
        <f t="shared" si="7"/>
        <v>1</v>
      </c>
      <c r="D231" s="31" cm="1">
        <f t="array" ref="D231">INDEX('RadMap-1'!$H$8:$J$94,1+B231,C231)</f>
        <v>0</v>
      </c>
    </row>
    <row r="232" spans="1:4" x14ac:dyDescent="0.75">
      <c r="A232" s="32">
        <v>230</v>
      </c>
      <c r="B232" s="32">
        <f t="shared" si="6"/>
        <v>76</v>
      </c>
      <c r="C232" s="32">
        <f t="shared" si="7"/>
        <v>2</v>
      </c>
      <c r="D232" s="31" cm="1">
        <f t="array" ref="D232">INDEX('RadMap-1'!$H$8:$J$94,1+B232,C232)</f>
        <v>0</v>
      </c>
    </row>
    <row r="233" spans="1:4" x14ac:dyDescent="0.75">
      <c r="A233" s="32">
        <v>231</v>
      </c>
      <c r="B233" s="32">
        <f t="shared" si="6"/>
        <v>76</v>
      </c>
      <c r="C233" s="32">
        <f t="shared" si="7"/>
        <v>3</v>
      </c>
      <c r="D233" s="31" cm="1">
        <f t="array" ref="D233">INDEX('RadMap-1'!$H$8:$J$94,1+B233,C233)</f>
        <v>0</v>
      </c>
    </row>
    <row r="234" spans="1:4" x14ac:dyDescent="0.75">
      <c r="A234" s="32">
        <v>232</v>
      </c>
      <c r="B234" s="32">
        <f t="shared" si="6"/>
        <v>77</v>
      </c>
      <c r="C234" s="32">
        <f t="shared" si="7"/>
        <v>1</v>
      </c>
      <c r="D234" s="31" cm="1">
        <f t="array" ref="D234">INDEX('RadMap-1'!$H$8:$J$94,1+B234,C234)</f>
        <v>0</v>
      </c>
    </row>
    <row r="235" spans="1:4" x14ac:dyDescent="0.75">
      <c r="A235" s="32">
        <v>233</v>
      </c>
      <c r="B235" s="32">
        <f t="shared" si="6"/>
        <v>77</v>
      </c>
      <c r="C235" s="32">
        <f t="shared" si="7"/>
        <v>2</v>
      </c>
      <c r="D235" s="31" cm="1">
        <f t="array" ref="D235">INDEX('RadMap-1'!$H$8:$J$94,1+B235,C235)</f>
        <v>0</v>
      </c>
    </row>
    <row r="236" spans="1:4" x14ac:dyDescent="0.75">
      <c r="A236" s="32">
        <v>234</v>
      </c>
      <c r="B236" s="32">
        <f t="shared" si="6"/>
        <v>77</v>
      </c>
      <c r="C236" s="32">
        <f t="shared" si="7"/>
        <v>3</v>
      </c>
      <c r="D236" s="31" cm="1">
        <f t="array" ref="D236">INDEX('RadMap-1'!$H$8:$J$94,1+B236,C236)</f>
        <v>0</v>
      </c>
    </row>
    <row r="237" spans="1:4" x14ac:dyDescent="0.75">
      <c r="A237" s="32">
        <v>235</v>
      </c>
      <c r="B237" s="32">
        <f t="shared" si="6"/>
        <v>78</v>
      </c>
      <c r="C237" s="32">
        <f t="shared" si="7"/>
        <v>1</v>
      </c>
      <c r="D237" s="31" cm="1">
        <f t="array" ref="D237">INDEX('RadMap-1'!$H$8:$J$94,1+B237,C237)</f>
        <v>0</v>
      </c>
    </row>
    <row r="238" spans="1:4" x14ac:dyDescent="0.75">
      <c r="A238" s="32">
        <v>236</v>
      </c>
      <c r="B238" s="32">
        <f t="shared" si="6"/>
        <v>78</v>
      </c>
      <c r="C238" s="32">
        <f t="shared" si="7"/>
        <v>2</v>
      </c>
      <c r="D238" s="31" cm="1">
        <f t="array" ref="D238">INDEX('RadMap-1'!$H$8:$J$94,1+B238,C238)</f>
        <v>0</v>
      </c>
    </row>
    <row r="239" spans="1:4" x14ac:dyDescent="0.75">
      <c r="A239" s="32">
        <v>237</v>
      </c>
      <c r="B239" s="32">
        <f t="shared" si="6"/>
        <v>78</v>
      </c>
      <c r="C239" s="32">
        <f t="shared" si="7"/>
        <v>3</v>
      </c>
      <c r="D239" s="31" cm="1">
        <f t="array" ref="D239">INDEX('RadMap-1'!$H$8:$J$94,1+B239,C239)</f>
        <v>0</v>
      </c>
    </row>
    <row r="240" spans="1:4" x14ac:dyDescent="0.75">
      <c r="A240" s="32">
        <v>238</v>
      </c>
      <c r="B240" s="32">
        <f t="shared" si="6"/>
        <v>79</v>
      </c>
      <c r="C240" s="32">
        <f t="shared" si="7"/>
        <v>1</v>
      </c>
      <c r="D240" s="31" cm="1">
        <f t="array" ref="D240">INDEX('RadMap-1'!$H$8:$J$94,1+B240,C240)</f>
        <v>0</v>
      </c>
    </row>
    <row r="241" spans="1:4" x14ac:dyDescent="0.75">
      <c r="A241" s="32">
        <v>239</v>
      </c>
      <c r="B241" s="32">
        <f t="shared" si="6"/>
        <v>79</v>
      </c>
      <c r="C241" s="32">
        <f t="shared" si="7"/>
        <v>2</v>
      </c>
      <c r="D241" s="31" cm="1">
        <f t="array" ref="D241">INDEX('RadMap-1'!$H$8:$J$94,1+B241,C241)</f>
        <v>0</v>
      </c>
    </row>
    <row r="242" spans="1:4" x14ac:dyDescent="0.75">
      <c r="A242" s="32">
        <v>240</v>
      </c>
      <c r="B242" s="32">
        <f t="shared" si="6"/>
        <v>79</v>
      </c>
      <c r="C242" s="32">
        <f t="shared" si="7"/>
        <v>3</v>
      </c>
      <c r="D242" s="31" cm="1">
        <f t="array" ref="D242">INDEX('RadMap-1'!$H$8:$J$94,1+B242,C242)</f>
        <v>0</v>
      </c>
    </row>
    <row r="243" spans="1:4" x14ac:dyDescent="0.75">
      <c r="A243" s="32">
        <v>241</v>
      </c>
      <c r="B243" s="32">
        <f t="shared" si="6"/>
        <v>80</v>
      </c>
      <c r="C243" s="32">
        <f t="shared" si="7"/>
        <v>1</v>
      </c>
      <c r="D243" s="31" cm="1">
        <f t="array" ref="D243">INDEX('RadMap-1'!$H$8:$J$94,1+B243,C243)</f>
        <v>0</v>
      </c>
    </row>
    <row r="244" spans="1:4" x14ac:dyDescent="0.75">
      <c r="A244" s="32">
        <v>242</v>
      </c>
      <c r="B244" s="32">
        <f t="shared" si="6"/>
        <v>80</v>
      </c>
      <c r="C244" s="32">
        <f t="shared" si="7"/>
        <v>2</v>
      </c>
      <c r="D244" s="31" cm="1">
        <f t="array" ref="D244">INDEX('RadMap-1'!$H$8:$J$94,1+B244,C244)</f>
        <v>0</v>
      </c>
    </row>
    <row r="245" spans="1:4" x14ac:dyDescent="0.75">
      <c r="A245" s="32">
        <v>243</v>
      </c>
      <c r="B245" s="32">
        <f t="shared" si="6"/>
        <v>80</v>
      </c>
      <c r="C245" s="32">
        <f t="shared" si="7"/>
        <v>3</v>
      </c>
      <c r="D245" s="31" cm="1">
        <f t="array" ref="D245">INDEX('RadMap-1'!$H$8:$J$94,1+B245,C245)</f>
        <v>0</v>
      </c>
    </row>
    <row r="246" spans="1:4" x14ac:dyDescent="0.75">
      <c r="A246" s="32">
        <v>244</v>
      </c>
      <c r="B246" s="32">
        <f t="shared" si="6"/>
        <v>81</v>
      </c>
      <c r="C246" s="32">
        <f t="shared" si="7"/>
        <v>1</v>
      </c>
      <c r="D246" s="31" cm="1">
        <f t="array" ref="D246">INDEX('RadMap-1'!$H$8:$J$94,1+B246,C246)</f>
        <v>0</v>
      </c>
    </row>
    <row r="247" spans="1:4" x14ac:dyDescent="0.75">
      <c r="A247" s="32">
        <v>245</v>
      </c>
      <c r="B247" s="32">
        <f t="shared" si="6"/>
        <v>81</v>
      </c>
      <c r="C247" s="32">
        <f t="shared" si="7"/>
        <v>2</v>
      </c>
      <c r="D247" s="31" cm="1">
        <f t="array" ref="D247">INDEX('RadMap-1'!$H$8:$J$94,1+B247,C247)</f>
        <v>0</v>
      </c>
    </row>
    <row r="248" spans="1:4" x14ac:dyDescent="0.75">
      <c r="A248" s="32">
        <v>246</v>
      </c>
      <c r="B248" s="32">
        <f t="shared" si="6"/>
        <v>81</v>
      </c>
      <c r="C248" s="32">
        <f t="shared" si="7"/>
        <v>3</v>
      </c>
      <c r="D248" s="31" cm="1">
        <f t="array" ref="D248">INDEX('RadMap-1'!$H$8:$J$94,1+B248,C248)</f>
        <v>0</v>
      </c>
    </row>
    <row r="249" spans="1:4" x14ac:dyDescent="0.75">
      <c r="A249" s="32">
        <v>247</v>
      </c>
      <c r="B249" s="32">
        <f t="shared" si="6"/>
        <v>82</v>
      </c>
      <c r="C249" s="32">
        <f t="shared" si="7"/>
        <v>1</v>
      </c>
      <c r="D249" s="31" cm="1">
        <f t="array" ref="D249">INDEX('RadMap-1'!$H$8:$J$94,1+B249,C249)</f>
        <v>0</v>
      </c>
    </row>
    <row r="250" spans="1:4" x14ac:dyDescent="0.75">
      <c r="A250" s="32">
        <v>248</v>
      </c>
      <c r="B250" s="32">
        <f t="shared" si="6"/>
        <v>82</v>
      </c>
      <c r="C250" s="32">
        <f t="shared" si="7"/>
        <v>2</v>
      </c>
      <c r="D250" s="31" cm="1">
        <f t="array" ref="D250">INDEX('RadMap-1'!$H$8:$J$94,1+B250,C250)</f>
        <v>0</v>
      </c>
    </row>
    <row r="251" spans="1:4" x14ac:dyDescent="0.75">
      <c r="A251" s="32">
        <v>249</v>
      </c>
      <c r="B251" s="32">
        <f t="shared" si="6"/>
        <v>82</v>
      </c>
      <c r="C251" s="32">
        <f t="shared" si="7"/>
        <v>3</v>
      </c>
      <c r="D251" s="31" cm="1">
        <f t="array" ref="D251">INDEX('RadMap-1'!$H$8:$J$94,1+B251,C251)</f>
        <v>0</v>
      </c>
    </row>
    <row r="252" spans="1:4" x14ac:dyDescent="0.75">
      <c r="A252" s="32">
        <v>250</v>
      </c>
      <c r="B252" s="32">
        <f t="shared" si="6"/>
        <v>83</v>
      </c>
      <c r="C252" s="32">
        <f t="shared" si="7"/>
        <v>1</v>
      </c>
      <c r="D252" s="31" cm="1">
        <f t="array" ref="D252">INDEX('RadMap-1'!$H$8:$J$94,1+B252,C252)</f>
        <v>0</v>
      </c>
    </row>
    <row r="253" spans="1:4" x14ac:dyDescent="0.75">
      <c r="A253" s="32">
        <v>251</v>
      </c>
      <c r="B253" s="32">
        <f t="shared" si="6"/>
        <v>83</v>
      </c>
      <c r="C253" s="32">
        <f t="shared" si="7"/>
        <v>2</v>
      </c>
      <c r="D253" s="31" cm="1">
        <f t="array" ref="D253">INDEX('RadMap-1'!$H$8:$J$94,1+B253,C253)</f>
        <v>0</v>
      </c>
    </row>
    <row r="254" spans="1:4" x14ac:dyDescent="0.75">
      <c r="A254" s="32">
        <v>252</v>
      </c>
      <c r="B254" s="32">
        <f t="shared" si="6"/>
        <v>83</v>
      </c>
      <c r="C254" s="32">
        <f t="shared" si="7"/>
        <v>3</v>
      </c>
      <c r="D254" s="31" cm="1">
        <f t="array" ref="D254">INDEX('RadMap-1'!$H$8:$J$94,1+B254,C254)</f>
        <v>0</v>
      </c>
    </row>
    <row r="255" spans="1:4" x14ac:dyDescent="0.75">
      <c r="A255" s="32">
        <v>253</v>
      </c>
      <c r="B255" s="32">
        <f t="shared" si="6"/>
        <v>84</v>
      </c>
      <c r="C255" s="32">
        <f t="shared" si="7"/>
        <v>1</v>
      </c>
      <c r="D255" s="31" cm="1">
        <f t="array" ref="D255">INDEX('RadMap-1'!$H$8:$J$94,1+B255,C255)</f>
        <v>0</v>
      </c>
    </row>
    <row r="256" spans="1:4" x14ac:dyDescent="0.75">
      <c r="A256" s="32">
        <v>254</v>
      </c>
      <c r="B256" s="32">
        <f t="shared" si="6"/>
        <v>84</v>
      </c>
      <c r="C256" s="32">
        <f t="shared" si="7"/>
        <v>2</v>
      </c>
      <c r="D256" s="31" cm="1">
        <f t="array" ref="D256">INDEX('RadMap-1'!$H$8:$J$94,1+B256,C256)</f>
        <v>0</v>
      </c>
    </row>
    <row r="257" spans="1:4" x14ac:dyDescent="0.75">
      <c r="A257" s="32">
        <v>255</v>
      </c>
      <c r="B257" s="32">
        <f t="shared" si="6"/>
        <v>84</v>
      </c>
      <c r="C257" s="32">
        <f t="shared" si="7"/>
        <v>3</v>
      </c>
      <c r="D257" s="31" cm="1">
        <f t="array" ref="D257">INDEX('RadMap-1'!$H$8:$J$94,1+B257,C257)</f>
        <v>0</v>
      </c>
    </row>
    <row r="258" spans="1:4" x14ac:dyDescent="0.75">
      <c r="A258" s="32">
        <v>256</v>
      </c>
      <c r="B258" s="32">
        <f t="shared" si="6"/>
        <v>85</v>
      </c>
      <c r="C258" s="32">
        <f t="shared" si="7"/>
        <v>1</v>
      </c>
      <c r="D258" s="31" cm="1">
        <f t="array" ref="D258">INDEX('RadMap-1'!$H$8:$J$94,1+B258,C258)</f>
        <v>0</v>
      </c>
    </row>
    <row r="259" spans="1:4" x14ac:dyDescent="0.75">
      <c r="A259" s="32">
        <v>257</v>
      </c>
      <c r="B259" s="32">
        <f t="shared" si="6"/>
        <v>85</v>
      </c>
      <c r="C259" s="32">
        <f t="shared" si="7"/>
        <v>2</v>
      </c>
      <c r="D259" s="31" cm="1">
        <f t="array" ref="D259">INDEX('RadMap-1'!$H$8:$J$94,1+B259,C259)</f>
        <v>0</v>
      </c>
    </row>
    <row r="260" spans="1:4" x14ac:dyDescent="0.75">
      <c r="A260" s="32">
        <v>258</v>
      </c>
      <c r="B260" s="32">
        <f t="shared" ref="B260:B323" si="8">IF(MOD(A260,3)=0,A260/3-1,INT(A260/3))</f>
        <v>85</v>
      </c>
      <c r="C260" s="32">
        <f t="shared" ref="C260:C323" si="9">IF(MOD(A260,3)=0,3,MOD(A260,3))</f>
        <v>3</v>
      </c>
      <c r="D260" s="31" cm="1">
        <f t="array" ref="D260">INDEX('RadMap-1'!$H$8:$J$94,1+B260,C260)</f>
        <v>0</v>
      </c>
    </row>
    <row r="261" spans="1:4" x14ac:dyDescent="0.75">
      <c r="A261" s="32">
        <v>259</v>
      </c>
      <c r="B261" s="32">
        <f t="shared" si="8"/>
        <v>86</v>
      </c>
      <c r="C261" s="32">
        <f t="shared" si="9"/>
        <v>1</v>
      </c>
      <c r="D261" s="31" cm="1">
        <f t="array" ref="D261">INDEX('RadMap-1'!$H$8:$J$94,1+B261,C261)</f>
        <v>0</v>
      </c>
    </row>
    <row r="262" spans="1:4" x14ac:dyDescent="0.75">
      <c r="A262" s="32">
        <v>260</v>
      </c>
      <c r="B262" s="32">
        <f t="shared" si="8"/>
        <v>86</v>
      </c>
      <c r="C262" s="32">
        <f t="shared" si="9"/>
        <v>2</v>
      </c>
      <c r="D262" s="31" cm="1">
        <f t="array" ref="D262">INDEX('RadMap-1'!$H$8:$J$94,1+B262,C262)</f>
        <v>0</v>
      </c>
    </row>
    <row r="263" spans="1:4" x14ac:dyDescent="0.75">
      <c r="A263" s="32">
        <v>261</v>
      </c>
      <c r="B263" s="32">
        <f t="shared" si="8"/>
        <v>86</v>
      </c>
      <c r="C263" s="32">
        <f t="shared" si="9"/>
        <v>3</v>
      </c>
      <c r="D263" s="31" cm="1">
        <f t="array" ref="D263">INDEX('RadMap-1'!$H$8:$J$94,1+B263,C263)</f>
        <v>0</v>
      </c>
    </row>
    <row r="264" spans="1:4" x14ac:dyDescent="0.75">
      <c r="A264" s="32">
        <v>262</v>
      </c>
      <c r="B264" s="32">
        <f t="shared" si="8"/>
        <v>87</v>
      </c>
      <c r="C264" s="32">
        <f t="shared" si="9"/>
        <v>1</v>
      </c>
      <c r="D264" s="31" t="e" cm="1">
        <f t="array" ref="D264">INDEX('RadMap-1'!$H$8:$J$94,1+B264,C264)</f>
        <v>#REF!</v>
      </c>
    </row>
    <row r="265" spans="1:4" x14ac:dyDescent="0.75">
      <c r="A265" s="32">
        <v>263</v>
      </c>
      <c r="B265" s="32">
        <f t="shared" si="8"/>
        <v>87</v>
      </c>
      <c r="C265" s="32">
        <f t="shared" si="9"/>
        <v>2</v>
      </c>
      <c r="D265" s="31" t="e" cm="1">
        <f t="array" ref="D265">INDEX('RadMap-1'!$H$8:$J$94,1+B265,C265)</f>
        <v>#REF!</v>
      </c>
    </row>
    <row r="266" spans="1:4" x14ac:dyDescent="0.75">
      <c r="A266" s="32">
        <v>264</v>
      </c>
      <c r="B266" s="32">
        <f t="shared" si="8"/>
        <v>87</v>
      </c>
      <c r="C266" s="32">
        <f t="shared" si="9"/>
        <v>3</v>
      </c>
      <c r="D266" s="31" t="e" cm="1">
        <f t="array" ref="D266">INDEX('RadMap-1'!$H$8:$J$94,1+B266,C266)</f>
        <v>#REF!</v>
      </c>
    </row>
    <row r="267" spans="1:4" x14ac:dyDescent="0.75">
      <c r="A267" s="32">
        <v>265</v>
      </c>
      <c r="B267" s="32">
        <f t="shared" si="8"/>
        <v>88</v>
      </c>
      <c r="C267" s="32">
        <f t="shared" si="9"/>
        <v>1</v>
      </c>
      <c r="D267" s="31" t="e" cm="1">
        <f t="array" ref="D267">INDEX('RadMap-1'!$H$8:$J$94,1+B267,C267)</f>
        <v>#REF!</v>
      </c>
    </row>
    <row r="268" spans="1:4" x14ac:dyDescent="0.75">
      <c r="A268" s="32">
        <v>266</v>
      </c>
      <c r="B268" s="32">
        <f t="shared" si="8"/>
        <v>88</v>
      </c>
      <c r="C268" s="32">
        <f t="shared" si="9"/>
        <v>2</v>
      </c>
      <c r="D268" s="31" t="e" cm="1">
        <f t="array" ref="D268">INDEX('RadMap-1'!$H$8:$J$94,1+B268,C268)</f>
        <v>#REF!</v>
      </c>
    </row>
    <row r="269" spans="1:4" x14ac:dyDescent="0.75">
      <c r="A269" s="32">
        <v>267</v>
      </c>
      <c r="B269" s="32">
        <f t="shared" si="8"/>
        <v>88</v>
      </c>
      <c r="C269" s="32">
        <f t="shared" si="9"/>
        <v>3</v>
      </c>
      <c r="D269" s="31" t="e" cm="1">
        <f t="array" ref="D269">INDEX('RadMap-1'!$H$8:$J$94,1+B269,C269)</f>
        <v>#REF!</v>
      </c>
    </row>
    <row r="270" spans="1:4" x14ac:dyDescent="0.75">
      <c r="A270" s="32">
        <v>268</v>
      </c>
      <c r="B270" s="32">
        <f t="shared" si="8"/>
        <v>89</v>
      </c>
      <c r="C270" s="32">
        <f t="shared" si="9"/>
        <v>1</v>
      </c>
      <c r="D270" s="31" t="e" cm="1">
        <f t="array" ref="D270">INDEX('RadMap-1'!$H$8:$J$94,1+B270,C270)</f>
        <v>#REF!</v>
      </c>
    </row>
    <row r="271" spans="1:4" x14ac:dyDescent="0.75">
      <c r="A271" s="32">
        <v>269</v>
      </c>
      <c r="B271" s="32">
        <f t="shared" si="8"/>
        <v>89</v>
      </c>
      <c r="C271" s="32">
        <f t="shared" si="9"/>
        <v>2</v>
      </c>
      <c r="D271" s="31" t="e" cm="1">
        <f t="array" ref="D271">INDEX('RadMap-1'!$H$8:$J$94,1+B271,C271)</f>
        <v>#REF!</v>
      </c>
    </row>
    <row r="272" spans="1:4" x14ac:dyDescent="0.75">
      <c r="A272" s="32">
        <v>270</v>
      </c>
      <c r="B272" s="32">
        <f t="shared" si="8"/>
        <v>89</v>
      </c>
      <c r="C272" s="32">
        <f t="shared" si="9"/>
        <v>3</v>
      </c>
      <c r="D272" s="31" t="e" cm="1">
        <f t="array" ref="D272">INDEX('RadMap-1'!$H$8:$J$94,1+B272,C272)</f>
        <v>#REF!</v>
      </c>
    </row>
    <row r="273" spans="1:4" x14ac:dyDescent="0.75">
      <c r="A273" s="32">
        <v>271</v>
      </c>
      <c r="B273" s="32">
        <f t="shared" si="8"/>
        <v>90</v>
      </c>
      <c r="C273" s="32">
        <f t="shared" si="9"/>
        <v>1</v>
      </c>
      <c r="D273" s="31" t="e" cm="1">
        <f t="array" ref="D273">INDEX('RadMap-1'!$H$8:$J$94,1+B273,C273)</f>
        <v>#REF!</v>
      </c>
    </row>
    <row r="274" spans="1:4" x14ac:dyDescent="0.75">
      <c r="A274" s="32">
        <v>272</v>
      </c>
      <c r="B274" s="32">
        <f t="shared" si="8"/>
        <v>90</v>
      </c>
      <c r="C274" s="32">
        <f t="shared" si="9"/>
        <v>2</v>
      </c>
      <c r="D274" s="31" t="e" cm="1">
        <f t="array" ref="D274">INDEX('RadMap-1'!$H$8:$J$94,1+B274,C274)</f>
        <v>#REF!</v>
      </c>
    </row>
    <row r="275" spans="1:4" x14ac:dyDescent="0.75">
      <c r="A275" s="32">
        <v>273</v>
      </c>
      <c r="B275" s="32">
        <f t="shared" si="8"/>
        <v>90</v>
      </c>
      <c r="C275" s="32">
        <f t="shared" si="9"/>
        <v>3</v>
      </c>
      <c r="D275" s="31" t="e" cm="1">
        <f t="array" ref="D275">INDEX('RadMap-1'!$H$8:$J$94,1+B275,C275)</f>
        <v>#REF!</v>
      </c>
    </row>
    <row r="276" spans="1:4" x14ac:dyDescent="0.75">
      <c r="A276" s="32">
        <v>274</v>
      </c>
      <c r="B276" s="32">
        <f t="shared" si="8"/>
        <v>91</v>
      </c>
      <c r="C276" s="32">
        <f t="shared" si="9"/>
        <v>1</v>
      </c>
      <c r="D276" s="31" t="e" cm="1">
        <f t="array" ref="D276">INDEX('RadMap-1'!$H$8:$J$94,1+B276,C276)</f>
        <v>#REF!</v>
      </c>
    </row>
    <row r="277" spans="1:4" x14ac:dyDescent="0.75">
      <c r="A277" s="32">
        <v>275</v>
      </c>
      <c r="B277" s="32">
        <f t="shared" si="8"/>
        <v>91</v>
      </c>
      <c r="C277" s="32">
        <f t="shared" si="9"/>
        <v>2</v>
      </c>
      <c r="D277" s="31" t="e" cm="1">
        <f t="array" ref="D277">INDEX('RadMap-1'!$H$8:$J$94,1+B277,C277)</f>
        <v>#REF!</v>
      </c>
    </row>
    <row r="278" spans="1:4" x14ac:dyDescent="0.75">
      <c r="A278" s="32">
        <v>276</v>
      </c>
      <c r="B278" s="32">
        <f t="shared" si="8"/>
        <v>91</v>
      </c>
      <c r="C278" s="32">
        <f t="shared" si="9"/>
        <v>3</v>
      </c>
      <c r="D278" s="31" t="e" cm="1">
        <f t="array" ref="D278">INDEX('RadMap-1'!$H$8:$J$94,1+B278,C278)</f>
        <v>#REF!</v>
      </c>
    </row>
    <row r="279" spans="1:4" x14ac:dyDescent="0.75">
      <c r="A279" s="32">
        <v>277</v>
      </c>
      <c r="B279" s="32">
        <f t="shared" si="8"/>
        <v>92</v>
      </c>
      <c r="C279" s="32">
        <f t="shared" si="9"/>
        <v>1</v>
      </c>
      <c r="D279" s="31" t="e" cm="1">
        <f t="array" ref="D279">INDEX('RadMap-1'!$H$8:$J$94,1+B279,C279)</f>
        <v>#REF!</v>
      </c>
    </row>
    <row r="280" spans="1:4" x14ac:dyDescent="0.75">
      <c r="A280" s="32">
        <v>278</v>
      </c>
      <c r="B280" s="32">
        <f t="shared" si="8"/>
        <v>92</v>
      </c>
      <c r="C280" s="32">
        <f t="shared" si="9"/>
        <v>2</v>
      </c>
      <c r="D280" s="31" t="e" cm="1">
        <f t="array" ref="D280">INDEX('RadMap-1'!$H$8:$J$94,1+B280,C280)</f>
        <v>#REF!</v>
      </c>
    </row>
    <row r="281" spans="1:4" x14ac:dyDescent="0.75">
      <c r="A281" s="32">
        <v>279</v>
      </c>
      <c r="B281" s="32">
        <f t="shared" si="8"/>
        <v>92</v>
      </c>
      <c r="C281" s="32">
        <f t="shared" si="9"/>
        <v>3</v>
      </c>
      <c r="D281" s="31" t="e" cm="1">
        <f t="array" ref="D281">INDEX('RadMap-1'!$H$8:$J$94,1+B281,C281)</f>
        <v>#REF!</v>
      </c>
    </row>
    <row r="282" spans="1:4" x14ac:dyDescent="0.75">
      <c r="A282" s="32">
        <v>280</v>
      </c>
      <c r="B282" s="32">
        <f t="shared" si="8"/>
        <v>93</v>
      </c>
      <c r="C282" s="32">
        <f t="shared" si="9"/>
        <v>1</v>
      </c>
      <c r="D282" s="31" t="e" cm="1">
        <f t="array" ref="D282">INDEX('RadMap-1'!$H$8:$J$94,1+B282,C282)</f>
        <v>#REF!</v>
      </c>
    </row>
    <row r="283" spans="1:4" x14ac:dyDescent="0.75">
      <c r="A283" s="32">
        <v>281</v>
      </c>
      <c r="B283" s="32">
        <f t="shared" si="8"/>
        <v>93</v>
      </c>
      <c r="C283" s="32">
        <f t="shared" si="9"/>
        <v>2</v>
      </c>
      <c r="D283" s="31" t="e" cm="1">
        <f t="array" ref="D283">INDEX('RadMap-1'!$H$8:$J$94,1+B283,C283)</f>
        <v>#REF!</v>
      </c>
    </row>
    <row r="284" spans="1:4" x14ac:dyDescent="0.75">
      <c r="A284" s="32">
        <v>282</v>
      </c>
      <c r="B284" s="32">
        <f t="shared" si="8"/>
        <v>93</v>
      </c>
      <c r="C284" s="32">
        <f t="shared" si="9"/>
        <v>3</v>
      </c>
      <c r="D284" s="31" t="e" cm="1">
        <f t="array" ref="D284">INDEX('RadMap-1'!$H$8:$J$94,1+B284,C284)</f>
        <v>#REF!</v>
      </c>
    </row>
    <row r="285" spans="1:4" x14ac:dyDescent="0.75">
      <c r="A285" s="32">
        <v>283</v>
      </c>
      <c r="B285" s="32">
        <f t="shared" si="8"/>
        <v>94</v>
      </c>
      <c r="C285" s="32">
        <f t="shared" si="9"/>
        <v>1</v>
      </c>
      <c r="D285" s="31" t="e" cm="1">
        <f t="array" ref="D285">INDEX('RadMap-1'!$H$8:$J$94,1+B285,C285)</f>
        <v>#REF!</v>
      </c>
    </row>
    <row r="286" spans="1:4" x14ac:dyDescent="0.75">
      <c r="A286" s="32">
        <v>284</v>
      </c>
      <c r="B286" s="32">
        <f t="shared" si="8"/>
        <v>94</v>
      </c>
      <c r="C286" s="32">
        <f t="shared" si="9"/>
        <v>2</v>
      </c>
      <c r="D286" s="31" t="e" cm="1">
        <f t="array" ref="D286">INDEX('RadMap-1'!$H$8:$J$94,1+B286,C286)</f>
        <v>#REF!</v>
      </c>
    </row>
    <row r="287" spans="1:4" x14ac:dyDescent="0.75">
      <c r="A287" s="32">
        <v>285</v>
      </c>
      <c r="B287" s="32">
        <f t="shared" si="8"/>
        <v>94</v>
      </c>
      <c r="C287" s="32">
        <f t="shared" si="9"/>
        <v>3</v>
      </c>
      <c r="D287" s="31" t="e" cm="1">
        <f t="array" ref="D287">INDEX('RadMap-1'!$H$8:$J$94,1+B287,C287)</f>
        <v>#REF!</v>
      </c>
    </row>
    <row r="288" spans="1:4" x14ac:dyDescent="0.75">
      <c r="A288" s="32">
        <v>286</v>
      </c>
      <c r="B288" s="32">
        <f t="shared" si="8"/>
        <v>95</v>
      </c>
      <c r="C288" s="32">
        <f t="shared" si="9"/>
        <v>1</v>
      </c>
      <c r="D288" s="31" t="e" cm="1">
        <f t="array" ref="D288">INDEX('RadMap-1'!$H$8:$J$94,1+B288,C288)</f>
        <v>#REF!</v>
      </c>
    </row>
    <row r="289" spans="1:4" x14ac:dyDescent="0.75">
      <c r="A289" s="32">
        <v>287</v>
      </c>
      <c r="B289" s="32">
        <f t="shared" si="8"/>
        <v>95</v>
      </c>
      <c r="C289" s="32">
        <f t="shared" si="9"/>
        <v>2</v>
      </c>
      <c r="D289" s="31" t="e" cm="1">
        <f t="array" ref="D289">INDEX('RadMap-1'!$H$8:$J$94,1+B289,C289)</f>
        <v>#REF!</v>
      </c>
    </row>
    <row r="290" spans="1:4" x14ac:dyDescent="0.75">
      <c r="A290" s="32">
        <v>288</v>
      </c>
      <c r="B290" s="32">
        <f t="shared" si="8"/>
        <v>95</v>
      </c>
      <c r="C290" s="32">
        <f t="shared" si="9"/>
        <v>3</v>
      </c>
      <c r="D290" s="31" t="e" cm="1">
        <f t="array" ref="D290">INDEX('RadMap-1'!$H$8:$J$94,1+B290,C290)</f>
        <v>#REF!</v>
      </c>
    </row>
    <row r="291" spans="1:4" x14ac:dyDescent="0.75">
      <c r="A291" s="32">
        <v>289</v>
      </c>
      <c r="B291" s="32">
        <f t="shared" si="8"/>
        <v>96</v>
      </c>
      <c r="C291" s="32">
        <f t="shared" si="9"/>
        <v>1</v>
      </c>
      <c r="D291" s="31" t="e" cm="1">
        <f t="array" ref="D291">INDEX('RadMap-1'!$H$8:$J$94,1+B291,C291)</f>
        <v>#REF!</v>
      </c>
    </row>
    <row r="292" spans="1:4" x14ac:dyDescent="0.75">
      <c r="A292" s="32">
        <v>290</v>
      </c>
      <c r="B292" s="32">
        <f t="shared" si="8"/>
        <v>96</v>
      </c>
      <c r="C292" s="32">
        <f t="shared" si="9"/>
        <v>2</v>
      </c>
      <c r="D292" s="31" t="e" cm="1">
        <f t="array" ref="D292">INDEX('RadMap-1'!$H$8:$J$94,1+B292,C292)</f>
        <v>#REF!</v>
      </c>
    </row>
    <row r="293" spans="1:4" x14ac:dyDescent="0.75">
      <c r="A293" s="32">
        <v>291</v>
      </c>
      <c r="B293" s="32">
        <f t="shared" si="8"/>
        <v>96</v>
      </c>
      <c r="C293" s="32">
        <f t="shared" si="9"/>
        <v>3</v>
      </c>
      <c r="D293" s="31" t="e" cm="1">
        <f t="array" ref="D293">INDEX('RadMap-1'!$H$8:$J$94,1+B293,C293)</f>
        <v>#REF!</v>
      </c>
    </row>
    <row r="294" spans="1:4" x14ac:dyDescent="0.75">
      <c r="A294" s="32">
        <v>292</v>
      </c>
      <c r="B294" s="32">
        <f t="shared" si="8"/>
        <v>97</v>
      </c>
      <c r="C294" s="32">
        <f t="shared" si="9"/>
        <v>1</v>
      </c>
      <c r="D294" s="31" t="e" cm="1">
        <f t="array" ref="D294">INDEX('RadMap-1'!$H$8:$J$94,1+B294,C294)</f>
        <v>#REF!</v>
      </c>
    </row>
    <row r="295" spans="1:4" x14ac:dyDescent="0.75">
      <c r="A295" s="32">
        <v>293</v>
      </c>
      <c r="B295" s="32">
        <f t="shared" si="8"/>
        <v>97</v>
      </c>
      <c r="C295" s="32">
        <f t="shared" si="9"/>
        <v>2</v>
      </c>
      <c r="D295" s="31" t="e" cm="1">
        <f t="array" ref="D295">INDEX('RadMap-1'!$H$8:$J$94,1+B295,C295)</f>
        <v>#REF!</v>
      </c>
    </row>
    <row r="296" spans="1:4" x14ac:dyDescent="0.75">
      <c r="A296" s="32">
        <v>294</v>
      </c>
      <c r="B296" s="32">
        <f t="shared" si="8"/>
        <v>97</v>
      </c>
      <c r="C296" s="32">
        <f t="shared" si="9"/>
        <v>3</v>
      </c>
      <c r="D296" s="31" t="e" cm="1">
        <f t="array" ref="D296">INDEX('RadMap-1'!$H$8:$J$94,1+B296,C296)</f>
        <v>#REF!</v>
      </c>
    </row>
    <row r="297" spans="1:4" x14ac:dyDescent="0.75">
      <c r="A297" s="32">
        <v>295</v>
      </c>
      <c r="B297" s="32">
        <f t="shared" si="8"/>
        <v>98</v>
      </c>
      <c r="C297" s="32">
        <f t="shared" si="9"/>
        <v>1</v>
      </c>
      <c r="D297" s="31" t="e" cm="1">
        <f t="array" ref="D297">INDEX('RadMap-1'!$H$8:$J$94,1+B297,C297)</f>
        <v>#REF!</v>
      </c>
    </row>
    <row r="298" spans="1:4" x14ac:dyDescent="0.75">
      <c r="A298" s="32">
        <v>296</v>
      </c>
      <c r="B298" s="32">
        <f t="shared" si="8"/>
        <v>98</v>
      </c>
      <c r="C298" s="32">
        <f t="shared" si="9"/>
        <v>2</v>
      </c>
      <c r="D298" s="31" t="e" cm="1">
        <f t="array" ref="D298">INDEX('RadMap-1'!$H$8:$J$94,1+B298,C298)</f>
        <v>#REF!</v>
      </c>
    </row>
    <row r="299" spans="1:4" x14ac:dyDescent="0.75">
      <c r="A299" s="32">
        <v>297</v>
      </c>
      <c r="B299" s="32">
        <f t="shared" si="8"/>
        <v>98</v>
      </c>
      <c r="C299" s="32">
        <f t="shared" si="9"/>
        <v>3</v>
      </c>
      <c r="D299" s="31" t="e" cm="1">
        <f t="array" ref="D299">INDEX('RadMap-1'!$H$8:$J$94,1+B299,C299)</f>
        <v>#REF!</v>
      </c>
    </row>
    <row r="300" spans="1:4" x14ac:dyDescent="0.75">
      <c r="A300" s="32">
        <v>298</v>
      </c>
      <c r="B300" s="32">
        <f t="shared" si="8"/>
        <v>99</v>
      </c>
      <c r="C300" s="32">
        <f t="shared" si="9"/>
        <v>1</v>
      </c>
      <c r="D300" s="31" t="e" cm="1">
        <f t="array" ref="D300">INDEX('RadMap-1'!$H$8:$J$94,1+B300,C300)</f>
        <v>#REF!</v>
      </c>
    </row>
    <row r="301" spans="1:4" x14ac:dyDescent="0.75">
      <c r="A301" s="32">
        <v>299</v>
      </c>
      <c r="B301" s="32">
        <f t="shared" si="8"/>
        <v>99</v>
      </c>
      <c r="C301" s="32">
        <f t="shared" si="9"/>
        <v>2</v>
      </c>
      <c r="D301" s="31" t="e" cm="1">
        <f t="array" ref="D301">INDEX('RadMap-1'!$H$8:$J$94,1+B301,C301)</f>
        <v>#REF!</v>
      </c>
    </row>
    <row r="302" spans="1:4" x14ac:dyDescent="0.75">
      <c r="A302" s="32">
        <v>300</v>
      </c>
      <c r="B302" s="32">
        <f t="shared" si="8"/>
        <v>99</v>
      </c>
      <c r="C302" s="32">
        <f t="shared" si="9"/>
        <v>3</v>
      </c>
      <c r="D302" s="31" t="e" cm="1">
        <f t="array" ref="D302">INDEX('RadMap-1'!$H$8:$J$94,1+B302,C302)</f>
        <v>#REF!</v>
      </c>
    </row>
    <row r="303" spans="1:4" x14ac:dyDescent="0.75">
      <c r="A303" s="32">
        <v>301</v>
      </c>
      <c r="B303" s="32">
        <f t="shared" si="8"/>
        <v>100</v>
      </c>
      <c r="C303" s="32">
        <f t="shared" si="9"/>
        <v>1</v>
      </c>
      <c r="D303" s="31" t="e" cm="1">
        <f t="array" ref="D303">INDEX('RadMap-1'!$H$8:$J$94,1+B303,C303)</f>
        <v>#REF!</v>
      </c>
    </row>
    <row r="304" spans="1:4" x14ac:dyDescent="0.75">
      <c r="A304" s="32">
        <v>302</v>
      </c>
      <c r="B304" s="32">
        <f t="shared" si="8"/>
        <v>100</v>
      </c>
      <c r="C304" s="32">
        <f t="shared" si="9"/>
        <v>2</v>
      </c>
      <c r="D304" s="31" t="e" cm="1">
        <f t="array" ref="D304">INDEX('RadMap-1'!$H$8:$J$94,1+B304,C304)</f>
        <v>#REF!</v>
      </c>
    </row>
    <row r="305" spans="1:4" x14ac:dyDescent="0.75">
      <c r="A305" s="32">
        <v>303</v>
      </c>
      <c r="B305" s="32">
        <f t="shared" si="8"/>
        <v>100</v>
      </c>
      <c r="C305" s="32">
        <f t="shared" si="9"/>
        <v>3</v>
      </c>
      <c r="D305" s="31" t="e" cm="1">
        <f t="array" ref="D305">INDEX('RadMap-1'!$H$8:$J$94,1+B305,C305)</f>
        <v>#REF!</v>
      </c>
    </row>
    <row r="306" spans="1:4" x14ac:dyDescent="0.75">
      <c r="A306" s="32">
        <v>304</v>
      </c>
      <c r="B306" s="32">
        <f t="shared" si="8"/>
        <v>101</v>
      </c>
      <c r="C306" s="32">
        <f t="shared" si="9"/>
        <v>1</v>
      </c>
      <c r="D306" s="31" t="e" cm="1">
        <f t="array" ref="D306">INDEX('RadMap-1'!$H$8:$J$94,1+B306,C306)</f>
        <v>#REF!</v>
      </c>
    </row>
    <row r="307" spans="1:4" x14ac:dyDescent="0.75">
      <c r="A307" s="32">
        <v>305</v>
      </c>
      <c r="B307" s="32">
        <f t="shared" si="8"/>
        <v>101</v>
      </c>
      <c r="C307" s="32">
        <f t="shared" si="9"/>
        <v>2</v>
      </c>
      <c r="D307" s="31" t="e" cm="1">
        <f t="array" ref="D307">INDEX('RadMap-1'!$H$8:$J$94,1+B307,C307)</f>
        <v>#REF!</v>
      </c>
    </row>
    <row r="308" spans="1:4" x14ac:dyDescent="0.75">
      <c r="A308" s="32">
        <v>306</v>
      </c>
      <c r="B308" s="32">
        <f t="shared" si="8"/>
        <v>101</v>
      </c>
      <c r="C308" s="32">
        <f t="shared" si="9"/>
        <v>3</v>
      </c>
      <c r="D308" s="31" t="e" cm="1">
        <f t="array" ref="D308">INDEX('RadMap-1'!$H$8:$J$94,1+B308,C308)</f>
        <v>#REF!</v>
      </c>
    </row>
    <row r="309" spans="1:4" x14ac:dyDescent="0.75">
      <c r="A309" s="32">
        <v>307</v>
      </c>
      <c r="B309" s="32">
        <f t="shared" si="8"/>
        <v>102</v>
      </c>
      <c r="C309" s="32">
        <f t="shared" si="9"/>
        <v>1</v>
      </c>
      <c r="D309" s="31" t="e" cm="1">
        <f t="array" ref="D309">INDEX('RadMap-1'!$H$8:$J$94,1+B309,C309)</f>
        <v>#REF!</v>
      </c>
    </row>
    <row r="310" spans="1:4" x14ac:dyDescent="0.75">
      <c r="A310" s="32">
        <v>308</v>
      </c>
      <c r="B310" s="32">
        <f t="shared" si="8"/>
        <v>102</v>
      </c>
      <c r="C310" s="32">
        <f t="shared" si="9"/>
        <v>2</v>
      </c>
      <c r="D310" s="31" t="e" cm="1">
        <f t="array" ref="D310">INDEX('RadMap-1'!$H$8:$J$94,1+B310,C310)</f>
        <v>#REF!</v>
      </c>
    </row>
    <row r="311" spans="1:4" x14ac:dyDescent="0.75">
      <c r="A311" s="32">
        <v>309</v>
      </c>
      <c r="B311" s="32">
        <f t="shared" si="8"/>
        <v>102</v>
      </c>
      <c r="C311" s="32">
        <f t="shared" si="9"/>
        <v>3</v>
      </c>
      <c r="D311" s="31" t="e" cm="1">
        <f t="array" ref="D311">INDEX('RadMap-1'!$H$8:$J$94,1+B311,C311)</f>
        <v>#REF!</v>
      </c>
    </row>
    <row r="312" spans="1:4" x14ac:dyDescent="0.75">
      <c r="A312" s="32">
        <v>310</v>
      </c>
      <c r="B312" s="32">
        <f t="shared" si="8"/>
        <v>103</v>
      </c>
      <c r="C312" s="32">
        <f t="shared" si="9"/>
        <v>1</v>
      </c>
      <c r="D312" s="31" t="e" cm="1">
        <f t="array" ref="D312">INDEX('RadMap-1'!$H$8:$J$94,1+B312,C312)</f>
        <v>#REF!</v>
      </c>
    </row>
    <row r="313" spans="1:4" x14ac:dyDescent="0.75">
      <c r="A313" s="32">
        <v>311</v>
      </c>
      <c r="B313" s="32">
        <f t="shared" si="8"/>
        <v>103</v>
      </c>
      <c r="C313" s="32">
        <f t="shared" si="9"/>
        <v>2</v>
      </c>
      <c r="D313" s="31" t="e" cm="1">
        <f t="array" ref="D313">INDEX('RadMap-1'!$H$8:$J$94,1+B313,C313)</f>
        <v>#REF!</v>
      </c>
    </row>
    <row r="314" spans="1:4" x14ac:dyDescent="0.75">
      <c r="A314" s="32">
        <v>312</v>
      </c>
      <c r="B314" s="32">
        <f t="shared" si="8"/>
        <v>103</v>
      </c>
      <c r="C314" s="32">
        <f t="shared" si="9"/>
        <v>3</v>
      </c>
      <c r="D314" s="31" t="e" cm="1">
        <f t="array" ref="D314">INDEX('RadMap-1'!$H$8:$J$94,1+B314,C314)</f>
        <v>#REF!</v>
      </c>
    </row>
    <row r="315" spans="1:4" x14ac:dyDescent="0.75">
      <c r="A315" s="32">
        <v>313</v>
      </c>
      <c r="B315" s="32">
        <f t="shared" si="8"/>
        <v>104</v>
      </c>
      <c r="C315" s="32">
        <f t="shared" si="9"/>
        <v>1</v>
      </c>
      <c r="D315" s="31" t="e" cm="1">
        <f t="array" ref="D315">INDEX('RadMap-1'!$H$8:$J$94,1+B315,C315)</f>
        <v>#REF!</v>
      </c>
    </row>
    <row r="316" spans="1:4" x14ac:dyDescent="0.75">
      <c r="A316" s="32">
        <v>314</v>
      </c>
      <c r="B316" s="32">
        <f t="shared" si="8"/>
        <v>104</v>
      </c>
      <c r="C316" s="32">
        <f t="shared" si="9"/>
        <v>2</v>
      </c>
      <c r="D316" s="31" t="e" cm="1">
        <f t="array" ref="D316">INDEX('RadMap-1'!$H$8:$J$94,1+B316,C316)</f>
        <v>#REF!</v>
      </c>
    </row>
    <row r="317" spans="1:4" x14ac:dyDescent="0.75">
      <c r="A317" s="32">
        <v>315</v>
      </c>
      <c r="B317" s="32">
        <f t="shared" si="8"/>
        <v>104</v>
      </c>
      <c r="C317" s="32">
        <f t="shared" si="9"/>
        <v>3</v>
      </c>
      <c r="D317" s="31" t="e" cm="1">
        <f t="array" ref="D317">INDEX('RadMap-1'!$H$8:$J$94,1+B317,C317)</f>
        <v>#REF!</v>
      </c>
    </row>
    <row r="318" spans="1:4" x14ac:dyDescent="0.75">
      <c r="A318" s="32">
        <v>316</v>
      </c>
      <c r="B318" s="32">
        <f t="shared" si="8"/>
        <v>105</v>
      </c>
      <c r="C318" s="32">
        <f t="shared" si="9"/>
        <v>1</v>
      </c>
      <c r="D318" s="31" t="e" cm="1">
        <f t="array" ref="D318">INDEX('RadMap-1'!$H$8:$J$94,1+B318,C318)</f>
        <v>#REF!</v>
      </c>
    </row>
    <row r="319" spans="1:4" x14ac:dyDescent="0.75">
      <c r="A319" s="32">
        <v>317</v>
      </c>
      <c r="B319" s="32">
        <f t="shared" si="8"/>
        <v>105</v>
      </c>
      <c r="C319" s="32">
        <f t="shared" si="9"/>
        <v>2</v>
      </c>
      <c r="D319" s="31" t="e" cm="1">
        <f t="array" ref="D319">INDEX('RadMap-1'!$H$8:$J$94,1+B319,C319)</f>
        <v>#REF!</v>
      </c>
    </row>
    <row r="320" spans="1:4" x14ac:dyDescent="0.75">
      <c r="A320" s="32">
        <v>318</v>
      </c>
      <c r="B320" s="32">
        <f t="shared" si="8"/>
        <v>105</v>
      </c>
      <c r="C320" s="32">
        <f t="shared" si="9"/>
        <v>3</v>
      </c>
      <c r="D320" s="31" t="e" cm="1">
        <f t="array" ref="D320">INDEX('RadMap-1'!$H$8:$J$94,1+B320,C320)</f>
        <v>#REF!</v>
      </c>
    </row>
    <row r="321" spans="1:4" x14ac:dyDescent="0.75">
      <c r="A321" s="32">
        <v>319</v>
      </c>
      <c r="B321" s="32">
        <f t="shared" si="8"/>
        <v>106</v>
      </c>
      <c r="C321" s="32">
        <f t="shared" si="9"/>
        <v>1</v>
      </c>
      <c r="D321" s="31" t="e" cm="1">
        <f t="array" ref="D321">INDEX('RadMap-1'!$H$8:$J$94,1+B321,C321)</f>
        <v>#REF!</v>
      </c>
    </row>
    <row r="322" spans="1:4" x14ac:dyDescent="0.75">
      <c r="A322" s="32">
        <v>320</v>
      </c>
      <c r="B322" s="32">
        <f t="shared" si="8"/>
        <v>106</v>
      </c>
      <c r="C322" s="32">
        <f t="shared" si="9"/>
        <v>2</v>
      </c>
      <c r="D322" s="31" t="e" cm="1">
        <f t="array" ref="D322">INDEX('RadMap-1'!$H$8:$J$94,1+B322,C322)</f>
        <v>#REF!</v>
      </c>
    </row>
    <row r="323" spans="1:4" x14ac:dyDescent="0.75">
      <c r="A323" s="32">
        <v>321</v>
      </c>
      <c r="B323" s="32">
        <f t="shared" si="8"/>
        <v>106</v>
      </c>
      <c r="C323" s="32">
        <f t="shared" si="9"/>
        <v>3</v>
      </c>
      <c r="D323" s="31" t="e" cm="1">
        <f t="array" ref="D323">INDEX('RadMap-1'!$H$8:$J$94,1+B323,C323)</f>
        <v>#REF!</v>
      </c>
    </row>
    <row r="324" spans="1:4" x14ac:dyDescent="0.75">
      <c r="A324" s="32">
        <v>322</v>
      </c>
      <c r="B324" s="32">
        <f t="shared" ref="B324:B387" si="10">IF(MOD(A324,3)=0,A324/3-1,INT(A324/3))</f>
        <v>107</v>
      </c>
      <c r="C324" s="32">
        <f t="shared" ref="C324:C387" si="11">IF(MOD(A324,3)=0,3,MOD(A324,3))</f>
        <v>1</v>
      </c>
      <c r="D324" s="31" t="e" cm="1">
        <f t="array" ref="D324">INDEX('RadMap-1'!$H$8:$J$94,1+B324,C324)</f>
        <v>#REF!</v>
      </c>
    </row>
    <row r="325" spans="1:4" x14ac:dyDescent="0.75">
      <c r="A325" s="32">
        <v>323</v>
      </c>
      <c r="B325" s="32">
        <f t="shared" si="10"/>
        <v>107</v>
      </c>
      <c r="C325" s="32">
        <f t="shared" si="11"/>
        <v>2</v>
      </c>
      <c r="D325" s="31" t="e" cm="1">
        <f t="array" ref="D325">INDEX('RadMap-1'!$H$8:$J$94,1+B325,C325)</f>
        <v>#REF!</v>
      </c>
    </row>
    <row r="326" spans="1:4" x14ac:dyDescent="0.75">
      <c r="A326" s="32">
        <v>324</v>
      </c>
      <c r="B326" s="32">
        <f t="shared" si="10"/>
        <v>107</v>
      </c>
      <c r="C326" s="32">
        <f t="shared" si="11"/>
        <v>3</v>
      </c>
      <c r="D326" s="31" t="e" cm="1">
        <f t="array" ref="D326">INDEX('RadMap-1'!$H$8:$J$94,1+B326,C326)</f>
        <v>#REF!</v>
      </c>
    </row>
    <row r="327" spans="1:4" x14ac:dyDescent="0.75">
      <c r="A327" s="32">
        <v>325</v>
      </c>
      <c r="B327" s="32">
        <f t="shared" si="10"/>
        <v>108</v>
      </c>
      <c r="C327" s="32">
        <f t="shared" si="11"/>
        <v>1</v>
      </c>
      <c r="D327" s="31" t="e" cm="1">
        <f t="array" ref="D327">INDEX('RadMap-1'!$H$8:$J$94,1+B327,C327)</f>
        <v>#REF!</v>
      </c>
    </row>
    <row r="328" spans="1:4" x14ac:dyDescent="0.75">
      <c r="A328" s="32">
        <v>326</v>
      </c>
      <c r="B328" s="32">
        <f t="shared" si="10"/>
        <v>108</v>
      </c>
      <c r="C328" s="32">
        <f t="shared" si="11"/>
        <v>2</v>
      </c>
      <c r="D328" s="31" t="e" cm="1">
        <f t="array" ref="D328">INDEX('RadMap-1'!$H$8:$J$94,1+B328,C328)</f>
        <v>#REF!</v>
      </c>
    </row>
    <row r="329" spans="1:4" x14ac:dyDescent="0.75">
      <c r="A329" s="32">
        <v>327</v>
      </c>
      <c r="B329" s="32">
        <f t="shared" si="10"/>
        <v>108</v>
      </c>
      <c r="C329" s="32">
        <f t="shared" si="11"/>
        <v>3</v>
      </c>
      <c r="D329" s="31" t="e" cm="1">
        <f t="array" ref="D329">INDEX('RadMap-1'!$H$8:$J$94,1+B329,C329)</f>
        <v>#REF!</v>
      </c>
    </row>
    <row r="330" spans="1:4" x14ac:dyDescent="0.75">
      <c r="A330" s="32">
        <v>328</v>
      </c>
      <c r="B330" s="32">
        <f t="shared" si="10"/>
        <v>109</v>
      </c>
      <c r="C330" s="32">
        <f t="shared" si="11"/>
        <v>1</v>
      </c>
      <c r="D330" s="31" t="e" cm="1">
        <f t="array" ref="D330">INDEX('RadMap-1'!$H$8:$J$94,1+B330,C330)</f>
        <v>#REF!</v>
      </c>
    </row>
    <row r="331" spans="1:4" x14ac:dyDescent="0.75">
      <c r="A331" s="32">
        <v>329</v>
      </c>
      <c r="B331" s="32">
        <f t="shared" si="10"/>
        <v>109</v>
      </c>
      <c r="C331" s="32">
        <f t="shared" si="11"/>
        <v>2</v>
      </c>
      <c r="D331" s="31" t="e" cm="1">
        <f t="array" ref="D331">INDEX('RadMap-1'!$H$8:$J$94,1+B331,C331)</f>
        <v>#REF!</v>
      </c>
    </row>
    <row r="332" spans="1:4" x14ac:dyDescent="0.75">
      <c r="A332" s="32">
        <v>330</v>
      </c>
      <c r="B332" s="32">
        <f t="shared" si="10"/>
        <v>109</v>
      </c>
      <c r="C332" s="32">
        <f t="shared" si="11"/>
        <v>3</v>
      </c>
      <c r="D332" s="31" t="e" cm="1">
        <f t="array" ref="D332">INDEX('RadMap-1'!$H$8:$J$94,1+B332,C332)</f>
        <v>#REF!</v>
      </c>
    </row>
    <row r="333" spans="1:4" x14ac:dyDescent="0.75">
      <c r="A333" s="32">
        <v>331</v>
      </c>
      <c r="B333" s="32">
        <f t="shared" si="10"/>
        <v>110</v>
      </c>
      <c r="C333" s="32">
        <f t="shared" si="11"/>
        <v>1</v>
      </c>
      <c r="D333" s="31" t="e" cm="1">
        <f t="array" ref="D333">INDEX('RadMap-1'!$H$8:$J$94,1+B333,C333)</f>
        <v>#REF!</v>
      </c>
    </row>
    <row r="334" spans="1:4" x14ac:dyDescent="0.75">
      <c r="A334" s="32">
        <v>332</v>
      </c>
      <c r="B334" s="32">
        <f t="shared" si="10"/>
        <v>110</v>
      </c>
      <c r="C334" s="32">
        <f t="shared" si="11"/>
        <v>2</v>
      </c>
      <c r="D334" s="31" t="e" cm="1">
        <f t="array" ref="D334">INDEX('RadMap-1'!$H$8:$J$94,1+B334,C334)</f>
        <v>#REF!</v>
      </c>
    </row>
    <row r="335" spans="1:4" x14ac:dyDescent="0.75">
      <c r="A335" s="32">
        <v>333</v>
      </c>
      <c r="B335" s="32">
        <f t="shared" si="10"/>
        <v>110</v>
      </c>
      <c r="C335" s="32">
        <f t="shared" si="11"/>
        <v>3</v>
      </c>
      <c r="D335" s="31" t="e" cm="1">
        <f t="array" ref="D335">INDEX('RadMap-1'!$H$8:$J$94,1+B335,C335)</f>
        <v>#REF!</v>
      </c>
    </row>
    <row r="336" spans="1:4" x14ac:dyDescent="0.75">
      <c r="A336" s="32">
        <v>334</v>
      </c>
      <c r="B336" s="32">
        <f t="shared" si="10"/>
        <v>111</v>
      </c>
      <c r="C336" s="32">
        <f t="shared" si="11"/>
        <v>1</v>
      </c>
      <c r="D336" s="31" t="e" cm="1">
        <f t="array" ref="D336">INDEX('RadMap-1'!$H$8:$J$94,1+B336,C336)</f>
        <v>#REF!</v>
      </c>
    </row>
    <row r="337" spans="1:4" x14ac:dyDescent="0.75">
      <c r="A337" s="32">
        <v>335</v>
      </c>
      <c r="B337" s="32">
        <f t="shared" si="10"/>
        <v>111</v>
      </c>
      <c r="C337" s="32">
        <f t="shared" si="11"/>
        <v>2</v>
      </c>
      <c r="D337" s="31" t="e" cm="1">
        <f t="array" ref="D337">INDEX('RadMap-1'!$H$8:$J$94,1+B337,C337)</f>
        <v>#REF!</v>
      </c>
    </row>
    <row r="338" spans="1:4" x14ac:dyDescent="0.75">
      <c r="A338" s="32">
        <v>336</v>
      </c>
      <c r="B338" s="32">
        <f t="shared" si="10"/>
        <v>111</v>
      </c>
      <c r="C338" s="32">
        <f t="shared" si="11"/>
        <v>3</v>
      </c>
      <c r="D338" s="31" t="e" cm="1">
        <f t="array" ref="D338">INDEX('RadMap-1'!$H$8:$J$94,1+B338,C338)</f>
        <v>#REF!</v>
      </c>
    </row>
    <row r="339" spans="1:4" x14ac:dyDescent="0.75">
      <c r="A339" s="32">
        <v>337</v>
      </c>
      <c r="B339" s="32">
        <f t="shared" si="10"/>
        <v>112</v>
      </c>
      <c r="C339" s="32">
        <f t="shared" si="11"/>
        <v>1</v>
      </c>
      <c r="D339" s="31" t="e" cm="1">
        <f t="array" ref="D339">INDEX('RadMap-1'!$H$8:$J$94,1+B339,C339)</f>
        <v>#REF!</v>
      </c>
    </row>
    <row r="340" spans="1:4" x14ac:dyDescent="0.75">
      <c r="A340" s="32">
        <v>338</v>
      </c>
      <c r="B340" s="32">
        <f t="shared" si="10"/>
        <v>112</v>
      </c>
      <c r="C340" s="32">
        <f t="shared" si="11"/>
        <v>2</v>
      </c>
      <c r="D340" s="31" t="e" cm="1">
        <f t="array" ref="D340">INDEX('RadMap-1'!$H$8:$J$94,1+B340,C340)</f>
        <v>#REF!</v>
      </c>
    </row>
    <row r="341" spans="1:4" x14ac:dyDescent="0.75">
      <c r="A341" s="32">
        <v>339</v>
      </c>
      <c r="B341" s="32">
        <f t="shared" si="10"/>
        <v>112</v>
      </c>
      <c r="C341" s="32">
        <f t="shared" si="11"/>
        <v>3</v>
      </c>
      <c r="D341" s="31" t="e" cm="1">
        <f t="array" ref="D341">INDEX('RadMap-1'!$H$8:$J$94,1+B341,C341)</f>
        <v>#REF!</v>
      </c>
    </row>
    <row r="342" spans="1:4" x14ac:dyDescent="0.75">
      <c r="A342" s="32">
        <v>340</v>
      </c>
      <c r="B342" s="32">
        <f t="shared" si="10"/>
        <v>113</v>
      </c>
      <c r="C342" s="32">
        <f t="shared" si="11"/>
        <v>1</v>
      </c>
      <c r="D342" s="31" t="e" cm="1">
        <f t="array" ref="D342">INDEX('RadMap-1'!$H$8:$J$94,1+B342,C342)</f>
        <v>#REF!</v>
      </c>
    </row>
    <row r="343" spans="1:4" x14ac:dyDescent="0.75">
      <c r="A343" s="32">
        <v>341</v>
      </c>
      <c r="B343" s="32">
        <f t="shared" si="10"/>
        <v>113</v>
      </c>
      <c r="C343" s="32">
        <f t="shared" si="11"/>
        <v>2</v>
      </c>
      <c r="D343" s="31" t="e" cm="1">
        <f t="array" ref="D343">INDEX('RadMap-1'!$H$8:$J$94,1+B343,C343)</f>
        <v>#REF!</v>
      </c>
    </row>
    <row r="344" spans="1:4" x14ac:dyDescent="0.75">
      <c r="A344" s="32">
        <v>342</v>
      </c>
      <c r="B344" s="32">
        <f t="shared" si="10"/>
        <v>113</v>
      </c>
      <c r="C344" s="32">
        <f t="shared" si="11"/>
        <v>3</v>
      </c>
      <c r="D344" s="31" t="e" cm="1">
        <f t="array" ref="D344">INDEX('RadMap-1'!$H$8:$J$94,1+B344,C344)</f>
        <v>#REF!</v>
      </c>
    </row>
    <row r="345" spans="1:4" x14ac:dyDescent="0.75">
      <c r="A345" s="32">
        <v>343</v>
      </c>
      <c r="B345" s="32">
        <f t="shared" si="10"/>
        <v>114</v>
      </c>
      <c r="C345" s="32">
        <f t="shared" si="11"/>
        <v>1</v>
      </c>
      <c r="D345" s="31" t="e" cm="1">
        <f t="array" ref="D345">INDEX('RadMap-1'!$H$8:$J$94,1+B345,C345)</f>
        <v>#REF!</v>
      </c>
    </row>
    <row r="346" spans="1:4" x14ac:dyDescent="0.75">
      <c r="A346" s="32">
        <v>344</v>
      </c>
      <c r="B346" s="32">
        <f t="shared" si="10"/>
        <v>114</v>
      </c>
      <c r="C346" s="32">
        <f t="shared" si="11"/>
        <v>2</v>
      </c>
    </row>
    <row r="347" spans="1:4" x14ac:dyDescent="0.75">
      <c r="A347" s="32">
        <v>345</v>
      </c>
      <c r="B347" s="32">
        <f t="shared" si="10"/>
        <v>114</v>
      </c>
      <c r="C347" s="32">
        <f t="shared" si="11"/>
        <v>3</v>
      </c>
    </row>
    <row r="348" spans="1:4" x14ac:dyDescent="0.75">
      <c r="A348" s="32">
        <v>346</v>
      </c>
      <c r="B348" s="32">
        <f t="shared" si="10"/>
        <v>115</v>
      </c>
      <c r="C348" s="32">
        <f t="shared" si="11"/>
        <v>1</v>
      </c>
    </row>
    <row r="349" spans="1:4" x14ac:dyDescent="0.75">
      <c r="A349" s="32">
        <v>347</v>
      </c>
      <c r="B349" s="32">
        <f t="shared" si="10"/>
        <v>115</v>
      </c>
      <c r="C349" s="32">
        <f t="shared" si="11"/>
        <v>2</v>
      </c>
    </row>
    <row r="350" spans="1:4" x14ac:dyDescent="0.75">
      <c r="A350" s="32">
        <v>348</v>
      </c>
      <c r="B350" s="32">
        <f t="shared" si="10"/>
        <v>115</v>
      </c>
      <c r="C350" s="32">
        <f t="shared" si="11"/>
        <v>3</v>
      </c>
    </row>
    <row r="351" spans="1:4" x14ac:dyDescent="0.75">
      <c r="A351" s="32">
        <v>349</v>
      </c>
      <c r="B351" s="32">
        <f t="shared" si="10"/>
        <v>116</v>
      </c>
      <c r="C351" s="32">
        <f t="shared" si="11"/>
        <v>1</v>
      </c>
    </row>
    <row r="352" spans="1:4" x14ac:dyDescent="0.75">
      <c r="A352" s="32">
        <v>350</v>
      </c>
      <c r="B352" s="32">
        <f t="shared" si="10"/>
        <v>116</v>
      </c>
      <c r="C352" s="32">
        <f t="shared" si="11"/>
        <v>2</v>
      </c>
    </row>
    <row r="353" spans="1:3" x14ac:dyDescent="0.75">
      <c r="A353" s="32">
        <v>351</v>
      </c>
      <c r="B353" s="32">
        <f t="shared" si="10"/>
        <v>116</v>
      </c>
      <c r="C353" s="32">
        <f t="shared" si="11"/>
        <v>3</v>
      </c>
    </row>
    <row r="354" spans="1:3" x14ac:dyDescent="0.75">
      <c r="A354" s="32">
        <v>352</v>
      </c>
      <c r="B354" s="32">
        <f t="shared" si="10"/>
        <v>117</v>
      </c>
      <c r="C354" s="32">
        <f t="shared" si="11"/>
        <v>1</v>
      </c>
    </row>
    <row r="355" spans="1:3" x14ac:dyDescent="0.75">
      <c r="A355" s="32">
        <v>353</v>
      </c>
      <c r="B355" s="32">
        <f t="shared" si="10"/>
        <v>117</v>
      </c>
      <c r="C355" s="32">
        <f t="shared" si="11"/>
        <v>2</v>
      </c>
    </row>
    <row r="356" spans="1:3" x14ac:dyDescent="0.75">
      <c r="A356" s="32">
        <v>354</v>
      </c>
      <c r="B356" s="32">
        <f t="shared" si="10"/>
        <v>117</v>
      </c>
      <c r="C356" s="32">
        <f t="shared" si="11"/>
        <v>3</v>
      </c>
    </row>
    <row r="357" spans="1:3" x14ac:dyDescent="0.75">
      <c r="A357" s="32">
        <v>355</v>
      </c>
      <c r="B357" s="32">
        <f t="shared" si="10"/>
        <v>118</v>
      </c>
      <c r="C357" s="32">
        <f t="shared" si="11"/>
        <v>1</v>
      </c>
    </row>
    <row r="358" spans="1:3" x14ac:dyDescent="0.75">
      <c r="A358" s="32">
        <v>356</v>
      </c>
      <c r="B358" s="32">
        <f t="shared" si="10"/>
        <v>118</v>
      </c>
      <c r="C358" s="32">
        <f t="shared" si="11"/>
        <v>2</v>
      </c>
    </row>
    <row r="359" spans="1:3" x14ac:dyDescent="0.75">
      <c r="A359" s="32">
        <v>357</v>
      </c>
      <c r="B359" s="32">
        <f t="shared" si="10"/>
        <v>118</v>
      </c>
      <c r="C359" s="32">
        <f t="shared" si="11"/>
        <v>3</v>
      </c>
    </row>
    <row r="360" spans="1:3" x14ac:dyDescent="0.75">
      <c r="A360" s="32">
        <v>358</v>
      </c>
      <c r="B360" s="32">
        <f t="shared" si="10"/>
        <v>119</v>
      </c>
      <c r="C360" s="32">
        <f t="shared" si="11"/>
        <v>1</v>
      </c>
    </row>
    <row r="361" spans="1:3" x14ac:dyDescent="0.75">
      <c r="A361" s="32">
        <v>359</v>
      </c>
      <c r="B361" s="32">
        <f t="shared" si="10"/>
        <v>119</v>
      </c>
      <c r="C361" s="32">
        <f t="shared" si="11"/>
        <v>2</v>
      </c>
    </row>
    <row r="362" spans="1:3" x14ac:dyDescent="0.75">
      <c r="A362" s="32">
        <v>360</v>
      </c>
      <c r="B362" s="32">
        <f t="shared" si="10"/>
        <v>119</v>
      </c>
      <c r="C362" s="32">
        <f t="shared" si="11"/>
        <v>3</v>
      </c>
    </row>
    <row r="363" spans="1:3" x14ac:dyDescent="0.75">
      <c r="A363" s="32">
        <v>361</v>
      </c>
      <c r="B363" s="32">
        <f t="shared" si="10"/>
        <v>120</v>
      </c>
      <c r="C363" s="32">
        <f t="shared" si="11"/>
        <v>1</v>
      </c>
    </row>
    <row r="364" spans="1:3" x14ac:dyDescent="0.75">
      <c r="A364" s="32">
        <v>362</v>
      </c>
      <c r="B364" s="32">
        <f t="shared" si="10"/>
        <v>120</v>
      </c>
      <c r="C364" s="32">
        <f t="shared" si="11"/>
        <v>2</v>
      </c>
    </row>
    <row r="365" spans="1:3" x14ac:dyDescent="0.75">
      <c r="A365" s="32">
        <v>363</v>
      </c>
      <c r="B365" s="32">
        <f t="shared" si="10"/>
        <v>120</v>
      </c>
      <c r="C365" s="32">
        <f t="shared" si="11"/>
        <v>3</v>
      </c>
    </row>
    <row r="366" spans="1:3" x14ac:dyDescent="0.75">
      <c r="A366" s="32">
        <v>364</v>
      </c>
      <c r="B366" s="32">
        <f t="shared" si="10"/>
        <v>121</v>
      </c>
      <c r="C366" s="32">
        <f t="shared" si="11"/>
        <v>1</v>
      </c>
    </row>
    <row r="367" spans="1:3" x14ac:dyDescent="0.75">
      <c r="A367" s="32">
        <v>365</v>
      </c>
      <c r="B367" s="32">
        <f t="shared" si="10"/>
        <v>121</v>
      </c>
      <c r="C367" s="32">
        <f t="shared" si="11"/>
        <v>2</v>
      </c>
    </row>
    <row r="368" spans="1:3" x14ac:dyDescent="0.75">
      <c r="A368" s="32">
        <v>366</v>
      </c>
      <c r="B368" s="32">
        <f t="shared" si="10"/>
        <v>121</v>
      </c>
      <c r="C368" s="32">
        <f t="shared" si="11"/>
        <v>3</v>
      </c>
    </row>
    <row r="369" spans="1:3" x14ac:dyDescent="0.75">
      <c r="A369" s="32">
        <v>367</v>
      </c>
      <c r="B369" s="32">
        <f t="shared" si="10"/>
        <v>122</v>
      </c>
      <c r="C369" s="32">
        <f t="shared" si="11"/>
        <v>1</v>
      </c>
    </row>
    <row r="370" spans="1:3" x14ac:dyDescent="0.75">
      <c r="A370" s="32">
        <v>368</v>
      </c>
      <c r="B370" s="32">
        <f t="shared" si="10"/>
        <v>122</v>
      </c>
      <c r="C370" s="32">
        <f t="shared" si="11"/>
        <v>2</v>
      </c>
    </row>
    <row r="371" spans="1:3" x14ac:dyDescent="0.75">
      <c r="A371" s="32">
        <v>369</v>
      </c>
      <c r="B371" s="32">
        <f t="shared" si="10"/>
        <v>122</v>
      </c>
      <c r="C371" s="32">
        <f t="shared" si="11"/>
        <v>3</v>
      </c>
    </row>
    <row r="372" spans="1:3" x14ac:dyDescent="0.75">
      <c r="A372" s="32">
        <v>370</v>
      </c>
      <c r="B372" s="32">
        <f t="shared" si="10"/>
        <v>123</v>
      </c>
      <c r="C372" s="32">
        <f t="shared" si="11"/>
        <v>1</v>
      </c>
    </row>
    <row r="373" spans="1:3" x14ac:dyDescent="0.75">
      <c r="A373" s="32">
        <v>371</v>
      </c>
      <c r="B373" s="32">
        <f t="shared" si="10"/>
        <v>123</v>
      </c>
      <c r="C373" s="32">
        <f t="shared" si="11"/>
        <v>2</v>
      </c>
    </row>
    <row r="374" spans="1:3" x14ac:dyDescent="0.75">
      <c r="A374" s="32">
        <v>372</v>
      </c>
      <c r="B374" s="32">
        <f t="shared" si="10"/>
        <v>123</v>
      </c>
      <c r="C374" s="32">
        <f t="shared" si="11"/>
        <v>3</v>
      </c>
    </row>
    <row r="375" spans="1:3" x14ac:dyDescent="0.75">
      <c r="A375" s="32">
        <v>373</v>
      </c>
      <c r="B375" s="32">
        <f t="shared" si="10"/>
        <v>124</v>
      </c>
      <c r="C375" s="32">
        <f t="shared" si="11"/>
        <v>1</v>
      </c>
    </row>
    <row r="376" spans="1:3" x14ac:dyDescent="0.75">
      <c r="A376" s="32">
        <v>374</v>
      </c>
      <c r="B376" s="32">
        <f t="shared" si="10"/>
        <v>124</v>
      </c>
      <c r="C376" s="32">
        <f t="shared" si="11"/>
        <v>2</v>
      </c>
    </row>
    <row r="377" spans="1:3" x14ac:dyDescent="0.75">
      <c r="A377" s="32">
        <v>375</v>
      </c>
      <c r="B377" s="32">
        <f t="shared" si="10"/>
        <v>124</v>
      </c>
      <c r="C377" s="32">
        <f t="shared" si="11"/>
        <v>3</v>
      </c>
    </row>
    <row r="378" spans="1:3" x14ac:dyDescent="0.75">
      <c r="A378" s="32">
        <v>376</v>
      </c>
      <c r="B378" s="32">
        <f t="shared" si="10"/>
        <v>125</v>
      </c>
      <c r="C378" s="32">
        <f t="shared" si="11"/>
        <v>1</v>
      </c>
    </row>
    <row r="379" spans="1:3" x14ac:dyDescent="0.75">
      <c r="A379" s="32">
        <v>377</v>
      </c>
      <c r="B379" s="32">
        <f t="shared" si="10"/>
        <v>125</v>
      </c>
      <c r="C379" s="32">
        <f t="shared" si="11"/>
        <v>2</v>
      </c>
    </row>
    <row r="380" spans="1:3" x14ac:dyDescent="0.75">
      <c r="A380" s="32">
        <v>378</v>
      </c>
      <c r="B380" s="32">
        <f t="shared" si="10"/>
        <v>125</v>
      </c>
      <c r="C380" s="32">
        <f t="shared" si="11"/>
        <v>3</v>
      </c>
    </row>
    <row r="381" spans="1:3" x14ac:dyDescent="0.75">
      <c r="A381" s="32">
        <v>379</v>
      </c>
      <c r="B381" s="32">
        <f t="shared" si="10"/>
        <v>126</v>
      </c>
      <c r="C381" s="32">
        <f t="shared" si="11"/>
        <v>1</v>
      </c>
    </row>
    <row r="382" spans="1:3" x14ac:dyDescent="0.75">
      <c r="A382" s="32">
        <v>380</v>
      </c>
      <c r="B382" s="32">
        <f t="shared" si="10"/>
        <v>126</v>
      </c>
      <c r="C382" s="32">
        <f t="shared" si="11"/>
        <v>2</v>
      </c>
    </row>
    <row r="383" spans="1:3" x14ac:dyDescent="0.75">
      <c r="A383" s="32">
        <v>381</v>
      </c>
      <c r="B383" s="32">
        <f t="shared" si="10"/>
        <v>126</v>
      </c>
      <c r="C383" s="32">
        <f t="shared" si="11"/>
        <v>3</v>
      </c>
    </row>
    <row r="384" spans="1:3" x14ac:dyDescent="0.75">
      <c r="A384" s="32">
        <v>382</v>
      </c>
      <c r="B384" s="32">
        <f t="shared" si="10"/>
        <v>127</v>
      </c>
      <c r="C384" s="32">
        <f t="shared" si="11"/>
        <v>1</v>
      </c>
    </row>
    <row r="385" spans="1:3" x14ac:dyDescent="0.75">
      <c r="A385" s="32">
        <v>383</v>
      </c>
      <c r="B385" s="32">
        <f t="shared" si="10"/>
        <v>127</v>
      </c>
      <c r="C385" s="32">
        <f t="shared" si="11"/>
        <v>2</v>
      </c>
    </row>
    <row r="386" spans="1:3" x14ac:dyDescent="0.75">
      <c r="A386" s="32">
        <v>384</v>
      </c>
      <c r="B386" s="32">
        <f t="shared" si="10"/>
        <v>127</v>
      </c>
      <c r="C386" s="32">
        <f t="shared" si="11"/>
        <v>3</v>
      </c>
    </row>
    <row r="387" spans="1:3" x14ac:dyDescent="0.75">
      <c r="A387" s="32">
        <v>385</v>
      </c>
      <c r="B387" s="32">
        <f t="shared" si="10"/>
        <v>128</v>
      </c>
      <c r="C387" s="32">
        <f t="shared" si="11"/>
        <v>1</v>
      </c>
    </row>
    <row r="388" spans="1:3" x14ac:dyDescent="0.75">
      <c r="A388" s="32">
        <v>386</v>
      </c>
      <c r="B388" s="32">
        <f t="shared" ref="B388:B393" si="12">IF(MOD(A388,7)=0,A388/7-1,INT(A388/7))</f>
        <v>55</v>
      </c>
      <c r="C388" s="32">
        <f t="shared" ref="C388:C393" si="13">IF(MOD(A388,3)=0,3,MOD(A388,3))</f>
        <v>2</v>
      </c>
    </row>
    <row r="389" spans="1:3" x14ac:dyDescent="0.75">
      <c r="A389" s="32">
        <v>387</v>
      </c>
      <c r="B389" s="32">
        <f t="shared" si="12"/>
        <v>55</v>
      </c>
      <c r="C389" s="32">
        <f t="shared" si="13"/>
        <v>3</v>
      </c>
    </row>
    <row r="390" spans="1:3" x14ac:dyDescent="0.75">
      <c r="A390" s="32">
        <v>388</v>
      </c>
      <c r="B390" s="32">
        <f t="shared" si="12"/>
        <v>55</v>
      </c>
      <c r="C390" s="32">
        <f t="shared" si="13"/>
        <v>1</v>
      </c>
    </row>
    <row r="391" spans="1:3" x14ac:dyDescent="0.75">
      <c r="A391" s="32">
        <v>389</v>
      </c>
      <c r="B391" s="32">
        <f t="shared" si="12"/>
        <v>55</v>
      </c>
      <c r="C391" s="32">
        <f t="shared" si="13"/>
        <v>2</v>
      </c>
    </row>
    <row r="392" spans="1:3" x14ac:dyDescent="0.75">
      <c r="A392" s="32">
        <v>390</v>
      </c>
      <c r="B392" s="32">
        <f t="shared" si="12"/>
        <v>55</v>
      </c>
      <c r="C392" s="32">
        <f t="shared" si="13"/>
        <v>3</v>
      </c>
    </row>
    <row r="393" spans="1:3" x14ac:dyDescent="0.75">
      <c r="A393" s="32">
        <v>391</v>
      </c>
      <c r="B393" s="32">
        <f t="shared" si="12"/>
        <v>55</v>
      </c>
      <c r="C393" s="32">
        <f t="shared" si="13"/>
        <v>1</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BB24A-3E7E-410A-9E55-6BA4DA165DD1}">
  <sheetPr codeName="Foglio13">
    <tabColor rgb="FFFF0000"/>
  </sheetPr>
  <dimension ref="A1:J83"/>
  <sheetViews>
    <sheetView topLeftCell="A3" zoomScale="115" zoomScaleNormal="115" workbookViewId="0">
      <selection activeCell="D14" sqref="D14"/>
    </sheetView>
  </sheetViews>
  <sheetFormatPr defaultRowHeight="14.75" x14ac:dyDescent="0.75"/>
  <cols>
    <col min="1" max="1" width="8.7265625" style="31"/>
    <col min="2" max="2" width="52" style="1" customWidth="1"/>
    <col min="3" max="3" width="44.6328125" style="1" customWidth="1"/>
    <col min="4" max="4" width="71.58984375" style="48" bestFit="1" customWidth="1"/>
    <col min="5" max="5" width="12.1796875" style="31" customWidth="1"/>
    <col min="6" max="6" width="20.7265625" style="31" customWidth="1"/>
    <col min="7" max="7" width="56.453125" style="31" customWidth="1"/>
    <col min="8" max="8" width="48.86328125" style="31" customWidth="1"/>
    <col min="9" max="9" width="19.31640625" style="31" customWidth="1"/>
    <col min="10" max="16384" width="8.7265625" style="31"/>
  </cols>
  <sheetData>
    <row r="1" spans="1:10" x14ac:dyDescent="0.75">
      <c r="B1" s="149" t="s">
        <v>32</v>
      </c>
      <c r="C1" s="153" t="s">
        <v>31</v>
      </c>
      <c r="D1" s="96" t="s">
        <v>6</v>
      </c>
    </row>
    <row r="2" spans="1:10" x14ac:dyDescent="0.75">
      <c r="B2" s="150" t="s">
        <v>165</v>
      </c>
      <c r="C2" s="154" t="s">
        <v>179</v>
      </c>
      <c r="D2" s="154" t="s">
        <v>179</v>
      </c>
    </row>
    <row r="3" spans="1:10" x14ac:dyDescent="0.75">
      <c r="B3" s="151" t="s">
        <v>33</v>
      </c>
      <c r="C3" s="157" t="s">
        <v>66</v>
      </c>
      <c r="D3" s="97"/>
    </row>
    <row r="4" spans="1:10" ht="15.5" thickBot="1" x14ac:dyDescent="0.9">
      <c r="B4" s="152" t="s">
        <v>166</v>
      </c>
      <c r="C4" s="155" t="s">
        <v>179</v>
      </c>
      <c r="D4" s="98"/>
    </row>
    <row r="5" spans="1:10" x14ac:dyDescent="0.75">
      <c r="C5" s="3" t="s">
        <v>7</v>
      </c>
      <c r="D5" s="4" t="s">
        <v>8</v>
      </c>
      <c r="E5" s="12" t="s">
        <v>14</v>
      </c>
      <c r="F5" s="12" t="s">
        <v>15</v>
      </c>
      <c r="G5" s="12" t="s">
        <v>16</v>
      </c>
      <c r="H5" s="188" t="s">
        <v>1051</v>
      </c>
      <c r="I5" s="188"/>
    </row>
    <row r="6" spans="1:10" x14ac:dyDescent="0.75">
      <c r="A6" s="31">
        <v>0</v>
      </c>
      <c r="B6" s="40" t="s">
        <v>179</v>
      </c>
      <c r="C6" s="40" t="s">
        <v>179</v>
      </c>
      <c r="D6" s="18" t="s">
        <v>179</v>
      </c>
      <c r="E6" s="41">
        <v>1</v>
      </c>
      <c r="F6" s="41">
        <v>1</v>
      </c>
      <c r="G6" s="41"/>
    </row>
    <row r="7" spans="1:10" x14ac:dyDescent="0.75">
      <c r="A7" s="31">
        <v>1</v>
      </c>
      <c r="B7" s="38" t="s">
        <v>1064</v>
      </c>
      <c r="C7" s="38" t="s">
        <v>988</v>
      </c>
      <c r="D7" s="32" t="s">
        <v>989</v>
      </c>
      <c r="E7" s="32">
        <v>1</v>
      </c>
      <c r="F7" s="32">
        <v>20</v>
      </c>
      <c r="G7" s="32" t="s">
        <v>5</v>
      </c>
      <c r="H7" s="32"/>
      <c r="I7" s="32"/>
      <c r="J7" s="62"/>
    </row>
    <row r="8" spans="1:10" ht="103.25" x14ac:dyDescent="0.75">
      <c r="A8" s="31">
        <v>2</v>
      </c>
      <c r="B8" s="38" t="s">
        <v>1065</v>
      </c>
      <c r="C8" s="38" t="s">
        <v>987</v>
      </c>
      <c r="D8" s="38" t="s">
        <v>1029</v>
      </c>
      <c r="E8" s="32">
        <v>1</v>
      </c>
      <c r="F8" s="32">
        <v>1</v>
      </c>
      <c r="G8" s="32" t="s">
        <v>1</v>
      </c>
      <c r="H8" s="62" t="s">
        <v>1140</v>
      </c>
      <c r="I8" s="32" t="s">
        <v>1055</v>
      </c>
      <c r="J8" s="62"/>
    </row>
    <row r="9" spans="1:10" x14ac:dyDescent="0.75">
      <c r="A9" s="31">
        <v>3</v>
      </c>
      <c r="B9" s="38" t="s">
        <v>1066</v>
      </c>
      <c r="C9" s="38" t="s">
        <v>1026</v>
      </c>
      <c r="D9" s="38" t="s">
        <v>990</v>
      </c>
      <c r="E9" s="32">
        <v>1</v>
      </c>
      <c r="F9" s="32">
        <v>1</v>
      </c>
      <c r="G9" s="32" t="s">
        <v>5</v>
      </c>
      <c r="H9" s="32"/>
      <c r="I9" s="32"/>
      <c r="J9" s="62"/>
    </row>
    <row r="10" spans="1:10" x14ac:dyDescent="0.75">
      <c r="A10" s="31">
        <v>4</v>
      </c>
      <c r="B10" s="38" t="s">
        <v>1067</v>
      </c>
      <c r="C10" s="38" t="s">
        <v>993</v>
      </c>
      <c r="D10" s="32" t="s">
        <v>992</v>
      </c>
      <c r="E10" s="32">
        <v>0</v>
      </c>
      <c r="F10" s="32">
        <v>1</v>
      </c>
      <c r="G10" s="32" t="s">
        <v>1</v>
      </c>
      <c r="H10" s="32"/>
      <c r="I10" s="32"/>
      <c r="J10" s="62"/>
    </row>
    <row r="11" spans="1:10" x14ac:dyDescent="0.75">
      <c r="A11" s="31">
        <v>5</v>
      </c>
      <c r="B11" s="38" t="s">
        <v>1068</v>
      </c>
      <c r="C11" s="38" t="s">
        <v>1036</v>
      </c>
      <c r="D11" s="38" t="s">
        <v>1035</v>
      </c>
      <c r="E11" s="32">
        <v>0</v>
      </c>
      <c r="F11" s="32">
        <v>1</v>
      </c>
      <c r="G11" s="32" t="s">
        <v>1027</v>
      </c>
      <c r="H11" s="32"/>
      <c r="I11" s="32"/>
      <c r="J11" s="62"/>
    </row>
    <row r="12" spans="1:10" ht="88.5" x14ac:dyDescent="0.75">
      <c r="A12" s="31">
        <v>6</v>
      </c>
      <c r="B12" s="38" t="s">
        <v>1069</v>
      </c>
      <c r="C12" s="38" t="s">
        <v>635</v>
      </c>
      <c r="D12" s="38" t="s">
        <v>991</v>
      </c>
      <c r="E12" s="32">
        <v>0</v>
      </c>
      <c r="F12" s="32">
        <v>1</v>
      </c>
      <c r="G12" s="32" t="s">
        <v>1</v>
      </c>
      <c r="H12" s="32"/>
      <c r="I12" s="32"/>
      <c r="J12" s="62"/>
    </row>
    <row r="13" spans="1:10" ht="73.75" x14ac:dyDescent="0.75">
      <c r="A13" s="31">
        <v>7</v>
      </c>
      <c r="B13" s="38" t="s">
        <v>1070</v>
      </c>
      <c r="C13" s="38" t="s">
        <v>426</v>
      </c>
      <c r="D13" s="38" t="s">
        <v>1057</v>
      </c>
      <c r="E13" s="32">
        <v>1</v>
      </c>
      <c r="F13" s="32">
        <v>1</v>
      </c>
      <c r="G13" s="32" t="s">
        <v>1</v>
      </c>
      <c r="H13" s="32"/>
      <c r="I13" s="32"/>
      <c r="J13" s="62"/>
    </row>
    <row r="14" spans="1:10" ht="59" x14ac:dyDescent="0.75">
      <c r="A14" s="31">
        <v>8</v>
      </c>
      <c r="B14" s="15" t="s">
        <v>1071</v>
      </c>
      <c r="C14" s="15" t="s">
        <v>1040</v>
      </c>
      <c r="D14" s="38" t="s">
        <v>1058</v>
      </c>
      <c r="E14" s="32">
        <v>1</v>
      </c>
      <c r="F14" s="32">
        <v>1</v>
      </c>
      <c r="G14" s="32" t="s">
        <v>1</v>
      </c>
      <c r="H14" s="32"/>
      <c r="I14" s="32"/>
      <c r="J14" s="62"/>
    </row>
    <row r="15" spans="1:10" x14ac:dyDescent="0.75">
      <c r="A15" s="31">
        <v>9</v>
      </c>
      <c r="B15" s="160"/>
      <c r="C15" s="72"/>
      <c r="D15" s="72"/>
      <c r="E15" s="39"/>
      <c r="F15" s="39"/>
      <c r="G15" s="39"/>
      <c r="H15" s="39"/>
      <c r="I15" s="39"/>
      <c r="J15" s="62"/>
    </row>
    <row r="16" spans="1:10" x14ac:dyDescent="0.75">
      <c r="A16" s="31">
        <v>10</v>
      </c>
      <c r="B16" s="160"/>
      <c r="C16" s="72"/>
      <c r="D16" s="72"/>
      <c r="E16" s="39"/>
      <c r="F16" s="39"/>
      <c r="G16" s="39"/>
      <c r="H16" s="39"/>
      <c r="I16" s="39"/>
      <c r="J16" s="62"/>
    </row>
    <row r="17" spans="1:10" x14ac:dyDescent="0.75">
      <c r="A17" s="31">
        <v>11</v>
      </c>
      <c r="B17" s="160"/>
      <c r="C17" s="72"/>
      <c r="D17" s="161"/>
      <c r="E17" s="39"/>
      <c r="F17" s="39"/>
      <c r="G17" s="39"/>
      <c r="H17" s="162"/>
      <c r="I17" s="39"/>
      <c r="J17" s="62"/>
    </row>
    <row r="18" spans="1:10" x14ac:dyDescent="0.75">
      <c r="A18" s="31">
        <v>12</v>
      </c>
      <c r="B18" s="160"/>
      <c r="C18" s="72"/>
      <c r="D18" s="72"/>
      <c r="E18" s="39"/>
      <c r="F18" s="39"/>
      <c r="G18" s="39"/>
      <c r="H18" s="39"/>
      <c r="I18" s="39"/>
      <c r="J18" s="62"/>
    </row>
    <row r="19" spans="1:10" x14ac:dyDescent="0.75">
      <c r="A19" s="31">
        <v>13</v>
      </c>
      <c r="B19" s="160"/>
      <c r="C19" s="72"/>
      <c r="D19" s="72"/>
      <c r="E19" s="39"/>
      <c r="F19" s="39"/>
      <c r="G19" s="39"/>
      <c r="H19" s="39"/>
      <c r="I19" s="39"/>
      <c r="J19" s="62"/>
    </row>
    <row r="20" spans="1:10" x14ac:dyDescent="0.75">
      <c r="A20" s="31">
        <v>14</v>
      </c>
      <c r="B20" s="160"/>
      <c r="C20" s="72"/>
      <c r="D20" s="72"/>
      <c r="E20" s="39"/>
      <c r="F20" s="39"/>
      <c r="G20" s="39"/>
      <c r="H20" s="39"/>
      <c r="I20" s="39"/>
      <c r="J20" s="62"/>
    </row>
    <row r="21" spans="1:10" x14ac:dyDescent="0.75">
      <c r="A21" s="31">
        <v>15</v>
      </c>
      <c r="B21" s="160"/>
      <c r="C21" s="72"/>
      <c r="D21" s="72"/>
      <c r="E21" s="39"/>
      <c r="F21" s="39"/>
      <c r="G21" s="39"/>
      <c r="H21" s="39"/>
      <c r="I21" s="39"/>
      <c r="J21" s="62"/>
    </row>
    <row r="22" spans="1:10" x14ac:dyDescent="0.75">
      <c r="A22" s="31">
        <v>16</v>
      </c>
      <c r="B22" s="160"/>
      <c r="C22" s="72"/>
      <c r="D22" s="72"/>
      <c r="E22" s="39"/>
      <c r="F22" s="39"/>
      <c r="G22" s="39"/>
      <c r="H22" s="39"/>
      <c r="I22" s="39"/>
      <c r="J22" s="62"/>
    </row>
    <row r="23" spans="1:10" x14ac:dyDescent="0.75">
      <c r="A23" s="31">
        <v>17</v>
      </c>
      <c r="B23" s="72"/>
      <c r="C23" s="72"/>
      <c r="D23" s="72"/>
      <c r="E23" s="39"/>
      <c r="F23" s="39"/>
      <c r="G23" s="39"/>
      <c r="H23" s="39"/>
      <c r="I23" s="39"/>
      <c r="J23" s="62"/>
    </row>
    <row r="24" spans="1:10" x14ac:dyDescent="0.75">
      <c r="A24" s="31">
        <v>18</v>
      </c>
      <c r="B24" s="72"/>
      <c r="C24" s="72"/>
      <c r="D24" s="39"/>
      <c r="E24" s="39"/>
      <c r="F24" s="39"/>
      <c r="G24" s="39"/>
      <c r="H24" s="39"/>
      <c r="I24" s="39"/>
      <c r="J24" s="62"/>
    </row>
    <row r="25" spans="1:10" x14ac:dyDescent="0.75">
      <c r="A25" s="31">
        <v>19</v>
      </c>
      <c r="B25" s="72"/>
      <c r="C25" s="72"/>
      <c r="D25" s="72"/>
      <c r="E25" s="39"/>
      <c r="F25" s="39"/>
      <c r="G25" s="39"/>
      <c r="H25" s="39"/>
      <c r="I25" s="39"/>
      <c r="J25" s="62"/>
    </row>
    <row r="26" spans="1:10" x14ac:dyDescent="0.75">
      <c r="A26" s="31">
        <v>20</v>
      </c>
      <c r="B26" s="72"/>
      <c r="C26" s="72"/>
      <c r="D26" s="72"/>
      <c r="E26" s="39"/>
      <c r="F26" s="39"/>
      <c r="G26" s="39"/>
      <c r="H26" s="39"/>
      <c r="I26" s="39"/>
      <c r="J26" s="62"/>
    </row>
    <row r="27" spans="1:10" s="48" customFormat="1" x14ac:dyDescent="0.75">
      <c r="A27" s="31">
        <v>21</v>
      </c>
      <c r="B27" s="160"/>
      <c r="C27" s="160"/>
      <c r="D27" s="92"/>
      <c r="E27" s="92"/>
      <c r="F27" s="92"/>
      <c r="G27" s="92"/>
      <c r="H27" s="92"/>
      <c r="I27" s="92"/>
      <c r="J27" s="163"/>
    </row>
    <row r="28" spans="1:10" x14ac:dyDescent="0.75">
      <c r="A28" s="31">
        <v>22</v>
      </c>
      <c r="B28" s="160"/>
      <c r="C28" s="160"/>
      <c r="D28" s="72"/>
      <c r="E28" s="39"/>
      <c r="F28" s="39"/>
      <c r="G28" s="39"/>
      <c r="H28" s="39"/>
      <c r="I28" s="39"/>
      <c r="J28" s="62"/>
    </row>
    <row r="29" spans="1:10" x14ac:dyDescent="0.75">
      <c r="A29" s="31">
        <v>23</v>
      </c>
      <c r="B29" s="160"/>
      <c r="C29" s="72"/>
      <c r="D29" s="72"/>
      <c r="E29" s="39"/>
      <c r="F29" s="39"/>
      <c r="G29" s="39"/>
      <c r="H29" s="39"/>
      <c r="I29" s="39"/>
      <c r="J29" s="62"/>
    </row>
    <row r="30" spans="1:10" x14ac:dyDescent="0.75">
      <c r="A30" s="31">
        <v>24</v>
      </c>
      <c r="B30" s="160"/>
      <c r="C30" s="72"/>
      <c r="D30" s="161"/>
      <c r="E30" s="39"/>
      <c r="F30" s="39"/>
      <c r="G30" s="39"/>
      <c r="H30" s="39"/>
      <c r="I30" s="39"/>
      <c r="J30" s="62"/>
    </row>
    <row r="31" spans="1:10" x14ac:dyDescent="0.75">
      <c r="A31" s="31">
        <v>25</v>
      </c>
      <c r="B31" s="160"/>
      <c r="C31" s="72"/>
      <c r="D31" s="72"/>
      <c r="E31" s="39"/>
      <c r="F31" s="39"/>
      <c r="G31" s="39"/>
      <c r="H31" s="162"/>
      <c r="I31" s="39"/>
      <c r="J31" s="62"/>
    </row>
    <row r="32" spans="1:10" x14ac:dyDescent="0.75">
      <c r="A32" s="31">
        <v>26</v>
      </c>
      <c r="B32" s="160"/>
      <c r="C32" s="72"/>
      <c r="D32" s="72"/>
      <c r="E32" s="39"/>
      <c r="F32" s="39"/>
      <c r="G32" s="39"/>
      <c r="H32" s="39"/>
      <c r="I32" s="164"/>
      <c r="J32" s="62"/>
    </row>
    <row r="33" spans="1:10" x14ac:dyDescent="0.75">
      <c r="A33" s="31">
        <v>27</v>
      </c>
      <c r="B33" s="160"/>
      <c r="C33" s="72"/>
      <c r="D33" s="72"/>
      <c r="E33" s="39"/>
      <c r="F33" s="39"/>
      <c r="G33" s="39"/>
      <c r="H33" s="39"/>
      <c r="I33" s="39"/>
      <c r="J33" s="62"/>
    </row>
    <row r="34" spans="1:10" x14ac:dyDescent="0.75">
      <c r="A34" s="31">
        <v>28</v>
      </c>
      <c r="B34" s="160"/>
      <c r="C34" s="72"/>
      <c r="D34" s="72"/>
      <c r="E34" s="39"/>
      <c r="F34" s="39"/>
      <c r="G34" s="39"/>
      <c r="H34" s="39"/>
      <c r="I34" s="39"/>
      <c r="J34" s="62"/>
    </row>
    <row r="35" spans="1:10" x14ac:dyDescent="0.75">
      <c r="A35" s="31">
        <v>29</v>
      </c>
      <c r="B35" s="160"/>
      <c r="C35" s="72"/>
      <c r="D35" s="72"/>
      <c r="E35" s="39"/>
      <c r="F35" s="39"/>
      <c r="G35" s="39"/>
      <c r="H35" s="39"/>
      <c r="I35" s="39"/>
      <c r="J35" s="62"/>
    </row>
    <row r="36" spans="1:10" x14ac:dyDescent="0.75">
      <c r="A36" s="31">
        <v>30</v>
      </c>
      <c r="B36" s="160"/>
      <c r="C36" s="72"/>
      <c r="D36" s="72"/>
      <c r="E36" s="39"/>
      <c r="F36" s="39"/>
      <c r="G36" s="39"/>
      <c r="H36" s="39"/>
      <c r="I36" s="39"/>
      <c r="J36" s="62"/>
    </row>
    <row r="37" spans="1:10" x14ac:dyDescent="0.75">
      <c r="A37" s="31">
        <v>31</v>
      </c>
      <c r="B37" s="160"/>
      <c r="C37" s="72"/>
      <c r="D37" s="72"/>
      <c r="E37" s="39"/>
      <c r="F37" s="39"/>
      <c r="G37" s="39"/>
      <c r="H37" s="39"/>
      <c r="I37" s="39"/>
      <c r="J37" s="62"/>
    </row>
    <row r="38" spans="1:10" x14ac:dyDescent="0.75">
      <c r="A38" s="31">
        <v>32</v>
      </c>
      <c r="B38" s="160"/>
      <c r="C38" s="72"/>
      <c r="D38" s="161"/>
      <c r="E38" s="39"/>
      <c r="F38" s="39"/>
      <c r="G38" s="39"/>
      <c r="H38" s="162"/>
      <c r="I38" s="39"/>
      <c r="J38" s="62"/>
    </row>
    <row r="39" spans="1:10" x14ac:dyDescent="0.75">
      <c r="A39" s="31">
        <v>33</v>
      </c>
      <c r="B39" s="160"/>
      <c r="C39" s="72"/>
      <c r="D39" s="72"/>
      <c r="E39" s="39"/>
      <c r="F39" s="39"/>
      <c r="G39" s="39"/>
      <c r="H39" s="39"/>
      <c r="I39" s="39"/>
      <c r="J39" s="62"/>
    </row>
    <row r="40" spans="1:10" x14ac:dyDescent="0.75">
      <c r="A40" s="31">
        <v>34</v>
      </c>
      <c r="B40" s="160"/>
      <c r="C40" s="72"/>
      <c r="D40" s="72"/>
      <c r="E40" s="39"/>
      <c r="F40" s="39"/>
      <c r="G40" s="39"/>
      <c r="H40" s="39"/>
      <c r="I40" s="39"/>
      <c r="J40" s="62"/>
    </row>
    <row r="41" spans="1:10" x14ac:dyDescent="0.75">
      <c r="A41" s="31">
        <v>35</v>
      </c>
      <c r="B41" s="160"/>
      <c r="C41" s="72"/>
      <c r="D41" s="72"/>
      <c r="E41" s="39"/>
      <c r="F41" s="39"/>
      <c r="G41" s="39"/>
      <c r="H41" s="39"/>
      <c r="I41" s="39"/>
      <c r="J41" s="62"/>
    </row>
    <row r="42" spans="1:10" x14ac:dyDescent="0.75">
      <c r="A42" s="31">
        <v>36</v>
      </c>
      <c r="B42" s="160"/>
      <c r="C42" s="72"/>
      <c r="D42" s="72"/>
      <c r="E42" s="39"/>
      <c r="F42" s="39"/>
      <c r="G42" s="39"/>
      <c r="H42" s="39"/>
      <c r="I42" s="39"/>
      <c r="J42" s="62"/>
    </row>
    <row r="43" spans="1:10" x14ac:dyDescent="0.75">
      <c r="A43" s="31">
        <v>37</v>
      </c>
      <c r="B43" s="160"/>
      <c r="C43" s="72"/>
      <c r="D43" s="72"/>
      <c r="E43" s="39"/>
      <c r="F43" s="39"/>
      <c r="G43" s="39"/>
      <c r="H43" s="39"/>
      <c r="I43" s="39"/>
      <c r="J43" s="62"/>
    </row>
    <row r="44" spans="1:10" x14ac:dyDescent="0.75">
      <c r="A44" s="31">
        <v>38</v>
      </c>
      <c r="B44" s="72"/>
      <c r="C44" s="72"/>
      <c r="D44" s="39"/>
      <c r="E44" s="39"/>
      <c r="F44" s="39"/>
      <c r="G44" s="39"/>
      <c r="H44" s="39"/>
      <c r="I44" s="39"/>
      <c r="J44" s="62"/>
    </row>
    <row r="45" spans="1:10" x14ac:dyDescent="0.75">
      <c r="A45" s="31">
        <v>39</v>
      </c>
      <c r="B45" s="72"/>
      <c r="C45" s="72"/>
      <c r="D45" s="39"/>
      <c r="E45" s="39"/>
      <c r="F45" s="39"/>
      <c r="G45" s="39"/>
      <c r="H45" s="39"/>
      <c r="I45" s="39"/>
      <c r="J45" s="62"/>
    </row>
    <row r="46" spans="1:10" x14ac:dyDescent="0.75">
      <c r="A46" s="31">
        <v>40</v>
      </c>
      <c r="B46" s="72"/>
      <c r="C46" s="72"/>
      <c r="D46" s="39"/>
      <c r="E46" s="39"/>
      <c r="F46" s="39"/>
      <c r="G46" s="39"/>
      <c r="H46" s="39"/>
      <c r="I46" s="39"/>
      <c r="J46" s="62"/>
    </row>
    <row r="47" spans="1:10" x14ac:dyDescent="0.75">
      <c r="A47" s="31">
        <v>41</v>
      </c>
      <c r="B47" s="72"/>
      <c r="C47" s="72"/>
      <c r="D47" s="39"/>
      <c r="E47" s="39"/>
      <c r="F47" s="39"/>
      <c r="G47" s="39"/>
      <c r="H47" s="39"/>
      <c r="I47" s="39"/>
      <c r="J47" s="62"/>
    </row>
    <row r="48" spans="1:10" x14ac:dyDescent="0.75">
      <c r="A48" s="31">
        <v>42</v>
      </c>
      <c r="B48" s="72"/>
      <c r="C48" s="72"/>
      <c r="D48" s="39"/>
      <c r="E48" s="39"/>
      <c r="F48" s="39"/>
      <c r="G48" s="39"/>
      <c r="H48" s="39"/>
      <c r="I48" s="39"/>
      <c r="J48" s="62"/>
    </row>
    <row r="49" spans="1:10" x14ac:dyDescent="0.75">
      <c r="A49" s="31">
        <v>43</v>
      </c>
      <c r="B49" s="72"/>
      <c r="C49" s="72"/>
      <c r="D49" s="39"/>
      <c r="E49" s="39"/>
      <c r="F49" s="39"/>
      <c r="G49" s="39"/>
      <c r="H49" s="39"/>
      <c r="I49" s="39"/>
      <c r="J49" s="62"/>
    </row>
    <row r="50" spans="1:10" x14ac:dyDescent="0.75">
      <c r="A50" s="31">
        <v>44</v>
      </c>
      <c r="B50" s="72"/>
      <c r="C50" s="72"/>
      <c r="D50" s="39"/>
      <c r="E50" s="39"/>
      <c r="F50" s="39"/>
      <c r="G50" s="39"/>
      <c r="H50" s="39"/>
      <c r="I50" s="39"/>
      <c r="J50" s="62"/>
    </row>
    <row r="51" spans="1:10" x14ac:dyDescent="0.75">
      <c r="A51" s="31">
        <v>45</v>
      </c>
      <c r="B51" s="72"/>
      <c r="C51" s="72"/>
      <c r="D51" s="39"/>
      <c r="E51" s="39"/>
      <c r="F51" s="39"/>
      <c r="G51" s="39"/>
      <c r="H51" s="39"/>
      <c r="I51" s="39"/>
      <c r="J51" s="62"/>
    </row>
    <row r="52" spans="1:10" x14ac:dyDescent="0.75">
      <c r="A52" s="31">
        <v>46</v>
      </c>
      <c r="B52" s="72"/>
      <c r="C52" s="72"/>
      <c r="D52" s="39"/>
      <c r="E52" s="39"/>
      <c r="F52" s="39"/>
      <c r="G52" s="39"/>
      <c r="H52" s="39"/>
      <c r="I52" s="39"/>
      <c r="J52" s="62"/>
    </row>
    <row r="53" spans="1:10" x14ac:dyDescent="0.75">
      <c r="A53" s="31">
        <v>47</v>
      </c>
      <c r="B53" s="72"/>
      <c r="C53" s="72"/>
      <c r="D53" s="39"/>
      <c r="E53" s="39"/>
      <c r="F53" s="39"/>
      <c r="G53" s="39"/>
      <c r="H53" s="39"/>
      <c r="I53" s="39"/>
      <c r="J53" s="62"/>
    </row>
    <row r="54" spans="1:10" x14ac:dyDescent="0.75">
      <c r="A54" s="31">
        <v>48</v>
      </c>
      <c r="B54" s="72"/>
      <c r="C54" s="72"/>
      <c r="D54" s="39"/>
      <c r="E54" s="39"/>
      <c r="F54" s="39"/>
      <c r="G54" s="39"/>
      <c r="H54" s="39"/>
      <c r="I54" s="39"/>
      <c r="J54" s="62"/>
    </row>
    <row r="55" spans="1:10" x14ac:dyDescent="0.75">
      <c r="A55" s="31">
        <v>49</v>
      </c>
      <c r="B55" s="72"/>
      <c r="C55" s="72"/>
      <c r="D55" s="72"/>
      <c r="E55" s="39"/>
      <c r="F55" s="39"/>
      <c r="G55" s="39"/>
      <c r="H55" s="39"/>
      <c r="I55" s="39"/>
      <c r="J55" s="62"/>
    </row>
    <row r="56" spans="1:10" x14ac:dyDescent="0.75">
      <c r="A56" s="31">
        <v>50</v>
      </c>
      <c r="B56" s="72"/>
      <c r="C56" s="72"/>
      <c r="D56" s="72"/>
      <c r="E56" s="39"/>
      <c r="F56" s="39"/>
      <c r="G56" s="39"/>
      <c r="H56" s="165"/>
      <c r="I56" s="62"/>
      <c r="J56" s="62"/>
    </row>
    <row r="57" spans="1:10" ht="45.75" customHeight="1" x14ac:dyDescent="0.75">
      <c r="A57" s="31">
        <v>51</v>
      </c>
      <c r="B57" s="72"/>
      <c r="C57" s="72"/>
      <c r="D57" s="39"/>
      <c r="E57" s="39"/>
      <c r="F57" s="39"/>
      <c r="G57" s="39"/>
      <c r="H57" s="39"/>
      <c r="I57" s="62"/>
      <c r="J57" s="62"/>
    </row>
    <row r="58" spans="1:10" ht="23.5" customHeight="1" x14ac:dyDescent="0.75">
      <c r="A58" s="31">
        <v>52</v>
      </c>
      <c r="B58" s="72"/>
      <c r="C58" s="72"/>
      <c r="D58" s="72"/>
      <c r="E58" s="39"/>
      <c r="F58" s="39"/>
      <c r="G58" s="39"/>
      <c r="H58" s="50"/>
      <c r="I58" s="62"/>
      <c r="J58" s="62"/>
    </row>
    <row r="59" spans="1:10" ht="23.5" customHeight="1" x14ac:dyDescent="0.75">
      <c r="A59" s="31">
        <v>53</v>
      </c>
      <c r="B59" s="72"/>
      <c r="C59" s="72"/>
      <c r="D59" s="39"/>
      <c r="E59" s="39"/>
      <c r="F59" s="39"/>
      <c r="G59" s="39"/>
      <c r="H59" s="50"/>
      <c r="I59" s="62"/>
      <c r="J59" s="62"/>
    </row>
    <row r="60" spans="1:10" ht="23.5" customHeight="1" x14ac:dyDescent="0.75">
      <c r="A60" s="31">
        <v>54</v>
      </c>
      <c r="B60" s="72"/>
      <c r="C60" s="72"/>
      <c r="D60" s="39"/>
      <c r="E60" s="39"/>
      <c r="F60" s="39"/>
      <c r="G60" s="39"/>
      <c r="H60" s="50"/>
      <c r="I60" s="62"/>
      <c r="J60" s="62"/>
    </row>
    <row r="61" spans="1:10" ht="23.5" customHeight="1" x14ac:dyDescent="0.75">
      <c r="A61" s="31">
        <v>55</v>
      </c>
      <c r="B61" s="72"/>
      <c r="C61" s="72"/>
      <c r="D61" s="39"/>
      <c r="E61" s="39"/>
      <c r="F61" s="39"/>
      <c r="G61" s="39"/>
      <c r="H61" s="50"/>
      <c r="I61" s="62"/>
      <c r="J61" s="62"/>
    </row>
    <row r="62" spans="1:10" ht="23.5" customHeight="1" x14ac:dyDescent="0.75">
      <c r="A62" s="31">
        <v>56</v>
      </c>
      <c r="B62" s="72"/>
      <c r="C62" s="72"/>
      <c r="D62" s="39"/>
      <c r="E62" s="39"/>
      <c r="F62" s="39"/>
      <c r="G62" s="39"/>
      <c r="H62" s="50"/>
      <c r="I62" s="62"/>
      <c r="J62" s="62"/>
    </row>
    <row r="63" spans="1:10" ht="23.5" customHeight="1" x14ac:dyDescent="0.75">
      <c r="A63" s="31">
        <v>57</v>
      </c>
      <c r="B63" s="72"/>
      <c r="C63" s="72"/>
      <c r="D63" s="39"/>
      <c r="E63" s="39"/>
      <c r="F63" s="39"/>
      <c r="G63" s="39"/>
      <c r="H63" s="50"/>
      <c r="I63" s="62"/>
      <c r="J63" s="62"/>
    </row>
    <row r="64" spans="1:10" x14ac:dyDescent="0.75">
      <c r="A64" s="31">
        <v>58</v>
      </c>
      <c r="B64" s="72"/>
      <c r="C64" s="72"/>
      <c r="D64" s="39"/>
      <c r="E64" s="39"/>
      <c r="F64" s="39"/>
      <c r="G64" s="39"/>
      <c r="H64" s="62"/>
      <c r="I64" s="62"/>
      <c r="J64" s="62"/>
    </row>
    <row r="65" spans="1:10" x14ac:dyDescent="0.75">
      <c r="A65" s="31">
        <v>59</v>
      </c>
      <c r="B65" s="72"/>
      <c r="C65" s="72"/>
      <c r="D65" s="72"/>
      <c r="E65" s="39"/>
      <c r="F65" s="39"/>
      <c r="G65" s="39"/>
      <c r="H65" s="62"/>
      <c r="I65" s="62"/>
      <c r="J65" s="62"/>
    </row>
    <row r="66" spans="1:10" x14ac:dyDescent="0.75">
      <c r="B66" s="72"/>
      <c r="C66" s="72"/>
      <c r="D66" s="39"/>
      <c r="E66" s="39"/>
      <c r="F66" s="39"/>
      <c r="G66" s="164"/>
      <c r="H66" s="62"/>
      <c r="I66" s="62"/>
      <c r="J66" s="62"/>
    </row>
    <row r="67" spans="1:10" x14ac:dyDescent="0.75">
      <c r="B67" s="72"/>
      <c r="C67" s="72"/>
      <c r="D67" s="39"/>
      <c r="E67" s="39"/>
      <c r="F67" s="39"/>
      <c r="G67" s="39"/>
      <c r="H67" s="62"/>
      <c r="I67" s="62"/>
      <c r="J67" s="62"/>
    </row>
    <row r="68" spans="1:10" x14ac:dyDescent="0.75">
      <c r="B68" s="72"/>
      <c r="C68" s="72"/>
      <c r="D68" s="39"/>
      <c r="E68" s="39"/>
      <c r="F68" s="39"/>
      <c r="G68" s="39"/>
      <c r="H68" s="62"/>
      <c r="I68" s="62"/>
      <c r="J68" s="62"/>
    </row>
    <row r="69" spans="1:10" x14ac:dyDescent="0.75">
      <c r="B69" s="93"/>
      <c r="C69" s="72"/>
      <c r="D69" s="39"/>
      <c r="E69" s="39"/>
      <c r="F69" s="39"/>
      <c r="G69" s="62"/>
      <c r="H69" s="166"/>
      <c r="I69" s="166"/>
      <c r="J69" s="166"/>
    </row>
    <row r="70" spans="1:10" x14ac:dyDescent="0.75">
      <c r="B70" s="167"/>
      <c r="C70" s="67"/>
      <c r="D70" s="168"/>
      <c r="E70" s="39"/>
      <c r="F70" s="39"/>
      <c r="G70" s="162"/>
      <c r="H70" s="62"/>
      <c r="I70" s="62"/>
      <c r="J70" s="62"/>
    </row>
    <row r="71" spans="1:10" x14ac:dyDescent="0.75">
      <c r="B71" s="167"/>
      <c r="C71" s="67"/>
      <c r="D71" s="168"/>
      <c r="E71" s="39"/>
      <c r="F71" s="39"/>
      <c r="G71" s="162"/>
      <c r="H71" s="62"/>
      <c r="I71" s="62"/>
      <c r="J71" s="62"/>
    </row>
    <row r="72" spans="1:10" x14ac:dyDescent="0.75">
      <c r="B72" s="167"/>
      <c r="C72" s="169"/>
      <c r="D72" s="168"/>
      <c r="E72" s="39"/>
      <c r="F72" s="39"/>
      <c r="G72" s="39"/>
      <c r="H72" s="62"/>
      <c r="I72" s="62"/>
      <c r="J72" s="62"/>
    </row>
    <row r="73" spans="1:10" x14ac:dyDescent="0.75">
      <c r="B73" s="167"/>
      <c r="C73" s="170"/>
      <c r="D73" s="171"/>
      <c r="E73" s="39"/>
      <c r="F73" s="39"/>
      <c r="G73" s="39"/>
      <c r="H73" s="62"/>
      <c r="I73" s="62"/>
      <c r="J73" s="62"/>
    </row>
    <row r="74" spans="1:10" x14ac:dyDescent="0.75">
      <c r="B74" s="167"/>
      <c r="C74" s="67"/>
      <c r="D74" s="67"/>
      <c r="E74" s="39"/>
      <c r="F74" s="39"/>
      <c r="G74" s="39"/>
      <c r="H74" s="62"/>
      <c r="I74" s="62"/>
      <c r="J74" s="62"/>
    </row>
    <row r="75" spans="1:10" x14ac:dyDescent="0.75">
      <c r="B75" s="167"/>
      <c r="C75" s="67"/>
      <c r="D75" s="67"/>
      <c r="E75" s="39"/>
      <c r="F75" s="39"/>
      <c r="G75" s="39"/>
      <c r="H75" s="39"/>
      <c r="I75" s="62"/>
      <c r="J75" s="62"/>
    </row>
    <row r="76" spans="1:10" x14ac:dyDescent="0.75">
      <c r="B76" s="167"/>
      <c r="C76" s="67"/>
      <c r="D76" s="67"/>
      <c r="E76" s="39"/>
      <c r="F76" s="39"/>
      <c r="G76" s="39"/>
      <c r="H76" s="39"/>
      <c r="I76" s="62"/>
      <c r="J76" s="62"/>
    </row>
    <row r="77" spans="1:10" x14ac:dyDescent="0.75">
      <c r="A77" s="31">
        <v>24</v>
      </c>
      <c r="B77" s="167"/>
      <c r="C77" s="67"/>
      <c r="D77" s="67"/>
      <c r="E77" s="39"/>
      <c r="F77" s="39"/>
      <c r="G77" s="39"/>
      <c r="H77" s="62"/>
      <c r="I77" s="62"/>
      <c r="J77" s="62"/>
    </row>
    <row r="78" spans="1:10" x14ac:dyDescent="0.75">
      <c r="A78" s="31">
        <v>25</v>
      </c>
      <c r="B78" s="167"/>
      <c r="C78" s="67"/>
      <c r="D78" s="168"/>
      <c r="E78" s="39"/>
      <c r="F78" s="39"/>
      <c r="G78" s="39"/>
      <c r="H78" s="62"/>
      <c r="I78" s="62"/>
      <c r="J78" s="62"/>
    </row>
    <row r="79" spans="1:10" x14ac:dyDescent="0.75">
      <c r="A79" s="31">
        <v>26</v>
      </c>
      <c r="B79" s="167"/>
      <c r="C79" s="67"/>
      <c r="D79" s="67"/>
      <c r="E79" s="39"/>
      <c r="F79" s="39"/>
      <c r="G79" s="39"/>
      <c r="H79" s="62"/>
      <c r="I79" s="62"/>
      <c r="J79" s="62"/>
    </row>
    <row r="80" spans="1:10" x14ac:dyDescent="0.75">
      <c r="A80" s="31">
        <v>27</v>
      </c>
      <c r="B80" s="167"/>
      <c r="C80" s="93"/>
      <c r="D80" s="168"/>
      <c r="E80" s="39"/>
      <c r="F80" s="39"/>
      <c r="G80" s="39"/>
      <c r="H80" s="62"/>
      <c r="I80" s="62"/>
      <c r="J80" s="62"/>
    </row>
    <row r="81" spans="1:10" x14ac:dyDescent="0.75">
      <c r="A81" s="31">
        <v>28</v>
      </c>
      <c r="B81" s="167"/>
      <c r="C81" s="168"/>
      <c r="D81" s="168"/>
      <c r="E81" s="39"/>
      <c r="F81" s="39"/>
      <c r="G81" s="162"/>
      <c r="H81" s="62"/>
      <c r="I81" s="62"/>
      <c r="J81" s="62"/>
    </row>
    <row r="82" spans="1:10" x14ac:dyDescent="0.75">
      <c r="A82" s="31">
        <v>29</v>
      </c>
      <c r="B82" s="167"/>
      <c r="C82" s="170"/>
      <c r="D82" s="172"/>
      <c r="E82" s="39"/>
      <c r="F82" s="39"/>
      <c r="G82" s="39"/>
      <c r="H82" s="62"/>
      <c r="I82" s="62"/>
      <c r="J82" s="62"/>
    </row>
    <row r="83" spans="1:10" x14ac:dyDescent="0.75">
      <c r="B83" s="167"/>
      <c r="C83" s="170"/>
      <c r="D83" s="171"/>
      <c r="E83" s="39"/>
      <c r="F83" s="39"/>
      <c r="G83" s="39"/>
      <c r="H83" s="62"/>
      <c r="I83" s="62"/>
      <c r="J83" s="62"/>
    </row>
  </sheetData>
  <mergeCells count="1">
    <mergeCell ref="H5:I5"/>
  </mergeCell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112B8-50FD-4F37-A780-72F676BC4E12}">
  <sheetPr codeName="Foglio14">
    <tabColor rgb="FFFF0000"/>
  </sheetPr>
  <dimension ref="B1:J93"/>
  <sheetViews>
    <sheetView topLeftCell="A6" zoomScale="85" zoomScaleNormal="85" workbookViewId="0">
      <selection activeCell="B10" sqref="B10:J93"/>
    </sheetView>
  </sheetViews>
  <sheetFormatPr defaultRowHeight="14.75" x14ac:dyDescent="0.75"/>
  <cols>
    <col min="1" max="1" width="8.7265625" style="31"/>
    <col min="2" max="2" width="44.26953125" style="1" customWidth="1"/>
    <col min="3" max="3" width="51.6796875" style="1" customWidth="1"/>
    <col min="4" max="4" width="45.86328125" style="1" customWidth="1"/>
    <col min="5" max="5" width="45.953125" style="1" customWidth="1"/>
    <col min="6" max="8" width="19.54296875" style="31" customWidth="1"/>
    <col min="9" max="9" width="60.76953125" style="31" customWidth="1"/>
    <col min="10" max="10" width="89.90625" style="31" customWidth="1"/>
    <col min="11" max="16384" width="8.7265625" style="31"/>
  </cols>
  <sheetData>
    <row r="1" spans="2:10" ht="44.25" x14ac:dyDescent="0.75">
      <c r="B1" s="15" t="str">
        <f>CONCATENATE("* differential.element[",'Chemio-1'!A6,"].id = """,'Chemio-1'!B6,"""")</f>
        <v>* differential.element[0].id = "Chemotherapy"</v>
      </c>
      <c r="C1" s="15" t="str">
        <f>CONCATENATE("* differential.element[",'Chemio-1'!A6,"].path = """,'Chemio-1'!$B$6,"""")</f>
        <v>* differential.element[0].path = "Chemotherapy"</v>
      </c>
      <c r="D1" s="15" t="str">
        <f>CONCATENATE("* differential.element[",'Chemio-1'!A6,"].short = """,'Chemio-1'!C6,"""")</f>
        <v>* differential.element[0].short = "Chemotherapy"</v>
      </c>
      <c r="E1" s="15" t="str">
        <f>CONCATENATE("* differential.element[",'Chemio-1'!A6,"].definition = """,'Chemio-1'!D6,"""")</f>
        <v>* differential.element[0].definition = "Chemotherapy"</v>
      </c>
      <c r="F1" s="15" t="str">
        <f>CONCATENATE("* differential.element[",'Chemio-1'!A6,"].min = ",'Chemio-1'!E6,"")</f>
        <v>* differential.element[0].min = 1</v>
      </c>
      <c r="G1" s="15" t="str">
        <f>CONCATENATE("* differential.element[",'Chemio-1'!A6,"].max = """,'Chemio-1'!F6,"""")</f>
        <v>* differential.element[0].max = "1"</v>
      </c>
      <c r="H1" s="15"/>
      <c r="I1" s="40"/>
      <c r="J1" s="40"/>
    </row>
    <row r="2" spans="2:10" ht="59" x14ac:dyDescent="0.75">
      <c r="B2" s="38" t="str">
        <f>CONCATENATE("* differential.element[",'Chemio-1'!$A7,"].id = """,'Chemio-1'!$B$6,".",'Chemio-1'!B7,"""")</f>
        <v>* differential.element[1].id = "Chemotherapy.productAdministration"</v>
      </c>
      <c r="C2" s="38" t="str">
        <f>CONCATENATE("* differential.element[",'Chemio-1'!$A7,"].path = """,'Chemio-1'!$B$6,".",'Chemio-1'!B7,"""")</f>
        <v>* differential.element[1].path = "Chemotherapy.productAdministration"</v>
      </c>
      <c r="D2" s="38" t="str">
        <f>CONCATENATE("* differential.element[",'Chemio-1'!A7,"].short = """,'Chemio-1'!C7,"""")</f>
        <v>* differential.element[1].short = "Product(s) administartion data"</v>
      </c>
      <c r="E2" s="38" t="str">
        <f>CONCATENATE("* differential.element[",'Chemio-1'!A7,"].definition = """,'Chemio-1'!D7,"""")</f>
        <v>* differential.element[1].definition = "Information about the product(s) administered"</v>
      </c>
      <c r="F2" s="38" t="str">
        <f>CONCATENATE("* differential.element[",'Chemio-1'!A7,"].min = ",'Chemio-1'!E7,"")</f>
        <v>* differential.element[1].min = 1</v>
      </c>
      <c r="G2" s="38" t="str">
        <f>CONCATENATE("* differential.element[",'Chemio-1'!A7,"].max = """,'Chemio-1'!F7,"""")</f>
        <v>* differential.element[1].max = "20"</v>
      </c>
      <c r="H2" s="38" t="str">
        <f>CONCATENATE("* differential.element[",'Chemio-1'!A7,"].type.code = #",'Chemio-1'!G7,"")</f>
        <v>* differential.element[1].type.code = #BackboneElement</v>
      </c>
      <c r="I2" s="38" t="str">
        <f>IF('Chemio-1'!H7&gt; "", CONCATENATE("* differential.element[",'Chemio-1'!A7,"].binding.valueSet = """,'Chemio-1'!H7,""""),"")</f>
        <v/>
      </c>
      <c r="J2" s="38" t="str">
        <f>IF('Chemio-1'!I7&gt; "", CONCATENATE("* differential.element[",'Chemio-1'!A7,"].binding.strength = #",'Chemio-1'!I7,""),"")</f>
        <v/>
      </c>
    </row>
    <row r="3" spans="2:10" ht="177" x14ac:dyDescent="0.75">
      <c r="B3" s="38" t="str">
        <f>CONCATENATE("* differential.element[",'Chemio-1'!$A8,"].id = """,'Chemio-1'!$B$6,".",'Chemio-1'!B8,"""")</f>
        <v>* differential.element[2].id = "Chemotherapy.productAdministration.agent"</v>
      </c>
      <c r="C3" s="38" t="str">
        <f>CONCATENATE("* differential.element[",'Chemio-1'!$A8,"].path = """,'Chemio-1'!$B$6,".",'Chemio-1'!B8,"""")</f>
        <v>* differential.element[2].path = "Chemotherapy.productAdministration.agent"</v>
      </c>
      <c r="D3" s="38" t="str">
        <f>CONCATENATE("* differential.element[",'Chemio-1'!A8,"].short = """,'Chemio-1'!C8,"""")</f>
        <v>* differential.element[2].short = "Antineoplastic and immunostimulating agents"</v>
      </c>
      <c r="E3" s="38" t="str">
        <f>CONCATENATE("* differential.element[",'Chemio-1'!A8,"].definition = """,'Chemio-1'!D8,"""")</f>
        <v>* differential.element[2].definition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3" s="38" t="str">
        <f>CONCATENATE("* differential.element[",'Chemio-1'!A8,"].min = ",'Chemio-1'!E8,"")</f>
        <v>* differential.element[2].min = 1</v>
      </c>
      <c r="G3" s="38" t="str">
        <f>CONCATENATE("* differential.element[",'Chemio-1'!A8,"].max = """,'Chemio-1'!F8,"""")</f>
        <v>* differential.element[2].max = "1"</v>
      </c>
      <c r="H3" s="38" t="str">
        <f>CONCATENATE("* differential.element[",'Chemio-1'!A8,"].type.code = #",'Chemio-1'!G8,"")</f>
        <v>* differential.element[2].type.code = #CodeableConcept</v>
      </c>
      <c r="I3" s="38" t="str">
        <f>IF('Chemio-1'!H8&gt; "", CONCATENATE("* differential.element[",'Chemio-1'!A8,"].binding.valueSet = """,'Chemio-1'!H8,""),"")</f>
        <v>* differential.element[2].binding.valueSet = "http://hl7.eu/fhir/ig/pcsp/ValueSet/drugsAtc-eu-pcsp</v>
      </c>
      <c r="J3" s="38" t="str">
        <f>IF('Chemio-1'!I8&gt; "", CONCATENATE("* differential.element[",'Chemio-1'!A8,"].binding.strength = #",'Chemio-1'!I8,""),"")</f>
        <v>* differential.element[2].binding.strength = #extensible</v>
      </c>
    </row>
    <row r="4" spans="2:10" ht="59" x14ac:dyDescent="0.75">
      <c r="B4" s="38" t="str">
        <f>CONCATENATE("* differential.element[",'Chemio-1'!$A9,"].id = """,'Chemio-1'!$B$6,".",'Chemio-1'!B9,"""")</f>
        <v>* differential.element[3].id = "Chemotherapy.productAdministration.cumulativeDose"</v>
      </c>
      <c r="C4" s="38" t="str">
        <f>CONCATENATE("* differential.element[",'Chemio-1'!$A9,"].path = """,'Chemio-1'!$B$6,".",'Chemio-1'!B9,"""")</f>
        <v>* differential.element[3].path = "Chemotherapy.productAdministration.cumulativeDose"</v>
      </c>
      <c r="D4" s="38" t="str">
        <f>CONCATENATE("* differential.element[",'Chemio-1'!A9,"].short = """,'Chemio-1'!C9,"""")</f>
        <v>* differential.element[3].short = "Cumulative Dose"</v>
      </c>
      <c r="E4" s="38" t="str">
        <f>CONCATENATE("* differential.element[",'Chemio-1'!A9,"].definition = """,'Chemio-1'!D9,"""")</f>
        <v>* differential.element[3].definition = "Report the total cumulative dose received of each drug. "</v>
      </c>
      <c r="F4" s="38" t="str">
        <f>CONCATENATE("* differential.element[",'Chemio-1'!A9,"].min = ",'Chemio-1'!E9,"")</f>
        <v>* differential.element[3].min = 1</v>
      </c>
      <c r="G4" s="38" t="str">
        <f>CONCATENATE("* differential.element[",'Chemio-1'!A9,"].max = """,'Chemio-1'!F9,"""")</f>
        <v>* differential.element[3].max = "1"</v>
      </c>
      <c r="H4" s="38" t="str">
        <f>CONCATENATE("* differential.element[",'Chemio-1'!A9,"].type.code = #",'Chemio-1'!G9,"")</f>
        <v>* differential.element[3].type.code = #BackboneElement</v>
      </c>
      <c r="I4" s="38" t="str">
        <f>IF('Chemio-1'!H9&gt; "", CONCATENATE("* differential.element[",'Chemio-1'!A9,"].binding.valueSet = """,'Chemio-1'!H9,""),"")</f>
        <v/>
      </c>
      <c r="J4" s="38" t="str">
        <f>IF('Chemio-1'!I9&gt; "", CONCATENATE("* differential.element[",'Chemio-1'!A9,"].binding.strength = #",'Chemio-1'!I9,""),"")</f>
        <v/>
      </c>
    </row>
    <row r="5" spans="2:10" ht="59" x14ac:dyDescent="0.75">
      <c r="B5" s="38" t="str">
        <f>CONCATENATE("* differential.element[",'Chemio-1'!$A10,"].id = """,'Chemio-1'!$B$6,".",'Chemio-1'!B10,"""")</f>
        <v>* differential.element[4].id = "Chemotherapy.productAdministration.cumulativeDose.notAvailable"</v>
      </c>
      <c r="C5" s="38" t="str">
        <f>CONCATENATE("* differential.element[",'Chemio-1'!$A10,"].path = """,'Chemio-1'!$B$6,".",'Chemio-1'!B10,"""")</f>
        <v>* differential.element[4].path = "Chemotherapy.productAdministration.cumulativeDose.notAvailable"</v>
      </c>
      <c r="D5" s="38" t="str">
        <f>CONCATENATE("* differential.element[",'Chemio-1'!A10,"].short = """,'Chemio-1'!C10,"""")</f>
        <v>* differential.element[4].short = "Not calculated or not known dose"</v>
      </c>
      <c r="E5" s="38" t="str">
        <f>CONCATENATE("* differential.element[",'Chemio-1'!A10,"].definition = """,'Chemio-1'!D10,"""")</f>
        <v>* differential.element[4].definition = "Flag indicating if the dose was not calculated or it was not known"</v>
      </c>
      <c r="F5" s="38" t="str">
        <f>CONCATENATE("* differential.element[",'Chemio-1'!A10,"].min = ",'Chemio-1'!E10,"")</f>
        <v>* differential.element[4].min = 0</v>
      </c>
      <c r="G5" s="38" t="str">
        <f>CONCATENATE("* differential.element[",'Chemio-1'!A10,"].max = """,'Chemio-1'!F10,"""")</f>
        <v>* differential.element[4].max = "1"</v>
      </c>
      <c r="H5" s="38" t="str">
        <f>CONCATENATE("* differential.element[",'Chemio-1'!A10,"].type.code = #",'Chemio-1'!G10,"")</f>
        <v>* differential.element[4].type.code = #CodeableConcept</v>
      </c>
      <c r="I5" s="38" t="str">
        <f>IF('Chemio-1'!H10&gt; "", CONCATENATE("* differential.element[",'Chemio-1'!A10,"].binding.valueSet = """,'Chemio-1'!H10,""),"")</f>
        <v/>
      </c>
      <c r="J5" s="38" t="str">
        <f>IF('Chemio-1'!I10&gt; "", CONCATENATE("* differential.element[",'Chemio-1'!A10,"].binding.strength = #",'Chemio-1'!I10,""),"")</f>
        <v/>
      </c>
    </row>
    <row r="6" spans="2:10" ht="103.25" x14ac:dyDescent="0.75">
      <c r="B6" s="38" t="str">
        <f>CONCATENATE("* differential.element[",'Chemio-1'!$A11,"].id = """,'Chemio-1'!$B$6,".",'Chemio-1'!B11,"""")</f>
        <v>* differential.element[5].id = "Chemotherapy.productAdministration.cumulativeDose.value"</v>
      </c>
      <c r="C6" s="38" t="str">
        <f>CONCATENATE("* differential.element[",'Chemio-1'!$A11,"].path = """,'Chemio-1'!$B$6,".",'Chemio-1'!B11,"""")</f>
        <v>* differential.element[5].path = "Chemotherapy.productAdministration.cumulativeDose.value"</v>
      </c>
      <c r="D6" s="38" t="str">
        <f>CONCATENATE("* differential.element[",'Chemio-1'!A11,"].short = """,'Chemio-1'!C11,"""")</f>
        <v>* differential.element[5].short = "Total cumulative dose"</v>
      </c>
      <c r="E6" s="38" t="str">
        <f>CONCATENATE("* differential.element[",'Chemio-1'!A11,"].definition = """,'Chemio-1'!D11,"""")</f>
        <v>* differential.element[5].definition = "Report the total cumulative dose received of each drug."</v>
      </c>
      <c r="F6" s="38" t="str">
        <f>CONCATENATE("* differential.element[",'Chemio-1'!A11,"].min = ",'Chemio-1'!E11,"")</f>
        <v>* differential.element[5].min = 0</v>
      </c>
      <c r="G6" s="38" t="str">
        <f>CONCATENATE("* differential.element[",'Chemio-1'!A11,"].max = """,'Chemio-1'!F11,"""")</f>
        <v>* differential.element[5].max = "1"</v>
      </c>
      <c r="H6" s="38" t="str">
        <f>CONCATENATE("* differential.element[",'Chemio-1'!A11,"].type.code = #",'Chemio-1'!G11,"")</f>
        <v>* differential.element[5].type.code = #decimal</v>
      </c>
      <c r="I6" s="38" t="str">
        <f>IF('Chemio-1'!H11&gt; "", CONCATENATE("* differential.element[",'Chemio-1'!A11,"].binding.valueSet = """,'Chemio-1'!H11,""),"")</f>
        <v/>
      </c>
      <c r="J6" s="38" t="str">
        <f>IF('Chemio-1'!I11&gt; "", CONCATENATE("* differential.element[",'Chemio-1'!A11,"].binding.strength = #",'Chemio-1'!I11,""),"")</f>
        <v/>
      </c>
    </row>
    <row r="7" spans="2:10" ht="118" x14ac:dyDescent="0.75">
      <c r="B7" s="38" t="str">
        <f>CONCATENATE("* differential.element[",'Chemio-1'!$A12,"].id = """,'Chemio-1'!$B$6,".",'Chemio-1'!B12,"""")</f>
        <v>* differential.element[6].id = "Chemotherapy.productAdministration.cumulativeDose.unit"</v>
      </c>
      <c r="C7" s="38" t="str">
        <f>CONCATENATE("* differential.element[",'Chemio-1'!$A12,"].path = """,'Chemio-1'!$B$6,".",'Chemio-1'!B12,"""")</f>
        <v>* differential.element[6].path = "Chemotherapy.productAdministration.cumulativeDose.unit"</v>
      </c>
      <c r="D7" s="38" t="str">
        <f>CONCATENATE("* differential.element[",'Chemio-1'!A12,"].short = """,'Chemio-1'!C12,"""")</f>
        <v>* differential.element[6].short = "Measure unit"</v>
      </c>
      <c r="E7" s="38" t="str">
        <f>CONCATENATE("* differential.element[",'Chemio-1'!A12,"].definition = """,'Chemio-1'!D12,"""")</f>
        <v>* differential.element[6].definition = "If the dose was calculated, please report the measure unit of the calculation
1 =&gt; mg/m2
2 =&gt; gr/m2
3 =&gt; UI/m2
4 =&gt; NK
5 =&gt; NC (not calculated)"</v>
      </c>
      <c r="F7" s="38" t="str">
        <f>CONCATENATE("* differential.element[",'Chemio-1'!A12,"].min = ",'Chemio-1'!E12,"")</f>
        <v>* differential.element[6].min = 0</v>
      </c>
      <c r="G7" s="38" t="str">
        <f>CONCATENATE("* differential.element[",'Chemio-1'!A12,"].max = """,'Chemio-1'!F12,"""")</f>
        <v>* differential.element[6].max = "1"</v>
      </c>
      <c r="H7" s="38" t="str">
        <f>CONCATENATE("* differential.element[",'Chemio-1'!A12,"].type.code = #",'Chemio-1'!G12,"")</f>
        <v>* differential.element[6].type.code = #CodeableConcept</v>
      </c>
      <c r="I7" s="38" t="str">
        <f>IF('Chemio-1'!H12&gt; "", CONCATENATE("* differential.element[",'Chemio-1'!A12,"].binding.valueSet = """,'Chemio-1'!H12,""),"")</f>
        <v/>
      </c>
      <c r="J7" s="38" t="str">
        <f>IF('Chemio-1'!I12&gt; "", CONCATENATE("* differential.element[",'Chemio-1'!A12,"].binding.strength = #",'Chemio-1'!I12,""),"")</f>
        <v/>
      </c>
    </row>
    <row r="8" spans="2:10" ht="88.5" x14ac:dyDescent="0.75">
      <c r="B8" s="38" t="str">
        <f>CONCATENATE("* differential.element[",'Chemio-1'!$A13,"].id = """,'Chemio-1'!$B$6,".",'Chemio-1'!B13,"""")</f>
        <v>* differential.element[7].id = "Chemotherapy.corticosteroids"</v>
      </c>
      <c r="C8" s="38" t="str">
        <f>CONCATENATE("* differential.element[",'Chemio-1'!$A13,"].path = """,'Chemio-1'!$B$6,".",'Chemio-1'!B13,"""")</f>
        <v>* differential.element[7].path = "Chemotherapy.corticosteroids"</v>
      </c>
      <c r="D8" s="38" t="str">
        <f>CONCATENATE("* differential.element[",'Chemio-1'!A13,"].short = """,'Chemio-1'!C13,"""")</f>
        <v>* differential.element[7].short = "Prolonged corticosteroids as anti-cancer treatment at least 4 weeks continuously"</v>
      </c>
      <c r="E8" s="38" t="str">
        <f>CONCATENATE("* differential.element[",'Chemio-1'!A13,"].definition = """,'Chemio-1'!D13,"""")</f>
        <v>* differential.element[7].definition = "Report 'yes' if the survivor was treated with steroids for at least 4 weeks continuously
1 =&gt; Yes
2 =&gt; No
-9922 =&gt; NK"</v>
      </c>
      <c r="F8" s="38" t="str">
        <f>CONCATENATE("* differential.element[",'Chemio-1'!A13,"].min = ",'Chemio-1'!E13,"")</f>
        <v>* differential.element[7].min = 1</v>
      </c>
      <c r="G8" s="38" t="str">
        <f>CONCATENATE("* differential.element[",'Chemio-1'!A13,"].max = """,'Chemio-1'!F13,"""")</f>
        <v>* differential.element[7].max = "1"</v>
      </c>
      <c r="H8" s="38" t="str">
        <f>CONCATENATE("* differential.element[",'Chemio-1'!A13,"].type.code = #",'Chemio-1'!G13,"")</f>
        <v>* differential.element[7].type.code = #CodeableConcept</v>
      </c>
      <c r="I8" s="38" t="str">
        <f>IF('Chemio-1'!H13&gt; "", CONCATENATE("* differential.element[",'Chemio-1'!A13,"].binding.valueSet = """,'Chemio-1'!H13,""),"")</f>
        <v/>
      </c>
      <c r="J8" s="38" t="str">
        <f>IF('Chemio-1'!I13&gt; "", CONCATENATE("* differential.element[",'Chemio-1'!A13,"].binding.strength = #",'Chemio-1'!I13,""),"")</f>
        <v/>
      </c>
    </row>
    <row r="9" spans="2:10" ht="88.5" x14ac:dyDescent="0.75">
      <c r="B9" s="38" t="str">
        <f>CONCATENATE("* differential.element[",'Chemio-1'!$A14,"].id = """,'Chemio-1'!$B$6,".",'Chemio-1'!B14,"""")</f>
        <v>* differential.element[8].id = "Chemotherapy.intrathecalInjections"</v>
      </c>
      <c r="C9" s="38" t="str">
        <f>CONCATENATE("* differential.element[",'Chemio-1'!$A14,"].path = """,'Chemio-1'!$B$6,".",'Chemio-1'!B14,"""")</f>
        <v>* differential.element[8].path = "Chemotherapy.intrathecalInjections"</v>
      </c>
      <c r="D9" s="38" t="str">
        <f>CONCATENATE("* differential.element[",'Chemio-1'!A14,"].short = """,'Chemio-1'!C14,"""")</f>
        <v>* differential.element[8].short = "Intrathecal injections"</v>
      </c>
      <c r="E9" s="38" t="str">
        <f>CONCATENATE("* differential.element[",'Chemio-1'!A14,"].definition = """,'Chemio-1'!D14,"""")</f>
        <v>* differential.element[8].definition = "Please state if the survivor received any therapeutic intrathecal injections
1 =&gt; Yes
2 =&gt; No
-9922 =&gt; NK"</v>
      </c>
      <c r="F9" s="38" t="str">
        <f>CONCATENATE("* differential.element[",'Chemio-1'!A14,"].min = ",'Chemio-1'!E14,"")</f>
        <v>* differential.element[8].min = 1</v>
      </c>
      <c r="G9" s="38" t="str">
        <f>CONCATENATE("* differential.element[",'Chemio-1'!A14,"].max = """,'Chemio-1'!F14,"""")</f>
        <v>* differential.element[8].max = "1"</v>
      </c>
      <c r="H9" s="38" t="str">
        <f>CONCATENATE("* differential.element[",'Chemio-1'!A14,"].type.code = #",'Chemio-1'!G14,"")</f>
        <v>* differential.element[8].type.code = #CodeableConcept</v>
      </c>
      <c r="I9" s="38" t="str">
        <f>IF('Chemio-1'!H14&gt; "", CONCATENATE("* differential.element[",'Chemio-1'!A14,"].binding.valueSet = """,'Chemio-1'!H14,""),"")</f>
        <v/>
      </c>
      <c r="J9" s="38" t="str">
        <f>IF('Chemio-1'!I14&gt; "", CONCATENATE("* differential.element[",'Chemio-1'!A14,"].binding.strength = #",'Chemio-1'!I14,""),"")</f>
        <v/>
      </c>
    </row>
    <row r="10" spans="2:10" x14ac:dyDescent="0.75">
      <c r="B10" s="38"/>
      <c r="C10" s="38"/>
      <c r="D10" s="38"/>
      <c r="E10" s="38"/>
      <c r="F10" s="38"/>
      <c r="G10" s="38"/>
      <c r="H10" s="38"/>
      <c r="I10" s="38"/>
      <c r="J10" s="38"/>
    </row>
    <row r="11" spans="2:10" x14ac:dyDescent="0.75">
      <c r="B11" s="38"/>
      <c r="C11" s="38"/>
      <c r="D11" s="38"/>
      <c r="E11" s="38"/>
      <c r="F11" s="38"/>
      <c r="G11" s="38"/>
      <c r="H11" s="38"/>
      <c r="I11" s="38"/>
      <c r="J11" s="38"/>
    </row>
    <row r="12" spans="2:10" x14ac:dyDescent="0.75">
      <c r="B12" s="38"/>
      <c r="C12" s="38"/>
      <c r="D12" s="38"/>
      <c r="E12" s="38"/>
      <c r="F12" s="38"/>
      <c r="G12" s="38"/>
      <c r="H12" s="38"/>
      <c r="I12" s="38"/>
      <c r="J12" s="38"/>
    </row>
    <row r="13" spans="2:10" x14ac:dyDescent="0.75">
      <c r="B13" s="38"/>
      <c r="C13" s="38"/>
      <c r="D13" s="38"/>
      <c r="E13" s="38"/>
      <c r="F13" s="38"/>
      <c r="G13" s="38"/>
      <c r="H13" s="38"/>
      <c r="I13" s="38"/>
      <c r="J13" s="38"/>
    </row>
    <row r="14" spans="2:10" x14ac:dyDescent="0.75">
      <c r="B14" s="38"/>
      <c r="C14" s="38"/>
      <c r="D14" s="38"/>
      <c r="E14" s="38"/>
      <c r="F14" s="38"/>
      <c r="G14" s="38"/>
      <c r="H14" s="38"/>
      <c r="I14" s="38"/>
      <c r="J14" s="38"/>
    </row>
    <row r="15" spans="2:10" x14ac:dyDescent="0.75">
      <c r="B15" s="38"/>
      <c r="C15" s="38"/>
      <c r="D15" s="38"/>
      <c r="E15" s="38"/>
      <c r="F15" s="38"/>
      <c r="G15" s="38"/>
      <c r="H15" s="38"/>
      <c r="I15" s="38"/>
      <c r="J15" s="38"/>
    </row>
    <row r="16" spans="2:10" x14ac:dyDescent="0.75">
      <c r="B16" s="38"/>
      <c r="C16" s="38"/>
      <c r="D16" s="38"/>
      <c r="E16" s="38"/>
      <c r="F16" s="38"/>
      <c r="G16" s="38"/>
      <c r="H16" s="38"/>
      <c r="I16" s="38"/>
      <c r="J16" s="38"/>
    </row>
    <row r="17" spans="2:10" x14ac:dyDescent="0.75">
      <c r="B17" s="38"/>
      <c r="C17" s="38"/>
      <c r="D17" s="38"/>
      <c r="E17" s="38"/>
      <c r="F17" s="38"/>
      <c r="G17" s="38"/>
      <c r="H17" s="38"/>
      <c r="I17" s="38"/>
      <c r="J17" s="38"/>
    </row>
    <row r="18" spans="2:10" x14ac:dyDescent="0.75">
      <c r="B18" s="38"/>
      <c r="C18" s="38"/>
      <c r="D18" s="38"/>
      <c r="E18" s="38"/>
      <c r="F18" s="38"/>
      <c r="G18" s="38"/>
      <c r="H18" s="38"/>
      <c r="I18" s="38"/>
      <c r="J18" s="38"/>
    </row>
    <row r="19" spans="2:10" x14ac:dyDescent="0.75">
      <c r="B19" s="38"/>
      <c r="C19" s="38"/>
      <c r="D19" s="38"/>
      <c r="E19" s="38"/>
      <c r="F19" s="38"/>
      <c r="G19" s="38"/>
      <c r="H19" s="38"/>
      <c r="I19" s="38"/>
      <c r="J19" s="38"/>
    </row>
    <row r="20" spans="2:10" x14ac:dyDescent="0.75">
      <c r="B20" s="38"/>
      <c r="C20" s="38"/>
      <c r="D20" s="38"/>
      <c r="E20" s="38"/>
      <c r="F20" s="38"/>
      <c r="G20" s="38"/>
      <c r="H20" s="38"/>
      <c r="I20" s="38"/>
      <c r="J20" s="38"/>
    </row>
    <row r="21" spans="2:10" x14ac:dyDescent="0.75">
      <c r="B21" s="38"/>
      <c r="C21" s="38"/>
      <c r="D21" s="38"/>
      <c r="E21" s="38"/>
      <c r="F21" s="38"/>
      <c r="G21" s="38"/>
      <c r="H21" s="38"/>
      <c r="I21" s="38"/>
      <c r="J21" s="38"/>
    </row>
    <row r="22" spans="2:10" x14ac:dyDescent="0.75">
      <c r="B22" s="38"/>
      <c r="C22" s="38"/>
      <c r="D22" s="38"/>
      <c r="E22" s="38"/>
      <c r="F22" s="38"/>
      <c r="G22" s="38"/>
      <c r="H22" s="38"/>
      <c r="I22" s="38"/>
      <c r="J22" s="38"/>
    </row>
    <row r="23" spans="2:10" x14ac:dyDescent="0.75">
      <c r="B23" s="38"/>
      <c r="C23" s="38"/>
      <c r="D23" s="38"/>
      <c r="E23" s="38"/>
      <c r="F23" s="38"/>
      <c r="G23" s="38"/>
      <c r="H23" s="38"/>
      <c r="I23" s="38"/>
      <c r="J23" s="38"/>
    </row>
    <row r="24" spans="2:10" x14ac:dyDescent="0.75">
      <c r="B24" s="38"/>
      <c r="C24" s="38"/>
      <c r="D24" s="38"/>
      <c r="E24" s="38"/>
      <c r="F24" s="38"/>
      <c r="G24" s="38"/>
      <c r="H24" s="38"/>
      <c r="I24" s="38"/>
      <c r="J24" s="38"/>
    </row>
    <row r="25" spans="2:10" x14ac:dyDescent="0.75">
      <c r="B25" s="38"/>
      <c r="C25" s="38"/>
      <c r="D25" s="38"/>
      <c r="E25" s="38"/>
      <c r="F25" s="38"/>
      <c r="G25" s="38"/>
      <c r="H25" s="38"/>
      <c r="I25" s="38"/>
      <c r="J25" s="38"/>
    </row>
    <row r="26" spans="2:10" x14ac:dyDescent="0.75">
      <c r="B26" s="38"/>
      <c r="C26" s="38"/>
      <c r="D26" s="38"/>
      <c r="E26" s="38"/>
      <c r="F26" s="38"/>
      <c r="G26" s="38"/>
      <c r="H26" s="38"/>
      <c r="I26" s="38"/>
      <c r="J26" s="38"/>
    </row>
    <row r="27" spans="2:10" x14ac:dyDescent="0.75">
      <c r="B27" s="38"/>
      <c r="C27" s="38"/>
      <c r="D27" s="38"/>
      <c r="E27" s="38"/>
      <c r="F27" s="38"/>
      <c r="G27" s="38"/>
      <c r="H27" s="38"/>
      <c r="I27" s="38"/>
      <c r="J27" s="38"/>
    </row>
    <row r="28" spans="2:10" x14ac:dyDescent="0.75">
      <c r="B28" s="38"/>
      <c r="C28" s="38"/>
      <c r="D28" s="38"/>
      <c r="E28" s="38"/>
      <c r="F28" s="38"/>
      <c r="G28" s="38"/>
      <c r="H28" s="38"/>
      <c r="I28" s="38"/>
      <c r="J28" s="38"/>
    </row>
    <row r="29" spans="2:10" x14ac:dyDescent="0.75">
      <c r="B29" s="38"/>
      <c r="C29" s="38"/>
      <c r="D29" s="38"/>
      <c r="E29" s="38"/>
      <c r="F29" s="38"/>
      <c r="G29" s="38"/>
      <c r="H29" s="38"/>
      <c r="I29" s="38"/>
      <c r="J29" s="38"/>
    </row>
    <row r="30" spans="2:10" x14ac:dyDescent="0.75">
      <c r="B30" s="38"/>
      <c r="C30" s="38"/>
      <c r="D30" s="38"/>
      <c r="E30" s="38"/>
      <c r="F30" s="38"/>
      <c r="G30" s="38"/>
      <c r="H30" s="38"/>
      <c r="I30" s="38"/>
      <c r="J30" s="38"/>
    </row>
    <row r="31" spans="2:10" x14ac:dyDescent="0.75">
      <c r="B31" s="38"/>
      <c r="C31" s="38"/>
      <c r="D31" s="38"/>
      <c r="E31" s="38"/>
      <c r="F31" s="38"/>
      <c r="G31" s="38"/>
      <c r="H31" s="38"/>
      <c r="I31" s="38"/>
      <c r="J31" s="38"/>
    </row>
    <row r="32" spans="2:10" x14ac:dyDescent="0.75">
      <c r="B32" s="38"/>
      <c r="C32" s="38"/>
      <c r="D32" s="38"/>
      <c r="E32" s="38"/>
      <c r="F32" s="38"/>
      <c r="G32" s="38"/>
      <c r="H32" s="38"/>
      <c r="I32" s="38"/>
      <c r="J32" s="38"/>
    </row>
    <row r="33" spans="2:10" x14ac:dyDescent="0.75">
      <c r="B33" s="38"/>
      <c r="C33" s="38"/>
      <c r="D33" s="38"/>
      <c r="E33" s="38"/>
      <c r="F33" s="38"/>
      <c r="G33" s="38"/>
      <c r="H33" s="38"/>
      <c r="I33" s="38"/>
      <c r="J33" s="38"/>
    </row>
    <row r="34" spans="2:10" x14ac:dyDescent="0.75">
      <c r="B34" s="38"/>
      <c r="C34" s="38"/>
      <c r="D34" s="38"/>
      <c r="E34" s="38"/>
      <c r="F34" s="38"/>
      <c r="G34" s="38"/>
      <c r="H34" s="38"/>
      <c r="I34" s="38"/>
      <c r="J34" s="38"/>
    </row>
    <row r="35" spans="2:10" x14ac:dyDescent="0.75">
      <c r="B35" s="38"/>
      <c r="C35" s="38"/>
      <c r="D35" s="38"/>
      <c r="E35" s="38"/>
      <c r="F35" s="38"/>
      <c r="G35" s="38"/>
      <c r="H35" s="38"/>
      <c r="I35" s="38"/>
      <c r="J35" s="38"/>
    </row>
    <row r="36" spans="2:10" x14ac:dyDescent="0.75">
      <c r="B36" s="38"/>
      <c r="C36" s="38"/>
      <c r="D36" s="38"/>
      <c r="E36" s="38"/>
      <c r="F36" s="38"/>
      <c r="G36" s="38"/>
      <c r="H36" s="38"/>
      <c r="I36" s="38"/>
      <c r="J36" s="38"/>
    </row>
    <row r="37" spans="2:10" x14ac:dyDescent="0.75">
      <c r="B37" s="38"/>
      <c r="C37" s="38"/>
      <c r="D37" s="38"/>
      <c r="E37" s="38"/>
      <c r="F37" s="38"/>
      <c r="G37" s="38"/>
      <c r="H37" s="38"/>
      <c r="I37" s="38"/>
      <c r="J37" s="38"/>
    </row>
    <row r="38" spans="2:10" x14ac:dyDescent="0.75">
      <c r="B38" s="38"/>
      <c r="C38" s="38"/>
      <c r="D38" s="38"/>
      <c r="E38" s="38"/>
      <c r="F38" s="38"/>
      <c r="G38" s="38"/>
      <c r="H38" s="38"/>
      <c r="I38" s="38"/>
      <c r="J38" s="38"/>
    </row>
    <row r="39" spans="2:10" x14ac:dyDescent="0.75">
      <c r="B39" s="38"/>
      <c r="C39" s="38"/>
      <c r="D39" s="38"/>
      <c r="E39" s="38"/>
      <c r="F39" s="38"/>
      <c r="G39" s="38"/>
      <c r="H39" s="38"/>
      <c r="I39" s="38"/>
      <c r="J39" s="38"/>
    </row>
    <row r="40" spans="2:10" x14ac:dyDescent="0.75">
      <c r="B40" s="38"/>
      <c r="C40" s="38"/>
      <c r="D40" s="38"/>
      <c r="E40" s="38"/>
      <c r="F40" s="38"/>
      <c r="G40" s="38"/>
      <c r="H40" s="38"/>
      <c r="I40" s="38"/>
      <c r="J40" s="38"/>
    </row>
    <row r="41" spans="2:10" x14ac:dyDescent="0.75">
      <c r="B41" s="38"/>
      <c r="C41" s="38"/>
      <c r="D41" s="38"/>
      <c r="E41" s="38"/>
      <c r="F41" s="38"/>
      <c r="G41" s="38"/>
      <c r="H41" s="38"/>
      <c r="I41" s="38"/>
      <c r="J41" s="38"/>
    </row>
    <row r="42" spans="2:10" x14ac:dyDescent="0.75">
      <c r="B42" s="38"/>
      <c r="C42" s="38"/>
      <c r="D42" s="38"/>
      <c r="E42" s="38"/>
      <c r="F42" s="38"/>
      <c r="G42" s="38"/>
      <c r="H42" s="38"/>
      <c r="I42" s="38"/>
      <c r="J42" s="38"/>
    </row>
    <row r="43" spans="2:10" x14ac:dyDescent="0.75">
      <c r="B43" s="38"/>
      <c r="C43" s="38"/>
      <c r="D43" s="38"/>
      <c r="E43" s="38"/>
      <c r="F43" s="38"/>
      <c r="G43" s="38"/>
      <c r="H43" s="38"/>
      <c r="I43" s="38"/>
      <c r="J43" s="38"/>
    </row>
    <row r="44" spans="2:10" x14ac:dyDescent="0.75">
      <c r="B44" s="38"/>
      <c r="C44" s="38"/>
      <c r="D44" s="38"/>
      <c r="E44" s="38"/>
      <c r="F44" s="38"/>
      <c r="G44" s="38"/>
      <c r="H44" s="38"/>
      <c r="I44" s="38"/>
      <c r="J44" s="38"/>
    </row>
    <row r="45" spans="2:10" x14ac:dyDescent="0.75">
      <c r="B45" s="38"/>
      <c r="C45" s="38"/>
      <c r="D45" s="38"/>
      <c r="E45" s="38"/>
      <c r="F45" s="38"/>
      <c r="G45" s="38"/>
      <c r="H45" s="38"/>
      <c r="I45" s="38"/>
      <c r="J45" s="38"/>
    </row>
    <row r="46" spans="2:10" x14ac:dyDescent="0.75">
      <c r="B46" s="38"/>
      <c r="C46" s="38"/>
      <c r="D46" s="38"/>
      <c r="E46" s="38"/>
      <c r="F46" s="38"/>
      <c r="G46" s="38"/>
      <c r="H46" s="38"/>
      <c r="I46" s="38"/>
      <c r="J46" s="38"/>
    </row>
    <row r="47" spans="2:10" x14ac:dyDescent="0.75">
      <c r="B47" s="38"/>
      <c r="C47" s="38"/>
      <c r="D47" s="38"/>
      <c r="E47" s="38"/>
      <c r="F47" s="38"/>
      <c r="G47" s="38"/>
      <c r="H47" s="38"/>
      <c r="I47" s="38"/>
      <c r="J47" s="38"/>
    </row>
    <row r="48" spans="2:10" x14ac:dyDescent="0.75">
      <c r="B48" s="38"/>
      <c r="C48" s="38"/>
      <c r="D48" s="38"/>
      <c r="E48" s="38"/>
      <c r="F48" s="38"/>
      <c r="G48" s="38"/>
      <c r="H48" s="38"/>
      <c r="I48" s="38"/>
      <c r="J48" s="38"/>
    </row>
    <row r="49" spans="2:10" x14ac:dyDescent="0.75">
      <c r="B49" s="38"/>
      <c r="C49" s="38"/>
      <c r="D49" s="38"/>
      <c r="E49" s="38"/>
      <c r="F49" s="38"/>
      <c r="G49" s="38"/>
      <c r="H49" s="38"/>
      <c r="I49" s="38"/>
      <c r="J49" s="38"/>
    </row>
    <row r="50" spans="2:10" x14ac:dyDescent="0.75">
      <c r="B50" s="38"/>
      <c r="C50" s="38"/>
      <c r="D50" s="38"/>
      <c r="E50" s="38"/>
      <c r="F50" s="38"/>
      <c r="G50" s="38"/>
      <c r="H50" s="38"/>
      <c r="I50" s="38"/>
      <c r="J50" s="38"/>
    </row>
    <row r="51" spans="2:10" x14ac:dyDescent="0.75">
      <c r="B51" s="38"/>
      <c r="C51" s="38"/>
      <c r="D51" s="38"/>
      <c r="E51" s="38"/>
      <c r="F51" s="38"/>
      <c r="G51" s="38"/>
      <c r="H51" s="38"/>
      <c r="I51" s="38"/>
      <c r="J51" s="38"/>
    </row>
    <row r="52" spans="2:10" x14ac:dyDescent="0.75">
      <c r="B52" s="38"/>
      <c r="C52" s="38"/>
      <c r="D52" s="38"/>
      <c r="E52" s="38"/>
      <c r="F52" s="38"/>
      <c r="G52" s="38"/>
      <c r="H52" s="38"/>
      <c r="I52" s="38"/>
      <c r="J52" s="38"/>
    </row>
    <row r="53" spans="2:10" x14ac:dyDescent="0.75">
      <c r="B53" s="38"/>
      <c r="C53" s="38"/>
      <c r="D53" s="38"/>
      <c r="E53" s="38"/>
      <c r="F53" s="38"/>
      <c r="G53" s="38"/>
      <c r="H53" s="38"/>
      <c r="I53" s="38"/>
      <c r="J53" s="38"/>
    </row>
    <row r="54" spans="2:10" x14ac:dyDescent="0.75">
      <c r="B54" s="38"/>
      <c r="C54" s="38"/>
      <c r="D54" s="38"/>
      <c r="E54" s="38"/>
      <c r="F54" s="38"/>
      <c r="G54" s="38"/>
      <c r="H54" s="38"/>
      <c r="I54" s="38"/>
      <c r="J54" s="38"/>
    </row>
    <row r="55" spans="2:10" x14ac:dyDescent="0.75">
      <c r="B55" s="38"/>
      <c r="C55" s="38"/>
      <c r="D55" s="38"/>
      <c r="E55" s="38"/>
      <c r="F55" s="38"/>
      <c r="G55" s="38"/>
      <c r="H55" s="38"/>
      <c r="I55" s="38"/>
      <c r="J55" s="38"/>
    </row>
    <row r="56" spans="2:10" x14ac:dyDescent="0.75">
      <c r="B56" s="38"/>
      <c r="C56" s="38"/>
      <c r="D56" s="38"/>
      <c r="E56" s="38"/>
      <c r="F56" s="38"/>
      <c r="G56" s="38"/>
      <c r="H56" s="38"/>
      <c r="I56" s="38"/>
      <c r="J56" s="38"/>
    </row>
    <row r="57" spans="2:10" x14ac:dyDescent="0.75">
      <c r="B57" s="38"/>
      <c r="C57" s="38"/>
      <c r="D57" s="38"/>
      <c r="E57" s="38"/>
      <c r="F57" s="38"/>
      <c r="G57" s="38"/>
      <c r="H57" s="38"/>
      <c r="I57" s="38"/>
      <c r="J57" s="38"/>
    </row>
    <row r="58" spans="2:10" x14ac:dyDescent="0.75">
      <c r="B58" s="38"/>
      <c r="C58" s="38"/>
      <c r="D58" s="38"/>
      <c r="E58" s="38"/>
      <c r="F58" s="38"/>
      <c r="G58" s="38"/>
      <c r="H58" s="38"/>
      <c r="I58" s="38"/>
      <c r="J58" s="38"/>
    </row>
    <row r="59" spans="2:10" x14ac:dyDescent="0.75">
      <c r="B59" s="38"/>
      <c r="C59" s="38"/>
      <c r="D59" s="38"/>
      <c r="E59" s="38"/>
      <c r="F59" s="38"/>
      <c r="G59" s="38"/>
      <c r="H59" s="38"/>
      <c r="I59" s="38"/>
      <c r="J59" s="38"/>
    </row>
    <row r="60" spans="2:10" x14ac:dyDescent="0.75">
      <c r="B60" s="38"/>
      <c r="C60" s="38"/>
      <c r="D60" s="38"/>
      <c r="E60" s="38"/>
      <c r="F60" s="38"/>
      <c r="G60" s="38"/>
      <c r="H60" s="38"/>
      <c r="I60" s="38"/>
      <c r="J60" s="38"/>
    </row>
    <row r="61" spans="2:10" x14ac:dyDescent="0.75">
      <c r="B61" s="38"/>
      <c r="C61" s="38"/>
      <c r="D61" s="38"/>
      <c r="E61" s="38"/>
      <c r="F61" s="38"/>
      <c r="G61" s="38"/>
      <c r="H61" s="38"/>
    </row>
    <row r="62" spans="2:10" x14ac:dyDescent="0.75">
      <c r="B62" s="38"/>
      <c r="C62" s="38"/>
      <c r="D62" s="38"/>
      <c r="E62" s="38"/>
      <c r="F62" s="38"/>
      <c r="G62" s="38"/>
      <c r="H62" s="38"/>
    </row>
    <row r="63" spans="2:10" x14ac:dyDescent="0.75">
      <c r="B63" s="38"/>
      <c r="C63" s="38"/>
      <c r="D63" s="38"/>
      <c r="E63" s="38"/>
      <c r="F63" s="38"/>
      <c r="G63" s="38"/>
      <c r="H63" s="38"/>
    </row>
    <row r="64" spans="2:10" x14ac:dyDescent="0.75">
      <c r="B64" s="38"/>
      <c r="C64" s="38"/>
      <c r="D64" s="38"/>
      <c r="E64" s="38"/>
      <c r="F64" s="38"/>
      <c r="G64" s="38"/>
      <c r="H64" s="38"/>
    </row>
    <row r="65" spans="2:8" x14ac:dyDescent="0.75">
      <c r="B65" s="38"/>
      <c r="C65" s="38"/>
      <c r="D65" s="38"/>
      <c r="E65" s="38"/>
      <c r="F65" s="38"/>
      <c r="G65" s="38"/>
      <c r="H65" s="38"/>
    </row>
    <row r="66" spans="2:8" x14ac:dyDescent="0.75">
      <c r="B66" s="38"/>
      <c r="C66" s="38"/>
      <c r="D66" s="38"/>
      <c r="E66" s="38"/>
      <c r="F66" s="38"/>
      <c r="G66" s="38"/>
      <c r="H66" s="38"/>
    </row>
    <row r="67" spans="2:8" x14ac:dyDescent="0.75">
      <c r="B67" s="38"/>
      <c r="C67" s="38"/>
      <c r="D67" s="38"/>
      <c r="E67" s="38"/>
      <c r="F67" s="38"/>
      <c r="G67" s="38"/>
      <c r="H67" s="38"/>
    </row>
    <row r="68" spans="2:8" x14ac:dyDescent="0.75">
      <c r="B68" s="38"/>
      <c r="C68" s="38"/>
      <c r="D68" s="38"/>
      <c r="E68" s="38"/>
      <c r="F68" s="38"/>
      <c r="G68" s="38"/>
      <c r="H68" s="38"/>
    </row>
    <row r="69" spans="2:8" x14ac:dyDescent="0.75">
      <c r="B69" s="38"/>
      <c r="C69" s="38"/>
      <c r="D69" s="38"/>
      <c r="E69" s="38"/>
      <c r="F69" s="38"/>
      <c r="G69" s="38"/>
      <c r="H69" s="38"/>
    </row>
    <row r="70" spans="2:8" x14ac:dyDescent="0.75">
      <c r="B70" s="38"/>
      <c r="C70" s="38"/>
      <c r="D70" s="38"/>
      <c r="E70" s="38"/>
      <c r="F70" s="38"/>
      <c r="G70" s="38"/>
      <c r="H70" s="38"/>
    </row>
    <row r="71" spans="2:8" x14ac:dyDescent="0.75">
      <c r="B71" s="38"/>
      <c r="C71" s="38"/>
      <c r="D71" s="38"/>
      <c r="E71" s="38"/>
      <c r="F71" s="38"/>
      <c r="G71" s="38"/>
      <c r="H71" s="38"/>
    </row>
    <row r="72" spans="2:8" x14ac:dyDescent="0.75">
      <c r="B72" s="38"/>
      <c r="C72" s="38"/>
      <c r="D72" s="38"/>
      <c r="E72" s="38"/>
      <c r="F72" s="38"/>
      <c r="G72" s="38"/>
      <c r="H72" s="38"/>
    </row>
    <row r="73" spans="2:8" x14ac:dyDescent="0.75">
      <c r="B73" s="38"/>
      <c r="C73" s="38"/>
      <c r="D73" s="38"/>
      <c r="E73" s="38"/>
      <c r="F73" s="38"/>
      <c r="G73" s="38"/>
      <c r="H73" s="38"/>
    </row>
    <row r="74" spans="2:8" x14ac:dyDescent="0.75">
      <c r="B74" s="38"/>
      <c r="C74" s="38"/>
      <c r="D74" s="38"/>
      <c r="E74" s="38"/>
      <c r="F74" s="38"/>
      <c r="G74" s="38"/>
      <c r="H74" s="38"/>
    </row>
    <row r="75" spans="2:8" x14ac:dyDescent="0.75">
      <c r="B75" s="38"/>
      <c r="C75" s="38"/>
      <c r="D75" s="38"/>
      <c r="E75" s="38"/>
      <c r="F75" s="38"/>
      <c r="G75" s="38"/>
      <c r="H75" s="38"/>
    </row>
    <row r="76" spans="2:8" x14ac:dyDescent="0.75">
      <c r="B76" s="38"/>
      <c r="C76" s="38"/>
      <c r="D76" s="38"/>
      <c r="E76" s="38"/>
      <c r="F76" s="38"/>
      <c r="G76" s="38"/>
      <c r="H76" s="38"/>
    </row>
    <row r="77" spans="2:8" x14ac:dyDescent="0.75">
      <c r="B77" s="38"/>
      <c r="C77" s="38"/>
      <c r="D77" s="38"/>
      <c r="E77" s="38"/>
      <c r="F77" s="38"/>
      <c r="G77" s="38"/>
      <c r="H77" s="38"/>
    </row>
    <row r="78" spans="2:8" x14ac:dyDescent="0.75">
      <c r="B78" s="38"/>
      <c r="C78" s="38"/>
      <c r="D78" s="38"/>
      <c r="E78" s="38"/>
      <c r="F78" s="38"/>
      <c r="G78" s="38"/>
      <c r="H78" s="38"/>
    </row>
    <row r="79" spans="2:8" x14ac:dyDescent="0.75">
      <c r="B79" s="38"/>
      <c r="C79" s="38"/>
      <c r="D79" s="38"/>
      <c r="E79" s="38"/>
      <c r="F79" s="38"/>
      <c r="G79" s="38"/>
      <c r="H79" s="38"/>
    </row>
    <row r="80" spans="2:8" x14ac:dyDescent="0.75">
      <c r="B80" s="38"/>
      <c r="C80" s="38"/>
      <c r="D80" s="38"/>
      <c r="E80" s="38"/>
      <c r="F80" s="38"/>
      <c r="G80" s="38"/>
      <c r="H80" s="38"/>
    </row>
    <row r="81" spans="2:8" x14ac:dyDescent="0.75">
      <c r="B81" s="38"/>
      <c r="C81" s="38"/>
      <c r="D81" s="38"/>
      <c r="E81" s="38"/>
      <c r="F81" s="38"/>
      <c r="G81" s="38"/>
      <c r="H81" s="38"/>
    </row>
    <row r="82" spans="2:8" x14ac:dyDescent="0.75">
      <c r="B82" s="38"/>
      <c r="C82" s="38"/>
      <c r="D82" s="38"/>
      <c r="E82" s="38"/>
      <c r="F82" s="38"/>
      <c r="G82" s="38"/>
      <c r="H82" s="38"/>
    </row>
    <row r="83" spans="2:8" x14ac:dyDescent="0.75">
      <c r="B83" s="38"/>
      <c r="C83" s="38"/>
      <c r="D83" s="38"/>
      <c r="E83" s="38"/>
      <c r="F83" s="38"/>
      <c r="G83" s="38"/>
      <c r="H83" s="38"/>
    </row>
    <row r="84" spans="2:8" x14ac:dyDescent="0.75">
      <c r="B84" s="38"/>
      <c r="C84" s="38"/>
      <c r="D84" s="38"/>
      <c r="E84" s="38"/>
      <c r="F84" s="38"/>
      <c r="G84" s="38"/>
      <c r="H84" s="38"/>
    </row>
    <row r="85" spans="2:8" x14ac:dyDescent="0.75">
      <c r="B85" s="38"/>
      <c r="C85" s="38"/>
      <c r="D85" s="38"/>
      <c r="E85" s="38"/>
      <c r="F85" s="38"/>
      <c r="G85" s="38"/>
      <c r="H85" s="38"/>
    </row>
    <row r="86" spans="2:8" x14ac:dyDescent="0.75">
      <c r="B86" s="38"/>
      <c r="C86" s="38"/>
      <c r="D86" s="38"/>
      <c r="E86" s="38"/>
      <c r="F86" s="38"/>
      <c r="G86" s="38"/>
      <c r="H86" s="38"/>
    </row>
    <row r="87" spans="2:8" x14ac:dyDescent="0.75">
      <c r="B87" s="38"/>
      <c r="C87" s="38"/>
      <c r="D87" s="38"/>
      <c r="E87" s="38"/>
      <c r="F87" s="38"/>
      <c r="G87" s="38"/>
      <c r="H87" s="38"/>
    </row>
    <row r="88" spans="2:8" x14ac:dyDescent="0.75">
      <c r="B88" s="38"/>
      <c r="C88" s="38"/>
      <c r="D88" s="38"/>
      <c r="E88" s="38"/>
      <c r="F88" s="38"/>
      <c r="G88" s="38"/>
      <c r="H88" s="38"/>
    </row>
    <row r="89" spans="2:8" x14ac:dyDescent="0.75">
      <c r="B89" s="38"/>
      <c r="C89" s="38"/>
      <c r="D89" s="38"/>
      <c r="E89" s="38"/>
      <c r="F89" s="38"/>
      <c r="G89" s="38"/>
      <c r="H89" s="38"/>
    </row>
    <row r="90" spans="2:8" x14ac:dyDescent="0.75">
      <c r="B90" s="38"/>
      <c r="C90" s="38"/>
      <c r="D90" s="38"/>
      <c r="E90" s="38"/>
      <c r="F90" s="38"/>
      <c r="G90" s="38"/>
      <c r="H90" s="38"/>
    </row>
    <row r="91" spans="2:8" x14ac:dyDescent="0.75">
      <c r="B91" s="38"/>
      <c r="C91" s="38"/>
      <c r="D91" s="38"/>
      <c r="E91" s="38"/>
      <c r="F91" s="38"/>
      <c r="G91" s="38"/>
      <c r="H91" s="38"/>
    </row>
    <row r="92" spans="2:8" x14ac:dyDescent="0.75">
      <c r="B92" s="38"/>
      <c r="C92" s="38"/>
      <c r="D92" s="38"/>
      <c r="E92" s="38"/>
      <c r="F92" s="38"/>
      <c r="G92" s="38"/>
      <c r="H92" s="38"/>
    </row>
    <row r="93" spans="2:8" x14ac:dyDescent="0.75">
      <c r="B93" s="38"/>
      <c r="C93" s="38"/>
      <c r="D93" s="38"/>
      <c r="E93" s="38"/>
      <c r="F93" s="38"/>
      <c r="G93" s="38"/>
      <c r="H93" s="3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5CE12-3C77-4CDF-A959-BD6D8D4D3EA4}">
  <sheetPr codeName="Foglio15">
    <tabColor rgb="FFFF0000"/>
  </sheetPr>
  <dimension ref="A2:G583"/>
  <sheetViews>
    <sheetView workbookViewId="0">
      <selection activeCell="D10" sqref="D10"/>
    </sheetView>
  </sheetViews>
  <sheetFormatPr defaultRowHeight="14.75" x14ac:dyDescent="0.75"/>
  <cols>
    <col min="1" max="1" width="8.7265625" style="31"/>
    <col min="2" max="2" width="9.81640625" style="31" customWidth="1"/>
    <col min="3" max="3" width="8.7265625" style="31"/>
    <col min="4" max="4" width="130.81640625" style="31" customWidth="1"/>
    <col min="5" max="5" width="19.86328125" style="31" customWidth="1"/>
    <col min="6" max="6" width="8.7265625" style="31"/>
    <col min="7" max="7" width="69.36328125" style="31" customWidth="1"/>
    <col min="8" max="16384" width="8.7265625" style="31"/>
  </cols>
  <sheetData>
    <row r="2" spans="4:7" x14ac:dyDescent="0.75">
      <c r="D2" s="17" t="str">
        <f>CONCATENATE("Instance: ",'Chemio-1'!B6)</f>
        <v>Instance: Chemotherapy</v>
      </c>
    </row>
    <row r="3" spans="4:7" x14ac:dyDescent="0.75">
      <c r="D3" s="17" t="s">
        <v>22</v>
      </c>
    </row>
    <row r="4" spans="4:7" x14ac:dyDescent="0.75">
      <c r="D4" s="17" t="str">
        <f>CONCATENATE("Description: """,'Chemio-1'!D2,"""")</f>
        <v>Description: "Chemotherapy"</v>
      </c>
      <c r="E4" s="17"/>
    </row>
    <row r="5" spans="4:7" x14ac:dyDescent="0.75">
      <c r="D5" s="17" t="str">
        <f>CONCATENATE("Title: """,'Chemio-1'!C2,"""")</f>
        <v>Title: "Chemotherapy"</v>
      </c>
      <c r="E5" s="17"/>
    </row>
    <row r="6" spans="4:7" x14ac:dyDescent="0.75">
      <c r="D6" s="17" t="s">
        <v>23</v>
      </c>
      <c r="E6" s="17"/>
    </row>
    <row r="7" spans="4:7" x14ac:dyDescent="0.75">
      <c r="D7" s="17"/>
      <c r="E7" s="17"/>
    </row>
    <row r="8" spans="4:7" x14ac:dyDescent="0.75">
      <c r="D8" s="17" t="str">
        <f>CONCATENATE("* publisher = """,'Chemio-1'!B4,"""")</f>
        <v>* publisher = "PanCareSurPass project"</v>
      </c>
      <c r="E8" s="17"/>
    </row>
    <row r="9" spans="4:7" x14ac:dyDescent="0.75">
      <c r="D9" s="17" t="s">
        <v>24</v>
      </c>
      <c r="E9" s="17"/>
    </row>
    <row r="10" spans="4:7" x14ac:dyDescent="0.75">
      <c r="D10" s="17" t="str">
        <f>CONCATENATE("* url = """,'Chemio-1'!B2,"/StructureDefinition/",'Chemio-1'!B6,"""")</f>
        <v>* url = "http://hl7.eu/fhir/ig/pcsp/StructureDefinition/Chemotherapy"</v>
      </c>
      <c r="E10" s="17"/>
      <c r="G10" s="74" t="s">
        <v>111</v>
      </c>
    </row>
    <row r="11" spans="4:7" x14ac:dyDescent="0.75">
      <c r="D11" s="17" t="str">
        <f>CONCATENATE("* name = """,'Chemio-1'!C4,"""")</f>
        <v>* name = "Chemotherapy"</v>
      </c>
      <c r="E11" s="17"/>
    </row>
    <row r="12" spans="4:7" x14ac:dyDescent="0.75">
      <c r="D12" s="17" t="str">
        <f>CONCATENATE("* title = """,'Chemio-1'!C2,"""")</f>
        <v>* title = "Chemotherapy"</v>
      </c>
      <c r="E12" s="17"/>
    </row>
    <row r="13" spans="4:7" x14ac:dyDescent="0.75">
      <c r="D13" s="17" t="s">
        <v>24</v>
      </c>
      <c r="E13" s="17"/>
    </row>
    <row r="14" spans="4:7" x14ac:dyDescent="0.75">
      <c r="D14" s="17" t="s">
        <v>25</v>
      </c>
      <c r="E14" s="17"/>
    </row>
    <row r="15" spans="4:7" x14ac:dyDescent="0.75">
      <c r="D15" s="17" t="str">
        <f>CONCATENATE("* description = """,'Chemio-1'!D2,"""")</f>
        <v>* description = "Chemotherapy"</v>
      </c>
      <c r="E15" s="17"/>
    </row>
    <row r="16" spans="4:7" x14ac:dyDescent="0.75">
      <c r="D16" s="17" t="s">
        <v>26</v>
      </c>
      <c r="E16" s="17"/>
    </row>
    <row r="18" spans="1:7" x14ac:dyDescent="0.75">
      <c r="C18" s="31">
        <v>0</v>
      </c>
      <c r="D18" s="64" t="str">
        <f>CONCATENATE("* mapping[",C18,"].identity = """,'ChemioMap-1'!F1,"""")</f>
        <v>* mapping[0].identity = "fhir"</v>
      </c>
      <c r="G18" s="1" t="s">
        <v>91</v>
      </c>
    </row>
    <row r="19" spans="1:7" x14ac:dyDescent="0.75">
      <c r="B19" s="65" t="s">
        <v>93</v>
      </c>
      <c r="C19" s="31">
        <v>0</v>
      </c>
      <c r="D19" s="64" t="str">
        <f>CONCATENATE("* mapping[",C19,"].uri = """,'ChemioMap-1'!F2,"""")</f>
        <v>* mapping[0].uri = "hl7.org/fhir/r4"</v>
      </c>
      <c r="G19" s="1" t="s">
        <v>92</v>
      </c>
    </row>
    <row r="20" spans="1:7" x14ac:dyDescent="0.75">
      <c r="C20" s="31">
        <v>0</v>
      </c>
      <c r="D20" s="64" t="str">
        <f>CONCATENATE("* mapping[",C20,"].name = """,'ChemioMap-1'!D2,"""")</f>
        <v>* mapping[0].name = "FHIR"</v>
      </c>
      <c r="G20" s="1" t="s">
        <v>94</v>
      </c>
    </row>
    <row r="22" spans="1:7" x14ac:dyDescent="0.75">
      <c r="D22" s="17" t="s">
        <v>27</v>
      </c>
      <c r="E22" s="17"/>
    </row>
    <row r="23" spans="1:7" x14ac:dyDescent="0.75">
      <c r="D23" s="17" t="s">
        <v>136</v>
      </c>
      <c r="E23" s="17"/>
    </row>
    <row r="24" spans="1:7" x14ac:dyDescent="0.75">
      <c r="D24" s="17" t="str">
        <f>CONCATENATE("* type = """,'Chemio-1'!B6,"""")</f>
        <v>* type = "Chemotherapy"</v>
      </c>
      <c r="E24" s="17"/>
    </row>
    <row r="25" spans="1:7" x14ac:dyDescent="0.75">
      <c r="A25" s="159" t="s">
        <v>1056</v>
      </c>
      <c r="B25" s="159">
        <v>9</v>
      </c>
      <c r="D25" s="17" t="s">
        <v>29</v>
      </c>
    </row>
    <row r="26" spans="1:7" x14ac:dyDescent="0.75">
      <c r="D26" s="17" t="s">
        <v>30</v>
      </c>
    </row>
    <row r="28" spans="1:7" x14ac:dyDescent="0.75">
      <c r="D28" s="40" t="str">
        <f>'Chemio-2'!B1</f>
        <v>* differential.element[0].id = "Chemotherapy"</v>
      </c>
    </row>
    <row r="29" spans="1:7" x14ac:dyDescent="0.75">
      <c r="D29" s="40" t="str">
        <f>'Chemio-2'!C1</f>
        <v>* differential.element[0].path = "Chemotherapy"</v>
      </c>
      <c r="G29" s="31" t="s">
        <v>143</v>
      </c>
    </row>
    <row r="30" spans="1:7" x14ac:dyDescent="0.75">
      <c r="D30" s="47" t="str">
        <f>'Chemio-2'!D1</f>
        <v>* differential.element[0].short = "Chemotherapy"</v>
      </c>
    </row>
    <row r="31" spans="1:7" x14ac:dyDescent="0.75">
      <c r="D31" s="40" t="str">
        <f>'Chemio-2'!E1</f>
        <v>* differential.element[0].definition = "Chemotherapy"</v>
      </c>
    </row>
    <row r="32" spans="1:7" x14ac:dyDescent="0.75">
      <c r="D32" s="40" t="str">
        <f>'Chemio-2'!F1</f>
        <v>* differential.element[0].min = 1</v>
      </c>
    </row>
    <row r="33" spans="1:4" x14ac:dyDescent="0.75">
      <c r="D33" s="40" t="str">
        <f>'Chemio-2'!G1</f>
        <v>* differential.element[0].max = "1"</v>
      </c>
    </row>
    <row r="34" spans="1:4" x14ac:dyDescent="0.75">
      <c r="D34" s="8"/>
    </row>
    <row r="35" spans="1:4" x14ac:dyDescent="0.75">
      <c r="A35" s="32">
        <v>1</v>
      </c>
      <c r="B35" s="32">
        <f>IF(MOD(A35,$B$25)=0,A35/$B$25-1,INT(A35/$B$25))</f>
        <v>0</v>
      </c>
      <c r="C35" s="32">
        <f>IF(MOD(A35,$B$25)=0,$B$25,MOD(A35,$B$25))</f>
        <v>1</v>
      </c>
      <c r="D35" s="38" t="str" cm="1">
        <f t="array" ref="D35">INDEX('Chemio-2'!$B$2:$J$100,1+B35,C35)</f>
        <v>* differential.element[1].id = "Chemotherapy.productAdministration"</v>
      </c>
    </row>
    <row r="36" spans="1:4" x14ac:dyDescent="0.75">
      <c r="A36" s="32">
        <v>2</v>
      </c>
      <c r="B36" s="32">
        <f t="shared" ref="B36:B99" si="0">IF(MOD(A36,$B$25)=0,A36/$B$25-1,INT(A36/$B$25))</f>
        <v>0</v>
      </c>
      <c r="C36" s="32">
        <f t="shared" ref="C36:C99" si="1">IF(MOD(A36,$B$25)=0,$B$25,MOD(A36,$B$25))</f>
        <v>2</v>
      </c>
      <c r="D36" s="38" t="str" cm="1">
        <f t="array" ref="D36">INDEX('Chemio-2'!$B$2:$J$100,1+B36,C36)</f>
        <v>* differential.element[1].path = "Chemotherapy.productAdministration"</v>
      </c>
    </row>
    <row r="37" spans="1:4" x14ac:dyDescent="0.75">
      <c r="A37" s="32">
        <v>3</v>
      </c>
      <c r="B37" s="32">
        <f t="shared" si="0"/>
        <v>0</v>
      </c>
      <c r="C37" s="32">
        <f t="shared" si="1"/>
        <v>3</v>
      </c>
      <c r="D37" s="38" t="str" cm="1">
        <f t="array" ref="D37">INDEX('Chemio-2'!$B$2:$J$100,1+B37,C37)</f>
        <v>* differential.element[1].short = "Product(s) administartion data"</v>
      </c>
    </row>
    <row r="38" spans="1:4" x14ac:dyDescent="0.75">
      <c r="A38" s="32">
        <v>4</v>
      </c>
      <c r="B38" s="32">
        <f t="shared" si="0"/>
        <v>0</v>
      </c>
      <c r="C38" s="32">
        <f t="shared" si="1"/>
        <v>4</v>
      </c>
      <c r="D38" s="38" t="str" cm="1">
        <f t="array" ref="D38">INDEX('Chemio-2'!$B$2:$J$100,1+B38,C38)</f>
        <v>* differential.element[1].definition = "Information about the product(s) administered"</v>
      </c>
    </row>
    <row r="39" spans="1:4" x14ac:dyDescent="0.75">
      <c r="A39" s="32">
        <v>5</v>
      </c>
      <c r="B39" s="32">
        <f t="shared" si="0"/>
        <v>0</v>
      </c>
      <c r="C39" s="32">
        <f t="shared" si="1"/>
        <v>5</v>
      </c>
      <c r="D39" s="38" t="str" cm="1">
        <f t="array" ref="D39">INDEX('Chemio-2'!$B$2:$J$100,1+B39,C39)</f>
        <v>* differential.element[1].min = 1</v>
      </c>
    </row>
    <row r="40" spans="1:4" x14ac:dyDescent="0.75">
      <c r="A40" s="32">
        <v>6</v>
      </c>
      <c r="B40" s="32">
        <f t="shared" si="0"/>
        <v>0</v>
      </c>
      <c r="C40" s="32">
        <f t="shared" si="1"/>
        <v>6</v>
      </c>
      <c r="D40" s="38" t="str" cm="1">
        <f t="array" ref="D40">INDEX('Chemio-2'!$B$2:$J$100,1+B40,C40)</f>
        <v>* differential.element[1].max = "20"</v>
      </c>
    </row>
    <row r="41" spans="1:4" x14ac:dyDescent="0.75">
      <c r="A41" s="32">
        <v>7</v>
      </c>
      <c r="B41" s="32">
        <f t="shared" si="0"/>
        <v>0</v>
      </c>
      <c r="C41" s="32">
        <f t="shared" si="1"/>
        <v>7</v>
      </c>
      <c r="D41" s="38" t="str" cm="1">
        <f t="array" ref="D41">INDEX('Chemio-2'!$B$2:$J$100,1+B41,C41)</f>
        <v>* differential.element[1].type.code = #BackboneElement</v>
      </c>
    </row>
    <row r="42" spans="1:4" x14ac:dyDescent="0.75">
      <c r="A42" s="32">
        <v>8</v>
      </c>
      <c r="B42" s="32">
        <f t="shared" si="0"/>
        <v>0</v>
      </c>
      <c r="C42" s="32">
        <f t="shared" si="1"/>
        <v>8</v>
      </c>
      <c r="D42" s="38" t="str" cm="1">
        <f t="array" ref="D42">INDEX('Chemio-2'!$B$2:$J$100,1+B42,C42)</f>
        <v/>
      </c>
    </row>
    <row r="43" spans="1:4" x14ac:dyDescent="0.75">
      <c r="A43" s="32">
        <v>9</v>
      </c>
      <c r="B43" s="32">
        <f t="shared" si="0"/>
        <v>0</v>
      </c>
      <c r="C43" s="32">
        <f t="shared" si="1"/>
        <v>9</v>
      </c>
      <c r="D43" s="38" t="str" cm="1">
        <f t="array" ref="D43">INDEX('Chemio-2'!$B$2:$J$100,1+B43,C43)</f>
        <v/>
      </c>
    </row>
    <row r="44" spans="1:4" x14ac:dyDescent="0.75">
      <c r="A44" s="32">
        <v>10</v>
      </c>
      <c r="B44" s="32">
        <f t="shared" si="0"/>
        <v>1</v>
      </c>
      <c r="C44" s="32">
        <f t="shared" si="1"/>
        <v>1</v>
      </c>
      <c r="D44" s="38" t="str" cm="1">
        <f t="array" ref="D44">INDEX('Chemio-2'!$B$2:$J$100,1+B44,C44)</f>
        <v>* differential.element[2].id = "Chemotherapy.productAdministration.agent"</v>
      </c>
    </row>
    <row r="45" spans="1:4" x14ac:dyDescent="0.75">
      <c r="A45" s="32">
        <v>11</v>
      </c>
      <c r="B45" s="32">
        <f t="shared" si="0"/>
        <v>1</v>
      </c>
      <c r="C45" s="32">
        <f t="shared" si="1"/>
        <v>2</v>
      </c>
      <c r="D45" s="38" t="str" cm="1">
        <f t="array" ref="D45">INDEX('Chemio-2'!$B$2:$J$100,1+B45,C45)</f>
        <v>* differential.element[2].path = "Chemotherapy.productAdministration.agent"</v>
      </c>
    </row>
    <row r="46" spans="1:4" x14ac:dyDescent="0.75">
      <c r="A46" s="32">
        <v>12</v>
      </c>
      <c r="B46" s="32">
        <f t="shared" si="0"/>
        <v>1</v>
      </c>
      <c r="C46" s="32">
        <f t="shared" si="1"/>
        <v>3</v>
      </c>
      <c r="D46" s="38" t="str" cm="1">
        <f t="array" ref="D46">INDEX('Chemio-2'!$B$2:$J$100,1+B46,C46)</f>
        <v>* differential.element[2].short = "Antineoplastic and immunostimulating agents"</v>
      </c>
    </row>
    <row r="47" spans="1:4" ht="73.75" x14ac:dyDescent="0.75">
      <c r="A47" s="32">
        <v>13</v>
      </c>
      <c r="B47" s="32">
        <f t="shared" si="0"/>
        <v>1</v>
      </c>
      <c r="C47" s="32">
        <f t="shared" si="1"/>
        <v>4</v>
      </c>
      <c r="D47" s="38" t="str" cm="1">
        <f t="array" ref="D47">INDEX('Chemio-2'!$B$2:$J$100,1+B47,C47)</f>
        <v>* differential.element[2].definition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48" spans="1:4" x14ac:dyDescent="0.75">
      <c r="A48" s="32">
        <v>14</v>
      </c>
      <c r="B48" s="32">
        <f t="shared" si="0"/>
        <v>1</v>
      </c>
      <c r="C48" s="32">
        <f t="shared" si="1"/>
        <v>5</v>
      </c>
      <c r="D48" s="38" t="str" cm="1">
        <f t="array" ref="D48">INDEX('Chemio-2'!$B$2:$J$100,1+B48,C48)</f>
        <v>* differential.element[2].min = 1</v>
      </c>
    </row>
    <row r="49" spans="1:4" x14ac:dyDescent="0.75">
      <c r="A49" s="32">
        <v>15</v>
      </c>
      <c r="B49" s="32">
        <f t="shared" si="0"/>
        <v>1</v>
      </c>
      <c r="C49" s="32">
        <f t="shared" si="1"/>
        <v>6</v>
      </c>
      <c r="D49" s="38" t="str" cm="1">
        <f t="array" ref="D49">INDEX('Chemio-2'!$B$2:$J$100,1+B49,C49)</f>
        <v>* differential.element[2].max = "1"</v>
      </c>
    </row>
    <row r="50" spans="1:4" x14ac:dyDescent="0.75">
      <c r="A50" s="32">
        <v>16</v>
      </c>
      <c r="B50" s="32">
        <f t="shared" si="0"/>
        <v>1</v>
      </c>
      <c r="C50" s="32">
        <f t="shared" si="1"/>
        <v>7</v>
      </c>
      <c r="D50" s="38" t="str" cm="1">
        <f t="array" ref="D50">INDEX('Chemio-2'!$B$2:$J$100,1+B50,C50)</f>
        <v>* differential.element[2].type.code = #CodeableConcept</v>
      </c>
    </row>
    <row r="51" spans="1:4" x14ac:dyDescent="0.75">
      <c r="A51" s="32">
        <v>17</v>
      </c>
      <c r="B51" s="32">
        <f t="shared" si="0"/>
        <v>1</v>
      </c>
      <c r="C51" s="32">
        <f t="shared" si="1"/>
        <v>8</v>
      </c>
      <c r="D51" s="38" t="str" cm="1">
        <f t="array" ref="D51">INDEX('Chemio-2'!$B$2:$J$100,1+B51,C51)</f>
        <v>* differential.element[2].binding.valueSet = "http://hl7.eu/fhir/ig/pcsp/ValueSet/drugsAtc-eu-pcsp</v>
      </c>
    </row>
    <row r="52" spans="1:4" x14ac:dyDescent="0.75">
      <c r="A52" s="32">
        <v>18</v>
      </c>
      <c r="B52" s="32">
        <f t="shared" si="0"/>
        <v>1</v>
      </c>
      <c r="C52" s="32">
        <f t="shared" si="1"/>
        <v>9</v>
      </c>
      <c r="D52" s="38" t="str" cm="1">
        <f t="array" ref="D52">INDEX('Chemio-2'!$B$2:$J$100,1+B52,C52)</f>
        <v>* differential.element[2].binding.strength = #extensible</v>
      </c>
    </row>
    <row r="53" spans="1:4" x14ac:dyDescent="0.75">
      <c r="A53" s="32">
        <v>19</v>
      </c>
      <c r="B53" s="32">
        <f t="shared" si="0"/>
        <v>2</v>
      </c>
      <c r="C53" s="32">
        <f t="shared" si="1"/>
        <v>1</v>
      </c>
      <c r="D53" s="38" t="str" cm="1">
        <f t="array" ref="D53">INDEX('Chemio-2'!$B$2:$J$100,1+B53,C53)</f>
        <v>* differential.element[3].id = "Chemotherapy.productAdministration.cumulativeDose"</v>
      </c>
    </row>
    <row r="54" spans="1:4" x14ac:dyDescent="0.75">
      <c r="A54" s="32">
        <v>20</v>
      </c>
      <c r="B54" s="32">
        <f t="shared" si="0"/>
        <v>2</v>
      </c>
      <c r="C54" s="32">
        <f t="shared" si="1"/>
        <v>2</v>
      </c>
      <c r="D54" s="38" t="str" cm="1">
        <f t="array" ref="D54">INDEX('Chemio-2'!$B$2:$J$100,1+B54,C54)</f>
        <v>* differential.element[3].path = "Chemotherapy.productAdministration.cumulativeDose"</v>
      </c>
    </row>
    <row r="55" spans="1:4" x14ac:dyDescent="0.75">
      <c r="A55" s="32">
        <v>21</v>
      </c>
      <c r="B55" s="32">
        <f t="shared" si="0"/>
        <v>2</v>
      </c>
      <c r="C55" s="32">
        <f t="shared" si="1"/>
        <v>3</v>
      </c>
      <c r="D55" s="38" t="str" cm="1">
        <f t="array" ref="D55">INDEX('Chemio-2'!$B$2:$J$100,1+B55,C55)</f>
        <v>* differential.element[3].short = "Cumulative Dose"</v>
      </c>
    </row>
    <row r="56" spans="1:4" x14ac:dyDescent="0.75">
      <c r="A56" s="32">
        <v>22</v>
      </c>
      <c r="B56" s="32">
        <f t="shared" si="0"/>
        <v>2</v>
      </c>
      <c r="C56" s="32">
        <f t="shared" si="1"/>
        <v>4</v>
      </c>
      <c r="D56" s="38" t="str" cm="1">
        <f t="array" ref="D56">INDEX('Chemio-2'!$B$2:$J$100,1+B56,C56)</f>
        <v>* differential.element[3].definition = "Report the total cumulative dose received of each drug. "</v>
      </c>
    </row>
    <row r="57" spans="1:4" x14ac:dyDescent="0.75">
      <c r="A57" s="32">
        <v>23</v>
      </c>
      <c r="B57" s="32">
        <f t="shared" si="0"/>
        <v>2</v>
      </c>
      <c r="C57" s="32">
        <f t="shared" si="1"/>
        <v>5</v>
      </c>
      <c r="D57" s="38" t="str" cm="1">
        <f t="array" ref="D57">INDEX('Chemio-2'!$B$2:$J$100,1+B57,C57)</f>
        <v>* differential.element[3].min = 1</v>
      </c>
    </row>
    <row r="58" spans="1:4" x14ac:dyDescent="0.75">
      <c r="A58" s="32">
        <v>24</v>
      </c>
      <c r="B58" s="32">
        <f t="shared" si="0"/>
        <v>2</v>
      </c>
      <c r="C58" s="32">
        <f t="shared" si="1"/>
        <v>6</v>
      </c>
      <c r="D58" s="38" t="str" cm="1">
        <f t="array" ref="D58">INDEX('Chemio-2'!$B$2:$J$100,1+B58,C58)</f>
        <v>* differential.element[3].max = "1"</v>
      </c>
    </row>
    <row r="59" spans="1:4" x14ac:dyDescent="0.75">
      <c r="A59" s="32">
        <v>25</v>
      </c>
      <c r="B59" s="32">
        <f t="shared" si="0"/>
        <v>2</v>
      </c>
      <c r="C59" s="32">
        <f t="shared" si="1"/>
        <v>7</v>
      </c>
      <c r="D59" s="38" t="str" cm="1">
        <f t="array" ref="D59">INDEX('Chemio-2'!$B$2:$J$100,1+B59,C59)</f>
        <v>* differential.element[3].type.code = #BackboneElement</v>
      </c>
    </row>
    <row r="60" spans="1:4" x14ac:dyDescent="0.75">
      <c r="A60" s="32">
        <v>26</v>
      </c>
      <c r="B60" s="32">
        <f t="shared" si="0"/>
        <v>2</v>
      </c>
      <c r="C60" s="32">
        <f t="shared" si="1"/>
        <v>8</v>
      </c>
      <c r="D60" s="38" t="str" cm="1">
        <f t="array" ref="D60">INDEX('Chemio-2'!$B$2:$J$100,1+B60,C60)</f>
        <v/>
      </c>
    </row>
    <row r="61" spans="1:4" x14ac:dyDescent="0.75">
      <c r="A61" s="32">
        <v>27</v>
      </c>
      <c r="B61" s="32">
        <f t="shared" si="0"/>
        <v>2</v>
      </c>
      <c r="C61" s="32">
        <f t="shared" si="1"/>
        <v>9</v>
      </c>
      <c r="D61" s="38" t="str" cm="1">
        <f t="array" ref="D61">INDEX('Chemio-2'!$B$2:$J$100,1+B61,C61)</f>
        <v/>
      </c>
    </row>
    <row r="62" spans="1:4" x14ac:dyDescent="0.75">
      <c r="A62" s="32">
        <v>28</v>
      </c>
      <c r="B62" s="32">
        <f t="shared" si="0"/>
        <v>3</v>
      </c>
      <c r="C62" s="32">
        <f t="shared" si="1"/>
        <v>1</v>
      </c>
      <c r="D62" s="38" t="str" cm="1">
        <f t="array" ref="D62">INDEX('Chemio-2'!$B$2:$J$100,1+B62,C62)</f>
        <v>* differential.element[4].id = "Chemotherapy.productAdministration.cumulativeDose.notAvailable"</v>
      </c>
    </row>
    <row r="63" spans="1:4" x14ac:dyDescent="0.75">
      <c r="A63" s="32">
        <v>29</v>
      </c>
      <c r="B63" s="32">
        <f t="shared" si="0"/>
        <v>3</v>
      </c>
      <c r="C63" s="32">
        <f t="shared" si="1"/>
        <v>2</v>
      </c>
      <c r="D63" s="38" t="str" cm="1">
        <f t="array" ref="D63">INDEX('Chemio-2'!$B$2:$J$100,1+B63,C63)</f>
        <v>* differential.element[4].path = "Chemotherapy.productAdministration.cumulativeDose.notAvailable"</v>
      </c>
    </row>
    <row r="64" spans="1:4" x14ac:dyDescent="0.75">
      <c r="A64" s="32">
        <v>30</v>
      </c>
      <c r="B64" s="32">
        <f t="shared" si="0"/>
        <v>3</v>
      </c>
      <c r="C64" s="32">
        <f t="shared" si="1"/>
        <v>3</v>
      </c>
      <c r="D64" s="38" t="str" cm="1">
        <f t="array" ref="D64">INDEX('Chemio-2'!$B$2:$J$100,1+B64,C64)</f>
        <v>* differential.element[4].short = "Not calculated or not known dose"</v>
      </c>
    </row>
    <row r="65" spans="1:4" x14ac:dyDescent="0.75">
      <c r="A65" s="32">
        <v>31</v>
      </c>
      <c r="B65" s="32">
        <f t="shared" si="0"/>
        <v>3</v>
      </c>
      <c r="C65" s="32">
        <f t="shared" si="1"/>
        <v>4</v>
      </c>
      <c r="D65" s="38" t="str" cm="1">
        <f t="array" ref="D65">INDEX('Chemio-2'!$B$2:$J$100,1+B65,C65)</f>
        <v>* differential.element[4].definition = "Flag indicating if the dose was not calculated or it was not known"</v>
      </c>
    </row>
    <row r="66" spans="1:4" x14ac:dyDescent="0.75">
      <c r="A66" s="32">
        <v>32</v>
      </c>
      <c r="B66" s="32">
        <f t="shared" si="0"/>
        <v>3</v>
      </c>
      <c r="C66" s="32">
        <f t="shared" si="1"/>
        <v>5</v>
      </c>
      <c r="D66" s="38" t="str" cm="1">
        <f t="array" ref="D66">INDEX('Chemio-2'!$B$2:$J$100,1+B66,C66)</f>
        <v>* differential.element[4].min = 0</v>
      </c>
    </row>
    <row r="67" spans="1:4" x14ac:dyDescent="0.75">
      <c r="A67" s="32">
        <v>33</v>
      </c>
      <c r="B67" s="32">
        <f t="shared" si="0"/>
        <v>3</v>
      </c>
      <c r="C67" s="32">
        <f t="shared" si="1"/>
        <v>6</v>
      </c>
      <c r="D67" s="38" t="str" cm="1">
        <f t="array" ref="D67">INDEX('Chemio-2'!$B$2:$J$100,1+B67,C67)</f>
        <v>* differential.element[4].max = "1"</v>
      </c>
    </row>
    <row r="68" spans="1:4" x14ac:dyDescent="0.75">
      <c r="A68" s="32">
        <v>34</v>
      </c>
      <c r="B68" s="32">
        <f t="shared" si="0"/>
        <v>3</v>
      </c>
      <c r="C68" s="32">
        <f t="shared" si="1"/>
        <v>7</v>
      </c>
      <c r="D68" s="38" t="str" cm="1">
        <f t="array" ref="D68">INDEX('Chemio-2'!$B$2:$J$100,1+B68,C68)</f>
        <v>* differential.element[4].type.code = #CodeableConcept</v>
      </c>
    </row>
    <row r="69" spans="1:4" x14ac:dyDescent="0.75">
      <c r="A69" s="32">
        <v>35</v>
      </c>
      <c r="B69" s="32">
        <f t="shared" si="0"/>
        <v>3</v>
      </c>
      <c r="C69" s="32">
        <f t="shared" si="1"/>
        <v>8</v>
      </c>
      <c r="D69" s="38" t="str" cm="1">
        <f t="array" ref="D69">INDEX('Chemio-2'!$B$2:$J$100,1+B69,C69)</f>
        <v/>
      </c>
    </row>
    <row r="70" spans="1:4" x14ac:dyDescent="0.75">
      <c r="A70" s="32">
        <v>36</v>
      </c>
      <c r="B70" s="32">
        <f t="shared" si="0"/>
        <v>3</v>
      </c>
      <c r="C70" s="32">
        <f t="shared" si="1"/>
        <v>9</v>
      </c>
      <c r="D70" s="38" t="str" cm="1">
        <f t="array" ref="D70">INDEX('Chemio-2'!$B$2:$J$100,1+B70,C70)</f>
        <v/>
      </c>
    </row>
    <row r="71" spans="1:4" x14ac:dyDescent="0.75">
      <c r="A71" s="32">
        <v>37</v>
      </c>
      <c r="B71" s="32">
        <f t="shared" si="0"/>
        <v>4</v>
      </c>
      <c r="C71" s="32">
        <f t="shared" si="1"/>
        <v>1</v>
      </c>
      <c r="D71" s="38" t="str" cm="1">
        <f t="array" ref="D71">INDEX('Chemio-2'!$B$2:$J$100,1+B71,C71)</f>
        <v>* differential.element[5].id = "Chemotherapy.productAdministration.cumulativeDose.value"</v>
      </c>
    </row>
    <row r="72" spans="1:4" x14ac:dyDescent="0.75">
      <c r="A72" s="32">
        <v>38</v>
      </c>
      <c r="B72" s="32">
        <f t="shared" si="0"/>
        <v>4</v>
      </c>
      <c r="C72" s="32">
        <f t="shared" si="1"/>
        <v>2</v>
      </c>
      <c r="D72" s="38" t="str" cm="1">
        <f t="array" ref="D72">INDEX('Chemio-2'!$B$2:$J$100,1+B72,C72)</f>
        <v>* differential.element[5].path = "Chemotherapy.productAdministration.cumulativeDose.value"</v>
      </c>
    </row>
    <row r="73" spans="1:4" x14ac:dyDescent="0.75">
      <c r="A73" s="32">
        <v>39</v>
      </c>
      <c r="B73" s="32">
        <f t="shared" si="0"/>
        <v>4</v>
      </c>
      <c r="C73" s="32">
        <f t="shared" si="1"/>
        <v>3</v>
      </c>
      <c r="D73" s="38" t="str" cm="1">
        <f t="array" ref="D73">INDEX('Chemio-2'!$B$2:$J$100,1+B73,C73)</f>
        <v>* differential.element[5].short = "Total cumulative dose"</v>
      </c>
    </row>
    <row r="74" spans="1:4" x14ac:dyDescent="0.75">
      <c r="A74" s="32">
        <v>40</v>
      </c>
      <c r="B74" s="32">
        <f t="shared" si="0"/>
        <v>4</v>
      </c>
      <c r="C74" s="32">
        <f t="shared" si="1"/>
        <v>4</v>
      </c>
      <c r="D74" s="38" t="str" cm="1">
        <f t="array" ref="D74">INDEX('Chemio-2'!$B$2:$J$100,1+B74,C74)</f>
        <v>* differential.element[5].definition = "Report the total cumulative dose received of each drug."</v>
      </c>
    </row>
    <row r="75" spans="1:4" x14ac:dyDescent="0.75">
      <c r="A75" s="32">
        <v>41</v>
      </c>
      <c r="B75" s="32">
        <f t="shared" si="0"/>
        <v>4</v>
      </c>
      <c r="C75" s="32">
        <f t="shared" si="1"/>
        <v>5</v>
      </c>
      <c r="D75" s="38" t="str" cm="1">
        <f t="array" ref="D75">INDEX('Chemio-2'!$B$2:$J$100,1+B75,C75)</f>
        <v>* differential.element[5].min = 0</v>
      </c>
    </row>
    <row r="76" spans="1:4" x14ac:dyDescent="0.75">
      <c r="A76" s="32">
        <v>42</v>
      </c>
      <c r="B76" s="32">
        <f t="shared" si="0"/>
        <v>4</v>
      </c>
      <c r="C76" s="32">
        <f t="shared" si="1"/>
        <v>6</v>
      </c>
      <c r="D76" s="38" t="str" cm="1">
        <f t="array" ref="D76">INDEX('Chemio-2'!$B$2:$J$100,1+B76,C76)</f>
        <v>* differential.element[5].max = "1"</v>
      </c>
    </row>
    <row r="77" spans="1:4" x14ac:dyDescent="0.75">
      <c r="A77" s="32">
        <v>43</v>
      </c>
      <c r="B77" s="32">
        <f t="shared" si="0"/>
        <v>4</v>
      </c>
      <c r="C77" s="32">
        <f t="shared" si="1"/>
        <v>7</v>
      </c>
      <c r="D77" s="38" t="str" cm="1">
        <f t="array" ref="D77">INDEX('Chemio-2'!$B$2:$J$100,1+B77,C77)</f>
        <v>* differential.element[5].type.code = #decimal</v>
      </c>
    </row>
    <row r="78" spans="1:4" x14ac:dyDescent="0.75">
      <c r="A78" s="32">
        <v>44</v>
      </c>
      <c r="B78" s="32">
        <f t="shared" si="0"/>
        <v>4</v>
      </c>
      <c r="C78" s="32">
        <f t="shared" si="1"/>
        <v>8</v>
      </c>
      <c r="D78" s="38" t="str" cm="1">
        <f t="array" ref="D78">INDEX('Chemio-2'!$B$2:$J$100,1+B78,C78)</f>
        <v/>
      </c>
    </row>
    <row r="79" spans="1:4" x14ac:dyDescent="0.75">
      <c r="A79" s="32">
        <v>45</v>
      </c>
      <c r="B79" s="32">
        <f t="shared" si="0"/>
        <v>4</v>
      </c>
      <c r="C79" s="32">
        <f t="shared" si="1"/>
        <v>9</v>
      </c>
      <c r="D79" s="38" t="str" cm="1">
        <f t="array" ref="D79">INDEX('Chemio-2'!$B$2:$J$100,1+B79,C79)</f>
        <v/>
      </c>
    </row>
    <row r="80" spans="1:4" x14ac:dyDescent="0.75">
      <c r="A80" s="32">
        <v>46</v>
      </c>
      <c r="B80" s="32">
        <f t="shared" si="0"/>
        <v>5</v>
      </c>
      <c r="C80" s="32">
        <f t="shared" si="1"/>
        <v>1</v>
      </c>
      <c r="D80" s="38" t="str" cm="1">
        <f t="array" ref="D80">INDEX('Chemio-2'!$B$2:$J$100,1+B80,C80)</f>
        <v>* differential.element[6].id = "Chemotherapy.productAdministration.cumulativeDose.unit"</v>
      </c>
    </row>
    <row r="81" spans="1:7" x14ac:dyDescent="0.75">
      <c r="A81" s="32">
        <v>47</v>
      </c>
      <c r="B81" s="32">
        <f t="shared" si="0"/>
        <v>5</v>
      </c>
      <c r="C81" s="32">
        <f t="shared" si="1"/>
        <v>2</v>
      </c>
      <c r="D81" s="38" t="str" cm="1">
        <f t="array" ref="D81">INDEX('Chemio-2'!$B$2:$J$100,1+B81,C81)</f>
        <v>* differential.element[6].path = "Chemotherapy.productAdministration.cumulativeDose.unit"</v>
      </c>
    </row>
    <row r="82" spans="1:7" x14ac:dyDescent="0.75">
      <c r="A82" s="32">
        <v>48</v>
      </c>
      <c r="B82" s="32">
        <f t="shared" si="0"/>
        <v>5</v>
      </c>
      <c r="C82" s="32">
        <f t="shared" si="1"/>
        <v>3</v>
      </c>
      <c r="D82" s="38" t="str" cm="1">
        <f t="array" ref="D82">INDEX('Chemio-2'!$B$2:$J$100,1+B82,C82)</f>
        <v>* differential.element[6].short = "Measure unit"</v>
      </c>
    </row>
    <row r="83" spans="1:7" ht="88.5" x14ac:dyDescent="0.75">
      <c r="A83" s="32">
        <v>49</v>
      </c>
      <c r="B83" s="32">
        <f t="shared" si="0"/>
        <v>5</v>
      </c>
      <c r="C83" s="32">
        <f t="shared" si="1"/>
        <v>4</v>
      </c>
      <c r="D83" s="38" t="str" cm="1">
        <f t="array" ref="D83">INDEX('Chemio-2'!$B$2:$J$100,1+B83,C83)</f>
        <v>* differential.element[6].definition = "If the dose was calculated, please report the measure unit of the calculation
1 =&gt; mg/m2
2 =&gt; gr/m2
3 =&gt; UI/m2
4 =&gt; NK
5 =&gt; NC (not calculated)"</v>
      </c>
    </row>
    <row r="84" spans="1:7" x14ac:dyDescent="0.75">
      <c r="A84" s="32">
        <v>50</v>
      </c>
      <c r="B84" s="32">
        <f t="shared" si="0"/>
        <v>5</v>
      </c>
      <c r="C84" s="32">
        <f t="shared" si="1"/>
        <v>5</v>
      </c>
      <c r="D84" s="38" t="str" cm="1">
        <f t="array" ref="D84">INDEX('Chemio-2'!$B$2:$J$100,1+B84,C84)</f>
        <v>* differential.element[6].min = 0</v>
      </c>
    </row>
    <row r="85" spans="1:7" x14ac:dyDescent="0.75">
      <c r="A85" s="32">
        <v>51</v>
      </c>
      <c r="B85" s="32">
        <f t="shared" si="0"/>
        <v>5</v>
      </c>
      <c r="C85" s="32">
        <f t="shared" si="1"/>
        <v>6</v>
      </c>
      <c r="D85" s="38" t="str" cm="1">
        <f t="array" ref="D85">INDEX('Chemio-2'!$B$2:$J$100,1+B85,C85)</f>
        <v>* differential.element[6].max = "1"</v>
      </c>
    </row>
    <row r="86" spans="1:7" x14ac:dyDescent="0.75">
      <c r="A86" s="32">
        <v>52</v>
      </c>
      <c r="B86" s="32">
        <f t="shared" si="0"/>
        <v>5</v>
      </c>
      <c r="C86" s="32">
        <f t="shared" si="1"/>
        <v>7</v>
      </c>
      <c r="D86" s="38" t="str" cm="1">
        <f t="array" ref="D86">INDEX('Chemio-2'!$B$2:$J$100,1+B86,C86)</f>
        <v>* differential.element[6].type.code = #CodeableConcept</v>
      </c>
    </row>
    <row r="87" spans="1:7" x14ac:dyDescent="0.75">
      <c r="A87" s="32">
        <v>53</v>
      </c>
      <c r="B87" s="32">
        <f t="shared" si="0"/>
        <v>5</v>
      </c>
      <c r="C87" s="32">
        <f t="shared" si="1"/>
        <v>8</v>
      </c>
      <c r="D87" s="38" t="str" cm="1">
        <f t="array" ref="D87">INDEX('Chemio-2'!$B$2:$J$100,1+B87,C87)</f>
        <v/>
      </c>
      <c r="G87" s="16"/>
    </row>
    <row r="88" spans="1:7" x14ac:dyDescent="0.75">
      <c r="A88" s="32">
        <v>54</v>
      </c>
      <c r="B88" s="32">
        <f t="shared" si="0"/>
        <v>5</v>
      </c>
      <c r="C88" s="32">
        <f t="shared" si="1"/>
        <v>9</v>
      </c>
      <c r="D88" s="38" t="str" cm="1">
        <f t="array" ref="D88">INDEX('Chemio-2'!$B$2:$J$100,1+B88,C88)</f>
        <v/>
      </c>
    </row>
    <row r="89" spans="1:7" x14ac:dyDescent="0.75">
      <c r="A89" s="32">
        <v>55</v>
      </c>
      <c r="B89" s="32">
        <f t="shared" si="0"/>
        <v>6</v>
      </c>
      <c r="C89" s="32">
        <f t="shared" si="1"/>
        <v>1</v>
      </c>
      <c r="D89" s="38" t="str" cm="1">
        <f t="array" ref="D89">INDEX('Chemio-2'!$B$2:$J$100,1+B89,C89)</f>
        <v>* differential.element[7].id = "Chemotherapy.corticosteroids"</v>
      </c>
    </row>
    <row r="90" spans="1:7" x14ac:dyDescent="0.75">
      <c r="A90" s="32">
        <v>56</v>
      </c>
      <c r="B90" s="32">
        <f t="shared" si="0"/>
        <v>6</v>
      </c>
      <c r="C90" s="32">
        <f t="shared" si="1"/>
        <v>2</v>
      </c>
      <c r="D90" s="38" t="str" cm="1">
        <f t="array" ref="D90">INDEX('Chemio-2'!$B$2:$J$100,1+B90,C90)</f>
        <v>* differential.element[7].path = "Chemotherapy.corticosteroids"</v>
      </c>
    </row>
    <row r="91" spans="1:7" x14ac:dyDescent="0.75">
      <c r="A91" s="32">
        <v>57</v>
      </c>
      <c r="B91" s="32">
        <f t="shared" si="0"/>
        <v>6</v>
      </c>
      <c r="C91" s="32">
        <f t="shared" si="1"/>
        <v>3</v>
      </c>
      <c r="D91" s="38" t="str" cm="1">
        <f t="array" ref="D91">INDEX('Chemio-2'!$B$2:$J$100,1+B91,C91)</f>
        <v>* differential.element[7].short = "Prolonged corticosteroids as anti-cancer treatment at least 4 weeks continuously"</v>
      </c>
    </row>
    <row r="92" spans="1:7" ht="59" x14ac:dyDescent="0.75">
      <c r="A92" s="32">
        <v>58</v>
      </c>
      <c r="B92" s="32">
        <f t="shared" si="0"/>
        <v>6</v>
      </c>
      <c r="C92" s="32">
        <f t="shared" si="1"/>
        <v>4</v>
      </c>
      <c r="D92" s="38" t="str" cm="1">
        <f t="array" ref="D92">INDEX('Chemio-2'!$B$2:$J$100,1+B92,C92)</f>
        <v>* differential.element[7].definition = "Report 'yes' if the survivor was treated with steroids for at least 4 weeks continuously
1 =&gt; Yes
2 =&gt; No
-9922 =&gt; NK"</v>
      </c>
    </row>
    <row r="93" spans="1:7" x14ac:dyDescent="0.75">
      <c r="A93" s="32">
        <v>59</v>
      </c>
      <c r="B93" s="32">
        <f t="shared" si="0"/>
        <v>6</v>
      </c>
      <c r="C93" s="32">
        <f t="shared" si="1"/>
        <v>5</v>
      </c>
      <c r="D93" s="38" t="str" cm="1">
        <f t="array" ref="D93">INDEX('Chemio-2'!$B$2:$J$100,1+B93,C93)</f>
        <v>* differential.element[7].min = 1</v>
      </c>
    </row>
    <row r="94" spans="1:7" x14ac:dyDescent="0.75">
      <c r="A94" s="32">
        <v>60</v>
      </c>
      <c r="B94" s="32">
        <f t="shared" si="0"/>
        <v>6</v>
      </c>
      <c r="C94" s="32">
        <f t="shared" si="1"/>
        <v>6</v>
      </c>
      <c r="D94" s="38" t="str" cm="1">
        <f t="array" ref="D94">INDEX('Chemio-2'!$B$2:$J$100,1+B94,C94)</f>
        <v>* differential.element[7].max = "1"</v>
      </c>
    </row>
    <row r="95" spans="1:7" x14ac:dyDescent="0.75">
      <c r="A95" s="32">
        <v>61</v>
      </c>
      <c r="B95" s="32">
        <f t="shared" si="0"/>
        <v>6</v>
      </c>
      <c r="C95" s="32">
        <f t="shared" si="1"/>
        <v>7</v>
      </c>
      <c r="D95" s="38" t="str" cm="1">
        <f t="array" ref="D95">INDEX('Chemio-2'!$B$2:$J$100,1+B95,C95)</f>
        <v>* differential.element[7].type.code = #CodeableConcept</v>
      </c>
    </row>
    <row r="96" spans="1:7" x14ac:dyDescent="0.75">
      <c r="A96" s="32">
        <v>62</v>
      </c>
      <c r="B96" s="32">
        <f t="shared" si="0"/>
        <v>6</v>
      </c>
      <c r="C96" s="32">
        <f t="shared" si="1"/>
        <v>8</v>
      </c>
      <c r="D96" s="38" t="str" cm="1">
        <f t="array" ref="D96">INDEX('Chemio-2'!$B$2:$J$100,1+B96,C96)</f>
        <v/>
      </c>
    </row>
    <row r="97" spans="1:4" x14ac:dyDescent="0.75">
      <c r="A97" s="32">
        <v>63</v>
      </c>
      <c r="B97" s="32">
        <f t="shared" si="0"/>
        <v>6</v>
      </c>
      <c r="C97" s="32">
        <f t="shared" si="1"/>
        <v>9</v>
      </c>
      <c r="D97" s="38" t="str" cm="1">
        <f t="array" ref="D97">INDEX('Chemio-2'!$B$2:$J$100,1+B97,C97)</f>
        <v/>
      </c>
    </row>
    <row r="98" spans="1:4" x14ac:dyDescent="0.75">
      <c r="A98" s="32">
        <v>64</v>
      </c>
      <c r="B98" s="32">
        <f t="shared" si="0"/>
        <v>7</v>
      </c>
      <c r="C98" s="32">
        <f t="shared" si="1"/>
        <v>1</v>
      </c>
      <c r="D98" s="38" t="str" cm="1">
        <f t="array" ref="D98">INDEX('Chemio-2'!$B$2:$J$100,1+B98,C98)</f>
        <v>* differential.element[8].id = "Chemotherapy.intrathecalInjections"</v>
      </c>
    </row>
    <row r="99" spans="1:4" x14ac:dyDescent="0.75">
      <c r="A99" s="32">
        <v>65</v>
      </c>
      <c r="B99" s="32">
        <f t="shared" si="0"/>
        <v>7</v>
      </c>
      <c r="C99" s="32">
        <f t="shared" si="1"/>
        <v>2</v>
      </c>
      <c r="D99" s="38" t="str" cm="1">
        <f t="array" ref="D99">INDEX('Chemio-2'!$B$2:$J$100,1+B99,C99)</f>
        <v>* differential.element[8].path = "Chemotherapy.intrathecalInjections"</v>
      </c>
    </row>
    <row r="100" spans="1:4" x14ac:dyDescent="0.75">
      <c r="A100" s="32">
        <v>66</v>
      </c>
      <c r="B100" s="32">
        <f t="shared" ref="B100:B163" si="2">IF(MOD(A100,$B$25)=0,A100/$B$25-1,INT(A100/$B$25))</f>
        <v>7</v>
      </c>
      <c r="C100" s="32">
        <f t="shared" ref="C100:C163" si="3">IF(MOD(A100,$B$25)=0,$B$25,MOD(A100,$B$25))</f>
        <v>3</v>
      </c>
      <c r="D100" s="38" t="str" cm="1">
        <f t="array" ref="D100">INDEX('Chemio-2'!$B$2:$J$100,1+B100,C100)</f>
        <v>* differential.element[8].short = "Intrathecal injections"</v>
      </c>
    </row>
    <row r="101" spans="1:4" ht="59" x14ac:dyDescent="0.75">
      <c r="A101" s="32">
        <v>67</v>
      </c>
      <c r="B101" s="32">
        <f t="shared" si="2"/>
        <v>7</v>
      </c>
      <c r="C101" s="32">
        <f t="shared" si="3"/>
        <v>4</v>
      </c>
      <c r="D101" s="38" t="str" cm="1">
        <f t="array" ref="D101">INDEX('Chemio-2'!$B$2:$J$100,1+B101,C101)</f>
        <v>* differential.element[8].definition = "Please state if the survivor received any therapeutic intrathecal injections
1 =&gt; Yes
2 =&gt; No
-9922 =&gt; NK"</v>
      </c>
    </row>
    <row r="102" spans="1:4" x14ac:dyDescent="0.75">
      <c r="A102" s="32">
        <v>68</v>
      </c>
      <c r="B102" s="32">
        <f t="shared" si="2"/>
        <v>7</v>
      </c>
      <c r="C102" s="32">
        <f t="shared" si="3"/>
        <v>5</v>
      </c>
      <c r="D102" s="38" t="str" cm="1">
        <f t="array" ref="D102">INDEX('Chemio-2'!$B$2:$J$100,1+B102,C102)</f>
        <v>* differential.element[8].min = 1</v>
      </c>
    </row>
    <row r="103" spans="1:4" x14ac:dyDescent="0.75">
      <c r="A103" s="32">
        <v>69</v>
      </c>
      <c r="B103" s="32">
        <f t="shared" si="2"/>
        <v>7</v>
      </c>
      <c r="C103" s="32">
        <f t="shared" si="3"/>
        <v>6</v>
      </c>
      <c r="D103" s="38" t="str" cm="1">
        <f t="array" ref="D103">INDEX('Chemio-2'!$B$2:$J$100,1+B103,C103)</f>
        <v>* differential.element[8].max = "1"</v>
      </c>
    </row>
    <row r="104" spans="1:4" x14ac:dyDescent="0.75">
      <c r="A104" s="32">
        <v>70</v>
      </c>
      <c r="B104" s="32">
        <f t="shared" si="2"/>
        <v>7</v>
      </c>
      <c r="C104" s="32">
        <f t="shared" si="3"/>
        <v>7</v>
      </c>
      <c r="D104" s="38" t="str" cm="1">
        <f t="array" ref="D104">INDEX('Chemio-2'!$B$2:$J$100,1+B104,C104)</f>
        <v>* differential.element[8].type.code = #CodeableConcept</v>
      </c>
    </row>
    <row r="105" spans="1:4" x14ac:dyDescent="0.75">
      <c r="A105" s="32">
        <v>71</v>
      </c>
      <c r="B105" s="32">
        <f t="shared" si="2"/>
        <v>7</v>
      </c>
      <c r="C105" s="32">
        <f t="shared" si="3"/>
        <v>8</v>
      </c>
      <c r="D105" s="38" t="str" cm="1">
        <f t="array" ref="D105">INDEX('Chemio-2'!$B$2:$J$100,1+B105,C105)</f>
        <v/>
      </c>
    </row>
    <row r="106" spans="1:4" x14ac:dyDescent="0.75">
      <c r="A106" s="32">
        <v>72</v>
      </c>
      <c r="B106" s="32">
        <f t="shared" si="2"/>
        <v>7</v>
      </c>
      <c r="C106" s="32">
        <f t="shared" si="3"/>
        <v>9</v>
      </c>
      <c r="D106" s="38" t="str" cm="1">
        <f t="array" ref="D106">INDEX('Chemio-2'!$B$2:$J$100,1+B106,C106)</f>
        <v/>
      </c>
    </row>
    <row r="107" spans="1:4" x14ac:dyDescent="0.75">
      <c r="A107" s="32">
        <v>73</v>
      </c>
      <c r="B107" s="32">
        <f t="shared" si="2"/>
        <v>8</v>
      </c>
      <c r="C107" s="32">
        <f t="shared" si="3"/>
        <v>1</v>
      </c>
      <c r="D107" s="38" cm="1">
        <f t="array" ref="D107">INDEX('Chemio-2'!$B$2:$J$100,1+B107,C107)</f>
        <v>0</v>
      </c>
    </row>
    <row r="108" spans="1:4" x14ac:dyDescent="0.75">
      <c r="A108" s="32">
        <v>74</v>
      </c>
      <c r="B108" s="32">
        <f t="shared" si="2"/>
        <v>8</v>
      </c>
      <c r="C108" s="32">
        <f t="shared" si="3"/>
        <v>2</v>
      </c>
      <c r="D108" s="38" cm="1">
        <f t="array" ref="D108">INDEX('Chemio-2'!$B$2:$J$100,1+B108,C108)</f>
        <v>0</v>
      </c>
    </row>
    <row r="109" spans="1:4" x14ac:dyDescent="0.75">
      <c r="A109" s="32">
        <v>75</v>
      </c>
      <c r="B109" s="32">
        <f t="shared" si="2"/>
        <v>8</v>
      </c>
      <c r="C109" s="32">
        <f t="shared" si="3"/>
        <v>3</v>
      </c>
      <c r="D109" s="38" cm="1">
        <f t="array" ref="D109">INDEX('Chemio-2'!$B$2:$J$100,1+B109,C109)</f>
        <v>0</v>
      </c>
    </row>
    <row r="110" spans="1:4" x14ac:dyDescent="0.75">
      <c r="A110" s="32">
        <v>76</v>
      </c>
      <c r="B110" s="32">
        <f t="shared" si="2"/>
        <v>8</v>
      </c>
      <c r="C110" s="32">
        <f t="shared" si="3"/>
        <v>4</v>
      </c>
      <c r="D110" s="38" cm="1">
        <f t="array" ref="D110">INDEX('Chemio-2'!$B$2:$J$100,1+B110,C110)</f>
        <v>0</v>
      </c>
    </row>
    <row r="111" spans="1:4" x14ac:dyDescent="0.75">
      <c r="A111" s="32">
        <v>77</v>
      </c>
      <c r="B111" s="32">
        <f t="shared" si="2"/>
        <v>8</v>
      </c>
      <c r="C111" s="32">
        <f t="shared" si="3"/>
        <v>5</v>
      </c>
      <c r="D111" s="38" cm="1">
        <f t="array" ref="D111">INDEX('Chemio-2'!$B$2:$J$100,1+B111,C111)</f>
        <v>0</v>
      </c>
    </row>
    <row r="112" spans="1:4" x14ac:dyDescent="0.75">
      <c r="A112" s="32">
        <v>78</v>
      </c>
      <c r="B112" s="32">
        <f t="shared" si="2"/>
        <v>8</v>
      </c>
      <c r="C112" s="32">
        <f t="shared" si="3"/>
        <v>6</v>
      </c>
      <c r="D112" s="38" cm="1">
        <f t="array" ref="D112">INDEX('Chemio-2'!$B$2:$J$100,1+B112,C112)</f>
        <v>0</v>
      </c>
    </row>
    <row r="113" spans="1:4" x14ac:dyDescent="0.75">
      <c r="A113" s="32">
        <v>79</v>
      </c>
      <c r="B113" s="32">
        <f t="shared" si="2"/>
        <v>8</v>
      </c>
      <c r="C113" s="32">
        <f t="shared" si="3"/>
        <v>7</v>
      </c>
      <c r="D113" s="38" cm="1">
        <f t="array" ref="D113">INDEX('Chemio-2'!$B$2:$J$100,1+B113,C113)</f>
        <v>0</v>
      </c>
    </row>
    <row r="114" spans="1:4" x14ac:dyDescent="0.75">
      <c r="A114" s="32">
        <v>80</v>
      </c>
      <c r="B114" s="32">
        <f t="shared" si="2"/>
        <v>8</v>
      </c>
      <c r="C114" s="32">
        <f t="shared" si="3"/>
        <v>8</v>
      </c>
      <c r="D114" s="38" cm="1">
        <f t="array" ref="D114">INDEX('Chemio-2'!$B$2:$J$100,1+B114,C114)</f>
        <v>0</v>
      </c>
    </row>
    <row r="115" spans="1:4" x14ac:dyDescent="0.75">
      <c r="A115" s="32">
        <v>81</v>
      </c>
      <c r="B115" s="32">
        <f t="shared" si="2"/>
        <v>8</v>
      </c>
      <c r="C115" s="32">
        <f t="shared" si="3"/>
        <v>9</v>
      </c>
      <c r="D115" s="38" cm="1">
        <f t="array" ref="D115">INDEX('Chemio-2'!$B$2:$J$100,1+B115,C115)</f>
        <v>0</v>
      </c>
    </row>
    <row r="116" spans="1:4" x14ac:dyDescent="0.75">
      <c r="A116" s="32">
        <v>82</v>
      </c>
      <c r="B116" s="32">
        <f t="shared" si="2"/>
        <v>9</v>
      </c>
      <c r="C116" s="32">
        <f t="shared" si="3"/>
        <v>1</v>
      </c>
      <c r="D116" s="38" cm="1">
        <f t="array" ref="D116">INDEX('Chemio-2'!$B$2:$J$100,1+B116,C116)</f>
        <v>0</v>
      </c>
    </row>
    <row r="117" spans="1:4" x14ac:dyDescent="0.75">
      <c r="A117" s="32">
        <v>83</v>
      </c>
      <c r="B117" s="32">
        <f t="shared" si="2"/>
        <v>9</v>
      </c>
      <c r="C117" s="32">
        <f t="shared" si="3"/>
        <v>2</v>
      </c>
      <c r="D117" s="38" cm="1">
        <f t="array" ref="D117">INDEX('Chemio-2'!$B$2:$J$100,1+B117,C117)</f>
        <v>0</v>
      </c>
    </row>
    <row r="118" spans="1:4" x14ac:dyDescent="0.75">
      <c r="A118" s="32">
        <v>84</v>
      </c>
      <c r="B118" s="32">
        <f t="shared" si="2"/>
        <v>9</v>
      </c>
      <c r="C118" s="32">
        <f t="shared" si="3"/>
        <v>3</v>
      </c>
      <c r="D118" s="38" cm="1">
        <f t="array" ref="D118">INDEX('Chemio-2'!$B$2:$J$100,1+B118,C118)</f>
        <v>0</v>
      </c>
    </row>
    <row r="119" spans="1:4" x14ac:dyDescent="0.75">
      <c r="A119" s="32">
        <v>85</v>
      </c>
      <c r="B119" s="32">
        <f t="shared" si="2"/>
        <v>9</v>
      </c>
      <c r="C119" s="32">
        <f t="shared" si="3"/>
        <v>4</v>
      </c>
      <c r="D119" s="38" cm="1">
        <f t="array" ref="D119">INDEX('Chemio-2'!$B$2:$J$100,1+B119,C119)</f>
        <v>0</v>
      </c>
    </row>
    <row r="120" spans="1:4" x14ac:dyDescent="0.75">
      <c r="A120" s="32">
        <v>86</v>
      </c>
      <c r="B120" s="32">
        <f t="shared" si="2"/>
        <v>9</v>
      </c>
      <c r="C120" s="32">
        <f t="shared" si="3"/>
        <v>5</v>
      </c>
      <c r="D120" s="38" cm="1">
        <f t="array" ref="D120">INDEX('Chemio-2'!$B$2:$J$100,1+B120,C120)</f>
        <v>0</v>
      </c>
    </row>
    <row r="121" spans="1:4" x14ac:dyDescent="0.75">
      <c r="A121" s="32">
        <v>87</v>
      </c>
      <c r="B121" s="32">
        <f t="shared" si="2"/>
        <v>9</v>
      </c>
      <c r="C121" s="32">
        <f t="shared" si="3"/>
        <v>6</v>
      </c>
      <c r="D121" s="38" cm="1">
        <f t="array" ref="D121">INDEX('Chemio-2'!$B$2:$J$100,1+B121,C121)</f>
        <v>0</v>
      </c>
    </row>
    <row r="122" spans="1:4" x14ac:dyDescent="0.75">
      <c r="A122" s="32">
        <v>88</v>
      </c>
      <c r="B122" s="32">
        <f t="shared" si="2"/>
        <v>9</v>
      </c>
      <c r="C122" s="32">
        <f t="shared" si="3"/>
        <v>7</v>
      </c>
      <c r="D122" s="38" cm="1">
        <f t="array" ref="D122">INDEX('Chemio-2'!$B$2:$J$100,1+B122,C122)</f>
        <v>0</v>
      </c>
    </row>
    <row r="123" spans="1:4" x14ac:dyDescent="0.75">
      <c r="A123" s="32">
        <v>89</v>
      </c>
      <c r="B123" s="32">
        <f t="shared" si="2"/>
        <v>9</v>
      </c>
      <c r="C123" s="32">
        <f t="shared" si="3"/>
        <v>8</v>
      </c>
      <c r="D123" s="38" cm="1">
        <f t="array" ref="D123">INDEX('Chemio-2'!$B$2:$J$100,1+B123,C123)</f>
        <v>0</v>
      </c>
    </row>
    <row r="124" spans="1:4" x14ac:dyDescent="0.75">
      <c r="A124" s="32">
        <v>90</v>
      </c>
      <c r="B124" s="32">
        <f t="shared" si="2"/>
        <v>9</v>
      </c>
      <c r="C124" s="32">
        <f t="shared" si="3"/>
        <v>9</v>
      </c>
      <c r="D124" s="38" cm="1">
        <f t="array" ref="D124">INDEX('Chemio-2'!$B$2:$J$100,1+B124,C124)</f>
        <v>0</v>
      </c>
    </row>
    <row r="125" spans="1:4" x14ac:dyDescent="0.75">
      <c r="A125" s="32">
        <v>91</v>
      </c>
      <c r="B125" s="32">
        <f t="shared" si="2"/>
        <v>10</v>
      </c>
      <c r="C125" s="32">
        <f t="shared" si="3"/>
        <v>1</v>
      </c>
      <c r="D125" s="38" cm="1">
        <f t="array" ref="D125">INDEX('Chemio-2'!$B$2:$J$100,1+B125,C125)</f>
        <v>0</v>
      </c>
    </row>
    <row r="126" spans="1:4" x14ac:dyDescent="0.75">
      <c r="A126" s="32">
        <v>92</v>
      </c>
      <c r="B126" s="32">
        <f t="shared" si="2"/>
        <v>10</v>
      </c>
      <c r="C126" s="32">
        <f t="shared" si="3"/>
        <v>2</v>
      </c>
      <c r="D126" s="38" cm="1">
        <f t="array" ref="D126">INDEX('Chemio-2'!$B$2:$J$100,1+B126,C126)</f>
        <v>0</v>
      </c>
    </row>
    <row r="127" spans="1:4" x14ac:dyDescent="0.75">
      <c r="A127" s="32">
        <v>93</v>
      </c>
      <c r="B127" s="32">
        <f t="shared" si="2"/>
        <v>10</v>
      </c>
      <c r="C127" s="32">
        <f t="shared" si="3"/>
        <v>3</v>
      </c>
      <c r="D127" s="38" cm="1">
        <f t="array" ref="D127">INDEX('Chemio-2'!$B$2:$J$100,1+B127,C127)</f>
        <v>0</v>
      </c>
    </row>
    <row r="128" spans="1:4" x14ac:dyDescent="0.75">
      <c r="A128" s="32">
        <v>94</v>
      </c>
      <c r="B128" s="32">
        <f t="shared" si="2"/>
        <v>10</v>
      </c>
      <c r="C128" s="32">
        <f t="shared" si="3"/>
        <v>4</v>
      </c>
      <c r="D128" s="38" cm="1">
        <f t="array" ref="D128">INDEX('Chemio-2'!$B$2:$J$100,1+B128,C128)</f>
        <v>0</v>
      </c>
    </row>
    <row r="129" spans="1:4" x14ac:dyDescent="0.75">
      <c r="A129" s="32">
        <v>95</v>
      </c>
      <c r="B129" s="32">
        <f t="shared" si="2"/>
        <v>10</v>
      </c>
      <c r="C129" s="32">
        <f t="shared" si="3"/>
        <v>5</v>
      </c>
      <c r="D129" s="38" cm="1">
        <f t="array" ref="D129">INDEX('Chemio-2'!$B$2:$J$100,1+B129,C129)</f>
        <v>0</v>
      </c>
    </row>
    <row r="130" spans="1:4" x14ac:dyDescent="0.75">
      <c r="A130" s="32">
        <v>96</v>
      </c>
      <c r="B130" s="32">
        <f t="shared" si="2"/>
        <v>10</v>
      </c>
      <c r="C130" s="32">
        <f t="shared" si="3"/>
        <v>6</v>
      </c>
      <c r="D130" s="38" cm="1">
        <f t="array" ref="D130">INDEX('Chemio-2'!$B$2:$J$100,1+B130,C130)</f>
        <v>0</v>
      </c>
    </row>
    <row r="131" spans="1:4" x14ac:dyDescent="0.75">
      <c r="A131" s="32">
        <v>97</v>
      </c>
      <c r="B131" s="32">
        <f t="shared" si="2"/>
        <v>10</v>
      </c>
      <c r="C131" s="32">
        <f t="shared" si="3"/>
        <v>7</v>
      </c>
      <c r="D131" s="38" cm="1">
        <f t="array" ref="D131">INDEX('Chemio-2'!$B$2:$J$100,1+B131,C131)</f>
        <v>0</v>
      </c>
    </row>
    <row r="132" spans="1:4" x14ac:dyDescent="0.75">
      <c r="A132" s="32">
        <v>98</v>
      </c>
      <c r="B132" s="32">
        <f t="shared" si="2"/>
        <v>10</v>
      </c>
      <c r="C132" s="32">
        <f t="shared" si="3"/>
        <v>8</v>
      </c>
      <c r="D132" s="38" cm="1">
        <f t="array" ref="D132">INDEX('Chemio-2'!$B$2:$J$100,1+B132,C132)</f>
        <v>0</v>
      </c>
    </row>
    <row r="133" spans="1:4" x14ac:dyDescent="0.75">
      <c r="A133" s="32">
        <v>99</v>
      </c>
      <c r="B133" s="32">
        <f t="shared" si="2"/>
        <v>10</v>
      </c>
      <c r="C133" s="32">
        <f t="shared" si="3"/>
        <v>9</v>
      </c>
      <c r="D133" s="38" cm="1">
        <f t="array" ref="D133">INDEX('Chemio-2'!$B$2:$J$100,1+B133,C133)</f>
        <v>0</v>
      </c>
    </row>
    <row r="134" spans="1:4" x14ac:dyDescent="0.75">
      <c r="A134" s="32">
        <v>100</v>
      </c>
      <c r="B134" s="32">
        <f t="shared" si="2"/>
        <v>11</v>
      </c>
      <c r="C134" s="32">
        <f t="shared" si="3"/>
        <v>1</v>
      </c>
      <c r="D134" s="38" cm="1">
        <f t="array" ref="D134">INDEX('Chemio-2'!$B$2:$J$100,1+B134,C134)</f>
        <v>0</v>
      </c>
    </row>
    <row r="135" spans="1:4" x14ac:dyDescent="0.75">
      <c r="A135" s="32">
        <v>101</v>
      </c>
      <c r="B135" s="32">
        <f t="shared" si="2"/>
        <v>11</v>
      </c>
      <c r="C135" s="32">
        <f t="shared" si="3"/>
        <v>2</v>
      </c>
      <c r="D135" s="38" cm="1">
        <f t="array" ref="D135">INDEX('Chemio-2'!$B$2:$J$100,1+B135,C135)</f>
        <v>0</v>
      </c>
    </row>
    <row r="136" spans="1:4" x14ac:dyDescent="0.75">
      <c r="A136" s="32">
        <v>102</v>
      </c>
      <c r="B136" s="32">
        <f t="shared" si="2"/>
        <v>11</v>
      </c>
      <c r="C136" s="32">
        <f t="shared" si="3"/>
        <v>3</v>
      </c>
      <c r="D136" s="38" cm="1">
        <f t="array" ref="D136">INDEX('Chemio-2'!$B$2:$J$100,1+B136,C136)</f>
        <v>0</v>
      </c>
    </row>
    <row r="137" spans="1:4" x14ac:dyDescent="0.75">
      <c r="A137" s="32">
        <v>103</v>
      </c>
      <c r="B137" s="32">
        <f t="shared" si="2"/>
        <v>11</v>
      </c>
      <c r="C137" s="32">
        <f t="shared" si="3"/>
        <v>4</v>
      </c>
      <c r="D137" s="38" cm="1">
        <f t="array" ref="D137">INDEX('Chemio-2'!$B$2:$J$100,1+B137,C137)</f>
        <v>0</v>
      </c>
    </row>
    <row r="138" spans="1:4" x14ac:dyDescent="0.75">
      <c r="A138" s="32">
        <v>104</v>
      </c>
      <c r="B138" s="32">
        <f t="shared" si="2"/>
        <v>11</v>
      </c>
      <c r="C138" s="32">
        <f t="shared" si="3"/>
        <v>5</v>
      </c>
      <c r="D138" s="38" cm="1">
        <f t="array" ref="D138">INDEX('Chemio-2'!$B$2:$J$100,1+B138,C138)</f>
        <v>0</v>
      </c>
    </row>
    <row r="139" spans="1:4" x14ac:dyDescent="0.75">
      <c r="A139" s="32">
        <v>105</v>
      </c>
      <c r="B139" s="32">
        <f t="shared" si="2"/>
        <v>11</v>
      </c>
      <c r="C139" s="32">
        <f t="shared" si="3"/>
        <v>6</v>
      </c>
      <c r="D139" s="38" cm="1">
        <f t="array" ref="D139">INDEX('Chemio-2'!$B$2:$J$100,1+B139,C139)</f>
        <v>0</v>
      </c>
    </row>
    <row r="140" spans="1:4" x14ac:dyDescent="0.75">
      <c r="A140" s="32">
        <v>106</v>
      </c>
      <c r="B140" s="32">
        <f t="shared" si="2"/>
        <v>11</v>
      </c>
      <c r="C140" s="32">
        <f t="shared" si="3"/>
        <v>7</v>
      </c>
      <c r="D140" s="38" cm="1">
        <f t="array" ref="D140">INDEX('Chemio-2'!$B$2:$J$100,1+B140,C140)</f>
        <v>0</v>
      </c>
    </row>
    <row r="141" spans="1:4" x14ac:dyDescent="0.75">
      <c r="A141" s="32">
        <v>107</v>
      </c>
      <c r="B141" s="32">
        <f t="shared" si="2"/>
        <v>11</v>
      </c>
      <c r="C141" s="32">
        <f t="shared" si="3"/>
        <v>8</v>
      </c>
      <c r="D141" s="38" cm="1">
        <f t="array" ref="D141">INDEX('Chemio-2'!$B$2:$J$100,1+B141,C141)</f>
        <v>0</v>
      </c>
    </row>
    <row r="142" spans="1:4" x14ac:dyDescent="0.75">
      <c r="A142" s="32">
        <v>108</v>
      </c>
      <c r="B142" s="32">
        <f t="shared" si="2"/>
        <v>11</v>
      </c>
      <c r="C142" s="32">
        <f t="shared" si="3"/>
        <v>9</v>
      </c>
      <c r="D142" s="38" cm="1">
        <f t="array" ref="D142">INDEX('Chemio-2'!$B$2:$J$100,1+B142,C142)</f>
        <v>0</v>
      </c>
    </row>
    <row r="143" spans="1:4" x14ac:dyDescent="0.75">
      <c r="A143" s="32">
        <v>109</v>
      </c>
      <c r="B143" s="32">
        <f t="shared" si="2"/>
        <v>12</v>
      </c>
      <c r="C143" s="32">
        <f t="shared" si="3"/>
        <v>1</v>
      </c>
      <c r="D143" s="38" cm="1">
        <f t="array" ref="D143">INDEX('Chemio-2'!$B$2:$J$100,1+B143,C143)</f>
        <v>0</v>
      </c>
    </row>
    <row r="144" spans="1:4" x14ac:dyDescent="0.75">
      <c r="A144" s="32">
        <v>110</v>
      </c>
      <c r="B144" s="32">
        <f t="shared" si="2"/>
        <v>12</v>
      </c>
      <c r="C144" s="32">
        <f t="shared" si="3"/>
        <v>2</v>
      </c>
      <c r="D144" s="38" cm="1">
        <f t="array" ref="D144">INDEX('Chemio-2'!$B$2:$J$100,1+B144,C144)</f>
        <v>0</v>
      </c>
    </row>
    <row r="145" spans="1:4" x14ac:dyDescent="0.75">
      <c r="A145" s="32">
        <v>111</v>
      </c>
      <c r="B145" s="32">
        <f t="shared" si="2"/>
        <v>12</v>
      </c>
      <c r="C145" s="32">
        <f t="shared" si="3"/>
        <v>3</v>
      </c>
      <c r="D145" s="38" cm="1">
        <f t="array" ref="D145">INDEX('Chemio-2'!$B$2:$J$100,1+B145,C145)</f>
        <v>0</v>
      </c>
    </row>
    <row r="146" spans="1:4" x14ac:dyDescent="0.75">
      <c r="A146" s="32">
        <v>112</v>
      </c>
      <c r="B146" s="32">
        <f t="shared" si="2"/>
        <v>12</v>
      </c>
      <c r="C146" s="32">
        <f t="shared" si="3"/>
        <v>4</v>
      </c>
      <c r="D146" s="38" cm="1">
        <f t="array" ref="D146">INDEX('Chemio-2'!$B$2:$J$100,1+B146,C146)</f>
        <v>0</v>
      </c>
    </row>
    <row r="147" spans="1:4" x14ac:dyDescent="0.75">
      <c r="A147" s="32">
        <v>113</v>
      </c>
      <c r="B147" s="32">
        <f t="shared" si="2"/>
        <v>12</v>
      </c>
      <c r="C147" s="32">
        <f t="shared" si="3"/>
        <v>5</v>
      </c>
      <c r="D147" s="38" cm="1">
        <f t="array" ref="D147">INDEX('Chemio-2'!$B$2:$J$100,1+B147,C147)</f>
        <v>0</v>
      </c>
    </row>
    <row r="148" spans="1:4" x14ac:dyDescent="0.75">
      <c r="A148" s="32">
        <v>114</v>
      </c>
      <c r="B148" s="32">
        <f t="shared" si="2"/>
        <v>12</v>
      </c>
      <c r="C148" s="32">
        <f t="shared" si="3"/>
        <v>6</v>
      </c>
      <c r="D148" s="38" cm="1">
        <f t="array" ref="D148">INDEX('Chemio-2'!$B$2:$J$100,1+B148,C148)</f>
        <v>0</v>
      </c>
    </row>
    <row r="149" spans="1:4" x14ac:dyDescent="0.75">
      <c r="A149" s="32">
        <v>115</v>
      </c>
      <c r="B149" s="32">
        <f t="shared" si="2"/>
        <v>12</v>
      </c>
      <c r="C149" s="32">
        <f t="shared" si="3"/>
        <v>7</v>
      </c>
      <c r="D149" s="38" cm="1">
        <f t="array" ref="D149">INDEX('Chemio-2'!$B$2:$J$100,1+B149,C149)</f>
        <v>0</v>
      </c>
    </row>
    <row r="150" spans="1:4" x14ac:dyDescent="0.75">
      <c r="A150" s="32">
        <v>116</v>
      </c>
      <c r="B150" s="32">
        <f t="shared" si="2"/>
        <v>12</v>
      </c>
      <c r="C150" s="32">
        <f t="shared" si="3"/>
        <v>8</v>
      </c>
      <c r="D150" s="38" cm="1">
        <f t="array" ref="D150">INDEX('Chemio-2'!$B$2:$J$100,1+B150,C150)</f>
        <v>0</v>
      </c>
    </row>
    <row r="151" spans="1:4" x14ac:dyDescent="0.75">
      <c r="A151" s="32">
        <v>117</v>
      </c>
      <c r="B151" s="32">
        <f t="shared" si="2"/>
        <v>12</v>
      </c>
      <c r="C151" s="32">
        <f t="shared" si="3"/>
        <v>9</v>
      </c>
      <c r="D151" s="38" cm="1">
        <f t="array" ref="D151">INDEX('Chemio-2'!$B$2:$J$100,1+B151,C151)</f>
        <v>0</v>
      </c>
    </row>
    <row r="152" spans="1:4" x14ac:dyDescent="0.75">
      <c r="A152" s="32">
        <v>118</v>
      </c>
      <c r="B152" s="32">
        <f t="shared" si="2"/>
        <v>13</v>
      </c>
      <c r="C152" s="32">
        <f t="shared" si="3"/>
        <v>1</v>
      </c>
      <c r="D152" s="38" cm="1">
        <f t="array" ref="D152">INDEX('Chemio-2'!$B$2:$J$100,1+B152,C152)</f>
        <v>0</v>
      </c>
    </row>
    <row r="153" spans="1:4" x14ac:dyDescent="0.75">
      <c r="A153" s="32">
        <v>119</v>
      </c>
      <c r="B153" s="32">
        <f t="shared" si="2"/>
        <v>13</v>
      </c>
      <c r="C153" s="32">
        <f t="shared" si="3"/>
        <v>2</v>
      </c>
      <c r="D153" s="38" cm="1">
        <f t="array" ref="D153">INDEX('Chemio-2'!$B$2:$J$100,1+B153,C153)</f>
        <v>0</v>
      </c>
    </row>
    <row r="154" spans="1:4" x14ac:dyDescent="0.75">
      <c r="A154" s="32">
        <v>120</v>
      </c>
      <c r="B154" s="32">
        <f t="shared" si="2"/>
        <v>13</v>
      </c>
      <c r="C154" s="32">
        <f t="shared" si="3"/>
        <v>3</v>
      </c>
      <c r="D154" s="38" cm="1">
        <f t="array" ref="D154">INDEX('Chemio-2'!$B$2:$J$100,1+B154,C154)</f>
        <v>0</v>
      </c>
    </row>
    <row r="155" spans="1:4" x14ac:dyDescent="0.75">
      <c r="A155" s="32">
        <v>121</v>
      </c>
      <c r="B155" s="32">
        <f t="shared" si="2"/>
        <v>13</v>
      </c>
      <c r="C155" s="32">
        <f t="shared" si="3"/>
        <v>4</v>
      </c>
      <c r="D155" s="38" cm="1">
        <f t="array" ref="D155">INDEX('Chemio-2'!$B$2:$J$100,1+B155,C155)</f>
        <v>0</v>
      </c>
    </row>
    <row r="156" spans="1:4" x14ac:dyDescent="0.75">
      <c r="A156" s="32">
        <v>122</v>
      </c>
      <c r="B156" s="32">
        <f t="shared" si="2"/>
        <v>13</v>
      </c>
      <c r="C156" s="32">
        <f t="shared" si="3"/>
        <v>5</v>
      </c>
      <c r="D156" s="38" cm="1">
        <f t="array" ref="D156">INDEX('Chemio-2'!$B$2:$J$100,1+B156,C156)</f>
        <v>0</v>
      </c>
    </row>
    <row r="157" spans="1:4" x14ac:dyDescent="0.75">
      <c r="A157" s="32">
        <v>123</v>
      </c>
      <c r="B157" s="32">
        <f t="shared" si="2"/>
        <v>13</v>
      </c>
      <c r="C157" s="32">
        <f t="shared" si="3"/>
        <v>6</v>
      </c>
      <c r="D157" s="38" cm="1">
        <f t="array" ref="D157">INDEX('Chemio-2'!$B$2:$J$100,1+B157,C157)</f>
        <v>0</v>
      </c>
    </row>
    <row r="158" spans="1:4" x14ac:dyDescent="0.75">
      <c r="A158" s="32">
        <v>124</v>
      </c>
      <c r="B158" s="32">
        <f t="shared" si="2"/>
        <v>13</v>
      </c>
      <c r="C158" s="32">
        <f t="shared" si="3"/>
        <v>7</v>
      </c>
      <c r="D158" s="38" cm="1">
        <f t="array" ref="D158">INDEX('Chemio-2'!$B$2:$J$100,1+B158,C158)</f>
        <v>0</v>
      </c>
    </row>
    <row r="159" spans="1:4" x14ac:dyDescent="0.75">
      <c r="A159" s="32">
        <v>125</v>
      </c>
      <c r="B159" s="32">
        <f t="shared" si="2"/>
        <v>13</v>
      </c>
      <c r="C159" s="32">
        <f t="shared" si="3"/>
        <v>8</v>
      </c>
      <c r="D159" s="38" cm="1">
        <f t="array" ref="D159">INDEX('Chemio-2'!$B$2:$J$100,1+B159,C159)</f>
        <v>0</v>
      </c>
    </row>
    <row r="160" spans="1:4" x14ac:dyDescent="0.75">
      <c r="A160" s="32">
        <v>126</v>
      </c>
      <c r="B160" s="32">
        <f t="shared" si="2"/>
        <v>13</v>
      </c>
      <c r="C160" s="32">
        <f t="shared" si="3"/>
        <v>9</v>
      </c>
      <c r="D160" s="38" cm="1">
        <f t="array" ref="D160">INDEX('Chemio-2'!$B$2:$J$100,1+B160,C160)</f>
        <v>0</v>
      </c>
    </row>
    <row r="161" spans="1:4" x14ac:dyDescent="0.75">
      <c r="A161" s="32">
        <v>127</v>
      </c>
      <c r="B161" s="32">
        <f t="shared" si="2"/>
        <v>14</v>
      </c>
      <c r="C161" s="32">
        <f t="shared" si="3"/>
        <v>1</v>
      </c>
      <c r="D161" s="38" cm="1">
        <f t="array" ref="D161">INDEX('Chemio-2'!$B$2:$J$100,1+B161,C161)</f>
        <v>0</v>
      </c>
    </row>
    <row r="162" spans="1:4" x14ac:dyDescent="0.75">
      <c r="A162" s="32">
        <v>128</v>
      </c>
      <c r="B162" s="32">
        <f t="shared" si="2"/>
        <v>14</v>
      </c>
      <c r="C162" s="32">
        <f t="shared" si="3"/>
        <v>2</v>
      </c>
      <c r="D162" s="38" cm="1">
        <f t="array" ref="D162">INDEX('Chemio-2'!$B$2:$J$100,1+B162,C162)</f>
        <v>0</v>
      </c>
    </row>
    <row r="163" spans="1:4" x14ac:dyDescent="0.75">
      <c r="A163" s="32">
        <v>129</v>
      </c>
      <c r="B163" s="32">
        <f t="shared" si="2"/>
        <v>14</v>
      </c>
      <c r="C163" s="32">
        <f t="shared" si="3"/>
        <v>3</v>
      </c>
      <c r="D163" s="38" cm="1">
        <f t="array" ref="D163">INDEX('Chemio-2'!$B$2:$J$100,1+B163,C163)</f>
        <v>0</v>
      </c>
    </row>
    <row r="164" spans="1:4" x14ac:dyDescent="0.75">
      <c r="A164" s="32">
        <v>130</v>
      </c>
      <c r="B164" s="32">
        <f t="shared" ref="B164:B227" si="4">IF(MOD(A164,$B$25)=0,A164/$B$25-1,INT(A164/$B$25))</f>
        <v>14</v>
      </c>
      <c r="C164" s="32">
        <f t="shared" ref="C164:C227" si="5">IF(MOD(A164,$B$25)=0,$B$25,MOD(A164,$B$25))</f>
        <v>4</v>
      </c>
      <c r="D164" s="38" cm="1">
        <f t="array" ref="D164">INDEX('Chemio-2'!$B$2:$J$100,1+B164,C164)</f>
        <v>0</v>
      </c>
    </row>
    <row r="165" spans="1:4" x14ac:dyDescent="0.75">
      <c r="A165" s="32">
        <v>131</v>
      </c>
      <c r="B165" s="32">
        <f t="shared" si="4"/>
        <v>14</v>
      </c>
      <c r="C165" s="32">
        <f t="shared" si="5"/>
        <v>5</v>
      </c>
      <c r="D165" s="38" cm="1">
        <f t="array" ref="D165">INDEX('Chemio-2'!$B$2:$J$100,1+B165,C165)</f>
        <v>0</v>
      </c>
    </row>
    <row r="166" spans="1:4" x14ac:dyDescent="0.75">
      <c r="A166" s="32">
        <v>132</v>
      </c>
      <c r="B166" s="32">
        <f t="shared" si="4"/>
        <v>14</v>
      </c>
      <c r="C166" s="32">
        <f t="shared" si="5"/>
        <v>6</v>
      </c>
      <c r="D166" s="38" cm="1">
        <f t="array" ref="D166">INDEX('Chemio-2'!$B$2:$J$100,1+B166,C166)</f>
        <v>0</v>
      </c>
    </row>
    <row r="167" spans="1:4" x14ac:dyDescent="0.75">
      <c r="A167" s="32">
        <v>133</v>
      </c>
      <c r="B167" s="32">
        <f t="shared" si="4"/>
        <v>14</v>
      </c>
      <c r="C167" s="32">
        <f t="shared" si="5"/>
        <v>7</v>
      </c>
      <c r="D167" s="38" cm="1">
        <f t="array" ref="D167">INDEX('Chemio-2'!$B$2:$J$100,1+B167,C167)</f>
        <v>0</v>
      </c>
    </row>
    <row r="168" spans="1:4" x14ac:dyDescent="0.75">
      <c r="A168" s="32">
        <v>134</v>
      </c>
      <c r="B168" s="32">
        <f t="shared" si="4"/>
        <v>14</v>
      </c>
      <c r="C168" s="32">
        <f t="shared" si="5"/>
        <v>8</v>
      </c>
      <c r="D168" s="38" cm="1">
        <f t="array" ref="D168">INDEX('Chemio-2'!$B$2:$J$100,1+B168,C168)</f>
        <v>0</v>
      </c>
    </row>
    <row r="169" spans="1:4" x14ac:dyDescent="0.75">
      <c r="A169" s="32">
        <v>135</v>
      </c>
      <c r="B169" s="32">
        <f t="shared" si="4"/>
        <v>14</v>
      </c>
      <c r="C169" s="32">
        <f t="shared" si="5"/>
        <v>9</v>
      </c>
      <c r="D169" s="38" cm="1">
        <f t="array" ref="D169">INDEX('Chemio-2'!$B$2:$J$100,1+B169,C169)</f>
        <v>0</v>
      </c>
    </row>
    <row r="170" spans="1:4" x14ac:dyDescent="0.75">
      <c r="A170" s="32">
        <v>136</v>
      </c>
      <c r="B170" s="32">
        <f t="shared" si="4"/>
        <v>15</v>
      </c>
      <c r="C170" s="32">
        <f t="shared" si="5"/>
        <v>1</v>
      </c>
      <c r="D170" s="38" cm="1">
        <f t="array" ref="D170">INDEX('Chemio-2'!$B$2:$J$100,1+B170,C170)</f>
        <v>0</v>
      </c>
    </row>
    <row r="171" spans="1:4" x14ac:dyDescent="0.75">
      <c r="A171" s="32">
        <v>137</v>
      </c>
      <c r="B171" s="32">
        <f t="shared" si="4"/>
        <v>15</v>
      </c>
      <c r="C171" s="32">
        <f t="shared" si="5"/>
        <v>2</v>
      </c>
      <c r="D171" s="38" cm="1">
        <f t="array" ref="D171">INDEX('Chemio-2'!$B$2:$J$100,1+B171,C171)</f>
        <v>0</v>
      </c>
    </row>
    <row r="172" spans="1:4" x14ac:dyDescent="0.75">
      <c r="A172" s="32">
        <v>138</v>
      </c>
      <c r="B172" s="32">
        <f t="shared" si="4"/>
        <v>15</v>
      </c>
      <c r="C172" s="32">
        <f t="shared" si="5"/>
        <v>3</v>
      </c>
      <c r="D172" s="38" cm="1">
        <f t="array" ref="D172">INDEX('Chemio-2'!$B$2:$J$100,1+B172,C172)</f>
        <v>0</v>
      </c>
    </row>
    <row r="173" spans="1:4" x14ac:dyDescent="0.75">
      <c r="A173" s="32">
        <v>139</v>
      </c>
      <c r="B173" s="32">
        <f t="shared" si="4"/>
        <v>15</v>
      </c>
      <c r="C173" s="32">
        <f t="shared" si="5"/>
        <v>4</v>
      </c>
      <c r="D173" s="38" cm="1">
        <f t="array" ref="D173">INDEX('Chemio-2'!$B$2:$J$100,1+B173,C173)</f>
        <v>0</v>
      </c>
    </row>
    <row r="174" spans="1:4" x14ac:dyDescent="0.75">
      <c r="A174" s="32">
        <v>140</v>
      </c>
      <c r="B174" s="32">
        <f t="shared" si="4"/>
        <v>15</v>
      </c>
      <c r="C174" s="32">
        <f t="shared" si="5"/>
        <v>5</v>
      </c>
      <c r="D174" s="38" cm="1">
        <f t="array" ref="D174">INDEX('Chemio-2'!$B$2:$J$100,1+B174,C174)</f>
        <v>0</v>
      </c>
    </row>
    <row r="175" spans="1:4" x14ac:dyDescent="0.75">
      <c r="A175" s="32">
        <v>141</v>
      </c>
      <c r="B175" s="32">
        <f t="shared" si="4"/>
        <v>15</v>
      </c>
      <c r="C175" s="32">
        <f t="shared" si="5"/>
        <v>6</v>
      </c>
      <c r="D175" s="38" cm="1">
        <f t="array" ref="D175">INDEX('Chemio-2'!$B$2:$J$100,1+B175,C175)</f>
        <v>0</v>
      </c>
    </row>
    <row r="176" spans="1:4" x14ac:dyDescent="0.75">
      <c r="A176" s="32">
        <v>142</v>
      </c>
      <c r="B176" s="32">
        <f t="shared" si="4"/>
        <v>15</v>
      </c>
      <c r="C176" s="32">
        <f t="shared" si="5"/>
        <v>7</v>
      </c>
      <c r="D176" s="38" cm="1">
        <f t="array" ref="D176">INDEX('Chemio-2'!$B$2:$J$100,1+B176,C176)</f>
        <v>0</v>
      </c>
    </row>
    <row r="177" spans="1:4" x14ac:dyDescent="0.75">
      <c r="A177" s="32">
        <v>143</v>
      </c>
      <c r="B177" s="32">
        <f t="shared" si="4"/>
        <v>15</v>
      </c>
      <c r="C177" s="32">
        <f t="shared" si="5"/>
        <v>8</v>
      </c>
      <c r="D177" s="38" cm="1">
        <f t="array" ref="D177">INDEX('Chemio-2'!$B$2:$J$100,1+B177,C177)</f>
        <v>0</v>
      </c>
    </row>
    <row r="178" spans="1:4" x14ac:dyDescent="0.75">
      <c r="A178" s="32">
        <v>144</v>
      </c>
      <c r="B178" s="32">
        <f t="shared" si="4"/>
        <v>15</v>
      </c>
      <c r="C178" s="32">
        <f t="shared" si="5"/>
        <v>9</v>
      </c>
      <c r="D178" s="38" cm="1">
        <f t="array" ref="D178">INDEX('Chemio-2'!$B$2:$J$100,1+B178,C178)</f>
        <v>0</v>
      </c>
    </row>
    <row r="179" spans="1:4" x14ac:dyDescent="0.75">
      <c r="A179" s="32">
        <v>145</v>
      </c>
      <c r="B179" s="32">
        <f t="shared" si="4"/>
        <v>16</v>
      </c>
      <c r="C179" s="32">
        <f t="shared" si="5"/>
        <v>1</v>
      </c>
      <c r="D179" s="38" cm="1">
        <f t="array" ref="D179">INDEX('Chemio-2'!$B$2:$J$100,1+B179,C179)</f>
        <v>0</v>
      </c>
    </row>
    <row r="180" spans="1:4" x14ac:dyDescent="0.75">
      <c r="A180" s="32">
        <v>146</v>
      </c>
      <c r="B180" s="32">
        <f t="shared" si="4"/>
        <v>16</v>
      </c>
      <c r="C180" s="32">
        <f t="shared" si="5"/>
        <v>2</v>
      </c>
      <c r="D180" s="38" cm="1">
        <f t="array" ref="D180">INDEX('Chemio-2'!$B$2:$J$100,1+B180,C180)</f>
        <v>0</v>
      </c>
    </row>
    <row r="181" spans="1:4" x14ac:dyDescent="0.75">
      <c r="A181" s="32">
        <v>147</v>
      </c>
      <c r="B181" s="32">
        <f t="shared" si="4"/>
        <v>16</v>
      </c>
      <c r="C181" s="32">
        <f t="shared" si="5"/>
        <v>3</v>
      </c>
      <c r="D181" s="38" cm="1">
        <f t="array" ref="D181">INDEX('Chemio-2'!$B$2:$J$100,1+B181,C181)</f>
        <v>0</v>
      </c>
    </row>
    <row r="182" spans="1:4" x14ac:dyDescent="0.75">
      <c r="A182" s="32">
        <v>148</v>
      </c>
      <c r="B182" s="32">
        <f t="shared" si="4"/>
        <v>16</v>
      </c>
      <c r="C182" s="32">
        <f t="shared" si="5"/>
        <v>4</v>
      </c>
      <c r="D182" s="38" cm="1">
        <f t="array" ref="D182">INDEX('Chemio-2'!$B$2:$J$100,1+B182,C182)</f>
        <v>0</v>
      </c>
    </row>
    <row r="183" spans="1:4" x14ac:dyDescent="0.75">
      <c r="A183" s="32">
        <v>149</v>
      </c>
      <c r="B183" s="32">
        <f t="shared" si="4"/>
        <v>16</v>
      </c>
      <c r="C183" s="32">
        <f t="shared" si="5"/>
        <v>5</v>
      </c>
      <c r="D183" s="38" cm="1">
        <f t="array" ref="D183">INDEX('Chemio-2'!$B$2:$J$100,1+B183,C183)</f>
        <v>0</v>
      </c>
    </row>
    <row r="184" spans="1:4" x14ac:dyDescent="0.75">
      <c r="A184" s="32">
        <v>150</v>
      </c>
      <c r="B184" s="32">
        <f t="shared" si="4"/>
        <v>16</v>
      </c>
      <c r="C184" s="32">
        <f t="shared" si="5"/>
        <v>6</v>
      </c>
      <c r="D184" s="38" cm="1">
        <f t="array" ref="D184">INDEX('Chemio-2'!$B$2:$J$100,1+B184,C184)</f>
        <v>0</v>
      </c>
    </row>
    <row r="185" spans="1:4" x14ac:dyDescent="0.75">
      <c r="A185" s="32">
        <v>151</v>
      </c>
      <c r="B185" s="32">
        <f t="shared" si="4"/>
        <v>16</v>
      </c>
      <c r="C185" s="32">
        <f t="shared" si="5"/>
        <v>7</v>
      </c>
      <c r="D185" s="38" cm="1">
        <f t="array" ref="D185">INDEX('Chemio-2'!$B$2:$J$100,1+B185,C185)</f>
        <v>0</v>
      </c>
    </row>
    <row r="186" spans="1:4" x14ac:dyDescent="0.75">
      <c r="A186" s="32">
        <v>152</v>
      </c>
      <c r="B186" s="32">
        <f t="shared" si="4"/>
        <v>16</v>
      </c>
      <c r="C186" s="32">
        <f t="shared" si="5"/>
        <v>8</v>
      </c>
      <c r="D186" s="38" cm="1">
        <f t="array" ref="D186">INDEX('Chemio-2'!$B$2:$J$100,1+B186,C186)</f>
        <v>0</v>
      </c>
    </row>
    <row r="187" spans="1:4" x14ac:dyDescent="0.75">
      <c r="A187" s="32">
        <v>153</v>
      </c>
      <c r="B187" s="32">
        <f t="shared" si="4"/>
        <v>16</v>
      </c>
      <c r="C187" s="32">
        <f t="shared" si="5"/>
        <v>9</v>
      </c>
      <c r="D187" s="38" cm="1">
        <f t="array" ref="D187">INDEX('Chemio-2'!$B$2:$J$100,1+B187,C187)</f>
        <v>0</v>
      </c>
    </row>
    <row r="188" spans="1:4" x14ac:dyDescent="0.75">
      <c r="A188" s="32">
        <v>154</v>
      </c>
      <c r="B188" s="32">
        <f t="shared" si="4"/>
        <v>17</v>
      </c>
      <c r="C188" s="32">
        <f t="shared" si="5"/>
        <v>1</v>
      </c>
      <c r="D188" s="38" cm="1">
        <f t="array" ref="D188">INDEX('Chemio-2'!$B$2:$J$100,1+B188,C188)</f>
        <v>0</v>
      </c>
    </row>
    <row r="189" spans="1:4" x14ac:dyDescent="0.75">
      <c r="A189" s="32">
        <v>155</v>
      </c>
      <c r="B189" s="32">
        <f t="shared" si="4"/>
        <v>17</v>
      </c>
      <c r="C189" s="32">
        <f t="shared" si="5"/>
        <v>2</v>
      </c>
      <c r="D189" s="38" cm="1">
        <f t="array" ref="D189">INDEX('Chemio-2'!$B$2:$J$100,1+B189,C189)</f>
        <v>0</v>
      </c>
    </row>
    <row r="190" spans="1:4" x14ac:dyDescent="0.75">
      <c r="A190" s="32">
        <v>156</v>
      </c>
      <c r="B190" s="32">
        <f t="shared" si="4"/>
        <v>17</v>
      </c>
      <c r="C190" s="32">
        <f t="shared" si="5"/>
        <v>3</v>
      </c>
      <c r="D190" s="38" cm="1">
        <f t="array" ref="D190">INDEX('Chemio-2'!$B$2:$J$100,1+B190,C190)</f>
        <v>0</v>
      </c>
    </row>
    <row r="191" spans="1:4" x14ac:dyDescent="0.75">
      <c r="A191" s="32">
        <v>157</v>
      </c>
      <c r="B191" s="32">
        <f t="shared" si="4"/>
        <v>17</v>
      </c>
      <c r="C191" s="32">
        <f t="shared" si="5"/>
        <v>4</v>
      </c>
      <c r="D191" s="38" cm="1">
        <f t="array" ref="D191">INDEX('Chemio-2'!$B$2:$J$100,1+B191,C191)</f>
        <v>0</v>
      </c>
    </row>
    <row r="192" spans="1:4" x14ac:dyDescent="0.75">
      <c r="A192" s="32">
        <v>158</v>
      </c>
      <c r="B192" s="32">
        <f t="shared" si="4"/>
        <v>17</v>
      </c>
      <c r="C192" s="32">
        <f t="shared" si="5"/>
        <v>5</v>
      </c>
      <c r="D192" s="38" cm="1">
        <f t="array" ref="D192">INDEX('Chemio-2'!$B$2:$J$100,1+B192,C192)</f>
        <v>0</v>
      </c>
    </row>
    <row r="193" spans="1:4" x14ac:dyDescent="0.75">
      <c r="A193" s="32">
        <v>159</v>
      </c>
      <c r="B193" s="32">
        <f t="shared" si="4"/>
        <v>17</v>
      </c>
      <c r="C193" s="32">
        <f t="shared" si="5"/>
        <v>6</v>
      </c>
      <c r="D193" s="38" cm="1">
        <f t="array" ref="D193">INDEX('Chemio-2'!$B$2:$J$100,1+B193,C193)</f>
        <v>0</v>
      </c>
    </row>
    <row r="194" spans="1:4" x14ac:dyDescent="0.75">
      <c r="A194" s="32">
        <v>160</v>
      </c>
      <c r="B194" s="32">
        <f t="shared" si="4"/>
        <v>17</v>
      </c>
      <c r="C194" s="32">
        <f t="shared" si="5"/>
        <v>7</v>
      </c>
      <c r="D194" s="38" cm="1">
        <f t="array" ref="D194">INDEX('Chemio-2'!$B$2:$J$100,1+B194,C194)</f>
        <v>0</v>
      </c>
    </row>
    <row r="195" spans="1:4" x14ac:dyDescent="0.75">
      <c r="A195" s="32">
        <v>161</v>
      </c>
      <c r="B195" s="32">
        <f t="shared" si="4"/>
        <v>17</v>
      </c>
      <c r="C195" s="32">
        <f t="shared" si="5"/>
        <v>8</v>
      </c>
      <c r="D195" s="38" cm="1">
        <f t="array" ref="D195">INDEX('Chemio-2'!$B$2:$J$100,1+B195,C195)</f>
        <v>0</v>
      </c>
    </row>
    <row r="196" spans="1:4" x14ac:dyDescent="0.75">
      <c r="A196" s="32">
        <v>162</v>
      </c>
      <c r="B196" s="32">
        <f t="shared" si="4"/>
        <v>17</v>
      </c>
      <c r="C196" s="32">
        <f t="shared" si="5"/>
        <v>9</v>
      </c>
      <c r="D196" s="38" cm="1">
        <f t="array" ref="D196">INDEX('Chemio-2'!$B$2:$J$100,1+B196,C196)</f>
        <v>0</v>
      </c>
    </row>
    <row r="197" spans="1:4" x14ac:dyDescent="0.75">
      <c r="A197" s="32">
        <v>163</v>
      </c>
      <c r="B197" s="32">
        <f t="shared" si="4"/>
        <v>18</v>
      </c>
      <c r="C197" s="32">
        <f t="shared" si="5"/>
        <v>1</v>
      </c>
      <c r="D197" s="38" cm="1">
        <f t="array" ref="D197">INDEX('Chemio-2'!$B$2:$J$100,1+B197,C197)</f>
        <v>0</v>
      </c>
    </row>
    <row r="198" spans="1:4" x14ac:dyDescent="0.75">
      <c r="A198" s="32">
        <v>164</v>
      </c>
      <c r="B198" s="32">
        <f t="shared" si="4"/>
        <v>18</v>
      </c>
      <c r="C198" s="32">
        <f t="shared" si="5"/>
        <v>2</v>
      </c>
      <c r="D198" s="38" cm="1">
        <f t="array" ref="D198">INDEX('Chemio-2'!$B$2:$J$100,1+B198,C198)</f>
        <v>0</v>
      </c>
    </row>
    <row r="199" spans="1:4" x14ac:dyDescent="0.75">
      <c r="A199" s="32">
        <v>165</v>
      </c>
      <c r="B199" s="32">
        <f t="shared" si="4"/>
        <v>18</v>
      </c>
      <c r="C199" s="32">
        <f t="shared" si="5"/>
        <v>3</v>
      </c>
      <c r="D199" s="38" cm="1">
        <f t="array" ref="D199">INDEX('Chemio-2'!$B$2:$J$100,1+B199,C199)</f>
        <v>0</v>
      </c>
    </row>
    <row r="200" spans="1:4" x14ac:dyDescent="0.75">
      <c r="A200" s="32">
        <v>166</v>
      </c>
      <c r="B200" s="32">
        <f t="shared" si="4"/>
        <v>18</v>
      </c>
      <c r="C200" s="32">
        <f t="shared" si="5"/>
        <v>4</v>
      </c>
      <c r="D200" s="38" cm="1">
        <f t="array" ref="D200">INDEX('Chemio-2'!$B$2:$J$100,1+B200,C200)</f>
        <v>0</v>
      </c>
    </row>
    <row r="201" spans="1:4" x14ac:dyDescent="0.75">
      <c r="A201" s="32">
        <v>167</v>
      </c>
      <c r="B201" s="32">
        <f t="shared" si="4"/>
        <v>18</v>
      </c>
      <c r="C201" s="32">
        <f t="shared" si="5"/>
        <v>5</v>
      </c>
      <c r="D201" s="38" cm="1">
        <f t="array" ref="D201">INDEX('Chemio-2'!$B$2:$J$100,1+B201,C201)</f>
        <v>0</v>
      </c>
    </row>
    <row r="202" spans="1:4" x14ac:dyDescent="0.75">
      <c r="A202" s="32">
        <v>168</v>
      </c>
      <c r="B202" s="32">
        <f t="shared" si="4"/>
        <v>18</v>
      </c>
      <c r="C202" s="32">
        <f t="shared" si="5"/>
        <v>6</v>
      </c>
      <c r="D202" s="38" cm="1">
        <f t="array" ref="D202">INDEX('Chemio-2'!$B$2:$J$100,1+B202,C202)</f>
        <v>0</v>
      </c>
    </row>
    <row r="203" spans="1:4" x14ac:dyDescent="0.75">
      <c r="A203" s="32">
        <v>169</v>
      </c>
      <c r="B203" s="32">
        <f t="shared" si="4"/>
        <v>18</v>
      </c>
      <c r="C203" s="32">
        <f t="shared" si="5"/>
        <v>7</v>
      </c>
      <c r="D203" s="38" cm="1">
        <f t="array" ref="D203">INDEX('Chemio-2'!$B$2:$J$100,1+B203,C203)</f>
        <v>0</v>
      </c>
    </row>
    <row r="204" spans="1:4" x14ac:dyDescent="0.75">
      <c r="A204" s="32">
        <v>170</v>
      </c>
      <c r="B204" s="32">
        <f t="shared" si="4"/>
        <v>18</v>
      </c>
      <c r="C204" s="32">
        <f t="shared" si="5"/>
        <v>8</v>
      </c>
      <c r="D204" s="38" cm="1">
        <f t="array" ref="D204">INDEX('Chemio-2'!$B$2:$J$100,1+B204,C204)</f>
        <v>0</v>
      </c>
    </row>
    <row r="205" spans="1:4" x14ac:dyDescent="0.75">
      <c r="A205" s="32">
        <v>171</v>
      </c>
      <c r="B205" s="32">
        <f t="shared" si="4"/>
        <v>18</v>
      </c>
      <c r="C205" s="32">
        <f t="shared" si="5"/>
        <v>9</v>
      </c>
      <c r="D205" s="38" cm="1">
        <f t="array" ref="D205">INDEX('Chemio-2'!$B$2:$J$100,1+B205,C205)</f>
        <v>0</v>
      </c>
    </row>
    <row r="206" spans="1:4" x14ac:dyDescent="0.75">
      <c r="A206" s="32">
        <v>172</v>
      </c>
      <c r="B206" s="32">
        <f t="shared" si="4"/>
        <v>19</v>
      </c>
      <c r="C206" s="32">
        <f t="shared" si="5"/>
        <v>1</v>
      </c>
      <c r="D206" s="38" cm="1">
        <f t="array" ref="D206">INDEX('Chemio-2'!$B$2:$J$100,1+B206,C206)</f>
        <v>0</v>
      </c>
    </row>
    <row r="207" spans="1:4" x14ac:dyDescent="0.75">
      <c r="A207" s="32">
        <v>173</v>
      </c>
      <c r="B207" s="32">
        <f t="shared" si="4"/>
        <v>19</v>
      </c>
      <c r="C207" s="32">
        <f t="shared" si="5"/>
        <v>2</v>
      </c>
      <c r="D207" s="38" cm="1">
        <f t="array" ref="D207">INDEX('Chemio-2'!$B$2:$J$100,1+B207,C207)</f>
        <v>0</v>
      </c>
    </row>
    <row r="208" spans="1:4" x14ac:dyDescent="0.75">
      <c r="A208" s="32">
        <v>174</v>
      </c>
      <c r="B208" s="32">
        <f t="shared" si="4"/>
        <v>19</v>
      </c>
      <c r="C208" s="32">
        <f t="shared" si="5"/>
        <v>3</v>
      </c>
      <c r="D208" s="38" cm="1">
        <f t="array" ref="D208">INDEX('Chemio-2'!$B$2:$J$100,1+B208,C208)</f>
        <v>0</v>
      </c>
    </row>
    <row r="209" spans="1:4" x14ac:dyDescent="0.75">
      <c r="A209" s="32">
        <v>175</v>
      </c>
      <c r="B209" s="32">
        <f t="shared" si="4"/>
        <v>19</v>
      </c>
      <c r="C209" s="32">
        <f t="shared" si="5"/>
        <v>4</v>
      </c>
      <c r="D209" s="38" cm="1">
        <f t="array" ref="D209">INDEX('Chemio-2'!$B$2:$J$100,1+B209,C209)</f>
        <v>0</v>
      </c>
    </row>
    <row r="210" spans="1:4" x14ac:dyDescent="0.75">
      <c r="A210" s="32">
        <v>176</v>
      </c>
      <c r="B210" s="32">
        <f t="shared" si="4"/>
        <v>19</v>
      </c>
      <c r="C210" s="32">
        <f t="shared" si="5"/>
        <v>5</v>
      </c>
      <c r="D210" s="38" cm="1">
        <f t="array" ref="D210">INDEX('Chemio-2'!$B$2:$J$100,1+B210,C210)</f>
        <v>0</v>
      </c>
    </row>
    <row r="211" spans="1:4" x14ac:dyDescent="0.75">
      <c r="A211" s="32">
        <v>177</v>
      </c>
      <c r="B211" s="32">
        <f t="shared" si="4"/>
        <v>19</v>
      </c>
      <c r="C211" s="32">
        <f t="shared" si="5"/>
        <v>6</v>
      </c>
      <c r="D211" s="38" cm="1">
        <f t="array" ref="D211">INDEX('Chemio-2'!$B$2:$J$100,1+B211,C211)</f>
        <v>0</v>
      </c>
    </row>
    <row r="212" spans="1:4" x14ac:dyDescent="0.75">
      <c r="A212" s="32">
        <v>178</v>
      </c>
      <c r="B212" s="32">
        <f t="shared" si="4"/>
        <v>19</v>
      </c>
      <c r="C212" s="32">
        <f t="shared" si="5"/>
        <v>7</v>
      </c>
      <c r="D212" s="38" cm="1">
        <f t="array" ref="D212">INDEX('Chemio-2'!$B$2:$J$100,1+B212,C212)</f>
        <v>0</v>
      </c>
    </row>
    <row r="213" spans="1:4" x14ac:dyDescent="0.75">
      <c r="A213" s="32">
        <v>179</v>
      </c>
      <c r="B213" s="32">
        <f t="shared" si="4"/>
        <v>19</v>
      </c>
      <c r="C213" s="32">
        <f t="shared" si="5"/>
        <v>8</v>
      </c>
      <c r="D213" s="38" cm="1">
        <f t="array" ref="D213">INDEX('Chemio-2'!$B$2:$J$100,1+B213,C213)</f>
        <v>0</v>
      </c>
    </row>
    <row r="214" spans="1:4" x14ac:dyDescent="0.75">
      <c r="A214" s="32">
        <v>180</v>
      </c>
      <c r="B214" s="32">
        <f t="shared" si="4"/>
        <v>19</v>
      </c>
      <c r="C214" s="32">
        <f t="shared" si="5"/>
        <v>9</v>
      </c>
      <c r="D214" s="38" cm="1">
        <f t="array" ref="D214">INDEX('Chemio-2'!$B$2:$J$100,1+B214,C214)</f>
        <v>0</v>
      </c>
    </row>
    <row r="215" spans="1:4" x14ac:dyDescent="0.75">
      <c r="A215" s="32">
        <v>181</v>
      </c>
      <c r="B215" s="32">
        <f t="shared" si="4"/>
        <v>20</v>
      </c>
      <c r="C215" s="32">
        <f t="shared" si="5"/>
        <v>1</v>
      </c>
      <c r="D215" s="38" cm="1">
        <f t="array" ref="D215">INDEX('Chemio-2'!$B$2:$J$100,1+B215,C215)</f>
        <v>0</v>
      </c>
    </row>
    <row r="216" spans="1:4" x14ac:dyDescent="0.75">
      <c r="A216" s="32">
        <v>182</v>
      </c>
      <c r="B216" s="32">
        <f t="shared" si="4"/>
        <v>20</v>
      </c>
      <c r="C216" s="32">
        <f t="shared" si="5"/>
        <v>2</v>
      </c>
      <c r="D216" s="38" cm="1">
        <f t="array" ref="D216">INDEX('Chemio-2'!$B$2:$J$100,1+B216,C216)</f>
        <v>0</v>
      </c>
    </row>
    <row r="217" spans="1:4" x14ac:dyDescent="0.75">
      <c r="A217" s="32">
        <v>183</v>
      </c>
      <c r="B217" s="32">
        <f t="shared" si="4"/>
        <v>20</v>
      </c>
      <c r="C217" s="32">
        <f t="shared" si="5"/>
        <v>3</v>
      </c>
      <c r="D217" s="38" cm="1">
        <f t="array" ref="D217">INDEX('Chemio-2'!$B$2:$J$100,1+B217,C217)</f>
        <v>0</v>
      </c>
    </row>
    <row r="218" spans="1:4" x14ac:dyDescent="0.75">
      <c r="A218" s="32">
        <v>184</v>
      </c>
      <c r="B218" s="32">
        <f t="shared" si="4"/>
        <v>20</v>
      </c>
      <c r="C218" s="32">
        <f t="shared" si="5"/>
        <v>4</v>
      </c>
      <c r="D218" s="38" cm="1">
        <f t="array" ref="D218">INDEX('Chemio-2'!$B$2:$J$100,1+B218,C218)</f>
        <v>0</v>
      </c>
    </row>
    <row r="219" spans="1:4" x14ac:dyDescent="0.75">
      <c r="A219" s="32">
        <v>185</v>
      </c>
      <c r="B219" s="32">
        <f t="shared" si="4"/>
        <v>20</v>
      </c>
      <c r="C219" s="32">
        <f t="shared" si="5"/>
        <v>5</v>
      </c>
      <c r="D219" s="38" cm="1">
        <f t="array" ref="D219">INDEX('Chemio-2'!$B$2:$J$100,1+B219,C219)</f>
        <v>0</v>
      </c>
    </row>
    <row r="220" spans="1:4" x14ac:dyDescent="0.75">
      <c r="A220" s="32">
        <v>186</v>
      </c>
      <c r="B220" s="32">
        <f t="shared" si="4"/>
        <v>20</v>
      </c>
      <c r="C220" s="32">
        <f t="shared" si="5"/>
        <v>6</v>
      </c>
      <c r="D220" s="38" cm="1">
        <f t="array" ref="D220">INDEX('Chemio-2'!$B$2:$J$100,1+B220,C220)</f>
        <v>0</v>
      </c>
    </row>
    <row r="221" spans="1:4" x14ac:dyDescent="0.75">
      <c r="A221" s="32">
        <v>187</v>
      </c>
      <c r="B221" s="32">
        <f t="shared" si="4"/>
        <v>20</v>
      </c>
      <c r="C221" s="32">
        <f t="shared" si="5"/>
        <v>7</v>
      </c>
      <c r="D221" s="38" cm="1">
        <f t="array" ref="D221">INDEX('Chemio-2'!$B$2:$J$100,1+B221,C221)</f>
        <v>0</v>
      </c>
    </row>
    <row r="222" spans="1:4" x14ac:dyDescent="0.75">
      <c r="A222" s="32">
        <v>188</v>
      </c>
      <c r="B222" s="32">
        <f t="shared" si="4"/>
        <v>20</v>
      </c>
      <c r="C222" s="32">
        <f t="shared" si="5"/>
        <v>8</v>
      </c>
      <c r="D222" s="38" cm="1">
        <f t="array" ref="D222">INDEX('Chemio-2'!$B$2:$J$100,1+B222,C222)</f>
        <v>0</v>
      </c>
    </row>
    <row r="223" spans="1:4" x14ac:dyDescent="0.75">
      <c r="A223" s="32">
        <v>189</v>
      </c>
      <c r="B223" s="32">
        <f t="shared" si="4"/>
        <v>20</v>
      </c>
      <c r="C223" s="32">
        <f t="shared" si="5"/>
        <v>9</v>
      </c>
      <c r="D223" s="38" cm="1">
        <f t="array" ref="D223">INDEX('Chemio-2'!$B$2:$J$100,1+B223,C223)</f>
        <v>0</v>
      </c>
    </row>
    <row r="224" spans="1:4" x14ac:dyDescent="0.75">
      <c r="A224" s="32">
        <v>190</v>
      </c>
      <c r="B224" s="32">
        <f t="shared" si="4"/>
        <v>21</v>
      </c>
      <c r="C224" s="32">
        <f t="shared" si="5"/>
        <v>1</v>
      </c>
      <c r="D224" s="38" cm="1">
        <f t="array" ref="D224">INDEX('Chemio-2'!$B$2:$J$100,1+B224,C224)</f>
        <v>0</v>
      </c>
    </row>
    <row r="225" spans="1:4" x14ac:dyDescent="0.75">
      <c r="A225" s="32">
        <v>191</v>
      </c>
      <c r="B225" s="32">
        <f t="shared" si="4"/>
        <v>21</v>
      </c>
      <c r="C225" s="32">
        <f t="shared" si="5"/>
        <v>2</v>
      </c>
      <c r="D225" s="38" cm="1">
        <f t="array" ref="D225">INDEX('Chemio-2'!$B$2:$J$100,1+B225,C225)</f>
        <v>0</v>
      </c>
    </row>
    <row r="226" spans="1:4" x14ac:dyDescent="0.75">
      <c r="A226" s="32">
        <v>192</v>
      </c>
      <c r="B226" s="32">
        <f t="shared" si="4"/>
        <v>21</v>
      </c>
      <c r="C226" s="32">
        <f t="shared" si="5"/>
        <v>3</v>
      </c>
      <c r="D226" s="38" cm="1">
        <f t="array" ref="D226">INDEX('Chemio-2'!$B$2:$J$100,1+B226,C226)</f>
        <v>0</v>
      </c>
    </row>
    <row r="227" spans="1:4" x14ac:dyDescent="0.75">
      <c r="A227" s="32">
        <v>193</v>
      </c>
      <c r="B227" s="32">
        <f t="shared" si="4"/>
        <v>21</v>
      </c>
      <c r="C227" s="32">
        <f t="shared" si="5"/>
        <v>4</v>
      </c>
      <c r="D227" s="38" cm="1">
        <f t="array" ref="D227">INDEX('Chemio-2'!$B$2:$J$100,1+B227,C227)</f>
        <v>0</v>
      </c>
    </row>
    <row r="228" spans="1:4" x14ac:dyDescent="0.75">
      <c r="A228" s="32">
        <v>194</v>
      </c>
      <c r="B228" s="32">
        <f t="shared" ref="B228:B291" si="6">IF(MOD(A228,$B$25)=0,A228/$B$25-1,INT(A228/$B$25))</f>
        <v>21</v>
      </c>
      <c r="C228" s="32">
        <f t="shared" ref="C228:C291" si="7">IF(MOD(A228,$B$25)=0,$B$25,MOD(A228,$B$25))</f>
        <v>5</v>
      </c>
      <c r="D228" s="38" cm="1">
        <f t="array" ref="D228">INDEX('Chemio-2'!$B$2:$J$100,1+B228,C228)</f>
        <v>0</v>
      </c>
    </row>
    <row r="229" spans="1:4" x14ac:dyDescent="0.75">
      <c r="A229" s="32">
        <v>195</v>
      </c>
      <c r="B229" s="32">
        <f t="shared" si="6"/>
        <v>21</v>
      </c>
      <c r="C229" s="32">
        <f t="shared" si="7"/>
        <v>6</v>
      </c>
      <c r="D229" s="38" cm="1">
        <f t="array" ref="D229">INDEX('Chemio-2'!$B$2:$J$100,1+B229,C229)</f>
        <v>0</v>
      </c>
    </row>
    <row r="230" spans="1:4" x14ac:dyDescent="0.75">
      <c r="A230" s="32">
        <v>196</v>
      </c>
      <c r="B230" s="32">
        <f t="shared" si="6"/>
        <v>21</v>
      </c>
      <c r="C230" s="32">
        <f t="shared" si="7"/>
        <v>7</v>
      </c>
      <c r="D230" s="38" cm="1">
        <f t="array" ref="D230">INDEX('Chemio-2'!$B$2:$J$100,1+B230,C230)</f>
        <v>0</v>
      </c>
    </row>
    <row r="231" spans="1:4" x14ac:dyDescent="0.75">
      <c r="A231" s="32">
        <v>197</v>
      </c>
      <c r="B231" s="32">
        <f t="shared" si="6"/>
        <v>21</v>
      </c>
      <c r="C231" s="32">
        <f t="shared" si="7"/>
        <v>8</v>
      </c>
      <c r="D231" s="38" cm="1">
        <f t="array" ref="D231">INDEX('Chemio-2'!$B$2:$J$100,1+B231,C231)</f>
        <v>0</v>
      </c>
    </row>
    <row r="232" spans="1:4" x14ac:dyDescent="0.75">
      <c r="A232" s="32">
        <v>198</v>
      </c>
      <c r="B232" s="32">
        <f t="shared" si="6"/>
        <v>21</v>
      </c>
      <c r="C232" s="32">
        <f t="shared" si="7"/>
        <v>9</v>
      </c>
      <c r="D232" s="38" cm="1">
        <f t="array" ref="D232">INDEX('Chemio-2'!$B$2:$J$100,1+B232,C232)</f>
        <v>0</v>
      </c>
    </row>
    <row r="233" spans="1:4" x14ac:dyDescent="0.75">
      <c r="A233" s="32">
        <v>199</v>
      </c>
      <c r="B233" s="32">
        <f t="shared" si="6"/>
        <v>22</v>
      </c>
      <c r="C233" s="32">
        <f t="shared" si="7"/>
        <v>1</v>
      </c>
      <c r="D233" s="38" cm="1">
        <f t="array" ref="D233">INDEX('Chemio-2'!$B$2:$J$100,1+B233,C233)</f>
        <v>0</v>
      </c>
    </row>
    <row r="234" spans="1:4" x14ac:dyDescent="0.75">
      <c r="A234" s="32">
        <v>200</v>
      </c>
      <c r="B234" s="32">
        <f t="shared" si="6"/>
        <v>22</v>
      </c>
      <c r="C234" s="32">
        <f t="shared" si="7"/>
        <v>2</v>
      </c>
      <c r="D234" s="38" cm="1">
        <f t="array" ref="D234">INDEX('Chemio-2'!$B$2:$J$100,1+B234,C234)</f>
        <v>0</v>
      </c>
    </row>
    <row r="235" spans="1:4" x14ac:dyDescent="0.75">
      <c r="A235" s="32">
        <v>201</v>
      </c>
      <c r="B235" s="32">
        <f t="shared" si="6"/>
        <v>22</v>
      </c>
      <c r="C235" s="32">
        <f t="shared" si="7"/>
        <v>3</v>
      </c>
      <c r="D235" s="38" cm="1">
        <f t="array" ref="D235">INDEX('Chemio-2'!$B$2:$J$100,1+B235,C235)</f>
        <v>0</v>
      </c>
    </row>
    <row r="236" spans="1:4" x14ac:dyDescent="0.75">
      <c r="A236" s="32">
        <v>202</v>
      </c>
      <c r="B236" s="32">
        <f t="shared" si="6"/>
        <v>22</v>
      </c>
      <c r="C236" s="32">
        <f t="shared" si="7"/>
        <v>4</v>
      </c>
      <c r="D236" s="38" cm="1">
        <f t="array" ref="D236">INDEX('Chemio-2'!$B$2:$J$100,1+B236,C236)</f>
        <v>0</v>
      </c>
    </row>
    <row r="237" spans="1:4" x14ac:dyDescent="0.75">
      <c r="A237" s="32">
        <v>203</v>
      </c>
      <c r="B237" s="32">
        <f t="shared" si="6"/>
        <v>22</v>
      </c>
      <c r="C237" s="32">
        <f t="shared" si="7"/>
        <v>5</v>
      </c>
      <c r="D237" s="38" cm="1">
        <f t="array" ref="D237">INDEX('Chemio-2'!$B$2:$J$100,1+B237,C237)</f>
        <v>0</v>
      </c>
    </row>
    <row r="238" spans="1:4" x14ac:dyDescent="0.75">
      <c r="A238" s="32">
        <v>204</v>
      </c>
      <c r="B238" s="32">
        <f t="shared" si="6"/>
        <v>22</v>
      </c>
      <c r="C238" s="32">
        <f t="shared" si="7"/>
        <v>6</v>
      </c>
      <c r="D238" s="38" cm="1">
        <f t="array" ref="D238">INDEX('Chemio-2'!$B$2:$J$100,1+B238,C238)</f>
        <v>0</v>
      </c>
    </row>
    <row r="239" spans="1:4" x14ac:dyDescent="0.75">
      <c r="A239" s="32">
        <v>205</v>
      </c>
      <c r="B239" s="32">
        <f t="shared" si="6"/>
        <v>22</v>
      </c>
      <c r="C239" s="32">
        <f t="shared" si="7"/>
        <v>7</v>
      </c>
      <c r="D239" s="38" cm="1">
        <f t="array" ref="D239">INDEX('Chemio-2'!$B$2:$J$100,1+B239,C239)</f>
        <v>0</v>
      </c>
    </row>
    <row r="240" spans="1:4" x14ac:dyDescent="0.75">
      <c r="A240" s="32">
        <v>206</v>
      </c>
      <c r="B240" s="32">
        <f t="shared" si="6"/>
        <v>22</v>
      </c>
      <c r="C240" s="32">
        <f t="shared" si="7"/>
        <v>8</v>
      </c>
      <c r="D240" s="38" cm="1">
        <f t="array" ref="D240">INDEX('Chemio-2'!$B$2:$J$100,1+B240,C240)</f>
        <v>0</v>
      </c>
    </row>
    <row r="241" spans="1:4" x14ac:dyDescent="0.75">
      <c r="A241" s="32">
        <v>207</v>
      </c>
      <c r="B241" s="32">
        <f t="shared" si="6"/>
        <v>22</v>
      </c>
      <c r="C241" s="32">
        <f t="shared" si="7"/>
        <v>9</v>
      </c>
      <c r="D241" s="38" cm="1">
        <f t="array" ref="D241">INDEX('Chemio-2'!$B$2:$J$100,1+B241,C241)</f>
        <v>0</v>
      </c>
    </row>
    <row r="242" spans="1:4" x14ac:dyDescent="0.75">
      <c r="A242" s="32">
        <v>208</v>
      </c>
      <c r="B242" s="32">
        <f t="shared" si="6"/>
        <v>23</v>
      </c>
      <c r="C242" s="32">
        <f t="shared" si="7"/>
        <v>1</v>
      </c>
      <c r="D242" s="38" cm="1">
        <f t="array" ref="D242">INDEX('Chemio-2'!$B$2:$J$100,1+B242,C242)</f>
        <v>0</v>
      </c>
    </row>
    <row r="243" spans="1:4" x14ac:dyDescent="0.75">
      <c r="A243" s="32">
        <v>209</v>
      </c>
      <c r="B243" s="32">
        <f t="shared" si="6"/>
        <v>23</v>
      </c>
      <c r="C243" s="32">
        <f t="shared" si="7"/>
        <v>2</v>
      </c>
      <c r="D243" s="38" cm="1">
        <f t="array" ref="D243">INDEX('Chemio-2'!$B$2:$J$100,1+B243,C243)</f>
        <v>0</v>
      </c>
    </row>
    <row r="244" spans="1:4" x14ac:dyDescent="0.75">
      <c r="A244" s="32">
        <v>210</v>
      </c>
      <c r="B244" s="32">
        <f t="shared" si="6"/>
        <v>23</v>
      </c>
      <c r="C244" s="32">
        <f t="shared" si="7"/>
        <v>3</v>
      </c>
      <c r="D244" s="38" cm="1">
        <f t="array" ref="D244">INDEX('Chemio-2'!$B$2:$J$100,1+B244,C244)</f>
        <v>0</v>
      </c>
    </row>
    <row r="245" spans="1:4" x14ac:dyDescent="0.75">
      <c r="A245" s="32">
        <v>211</v>
      </c>
      <c r="B245" s="32">
        <f t="shared" si="6"/>
        <v>23</v>
      </c>
      <c r="C245" s="32">
        <f t="shared" si="7"/>
        <v>4</v>
      </c>
      <c r="D245" s="38" cm="1">
        <f t="array" ref="D245">INDEX('Chemio-2'!$B$2:$J$100,1+B245,C245)</f>
        <v>0</v>
      </c>
    </row>
    <row r="246" spans="1:4" x14ac:dyDescent="0.75">
      <c r="A246" s="32">
        <v>212</v>
      </c>
      <c r="B246" s="32">
        <f t="shared" si="6"/>
        <v>23</v>
      </c>
      <c r="C246" s="32">
        <f t="shared" si="7"/>
        <v>5</v>
      </c>
      <c r="D246" s="38" cm="1">
        <f t="array" ref="D246">INDEX('Chemio-2'!$B$2:$J$100,1+B246,C246)</f>
        <v>0</v>
      </c>
    </row>
    <row r="247" spans="1:4" x14ac:dyDescent="0.75">
      <c r="A247" s="32">
        <v>213</v>
      </c>
      <c r="B247" s="32">
        <f t="shared" si="6"/>
        <v>23</v>
      </c>
      <c r="C247" s="32">
        <f t="shared" si="7"/>
        <v>6</v>
      </c>
      <c r="D247" s="38" cm="1">
        <f t="array" ref="D247">INDEX('Chemio-2'!$B$2:$J$100,1+B247,C247)</f>
        <v>0</v>
      </c>
    </row>
    <row r="248" spans="1:4" x14ac:dyDescent="0.75">
      <c r="A248" s="32">
        <v>214</v>
      </c>
      <c r="B248" s="32">
        <f t="shared" si="6"/>
        <v>23</v>
      </c>
      <c r="C248" s="32">
        <f t="shared" si="7"/>
        <v>7</v>
      </c>
      <c r="D248" s="38" cm="1">
        <f t="array" ref="D248">INDEX('Chemio-2'!$B$2:$J$100,1+B248,C248)</f>
        <v>0</v>
      </c>
    </row>
    <row r="249" spans="1:4" x14ac:dyDescent="0.75">
      <c r="A249" s="32">
        <v>215</v>
      </c>
      <c r="B249" s="32">
        <f t="shared" si="6"/>
        <v>23</v>
      </c>
      <c r="C249" s="32">
        <f t="shared" si="7"/>
        <v>8</v>
      </c>
      <c r="D249" s="38" cm="1">
        <f t="array" ref="D249">INDEX('Chemio-2'!$B$2:$J$100,1+B249,C249)</f>
        <v>0</v>
      </c>
    </row>
    <row r="250" spans="1:4" x14ac:dyDescent="0.75">
      <c r="A250" s="32">
        <v>216</v>
      </c>
      <c r="B250" s="32">
        <f t="shared" si="6"/>
        <v>23</v>
      </c>
      <c r="C250" s="32">
        <f t="shared" si="7"/>
        <v>9</v>
      </c>
      <c r="D250" s="38" cm="1">
        <f t="array" ref="D250">INDEX('Chemio-2'!$B$2:$J$100,1+B250,C250)</f>
        <v>0</v>
      </c>
    </row>
    <row r="251" spans="1:4" x14ac:dyDescent="0.75">
      <c r="A251" s="32">
        <v>217</v>
      </c>
      <c r="B251" s="32">
        <f t="shared" si="6"/>
        <v>24</v>
      </c>
      <c r="C251" s="32">
        <f t="shared" si="7"/>
        <v>1</v>
      </c>
      <c r="D251" s="38" cm="1">
        <f t="array" ref="D251">INDEX('Chemio-2'!$B$2:$J$100,1+B251,C251)</f>
        <v>0</v>
      </c>
    </row>
    <row r="252" spans="1:4" x14ac:dyDescent="0.75">
      <c r="A252" s="32">
        <v>218</v>
      </c>
      <c r="B252" s="32">
        <f t="shared" si="6"/>
        <v>24</v>
      </c>
      <c r="C252" s="32">
        <f t="shared" si="7"/>
        <v>2</v>
      </c>
      <c r="D252" s="38" cm="1">
        <f t="array" ref="D252">INDEX('Chemio-2'!$B$2:$J$100,1+B252,C252)</f>
        <v>0</v>
      </c>
    </row>
    <row r="253" spans="1:4" x14ac:dyDescent="0.75">
      <c r="A253" s="32">
        <v>219</v>
      </c>
      <c r="B253" s="32">
        <f t="shared" si="6"/>
        <v>24</v>
      </c>
      <c r="C253" s="32">
        <f t="shared" si="7"/>
        <v>3</v>
      </c>
      <c r="D253" s="38" cm="1">
        <f t="array" ref="D253">INDEX('Chemio-2'!$B$2:$J$100,1+B253,C253)</f>
        <v>0</v>
      </c>
    </row>
    <row r="254" spans="1:4" x14ac:dyDescent="0.75">
      <c r="A254" s="32">
        <v>220</v>
      </c>
      <c r="B254" s="32">
        <f t="shared" si="6"/>
        <v>24</v>
      </c>
      <c r="C254" s="32">
        <f t="shared" si="7"/>
        <v>4</v>
      </c>
      <c r="D254" s="38" cm="1">
        <f t="array" ref="D254">INDEX('Chemio-2'!$B$2:$J$100,1+B254,C254)</f>
        <v>0</v>
      </c>
    </row>
    <row r="255" spans="1:4" x14ac:dyDescent="0.75">
      <c r="A255" s="32">
        <v>221</v>
      </c>
      <c r="B255" s="32">
        <f t="shared" si="6"/>
        <v>24</v>
      </c>
      <c r="C255" s="32">
        <f t="shared" si="7"/>
        <v>5</v>
      </c>
      <c r="D255" s="38" cm="1">
        <f t="array" ref="D255">INDEX('Chemio-2'!$B$2:$J$100,1+B255,C255)</f>
        <v>0</v>
      </c>
    </row>
    <row r="256" spans="1:4" x14ac:dyDescent="0.75">
      <c r="A256" s="32">
        <v>222</v>
      </c>
      <c r="B256" s="32">
        <f t="shared" si="6"/>
        <v>24</v>
      </c>
      <c r="C256" s="32">
        <f t="shared" si="7"/>
        <v>6</v>
      </c>
      <c r="D256" s="38" cm="1">
        <f t="array" ref="D256">INDEX('Chemio-2'!$B$2:$J$100,1+B256,C256)</f>
        <v>0</v>
      </c>
    </row>
    <row r="257" spans="1:4" x14ac:dyDescent="0.75">
      <c r="A257" s="32">
        <v>223</v>
      </c>
      <c r="B257" s="32">
        <f t="shared" si="6"/>
        <v>24</v>
      </c>
      <c r="C257" s="32">
        <f t="shared" si="7"/>
        <v>7</v>
      </c>
      <c r="D257" s="38" cm="1">
        <f t="array" ref="D257">INDEX('Chemio-2'!$B$2:$J$100,1+B257,C257)</f>
        <v>0</v>
      </c>
    </row>
    <row r="258" spans="1:4" x14ac:dyDescent="0.75">
      <c r="A258" s="32">
        <v>224</v>
      </c>
      <c r="B258" s="32">
        <f t="shared" si="6"/>
        <v>24</v>
      </c>
      <c r="C258" s="32">
        <f t="shared" si="7"/>
        <v>8</v>
      </c>
      <c r="D258" s="38" cm="1">
        <f t="array" ref="D258">INDEX('Chemio-2'!$B$2:$J$100,1+B258,C258)</f>
        <v>0</v>
      </c>
    </row>
    <row r="259" spans="1:4" x14ac:dyDescent="0.75">
      <c r="A259" s="32">
        <v>225</v>
      </c>
      <c r="B259" s="32">
        <f t="shared" si="6"/>
        <v>24</v>
      </c>
      <c r="C259" s="32">
        <f t="shared" si="7"/>
        <v>9</v>
      </c>
      <c r="D259" s="38" cm="1">
        <f t="array" ref="D259">INDEX('Chemio-2'!$B$2:$J$100,1+B259,C259)</f>
        <v>0</v>
      </c>
    </row>
    <row r="260" spans="1:4" x14ac:dyDescent="0.75">
      <c r="A260" s="32">
        <v>226</v>
      </c>
      <c r="B260" s="32">
        <f t="shared" si="6"/>
        <v>25</v>
      </c>
      <c r="C260" s="32">
        <f t="shared" si="7"/>
        <v>1</v>
      </c>
      <c r="D260" s="38" cm="1">
        <f t="array" ref="D260">INDEX('Chemio-2'!$B$2:$J$100,1+B260,C260)</f>
        <v>0</v>
      </c>
    </row>
    <row r="261" spans="1:4" x14ac:dyDescent="0.75">
      <c r="A261" s="32">
        <v>227</v>
      </c>
      <c r="B261" s="32">
        <f t="shared" si="6"/>
        <v>25</v>
      </c>
      <c r="C261" s="32">
        <f t="shared" si="7"/>
        <v>2</v>
      </c>
      <c r="D261" s="38" cm="1">
        <f t="array" ref="D261">INDEX('Chemio-2'!$B$2:$J$100,1+B261,C261)</f>
        <v>0</v>
      </c>
    </row>
    <row r="262" spans="1:4" x14ac:dyDescent="0.75">
      <c r="A262" s="32">
        <v>228</v>
      </c>
      <c r="B262" s="32">
        <f t="shared" si="6"/>
        <v>25</v>
      </c>
      <c r="C262" s="32">
        <f t="shared" si="7"/>
        <v>3</v>
      </c>
      <c r="D262" s="38" cm="1">
        <f t="array" ref="D262">INDEX('Chemio-2'!$B$2:$J$100,1+B262,C262)</f>
        <v>0</v>
      </c>
    </row>
    <row r="263" spans="1:4" x14ac:dyDescent="0.75">
      <c r="A263" s="32">
        <v>229</v>
      </c>
      <c r="B263" s="32">
        <f t="shared" si="6"/>
        <v>25</v>
      </c>
      <c r="C263" s="32">
        <f t="shared" si="7"/>
        <v>4</v>
      </c>
      <c r="D263" s="38" cm="1">
        <f t="array" ref="D263">INDEX('Chemio-2'!$B$2:$J$100,1+B263,C263)</f>
        <v>0</v>
      </c>
    </row>
    <row r="264" spans="1:4" x14ac:dyDescent="0.75">
      <c r="A264" s="32">
        <v>230</v>
      </c>
      <c r="B264" s="32">
        <f t="shared" si="6"/>
        <v>25</v>
      </c>
      <c r="C264" s="32">
        <f t="shared" si="7"/>
        <v>5</v>
      </c>
      <c r="D264" s="38" cm="1">
        <f t="array" ref="D264">INDEX('Chemio-2'!$B$2:$J$100,1+B264,C264)</f>
        <v>0</v>
      </c>
    </row>
    <row r="265" spans="1:4" x14ac:dyDescent="0.75">
      <c r="A265" s="32">
        <v>231</v>
      </c>
      <c r="B265" s="32">
        <f t="shared" si="6"/>
        <v>25</v>
      </c>
      <c r="C265" s="32">
        <f t="shared" si="7"/>
        <v>6</v>
      </c>
      <c r="D265" s="38" cm="1">
        <f t="array" ref="D265">INDEX('Chemio-2'!$B$2:$J$100,1+B265,C265)</f>
        <v>0</v>
      </c>
    </row>
    <row r="266" spans="1:4" x14ac:dyDescent="0.75">
      <c r="A266" s="32">
        <v>232</v>
      </c>
      <c r="B266" s="32">
        <f t="shared" si="6"/>
        <v>25</v>
      </c>
      <c r="C266" s="32">
        <f t="shared" si="7"/>
        <v>7</v>
      </c>
      <c r="D266" s="38" cm="1">
        <f t="array" ref="D266">INDEX('Chemio-2'!$B$2:$J$100,1+B266,C266)</f>
        <v>0</v>
      </c>
    </row>
    <row r="267" spans="1:4" x14ac:dyDescent="0.75">
      <c r="A267" s="32">
        <v>233</v>
      </c>
      <c r="B267" s="32">
        <f t="shared" si="6"/>
        <v>25</v>
      </c>
      <c r="C267" s="32">
        <f t="shared" si="7"/>
        <v>8</v>
      </c>
      <c r="D267" s="38" cm="1">
        <f t="array" ref="D267">INDEX('Chemio-2'!$B$2:$J$100,1+B267,C267)</f>
        <v>0</v>
      </c>
    </row>
    <row r="268" spans="1:4" x14ac:dyDescent="0.75">
      <c r="A268" s="32">
        <v>234</v>
      </c>
      <c r="B268" s="32">
        <f t="shared" si="6"/>
        <v>25</v>
      </c>
      <c r="C268" s="32">
        <f t="shared" si="7"/>
        <v>9</v>
      </c>
      <c r="D268" s="38" cm="1">
        <f t="array" ref="D268">INDEX('Chemio-2'!$B$2:$J$100,1+B268,C268)</f>
        <v>0</v>
      </c>
    </row>
    <row r="269" spans="1:4" x14ac:dyDescent="0.75">
      <c r="A269" s="32">
        <v>235</v>
      </c>
      <c r="B269" s="32">
        <f t="shared" si="6"/>
        <v>26</v>
      </c>
      <c r="C269" s="32">
        <f t="shared" si="7"/>
        <v>1</v>
      </c>
      <c r="D269" s="38" cm="1">
        <f t="array" ref="D269">INDEX('Chemio-2'!$B$2:$J$100,1+B269,C269)</f>
        <v>0</v>
      </c>
    </row>
    <row r="270" spans="1:4" x14ac:dyDescent="0.75">
      <c r="A270" s="32">
        <v>236</v>
      </c>
      <c r="B270" s="32">
        <f t="shared" si="6"/>
        <v>26</v>
      </c>
      <c r="C270" s="32">
        <f t="shared" si="7"/>
        <v>2</v>
      </c>
      <c r="D270" s="38" cm="1">
        <f t="array" ref="D270">INDEX('Chemio-2'!$B$2:$J$100,1+B270,C270)</f>
        <v>0</v>
      </c>
    </row>
    <row r="271" spans="1:4" x14ac:dyDescent="0.75">
      <c r="A271" s="32">
        <v>237</v>
      </c>
      <c r="B271" s="32">
        <f t="shared" si="6"/>
        <v>26</v>
      </c>
      <c r="C271" s="32">
        <f t="shared" si="7"/>
        <v>3</v>
      </c>
      <c r="D271" s="38" cm="1">
        <f t="array" ref="D271">INDEX('Chemio-2'!$B$2:$J$100,1+B271,C271)</f>
        <v>0</v>
      </c>
    </row>
    <row r="272" spans="1:4" x14ac:dyDescent="0.75">
      <c r="A272" s="32">
        <v>238</v>
      </c>
      <c r="B272" s="32">
        <f t="shared" si="6"/>
        <v>26</v>
      </c>
      <c r="C272" s="32">
        <f t="shared" si="7"/>
        <v>4</v>
      </c>
      <c r="D272" s="38" cm="1">
        <f t="array" ref="D272">INDEX('Chemio-2'!$B$2:$J$100,1+B272,C272)</f>
        <v>0</v>
      </c>
    </row>
    <row r="273" spans="1:4" x14ac:dyDescent="0.75">
      <c r="A273" s="32">
        <v>239</v>
      </c>
      <c r="B273" s="32">
        <f t="shared" si="6"/>
        <v>26</v>
      </c>
      <c r="C273" s="32">
        <f t="shared" si="7"/>
        <v>5</v>
      </c>
      <c r="D273" s="38" cm="1">
        <f t="array" ref="D273">INDEX('Chemio-2'!$B$2:$J$100,1+B273,C273)</f>
        <v>0</v>
      </c>
    </row>
    <row r="274" spans="1:4" x14ac:dyDescent="0.75">
      <c r="A274" s="32">
        <v>240</v>
      </c>
      <c r="B274" s="32">
        <f t="shared" si="6"/>
        <v>26</v>
      </c>
      <c r="C274" s="32">
        <f t="shared" si="7"/>
        <v>6</v>
      </c>
      <c r="D274" s="38" cm="1">
        <f t="array" ref="D274">INDEX('Chemio-2'!$B$2:$J$100,1+B274,C274)</f>
        <v>0</v>
      </c>
    </row>
    <row r="275" spans="1:4" x14ac:dyDescent="0.75">
      <c r="A275" s="32">
        <v>241</v>
      </c>
      <c r="B275" s="32">
        <f t="shared" si="6"/>
        <v>26</v>
      </c>
      <c r="C275" s="32">
        <f t="shared" si="7"/>
        <v>7</v>
      </c>
      <c r="D275" s="38" cm="1">
        <f t="array" ref="D275">INDEX('Chemio-2'!$B$2:$J$100,1+B275,C275)</f>
        <v>0</v>
      </c>
    </row>
    <row r="276" spans="1:4" x14ac:dyDescent="0.75">
      <c r="A276" s="32">
        <v>242</v>
      </c>
      <c r="B276" s="32">
        <f t="shared" si="6"/>
        <v>26</v>
      </c>
      <c r="C276" s="32">
        <f t="shared" si="7"/>
        <v>8</v>
      </c>
      <c r="D276" s="38" cm="1">
        <f t="array" ref="D276">INDEX('Chemio-2'!$B$2:$J$100,1+B276,C276)</f>
        <v>0</v>
      </c>
    </row>
    <row r="277" spans="1:4" x14ac:dyDescent="0.75">
      <c r="A277" s="32">
        <v>243</v>
      </c>
      <c r="B277" s="32">
        <f t="shared" si="6"/>
        <v>26</v>
      </c>
      <c r="C277" s="32">
        <f t="shared" si="7"/>
        <v>9</v>
      </c>
      <c r="D277" s="38" cm="1">
        <f t="array" ref="D277">INDEX('Chemio-2'!$B$2:$J$100,1+B277,C277)</f>
        <v>0</v>
      </c>
    </row>
    <row r="278" spans="1:4" x14ac:dyDescent="0.75">
      <c r="A278" s="32">
        <v>244</v>
      </c>
      <c r="B278" s="32">
        <f t="shared" si="6"/>
        <v>27</v>
      </c>
      <c r="C278" s="32">
        <f t="shared" si="7"/>
        <v>1</v>
      </c>
      <c r="D278" s="38" cm="1">
        <f t="array" ref="D278">INDEX('Chemio-2'!$B$2:$J$100,1+B278,C278)</f>
        <v>0</v>
      </c>
    </row>
    <row r="279" spans="1:4" x14ac:dyDescent="0.75">
      <c r="A279" s="32">
        <v>245</v>
      </c>
      <c r="B279" s="32">
        <f t="shared" si="6"/>
        <v>27</v>
      </c>
      <c r="C279" s="32">
        <f t="shared" si="7"/>
        <v>2</v>
      </c>
      <c r="D279" s="38" cm="1">
        <f t="array" ref="D279">INDEX('Chemio-2'!$B$2:$J$100,1+B279,C279)</f>
        <v>0</v>
      </c>
    </row>
    <row r="280" spans="1:4" x14ac:dyDescent="0.75">
      <c r="A280" s="32">
        <v>246</v>
      </c>
      <c r="B280" s="32">
        <f t="shared" si="6"/>
        <v>27</v>
      </c>
      <c r="C280" s="32">
        <f t="shared" si="7"/>
        <v>3</v>
      </c>
      <c r="D280" s="38" cm="1">
        <f t="array" ref="D280">INDEX('Chemio-2'!$B$2:$J$100,1+B280,C280)</f>
        <v>0</v>
      </c>
    </row>
    <row r="281" spans="1:4" x14ac:dyDescent="0.75">
      <c r="A281" s="32">
        <v>247</v>
      </c>
      <c r="B281" s="32">
        <f t="shared" si="6"/>
        <v>27</v>
      </c>
      <c r="C281" s="32">
        <f t="shared" si="7"/>
        <v>4</v>
      </c>
      <c r="D281" s="38" cm="1">
        <f t="array" ref="D281">INDEX('Chemio-2'!$B$2:$J$100,1+B281,C281)</f>
        <v>0</v>
      </c>
    </row>
    <row r="282" spans="1:4" x14ac:dyDescent="0.75">
      <c r="A282" s="32">
        <v>248</v>
      </c>
      <c r="B282" s="32">
        <f t="shared" si="6"/>
        <v>27</v>
      </c>
      <c r="C282" s="32">
        <f t="shared" si="7"/>
        <v>5</v>
      </c>
      <c r="D282" s="38" cm="1">
        <f t="array" ref="D282">INDEX('Chemio-2'!$B$2:$J$100,1+B282,C282)</f>
        <v>0</v>
      </c>
    </row>
    <row r="283" spans="1:4" x14ac:dyDescent="0.75">
      <c r="A283" s="32">
        <v>249</v>
      </c>
      <c r="B283" s="32">
        <f t="shared" si="6"/>
        <v>27</v>
      </c>
      <c r="C283" s="32">
        <f t="shared" si="7"/>
        <v>6</v>
      </c>
      <c r="D283" s="38" cm="1">
        <f t="array" ref="D283">INDEX('Chemio-2'!$B$2:$J$100,1+B283,C283)</f>
        <v>0</v>
      </c>
    </row>
    <row r="284" spans="1:4" x14ac:dyDescent="0.75">
      <c r="A284" s="32">
        <v>250</v>
      </c>
      <c r="B284" s="32">
        <f t="shared" si="6"/>
        <v>27</v>
      </c>
      <c r="C284" s="32">
        <f t="shared" si="7"/>
        <v>7</v>
      </c>
      <c r="D284" s="38" cm="1">
        <f t="array" ref="D284">INDEX('Chemio-2'!$B$2:$J$100,1+B284,C284)</f>
        <v>0</v>
      </c>
    </row>
    <row r="285" spans="1:4" x14ac:dyDescent="0.75">
      <c r="A285" s="32">
        <v>251</v>
      </c>
      <c r="B285" s="32">
        <f t="shared" si="6"/>
        <v>27</v>
      </c>
      <c r="C285" s="32">
        <f t="shared" si="7"/>
        <v>8</v>
      </c>
      <c r="D285" s="38" cm="1">
        <f t="array" ref="D285">INDEX('Chemio-2'!$B$2:$J$100,1+B285,C285)</f>
        <v>0</v>
      </c>
    </row>
    <row r="286" spans="1:4" x14ac:dyDescent="0.75">
      <c r="A286" s="32">
        <v>252</v>
      </c>
      <c r="B286" s="32">
        <f t="shared" si="6"/>
        <v>27</v>
      </c>
      <c r="C286" s="32">
        <f t="shared" si="7"/>
        <v>9</v>
      </c>
      <c r="D286" s="38" cm="1">
        <f t="array" ref="D286">INDEX('Chemio-2'!$B$2:$J$100,1+B286,C286)</f>
        <v>0</v>
      </c>
    </row>
    <row r="287" spans="1:4" x14ac:dyDescent="0.75">
      <c r="A287" s="32">
        <v>253</v>
      </c>
      <c r="B287" s="32">
        <f t="shared" si="6"/>
        <v>28</v>
      </c>
      <c r="C287" s="32">
        <f t="shared" si="7"/>
        <v>1</v>
      </c>
      <c r="D287" s="38" cm="1">
        <f t="array" ref="D287">INDEX('Chemio-2'!$B$2:$J$100,1+B287,C287)</f>
        <v>0</v>
      </c>
    </row>
    <row r="288" spans="1:4" x14ac:dyDescent="0.75">
      <c r="A288" s="32">
        <v>254</v>
      </c>
      <c r="B288" s="32">
        <f t="shared" si="6"/>
        <v>28</v>
      </c>
      <c r="C288" s="32">
        <f t="shared" si="7"/>
        <v>2</v>
      </c>
      <c r="D288" s="38" cm="1">
        <f t="array" ref="D288">INDEX('Chemio-2'!$B$2:$J$100,1+B288,C288)</f>
        <v>0</v>
      </c>
    </row>
    <row r="289" spans="1:4" x14ac:dyDescent="0.75">
      <c r="A289" s="32">
        <v>255</v>
      </c>
      <c r="B289" s="32">
        <f t="shared" si="6"/>
        <v>28</v>
      </c>
      <c r="C289" s="32">
        <f t="shared" si="7"/>
        <v>3</v>
      </c>
      <c r="D289" s="38" cm="1">
        <f t="array" ref="D289">INDEX('Chemio-2'!$B$2:$J$100,1+B289,C289)</f>
        <v>0</v>
      </c>
    </row>
    <row r="290" spans="1:4" x14ac:dyDescent="0.75">
      <c r="A290" s="32">
        <v>256</v>
      </c>
      <c r="B290" s="32">
        <f t="shared" si="6"/>
        <v>28</v>
      </c>
      <c r="C290" s="32">
        <f t="shared" si="7"/>
        <v>4</v>
      </c>
      <c r="D290" s="38" cm="1">
        <f t="array" ref="D290">INDEX('Chemio-2'!$B$2:$J$100,1+B290,C290)</f>
        <v>0</v>
      </c>
    </row>
    <row r="291" spans="1:4" x14ac:dyDescent="0.75">
      <c r="A291" s="32">
        <v>257</v>
      </c>
      <c r="B291" s="32">
        <f t="shared" si="6"/>
        <v>28</v>
      </c>
      <c r="C291" s="32">
        <f t="shared" si="7"/>
        <v>5</v>
      </c>
      <c r="D291" s="38" cm="1">
        <f t="array" ref="D291">INDEX('Chemio-2'!$B$2:$J$100,1+B291,C291)</f>
        <v>0</v>
      </c>
    </row>
    <row r="292" spans="1:4" x14ac:dyDescent="0.75">
      <c r="A292" s="32">
        <v>258</v>
      </c>
      <c r="B292" s="32">
        <f t="shared" ref="B292:B355" si="8">IF(MOD(A292,$B$25)=0,A292/$B$25-1,INT(A292/$B$25))</f>
        <v>28</v>
      </c>
      <c r="C292" s="32">
        <f t="shared" ref="C292:C355" si="9">IF(MOD(A292,$B$25)=0,$B$25,MOD(A292,$B$25))</f>
        <v>6</v>
      </c>
      <c r="D292" s="38" cm="1">
        <f t="array" ref="D292">INDEX('Chemio-2'!$B$2:$J$100,1+B292,C292)</f>
        <v>0</v>
      </c>
    </row>
    <row r="293" spans="1:4" x14ac:dyDescent="0.75">
      <c r="A293" s="32">
        <v>259</v>
      </c>
      <c r="B293" s="32">
        <f t="shared" si="8"/>
        <v>28</v>
      </c>
      <c r="C293" s="32">
        <f t="shared" si="9"/>
        <v>7</v>
      </c>
      <c r="D293" s="38" cm="1">
        <f t="array" ref="D293">INDEX('Chemio-2'!$B$2:$J$100,1+B293,C293)</f>
        <v>0</v>
      </c>
    </row>
    <row r="294" spans="1:4" x14ac:dyDescent="0.75">
      <c r="A294" s="32">
        <v>260</v>
      </c>
      <c r="B294" s="32">
        <f t="shared" si="8"/>
        <v>28</v>
      </c>
      <c r="C294" s="32">
        <f t="shared" si="9"/>
        <v>8</v>
      </c>
      <c r="D294" s="38" cm="1">
        <f t="array" ref="D294">INDEX('Chemio-2'!$B$2:$J$100,1+B294,C294)</f>
        <v>0</v>
      </c>
    </row>
    <row r="295" spans="1:4" x14ac:dyDescent="0.75">
      <c r="A295" s="32">
        <v>261</v>
      </c>
      <c r="B295" s="32">
        <f t="shared" si="8"/>
        <v>28</v>
      </c>
      <c r="C295" s="32">
        <f t="shared" si="9"/>
        <v>9</v>
      </c>
      <c r="D295" s="38" cm="1">
        <f t="array" ref="D295">INDEX('Chemio-2'!$B$2:$J$100,1+B295,C295)</f>
        <v>0</v>
      </c>
    </row>
    <row r="296" spans="1:4" x14ac:dyDescent="0.75">
      <c r="A296" s="32">
        <v>262</v>
      </c>
      <c r="B296" s="32">
        <f t="shared" si="8"/>
        <v>29</v>
      </c>
      <c r="C296" s="32">
        <f t="shared" si="9"/>
        <v>1</v>
      </c>
      <c r="D296" s="38" cm="1">
        <f t="array" ref="D296">INDEX('Chemio-2'!$B$2:$J$100,1+B296,C296)</f>
        <v>0</v>
      </c>
    </row>
    <row r="297" spans="1:4" x14ac:dyDescent="0.75">
      <c r="A297" s="32">
        <v>263</v>
      </c>
      <c r="B297" s="32">
        <f t="shared" si="8"/>
        <v>29</v>
      </c>
      <c r="C297" s="32">
        <f t="shared" si="9"/>
        <v>2</v>
      </c>
      <c r="D297" s="38" cm="1">
        <f t="array" ref="D297">INDEX('Chemio-2'!$B$2:$J$100,1+B297,C297)</f>
        <v>0</v>
      </c>
    </row>
    <row r="298" spans="1:4" x14ac:dyDescent="0.75">
      <c r="A298" s="32">
        <v>264</v>
      </c>
      <c r="B298" s="32">
        <f t="shared" si="8"/>
        <v>29</v>
      </c>
      <c r="C298" s="32">
        <f t="shared" si="9"/>
        <v>3</v>
      </c>
      <c r="D298" s="38" cm="1">
        <f t="array" ref="D298">INDEX('Chemio-2'!$B$2:$J$100,1+B298,C298)</f>
        <v>0</v>
      </c>
    </row>
    <row r="299" spans="1:4" x14ac:dyDescent="0.75">
      <c r="A299" s="32">
        <v>265</v>
      </c>
      <c r="B299" s="32">
        <f t="shared" si="8"/>
        <v>29</v>
      </c>
      <c r="C299" s="32">
        <f t="shared" si="9"/>
        <v>4</v>
      </c>
      <c r="D299" s="38" cm="1">
        <f t="array" ref="D299">INDEX('Chemio-2'!$B$2:$J$100,1+B299,C299)</f>
        <v>0</v>
      </c>
    </row>
    <row r="300" spans="1:4" x14ac:dyDescent="0.75">
      <c r="A300" s="32">
        <v>266</v>
      </c>
      <c r="B300" s="32">
        <f t="shared" si="8"/>
        <v>29</v>
      </c>
      <c r="C300" s="32">
        <f t="shared" si="9"/>
        <v>5</v>
      </c>
      <c r="D300" s="38" cm="1">
        <f t="array" ref="D300">INDEX('Chemio-2'!$B$2:$J$100,1+B300,C300)</f>
        <v>0</v>
      </c>
    </row>
    <row r="301" spans="1:4" x14ac:dyDescent="0.75">
      <c r="A301" s="32">
        <v>267</v>
      </c>
      <c r="B301" s="32">
        <f t="shared" si="8"/>
        <v>29</v>
      </c>
      <c r="C301" s="32">
        <f t="shared" si="9"/>
        <v>6</v>
      </c>
      <c r="D301" s="38" cm="1">
        <f t="array" ref="D301">INDEX('Chemio-2'!$B$2:$J$100,1+B301,C301)</f>
        <v>0</v>
      </c>
    </row>
    <row r="302" spans="1:4" x14ac:dyDescent="0.75">
      <c r="A302" s="32">
        <v>268</v>
      </c>
      <c r="B302" s="32">
        <f t="shared" si="8"/>
        <v>29</v>
      </c>
      <c r="C302" s="32">
        <f t="shared" si="9"/>
        <v>7</v>
      </c>
      <c r="D302" s="38" cm="1">
        <f t="array" ref="D302">INDEX('Chemio-2'!$B$2:$J$100,1+B302,C302)</f>
        <v>0</v>
      </c>
    </row>
    <row r="303" spans="1:4" x14ac:dyDescent="0.75">
      <c r="A303" s="32">
        <v>269</v>
      </c>
      <c r="B303" s="32">
        <f t="shared" si="8"/>
        <v>29</v>
      </c>
      <c r="C303" s="32">
        <f t="shared" si="9"/>
        <v>8</v>
      </c>
      <c r="D303" s="38" cm="1">
        <f t="array" ref="D303">INDEX('Chemio-2'!$B$2:$J$100,1+B303,C303)</f>
        <v>0</v>
      </c>
    </row>
    <row r="304" spans="1:4" x14ac:dyDescent="0.75">
      <c r="A304" s="32">
        <v>270</v>
      </c>
      <c r="B304" s="32">
        <f t="shared" si="8"/>
        <v>29</v>
      </c>
      <c r="C304" s="32">
        <f t="shared" si="9"/>
        <v>9</v>
      </c>
      <c r="D304" s="38" cm="1">
        <f t="array" ref="D304">INDEX('Chemio-2'!$B$2:$J$100,1+B304,C304)</f>
        <v>0</v>
      </c>
    </row>
    <row r="305" spans="1:4" x14ac:dyDescent="0.75">
      <c r="A305" s="32">
        <v>271</v>
      </c>
      <c r="B305" s="32">
        <f t="shared" si="8"/>
        <v>30</v>
      </c>
      <c r="C305" s="32">
        <f t="shared" si="9"/>
        <v>1</v>
      </c>
      <c r="D305" s="38" cm="1">
        <f t="array" ref="D305">INDEX('Chemio-2'!$B$2:$J$100,1+B305,C305)</f>
        <v>0</v>
      </c>
    </row>
    <row r="306" spans="1:4" x14ac:dyDescent="0.75">
      <c r="A306" s="32">
        <v>272</v>
      </c>
      <c r="B306" s="32">
        <f t="shared" si="8"/>
        <v>30</v>
      </c>
      <c r="C306" s="32">
        <f t="shared" si="9"/>
        <v>2</v>
      </c>
      <c r="D306" s="38" cm="1">
        <f t="array" ref="D306">INDEX('Chemio-2'!$B$2:$J$100,1+B306,C306)</f>
        <v>0</v>
      </c>
    </row>
    <row r="307" spans="1:4" x14ac:dyDescent="0.75">
      <c r="A307" s="32">
        <v>273</v>
      </c>
      <c r="B307" s="32">
        <f t="shared" si="8"/>
        <v>30</v>
      </c>
      <c r="C307" s="32">
        <f t="shared" si="9"/>
        <v>3</v>
      </c>
      <c r="D307" s="38" cm="1">
        <f t="array" ref="D307">INDEX('Chemio-2'!$B$2:$J$100,1+B307,C307)</f>
        <v>0</v>
      </c>
    </row>
    <row r="308" spans="1:4" x14ac:dyDescent="0.75">
      <c r="A308" s="32">
        <v>274</v>
      </c>
      <c r="B308" s="32">
        <f t="shared" si="8"/>
        <v>30</v>
      </c>
      <c r="C308" s="32">
        <f t="shared" si="9"/>
        <v>4</v>
      </c>
      <c r="D308" s="38" cm="1">
        <f t="array" ref="D308">INDEX('Chemio-2'!$B$2:$J$100,1+B308,C308)</f>
        <v>0</v>
      </c>
    </row>
    <row r="309" spans="1:4" x14ac:dyDescent="0.75">
      <c r="A309" s="32">
        <v>275</v>
      </c>
      <c r="B309" s="32">
        <f t="shared" si="8"/>
        <v>30</v>
      </c>
      <c r="C309" s="32">
        <f t="shared" si="9"/>
        <v>5</v>
      </c>
      <c r="D309" s="38" cm="1">
        <f t="array" ref="D309">INDEX('Chemio-2'!$B$2:$J$100,1+B309,C309)</f>
        <v>0</v>
      </c>
    </row>
    <row r="310" spans="1:4" x14ac:dyDescent="0.75">
      <c r="A310" s="32">
        <v>276</v>
      </c>
      <c r="B310" s="32">
        <f t="shared" si="8"/>
        <v>30</v>
      </c>
      <c r="C310" s="32">
        <f t="shared" si="9"/>
        <v>6</v>
      </c>
      <c r="D310" s="38" cm="1">
        <f t="array" ref="D310">INDEX('Chemio-2'!$B$2:$J$100,1+B310,C310)</f>
        <v>0</v>
      </c>
    </row>
    <row r="311" spans="1:4" x14ac:dyDescent="0.75">
      <c r="A311" s="32">
        <v>277</v>
      </c>
      <c r="B311" s="32">
        <f t="shared" si="8"/>
        <v>30</v>
      </c>
      <c r="C311" s="32">
        <f t="shared" si="9"/>
        <v>7</v>
      </c>
      <c r="D311" s="38" cm="1">
        <f t="array" ref="D311">INDEX('Chemio-2'!$B$2:$J$100,1+B311,C311)</f>
        <v>0</v>
      </c>
    </row>
    <row r="312" spans="1:4" x14ac:dyDescent="0.75">
      <c r="A312" s="32">
        <v>278</v>
      </c>
      <c r="B312" s="32">
        <f t="shared" si="8"/>
        <v>30</v>
      </c>
      <c r="C312" s="32">
        <f t="shared" si="9"/>
        <v>8</v>
      </c>
      <c r="D312" s="38" cm="1">
        <f t="array" ref="D312">INDEX('Chemio-2'!$B$2:$J$100,1+B312,C312)</f>
        <v>0</v>
      </c>
    </row>
    <row r="313" spans="1:4" x14ac:dyDescent="0.75">
      <c r="A313" s="32">
        <v>279</v>
      </c>
      <c r="B313" s="32">
        <f t="shared" si="8"/>
        <v>30</v>
      </c>
      <c r="C313" s="32">
        <f t="shared" si="9"/>
        <v>9</v>
      </c>
      <c r="D313" s="38" cm="1">
        <f t="array" ref="D313">INDEX('Chemio-2'!$B$2:$J$100,1+B313,C313)</f>
        <v>0</v>
      </c>
    </row>
    <row r="314" spans="1:4" x14ac:dyDescent="0.75">
      <c r="A314" s="32">
        <v>280</v>
      </c>
      <c r="B314" s="32">
        <f t="shared" si="8"/>
        <v>31</v>
      </c>
      <c r="C314" s="32">
        <f t="shared" si="9"/>
        <v>1</v>
      </c>
      <c r="D314" s="38" cm="1">
        <f t="array" ref="D314">INDEX('Chemio-2'!$B$2:$J$100,1+B314,C314)</f>
        <v>0</v>
      </c>
    </row>
    <row r="315" spans="1:4" x14ac:dyDescent="0.75">
      <c r="A315" s="32">
        <v>281</v>
      </c>
      <c r="B315" s="32">
        <f t="shared" si="8"/>
        <v>31</v>
      </c>
      <c r="C315" s="32">
        <f t="shared" si="9"/>
        <v>2</v>
      </c>
      <c r="D315" s="38" cm="1">
        <f t="array" ref="D315">INDEX('Chemio-2'!$B$2:$J$100,1+B315,C315)</f>
        <v>0</v>
      </c>
    </row>
    <row r="316" spans="1:4" x14ac:dyDescent="0.75">
      <c r="A316" s="32">
        <v>282</v>
      </c>
      <c r="B316" s="32">
        <f t="shared" si="8"/>
        <v>31</v>
      </c>
      <c r="C316" s="32">
        <f t="shared" si="9"/>
        <v>3</v>
      </c>
      <c r="D316" s="38" cm="1">
        <f t="array" ref="D316">INDEX('Chemio-2'!$B$2:$J$100,1+B316,C316)</f>
        <v>0</v>
      </c>
    </row>
    <row r="317" spans="1:4" x14ac:dyDescent="0.75">
      <c r="A317" s="32">
        <v>283</v>
      </c>
      <c r="B317" s="32">
        <f t="shared" si="8"/>
        <v>31</v>
      </c>
      <c r="C317" s="32">
        <f t="shared" si="9"/>
        <v>4</v>
      </c>
      <c r="D317" s="38" cm="1">
        <f t="array" ref="D317">INDEX('Chemio-2'!$B$2:$J$100,1+B317,C317)</f>
        <v>0</v>
      </c>
    </row>
    <row r="318" spans="1:4" x14ac:dyDescent="0.75">
      <c r="A318" s="32">
        <v>284</v>
      </c>
      <c r="B318" s="32">
        <f t="shared" si="8"/>
        <v>31</v>
      </c>
      <c r="C318" s="32">
        <f t="shared" si="9"/>
        <v>5</v>
      </c>
      <c r="D318" s="38" cm="1">
        <f t="array" ref="D318">INDEX('Chemio-2'!$B$2:$J$100,1+B318,C318)</f>
        <v>0</v>
      </c>
    </row>
    <row r="319" spans="1:4" x14ac:dyDescent="0.75">
      <c r="A319" s="32">
        <v>285</v>
      </c>
      <c r="B319" s="32">
        <f t="shared" si="8"/>
        <v>31</v>
      </c>
      <c r="C319" s="32">
        <f t="shared" si="9"/>
        <v>6</v>
      </c>
      <c r="D319" s="38" cm="1">
        <f t="array" ref="D319">INDEX('Chemio-2'!$B$2:$J$100,1+B319,C319)</f>
        <v>0</v>
      </c>
    </row>
    <row r="320" spans="1:4" x14ac:dyDescent="0.75">
      <c r="A320" s="32">
        <v>286</v>
      </c>
      <c r="B320" s="32">
        <f t="shared" si="8"/>
        <v>31</v>
      </c>
      <c r="C320" s="32">
        <f t="shared" si="9"/>
        <v>7</v>
      </c>
      <c r="D320" s="38" cm="1">
        <f t="array" ref="D320">INDEX('Chemio-2'!$B$2:$J$100,1+B320,C320)</f>
        <v>0</v>
      </c>
    </row>
    <row r="321" spans="1:4" x14ac:dyDescent="0.75">
      <c r="A321" s="32">
        <v>287</v>
      </c>
      <c r="B321" s="32">
        <f t="shared" si="8"/>
        <v>31</v>
      </c>
      <c r="C321" s="32">
        <f t="shared" si="9"/>
        <v>8</v>
      </c>
      <c r="D321" s="38" cm="1">
        <f t="array" ref="D321">INDEX('Chemio-2'!$B$2:$J$100,1+B321,C321)</f>
        <v>0</v>
      </c>
    </row>
    <row r="322" spans="1:4" x14ac:dyDescent="0.75">
      <c r="A322" s="32">
        <v>288</v>
      </c>
      <c r="B322" s="32">
        <f t="shared" si="8"/>
        <v>31</v>
      </c>
      <c r="C322" s="32">
        <f t="shared" si="9"/>
        <v>9</v>
      </c>
      <c r="D322" s="38" cm="1">
        <f t="array" ref="D322">INDEX('Chemio-2'!$B$2:$J$100,1+B322,C322)</f>
        <v>0</v>
      </c>
    </row>
    <row r="323" spans="1:4" x14ac:dyDescent="0.75">
      <c r="A323" s="32">
        <v>289</v>
      </c>
      <c r="B323" s="32">
        <f t="shared" si="8"/>
        <v>32</v>
      </c>
      <c r="C323" s="32">
        <f t="shared" si="9"/>
        <v>1</v>
      </c>
      <c r="D323" s="38" cm="1">
        <f t="array" ref="D323">INDEX('Chemio-2'!$B$2:$J$100,1+B323,C323)</f>
        <v>0</v>
      </c>
    </row>
    <row r="324" spans="1:4" x14ac:dyDescent="0.75">
      <c r="A324" s="32">
        <v>290</v>
      </c>
      <c r="B324" s="32">
        <f t="shared" si="8"/>
        <v>32</v>
      </c>
      <c r="C324" s="32">
        <f t="shared" si="9"/>
        <v>2</v>
      </c>
      <c r="D324" s="38" cm="1">
        <f t="array" ref="D324">INDEX('Chemio-2'!$B$2:$J$100,1+B324,C324)</f>
        <v>0</v>
      </c>
    </row>
    <row r="325" spans="1:4" x14ac:dyDescent="0.75">
      <c r="A325" s="32">
        <v>291</v>
      </c>
      <c r="B325" s="32">
        <f t="shared" si="8"/>
        <v>32</v>
      </c>
      <c r="C325" s="32">
        <f t="shared" si="9"/>
        <v>3</v>
      </c>
      <c r="D325" s="38" cm="1">
        <f t="array" ref="D325">INDEX('Chemio-2'!$B$2:$J$100,1+B325,C325)</f>
        <v>0</v>
      </c>
    </row>
    <row r="326" spans="1:4" x14ac:dyDescent="0.75">
      <c r="A326" s="32">
        <v>292</v>
      </c>
      <c r="B326" s="32">
        <f t="shared" si="8"/>
        <v>32</v>
      </c>
      <c r="C326" s="32">
        <f t="shared" si="9"/>
        <v>4</v>
      </c>
      <c r="D326" s="38" cm="1">
        <f t="array" ref="D326">INDEX('Chemio-2'!$B$2:$J$100,1+B326,C326)</f>
        <v>0</v>
      </c>
    </row>
    <row r="327" spans="1:4" x14ac:dyDescent="0.75">
      <c r="A327" s="32">
        <v>293</v>
      </c>
      <c r="B327" s="32">
        <f t="shared" si="8"/>
        <v>32</v>
      </c>
      <c r="C327" s="32">
        <f t="shared" si="9"/>
        <v>5</v>
      </c>
      <c r="D327" s="38" cm="1">
        <f t="array" ref="D327">INDEX('Chemio-2'!$B$2:$J$100,1+B327,C327)</f>
        <v>0</v>
      </c>
    </row>
    <row r="328" spans="1:4" x14ac:dyDescent="0.75">
      <c r="A328" s="32">
        <v>294</v>
      </c>
      <c r="B328" s="32">
        <f t="shared" si="8"/>
        <v>32</v>
      </c>
      <c r="C328" s="32">
        <f t="shared" si="9"/>
        <v>6</v>
      </c>
      <c r="D328" s="38" cm="1">
        <f t="array" ref="D328">INDEX('Chemio-2'!$B$2:$J$100,1+B328,C328)</f>
        <v>0</v>
      </c>
    </row>
    <row r="329" spans="1:4" x14ac:dyDescent="0.75">
      <c r="A329" s="32">
        <v>295</v>
      </c>
      <c r="B329" s="32">
        <f t="shared" si="8"/>
        <v>32</v>
      </c>
      <c r="C329" s="32">
        <f t="shared" si="9"/>
        <v>7</v>
      </c>
      <c r="D329" s="38" cm="1">
        <f t="array" ref="D329">INDEX('Chemio-2'!$B$2:$J$100,1+B329,C329)</f>
        <v>0</v>
      </c>
    </row>
    <row r="330" spans="1:4" x14ac:dyDescent="0.75">
      <c r="A330" s="32">
        <v>296</v>
      </c>
      <c r="B330" s="32">
        <f t="shared" si="8"/>
        <v>32</v>
      </c>
      <c r="C330" s="32">
        <f t="shared" si="9"/>
        <v>8</v>
      </c>
      <c r="D330" s="38" cm="1">
        <f t="array" ref="D330">INDEX('Chemio-2'!$B$2:$J$100,1+B330,C330)</f>
        <v>0</v>
      </c>
    </row>
    <row r="331" spans="1:4" x14ac:dyDescent="0.75">
      <c r="A331" s="32">
        <v>297</v>
      </c>
      <c r="B331" s="32">
        <f t="shared" si="8"/>
        <v>32</v>
      </c>
      <c r="C331" s="32">
        <f t="shared" si="9"/>
        <v>9</v>
      </c>
      <c r="D331" s="38" cm="1">
        <f t="array" ref="D331">INDEX('Chemio-2'!$B$2:$J$100,1+B331,C331)</f>
        <v>0</v>
      </c>
    </row>
    <row r="332" spans="1:4" x14ac:dyDescent="0.75">
      <c r="A332" s="32">
        <v>298</v>
      </c>
      <c r="B332" s="32">
        <f t="shared" si="8"/>
        <v>33</v>
      </c>
      <c r="C332" s="32">
        <f t="shared" si="9"/>
        <v>1</v>
      </c>
      <c r="D332" s="38" cm="1">
        <f t="array" ref="D332">INDEX('Chemio-2'!$B$2:$J$100,1+B332,C332)</f>
        <v>0</v>
      </c>
    </row>
    <row r="333" spans="1:4" x14ac:dyDescent="0.75">
      <c r="A333" s="32">
        <v>299</v>
      </c>
      <c r="B333" s="32">
        <f t="shared" si="8"/>
        <v>33</v>
      </c>
      <c r="C333" s="32">
        <f t="shared" si="9"/>
        <v>2</v>
      </c>
      <c r="D333" s="38" cm="1">
        <f t="array" ref="D333">INDEX('Chemio-2'!$B$2:$J$100,1+B333,C333)</f>
        <v>0</v>
      </c>
    </row>
    <row r="334" spans="1:4" x14ac:dyDescent="0.75">
      <c r="A334" s="32">
        <v>300</v>
      </c>
      <c r="B334" s="32">
        <f t="shared" si="8"/>
        <v>33</v>
      </c>
      <c r="C334" s="32">
        <f t="shared" si="9"/>
        <v>3</v>
      </c>
      <c r="D334" s="38" cm="1">
        <f t="array" ref="D334">INDEX('Chemio-2'!$B$2:$J$100,1+B334,C334)</f>
        <v>0</v>
      </c>
    </row>
    <row r="335" spans="1:4" x14ac:dyDescent="0.75">
      <c r="A335" s="32">
        <v>301</v>
      </c>
      <c r="B335" s="32">
        <f t="shared" si="8"/>
        <v>33</v>
      </c>
      <c r="C335" s="32">
        <f t="shared" si="9"/>
        <v>4</v>
      </c>
      <c r="D335" s="38" cm="1">
        <f t="array" ref="D335">INDEX('Chemio-2'!$B$2:$J$100,1+B335,C335)</f>
        <v>0</v>
      </c>
    </row>
    <row r="336" spans="1:4" x14ac:dyDescent="0.75">
      <c r="A336" s="32">
        <v>302</v>
      </c>
      <c r="B336" s="32">
        <f t="shared" si="8"/>
        <v>33</v>
      </c>
      <c r="C336" s="32">
        <f t="shared" si="9"/>
        <v>5</v>
      </c>
      <c r="D336" s="38" cm="1">
        <f t="array" ref="D336">INDEX('Chemio-2'!$B$2:$J$100,1+B336,C336)</f>
        <v>0</v>
      </c>
    </row>
    <row r="337" spans="1:4" x14ac:dyDescent="0.75">
      <c r="A337" s="32">
        <v>303</v>
      </c>
      <c r="B337" s="32">
        <f t="shared" si="8"/>
        <v>33</v>
      </c>
      <c r="C337" s="32">
        <f t="shared" si="9"/>
        <v>6</v>
      </c>
      <c r="D337" s="38" cm="1">
        <f t="array" ref="D337">INDEX('Chemio-2'!$B$2:$J$100,1+B337,C337)</f>
        <v>0</v>
      </c>
    </row>
    <row r="338" spans="1:4" x14ac:dyDescent="0.75">
      <c r="A338" s="32">
        <v>304</v>
      </c>
      <c r="B338" s="32">
        <f t="shared" si="8"/>
        <v>33</v>
      </c>
      <c r="C338" s="32">
        <f t="shared" si="9"/>
        <v>7</v>
      </c>
      <c r="D338" s="38" cm="1">
        <f t="array" ref="D338">INDEX('Chemio-2'!$B$2:$J$100,1+B338,C338)</f>
        <v>0</v>
      </c>
    </row>
    <row r="339" spans="1:4" x14ac:dyDescent="0.75">
      <c r="A339" s="32">
        <v>305</v>
      </c>
      <c r="B339" s="32">
        <f t="shared" si="8"/>
        <v>33</v>
      </c>
      <c r="C339" s="32">
        <f t="shared" si="9"/>
        <v>8</v>
      </c>
      <c r="D339" s="38" cm="1">
        <f t="array" ref="D339">INDEX('Chemio-2'!$B$2:$J$100,1+B339,C339)</f>
        <v>0</v>
      </c>
    </row>
    <row r="340" spans="1:4" x14ac:dyDescent="0.75">
      <c r="A340" s="32">
        <v>306</v>
      </c>
      <c r="B340" s="32">
        <f t="shared" si="8"/>
        <v>33</v>
      </c>
      <c r="C340" s="32">
        <f t="shared" si="9"/>
        <v>9</v>
      </c>
      <c r="D340" s="38" cm="1">
        <f t="array" ref="D340">INDEX('Chemio-2'!$B$2:$J$100,1+B340,C340)</f>
        <v>0</v>
      </c>
    </row>
    <row r="341" spans="1:4" x14ac:dyDescent="0.75">
      <c r="A341" s="32">
        <v>307</v>
      </c>
      <c r="B341" s="32">
        <f t="shared" si="8"/>
        <v>34</v>
      </c>
      <c r="C341" s="32">
        <f t="shared" si="9"/>
        <v>1</v>
      </c>
      <c r="D341" s="38" cm="1">
        <f t="array" ref="D341">INDEX('Chemio-2'!$B$2:$J$100,1+B341,C341)</f>
        <v>0</v>
      </c>
    </row>
    <row r="342" spans="1:4" x14ac:dyDescent="0.75">
      <c r="A342" s="32">
        <v>308</v>
      </c>
      <c r="B342" s="32">
        <f t="shared" si="8"/>
        <v>34</v>
      </c>
      <c r="C342" s="32">
        <f t="shared" si="9"/>
        <v>2</v>
      </c>
      <c r="D342" s="38" cm="1">
        <f t="array" ref="D342">INDEX('Chemio-2'!$B$2:$J$100,1+B342,C342)</f>
        <v>0</v>
      </c>
    </row>
    <row r="343" spans="1:4" x14ac:dyDescent="0.75">
      <c r="A343" s="32">
        <v>309</v>
      </c>
      <c r="B343" s="32">
        <f t="shared" si="8"/>
        <v>34</v>
      </c>
      <c r="C343" s="32">
        <f t="shared" si="9"/>
        <v>3</v>
      </c>
      <c r="D343" s="38" cm="1">
        <f t="array" ref="D343">INDEX('Chemio-2'!$B$2:$J$100,1+B343,C343)</f>
        <v>0</v>
      </c>
    </row>
    <row r="344" spans="1:4" x14ac:dyDescent="0.75">
      <c r="A344" s="32">
        <v>310</v>
      </c>
      <c r="B344" s="32">
        <f t="shared" si="8"/>
        <v>34</v>
      </c>
      <c r="C344" s="32">
        <f t="shared" si="9"/>
        <v>4</v>
      </c>
      <c r="D344" s="38" cm="1">
        <f t="array" ref="D344">INDEX('Chemio-2'!$B$2:$J$100,1+B344,C344)</f>
        <v>0</v>
      </c>
    </row>
    <row r="345" spans="1:4" x14ac:dyDescent="0.75">
      <c r="A345" s="32">
        <v>311</v>
      </c>
      <c r="B345" s="32">
        <f t="shared" si="8"/>
        <v>34</v>
      </c>
      <c r="C345" s="32">
        <f t="shared" si="9"/>
        <v>5</v>
      </c>
      <c r="D345" s="38" cm="1">
        <f t="array" ref="D345">INDEX('Chemio-2'!$B$2:$J$100,1+B345,C345)</f>
        <v>0</v>
      </c>
    </row>
    <row r="346" spans="1:4" x14ac:dyDescent="0.75">
      <c r="A346" s="32">
        <v>312</v>
      </c>
      <c r="B346" s="32">
        <f t="shared" si="8"/>
        <v>34</v>
      </c>
      <c r="C346" s="32">
        <f t="shared" si="9"/>
        <v>6</v>
      </c>
      <c r="D346" s="38" cm="1">
        <f t="array" ref="D346">INDEX('Chemio-2'!$B$2:$J$100,1+B346,C346)</f>
        <v>0</v>
      </c>
    </row>
    <row r="347" spans="1:4" x14ac:dyDescent="0.75">
      <c r="A347" s="32">
        <v>313</v>
      </c>
      <c r="B347" s="32">
        <f t="shared" si="8"/>
        <v>34</v>
      </c>
      <c r="C347" s="32">
        <f t="shared" si="9"/>
        <v>7</v>
      </c>
      <c r="D347" s="38" cm="1">
        <f t="array" ref="D347">INDEX('Chemio-2'!$B$2:$J$100,1+B347,C347)</f>
        <v>0</v>
      </c>
    </row>
    <row r="348" spans="1:4" x14ac:dyDescent="0.75">
      <c r="A348" s="32">
        <v>314</v>
      </c>
      <c r="B348" s="32">
        <f t="shared" si="8"/>
        <v>34</v>
      </c>
      <c r="C348" s="32">
        <f t="shared" si="9"/>
        <v>8</v>
      </c>
      <c r="D348" s="38" cm="1">
        <f t="array" ref="D348">INDEX('Chemio-2'!$B$2:$J$100,1+B348,C348)</f>
        <v>0</v>
      </c>
    </row>
    <row r="349" spans="1:4" x14ac:dyDescent="0.75">
      <c r="A349" s="32">
        <v>315</v>
      </c>
      <c r="B349" s="32">
        <f t="shared" si="8"/>
        <v>34</v>
      </c>
      <c r="C349" s="32">
        <f t="shared" si="9"/>
        <v>9</v>
      </c>
      <c r="D349" s="38" cm="1">
        <f t="array" ref="D349">INDEX('Chemio-2'!$B$2:$J$100,1+B349,C349)</f>
        <v>0</v>
      </c>
    </row>
    <row r="350" spans="1:4" x14ac:dyDescent="0.75">
      <c r="A350" s="32">
        <v>316</v>
      </c>
      <c r="B350" s="32">
        <f t="shared" si="8"/>
        <v>35</v>
      </c>
      <c r="C350" s="32">
        <f t="shared" si="9"/>
        <v>1</v>
      </c>
      <c r="D350" s="38" cm="1">
        <f t="array" ref="D350">INDEX('Chemio-2'!$B$2:$J$100,1+B350,C350)</f>
        <v>0</v>
      </c>
    </row>
    <row r="351" spans="1:4" x14ac:dyDescent="0.75">
      <c r="A351" s="32">
        <v>317</v>
      </c>
      <c r="B351" s="32">
        <f t="shared" si="8"/>
        <v>35</v>
      </c>
      <c r="C351" s="32">
        <f t="shared" si="9"/>
        <v>2</v>
      </c>
      <c r="D351" s="38" cm="1">
        <f t="array" ref="D351">INDEX('Chemio-2'!$B$2:$J$100,1+B351,C351)</f>
        <v>0</v>
      </c>
    </row>
    <row r="352" spans="1:4" x14ac:dyDescent="0.75">
      <c r="A352" s="32">
        <v>318</v>
      </c>
      <c r="B352" s="32">
        <f t="shared" si="8"/>
        <v>35</v>
      </c>
      <c r="C352" s="32">
        <f t="shared" si="9"/>
        <v>3</v>
      </c>
      <c r="D352" s="38" cm="1">
        <f t="array" ref="D352">INDEX('Chemio-2'!$B$2:$J$100,1+B352,C352)</f>
        <v>0</v>
      </c>
    </row>
    <row r="353" spans="1:4" x14ac:dyDescent="0.75">
      <c r="A353" s="32">
        <v>319</v>
      </c>
      <c r="B353" s="32">
        <f t="shared" si="8"/>
        <v>35</v>
      </c>
      <c r="C353" s="32">
        <f t="shared" si="9"/>
        <v>4</v>
      </c>
      <c r="D353" s="38" cm="1">
        <f t="array" ref="D353">INDEX('Chemio-2'!$B$2:$J$100,1+B353,C353)</f>
        <v>0</v>
      </c>
    </row>
    <row r="354" spans="1:4" x14ac:dyDescent="0.75">
      <c r="A354" s="32">
        <v>320</v>
      </c>
      <c r="B354" s="32">
        <f t="shared" si="8"/>
        <v>35</v>
      </c>
      <c r="C354" s="32">
        <f t="shared" si="9"/>
        <v>5</v>
      </c>
      <c r="D354" s="38" cm="1">
        <f t="array" ref="D354">INDEX('Chemio-2'!$B$2:$J$100,1+B354,C354)</f>
        <v>0</v>
      </c>
    </row>
    <row r="355" spans="1:4" x14ac:dyDescent="0.75">
      <c r="A355" s="32">
        <v>321</v>
      </c>
      <c r="B355" s="32">
        <f t="shared" si="8"/>
        <v>35</v>
      </c>
      <c r="C355" s="32">
        <f t="shared" si="9"/>
        <v>6</v>
      </c>
      <c r="D355" s="38" cm="1">
        <f t="array" ref="D355">INDEX('Chemio-2'!$B$2:$J$100,1+B355,C355)</f>
        <v>0</v>
      </c>
    </row>
    <row r="356" spans="1:4" x14ac:dyDescent="0.75">
      <c r="A356" s="32">
        <v>322</v>
      </c>
      <c r="B356" s="32">
        <f t="shared" ref="B356:B419" si="10">IF(MOD(A356,$B$25)=0,A356/$B$25-1,INT(A356/$B$25))</f>
        <v>35</v>
      </c>
      <c r="C356" s="32">
        <f t="shared" ref="C356:C419" si="11">IF(MOD(A356,$B$25)=0,$B$25,MOD(A356,$B$25))</f>
        <v>7</v>
      </c>
      <c r="D356" s="38" cm="1">
        <f t="array" ref="D356">INDEX('Chemio-2'!$B$2:$J$100,1+B356,C356)</f>
        <v>0</v>
      </c>
    </row>
    <row r="357" spans="1:4" x14ac:dyDescent="0.75">
      <c r="A357" s="32">
        <v>323</v>
      </c>
      <c r="B357" s="32">
        <f t="shared" si="10"/>
        <v>35</v>
      </c>
      <c r="C357" s="32">
        <f t="shared" si="11"/>
        <v>8</v>
      </c>
      <c r="D357" s="38" cm="1">
        <f t="array" ref="D357">INDEX('Chemio-2'!$B$2:$J$100,1+B357,C357)</f>
        <v>0</v>
      </c>
    </row>
    <row r="358" spans="1:4" x14ac:dyDescent="0.75">
      <c r="A358" s="32">
        <v>324</v>
      </c>
      <c r="B358" s="32">
        <f t="shared" si="10"/>
        <v>35</v>
      </c>
      <c r="C358" s="32">
        <f t="shared" si="11"/>
        <v>9</v>
      </c>
      <c r="D358" s="38" cm="1">
        <f t="array" ref="D358">INDEX('Chemio-2'!$B$2:$J$100,1+B358,C358)</f>
        <v>0</v>
      </c>
    </row>
    <row r="359" spans="1:4" x14ac:dyDescent="0.75">
      <c r="A359" s="32">
        <v>325</v>
      </c>
      <c r="B359" s="32">
        <f t="shared" si="10"/>
        <v>36</v>
      </c>
      <c r="C359" s="32">
        <f t="shared" si="11"/>
        <v>1</v>
      </c>
      <c r="D359" s="38" cm="1">
        <f t="array" ref="D359">INDEX('Chemio-2'!$B$2:$J$100,1+B359,C359)</f>
        <v>0</v>
      </c>
    </row>
    <row r="360" spans="1:4" x14ac:dyDescent="0.75">
      <c r="A360" s="32">
        <v>326</v>
      </c>
      <c r="B360" s="32">
        <f t="shared" si="10"/>
        <v>36</v>
      </c>
      <c r="C360" s="32">
        <f t="shared" si="11"/>
        <v>2</v>
      </c>
      <c r="D360" s="38" cm="1">
        <f t="array" ref="D360">INDEX('Chemio-2'!$B$2:$J$100,1+B360,C360)</f>
        <v>0</v>
      </c>
    </row>
    <row r="361" spans="1:4" x14ac:dyDescent="0.75">
      <c r="A361" s="32">
        <v>327</v>
      </c>
      <c r="B361" s="32">
        <f t="shared" si="10"/>
        <v>36</v>
      </c>
      <c r="C361" s="32">
        <f t="shared" si="11"/>
        <v>3</v>
      </c>
      <c r="D361" s="38" cm="1">
        <f t="array" ref="D361">INDEX('Chemio-2'!$B$2:$J$100,1+B361,C361)</f>
        <v>0</v>
      </c>
    </row>
    <row r="362" spans="1:4" x14ac:dyDescent="0.75">
      <c r="A362" s="32">
        <v>328</v>
      </c>
      <c r="B362" s="32">
        <f t="shared" si="10"/>
        <v>36</v>
      </c>
      <c r="C362" s="32">
        <f t="shared" si="11"/>
        <v>4</v>
      </c>
      <c r="D362" s="38" cm="1">
        <f t="array" ref="D362">INDEX('Chemio-2'!$B$2:$J$100,1+B362,C362)</f>
        <v>0</v>
      </c>
    </row>
    <row r="363" spans="1:4" x14ac:dyDescent="0.75">
      <c r="A363" s="32">
        <v>329</v>
      </c>
      <c r="B363" s="32">
        <f t="shared" si="10"/>
        <v>36</v>
      </c>
      <c r="C363" s="32">
        <f t="shared" si="11"/>
        <v>5</v>
      </c>
      <c r="D363" s="38" cm="1">
        <f t="array" ref="D363">INDEX('Chemio-2'!$B$2:$J$100,1+B363,C363)</f>
        <v>0</v>
      </c>
    </row>
    <row r="364" spans="1:4" x14ac:dyDescent="0.75">
      <c r="A364" s="32">
        <v>330</v>
      </c>
      <c r="B364" s="32">
        <f t="shared" si="10"/>
        <v>36</v>
      </c>
      <c r="C364" s="32">
        <f t="shared" si="11"/>
        <v>6</v>
      </c>
      <c r="D364" s="38" cm="1">
        <f t="array" ref="D364">INDEX('Chemio-2'!$B$2:$J$100,1+B364,C364)</f>
        <v>0</v>
      </c>
    </row>
    <row r="365" spans="1:4" x14ac:dyDescent="0.75">
      <c r="A365" s="32">
        <v>331</v>
      </c>
      <c r="B365" s="32">
        <f t="shared" si="10"/>
        <v>36</v>
      </c>
      <c r="C365" s="32">
        <f t="shared" si="11"/>
        <v>7</v>
      </c>
      <c r="D365" s="38" cm="1">
        <f t="array" ref="D365">INDEX('Chemio-2'!$B$2:$J$100,1+B365,C365)</f>
        <v>0</v>
      </c>
    </row>
    <row r="366" spans="1:4" x14ac:dyDescent="0.75">
      <c r="A366" s="32">
        <v>332</v>
      </c>
      <c r="B366" s="32">
        <f t="shared" si="10"/>
        <v>36</v>
      </c>
      <c r="C366" s="32">
        <f t="shared" si="11"/>
        <v>8</v>
      </c>
      <c r="D366" s="38" cm="1">
        <f t="array" ref="D366">INDEX('Chemio-2'!$B$2:$J$100,1+B366,C366)</f>
        <v>0</v>
      </c>
    </row>
    <row r="367" spans="1:4" x14ac:dyDescent="0.75">
      <c r="A367" s="32">
        <v>333</v>
      </c>
      <c r="B367" s="32">
        <f t="shared" si="10"/>
        <v>36</v>
      </c>
      <c r="C367" s="32">
        <f t="shared" si="11"/>
        <v>9</v>
      </c>
      <c r="D367" s="38" cm="1">
        <f t="array" ref="D367">INDEX('Chemio-2'!$B$2:$J$100,1+B367,C367)</f>
        <v>0</v>
      </c>
    </row>
    <row r="368" spans="1:4" x14ac:dyDescent="0.75">
      <c r="A368" s="32">
        <v>334</v>
      </c>
      <c r="B368" s="32">
        <f t="shared" si="10"/>
        <v>37</v>
      </c>
      <c r="C368" s="32">
        <f t="shared" si="11"/>
        <v>1</v>
      </c>
      <c r="D368" s="38" cm="1">
        <f t="array" ref="D368">INDEX('Chemio-2'!$B$2:$J$100,1+B368,C368)</f>
        <v>0</v>
      </c>
    </row>
    <row r="369" spans="1:4" x14ac:dyDescent="0.75">
      <c r="A369" s="32">
        <v>335</v>
      </c>
      <c r="B369" s="32">
        <f t="shared" si="10"/>
        <v>37</v>
      </c>
      <c r="C369" s="32">
        <f t="shared" si="11"/>
        <v>2</v>
      </c>
      <c r="D369" s="38" cm="1">
        <f t="array" ref="D369">INDEX('Chemio-2'!$B$2:$J$100,1+B369,C369)</f>
        <v>0</v>
      </c>
    </row>
    <row r="370" spans="1:4" x14ac:dyDescent="0.75">
      <c r="A370" s="32">
        <v>336</v>
      </c>
      <c r="B370" s="32">
        <f t="shared" si="10"/>
        <v>37</v>
      </c>
      <c r="C370" s="32">
        <f t="shared" si="11"/>
        <v>3</v>
      </c>
      <c r="D370" s="38" cm="1">
        <f t="array" ref="D370">INDEX('Chemio-2'!$B$2:$J$100,1+B370,C370)</f>
        <v>0</v>
      </c>
    </row>
    <row r="371" spans="1:4" x14ac:dyDescent="0.75">
      <c r="A371" s="32">
        <v>337</v>
      </c>
      <c r="B371" s="32">
        <f t="shared" si="10"/>
        <v>37</v>
      </c>
      <c r="C371" s="32">
        <f t="shared" si="11"/>
        <v>4</v>
      </c>
      <c r="D371" s="38" cm="1">
        <f t="array" ref="D371">INDEX('Chemio-2'!$B$2:$J$100,1+B371,C371)</f>
        <v>0</v>
      </c>
    </row>
    <row r="372" spans="1:4" x14ac:dyDescent="0.75">
      <c r="A372" s="32">
        <v>338</v>
      </c>
      <c r="B372" s="32">
        <f t="shared" si="10"/>
        <v>37</v>
      </c>
      <c r="C372" s="32">
        <f t="shared" si="11"/>
        <v>5</v>
      </c>
      <c r="D372" s="38" cm="1">
        <f t="array" ref="D372">INDEX('Chemio-2'!$B$2:$J$100,1+B372,C372)</f>
        <v>0</v>
      </c>
    </row>
    <row r="373" spans="1:4" x14ac:dyDescent="0.75">
      <c r="A373" s="32">
        <v>339</v>
      </c>
      <c r="B373" s="32">
        <f t="shared" si="10"/>
        <v>37</v>
      </c>
      <c r="C373" s="32">
        <f t="shared" si="11"/>
        <v>6</v>
      </c>
      <c r="D373" s="38" cm="1">
        <f t="array" ref="D373">INDEX('Chemio-2'!$B$2:$J$100,1+B373,C373)</f>
        <v>0</v>
      </c>
    </row>
    <row r="374" spans="1:4" x14ac:dyDescent="0.75">
      <c r="A374" s="32">
        <v>340</v>
      </c>
      <c r="B374" s="32">
        <f t="shared" si="10"/>
        <v>37</v>
      </c>
      <c r="C374" s="32">
        <f t="shared" si="11"/>
        <v>7</v>
      </c>
      <c r="D374" s="38" cm="1">
        <f t="array" ref="D374">INDEX('Chemio-2'!$B$2:$J$100,1+B374,C374)</f>
        <v>0</v>
      </c>
    </row>
    <row r="375" spans="1:4" x14ac:dyDescent="0.75">
      <c r="A375" s="32">
        <v>341</v>
      </c>
      <c r="B375" s="32">
        <f t="shared" si="10"/>
        <v>37</v>
      </c>
      <c r="C375" s="32">
        <f t="shared" si="11"/>
        <v>8</v>
      </c>
      <c r="D375" s="38" cm="1">
        <f t="array" ref="D375">INDEX('Chemio-2'!$B$2:$J$100,1+B375,C375)</f>
        <v>0</v>
      </c>
    </row>
    <row r="376" spans="1:4" x14ac:dyDescent="0.75">
      <c r="A376" s="32">
        <v>342</v>
      </c>
      <c r="B376" s="32">
        <f t="shared" si="10"/>
        <v>37</v>
      </c>
      <c r="C376" s="32">
        <f t="shared" si="11"/>
        <v>9</v>
      </c>
      <c r="D376" s="38" cm="1">
        <f t="array" ref="D376">INDEX('Chemio-2'!$B$2:$J$100,1+B376,C376)</f>
        <v>0</v>
      </c>
    </row>
    <row r="377" spans="1:4" x14ac:dyDescent="0.75">
      <c r="A377" s="32">
        <v>343</v>
      </c>
      <c r="B377" s="32">
        <f t="shared" si="10"/>
        <v>38</v>
      </c>
      <c r="C377" s="32">
        <f t="shared" si="11"/>
        <v>1</v>
      </c>
      <c r="D377" s="38" cm="1">
        <f t="array" ref="D377">INDEX('Chemio-2'!$B$2:$J$100,1+B377,C377)</f>
        <v>0</v>
      </c>
    </row>
    <row r="378" spans="1:4" x14ac:dyDescent="0.75">
      <c r="A378" s="32">
        <v>344</v>
      </c>
      <c r="B378" s="32">
        <f t="shared" si="10"/>
        <v>38</v>
      </c>
      <c r="C378" s="32">
        <f t="shared" si="11"/>
        <v>2</v>
      </c>
      <c r="D378" s="38" cm="1">
        <f t="array" ref="D378">INDEX('Chemio-2'!$B$2:$J$100,1+B378,C378)</f>
        <v>0</v>
      </c>
    </row>
    <row r="379" spans="1:4" x14ac:dyDescent="0.75">
      <c r="A379" s="32">
        <v>345</v>
      </c>
      <c r="B379" s="32">
        <f t="shared" si="10"/>
        <v>38</v>
      </c>
      <c r="C379" s="32">
        <f t="shared" si="11"/>
        <v>3</v>
      </c>
      <c r="D379" s="38" cm="1">
        <f t="array" ref="D379">INDEX('Chemio-2'!$B$2:$J$100,1+B379,C379)</f>
        <v>0</v>
      </c>
    </row>
    <row r="380" spans="1:4" x14ac:dyDescent="0.75">
      <c r="A380" s="32">
        <v>346</v>
      </c>
      <c r="B380" s="32">
        <f t="shared" si="10"/>
        <v>38</v>
      </c>
      <c r="C380" s="32">
        <f t="shared" si="11"/>
        <v>4</v>
      </c>
      <c r="D380" s="38" cm="1">
        <f t="array" ref="D380">INDEX('Chemio-2'!$B$2:$J$100,1+B380,C380)</f>
        <v>0</v>
      </c>
    </row>
    <row r="381" spans="1:4" x14ac:dyDescent="0.75">
      <c r="A381" s="32">
        <v>347</v>
      </c>
      <c r="B381" s="32">
        <f t="shared" si="10"/>
        <v>38</v>
      </c>
      <c r="C381" s="32">
        <f t="shared" si="11"/>
        <v>5</v>
      </c>
      <c r="D381" s="38" cm="1">
        <f t="array" ref="D381">INDEX('Chemio-2'!$B$2:$J$100,1+B381,C381)</f>
        <v>0</v>
      </c>
    </row>
    <row r="382" spans="1:4" x14ac:dyDescent="0.75">
      <c r="A382" s="32">
        <v>348</v>
      </c>
      <c r="B382" s="32">
        <f t="shared" si="10"/>
        <v>38</v>
      </c>
      <c r="C382" s="32">
        <f t="shared" si="11"/>
        <v>6</v>
      </c>
      <c r="D382" s="38" cm="1">
        <f t="array" ref="D382">INDEX('Chemio-2'!$B$2:$J$100,1+B382,C382)</f>
        <v>0</v>
      </c>
    </row>
    <row r="383" spans="1:4" x14ac:dyDescent="0.75">
      <c r="A383" s="32">
        <v>349</v>
      </c>
      <c r="B383" s="32">
        <f t="shared" si="10"/>
        <v>38</v>
      </c>
      <c r="C383" s="32">
        <f t="shared" si="11"/>
        <v>7</v>
      </c>
      <c r="D383" s="38" cm="1">
        <f t="array" ref="D383">INDEX('Chemio-2'!$B$2:$J$100,1+B383,C383)</f>
        <v>0</v>
      </c>
    </row>
    <row r="384" spans="1:4" x14ac:dyDescent="0.75">
      <c r="A384" s="32">
        <v>350</v>
      </c>
      <c r="B384" s="32">
        <f t="shared" si="10"/>
        <v>38</v>
      </c>
      <c r="C384" s="32">
        <f t="shared" si="11"/>
        <v>8</v>
      </c>
      <c r="D384" s="38" cm="1">
        <f t="array" ref="D384">INDEX('Chemio-2'!$B$2:$J$100,1+B384,C384)</f>
        <v>0</v>
      </c>
    </row>
    <row r="385" spans="1:4" x14ac:dyDescent="0.75">
      <c r="A385" s="32">
        <v>351</v>
      </c>
      <c r="B385" s="32">
        <f t="shared" si="10"/>
        <v>38</v>
      </c>
      <c r="C385" s="32">
        <f t="shared" si="11"/>
        <v>9</v>
      </c>
      <c r="D385" s="38" cm="1">
        <f t="array" ref="D385">INDEX('Chemio-2'!$B$2:$J$100,1+B385,C385)</f>
        <v>0</v>
      </c>
    </row>
    <row r="386" spans="1:4" x14ac:dyDescent="0.75">
      <c r="A386" s="32">
        <v>352</v>
      </c>
      <c r="B386" s="32">
        <f t="shared" si="10"/>
        <v>39</v>
      </c>
      <c r="C386" s="32">
        <f t="shared" si="11"/>
        <v>1</v>
      </c>
      <c r="D386" s="38" cm="1">
        <f t="array" ref="D386">INDEX('Chemio-2'!$B$2:$J$100,1+B386,C386)</f>
        <v>0</v>
      </c>
    </row>
    <row r="387" spans="1:4" x14ac:dyDescent="0.75">
      <c r="A387" s="32">
        <v>353</v>
      </c>
      <c r="B387" s="32">
        <f t="shared" si="10"/>
        <v>39</v>
      </c>
      <c r="C387" s="32">
        <f t="shared" si="11"/>
        <v>2</v>
      </c>
      <c r="D387" s="38" cm="1">
        <f t="array" ref="D387">INDEX('Chemio-2'!$B$2:$J$100,1+B387,C387)</f>
        <v>0</v>
      </c>
    </row>
    <row r="388" spans="1:4" x14ac:dyDescent="0.75">
      <c r="A388" s="32">
        <v>354</v>
      </c>
      <c r="B388" s="32">
        <f t="shared" si="10"/>
        <v>39</v>
      </c>
      <c r="C388" s="32">
        <f t="shared" si="11"/>
        <v>3</v>
      </c>
      <c r="D388" s="38" cm="1">
        <f t="array" ref="D388">INDEX('Chemio-2'!$B$2:$J$100,1+B388,C388)</f>
        <v>0</v>
      </c>
    </row>
    <row r="389" spans="1:4" x14ac:dyDescent="0.75">
      <c r="A389" s="32">
        <v>355</v>
      </c>
      <c r="B389" s="32">
        <f t="shared" si="10"/>
        <v>39</v>
      </c>
      <c r="C389" s="32">
        <f t="shared" si="11"/>
        <v>4</v>
      </c>
      <c r="D389" s="38" cm="1">
        <f t="array" ref="D389">INDEX('Chemio-2'!$B$2:$J$100,1+B389,C389)</f>
        <v>0</v>
      </c>
    </row>
    <row r="390" spans="1:4" x14ac:dyDescent="0.75">
      <c r="A390" s="32">
        <v>356</v>
      </c>
      <c r="B390" s="32">
        <f t="shared" si="10"/>
        <v>39</v>
      </c>
      <c r="C390" s="32">
        <f t="shared" si="11"/>
        <v>5</v>
      </c>
      <c r="D390" s="38" cm="1">
        <f t="array" ref="D390">INDEX('Chemio-2'!$B$2:$J$100,1+B390,C390)</f>
        <v>0</v>
      </c>
    </row>
    <row r="391" spans="1:4" x14ac:dyDescent="0.75">
      <c r="A391" s="32">
        <v>357</v>
      </c>
      <c r="B391" s="32">
        <f t="shared" si="10"/>
        <v>39</v>
      </c>
      <c r="C391" s="32">
        <f t="shared" si="11"/>
        <v>6</v>
      </c>
      <c r="D391" s="38" cm="1">
        <f t="array" ref="D391">INDEX('Chemio-2'!$B$2:$J$100,1+B391,C391)</f>
        <v>0</v>
      </c>
    </row>
    <row r="392" spans="1:4" x14ac:dyDescent="0.75">
      <c r="A392" s="32">
        <v>358</v>
      </c>
      <c r="B392" s="32">
        <f t="shared" si="10"/>
        <v>39</v>
      </c>
      <c r="C392" s="32">
        <f t="shared" si="11"/>
        <v>7</v>
      </c>
      <c r="D392" s="38" cm="1">
        <f t="array" ref="D392">INDEX('Chemio-2'!$B$2:$J$100,1+B392,C392)</f>
        <v>0</v>
      </c>
    </row>
    <row r="393" spans="1:4" x14ac:dyDescent="0.75">
      <c r="A393" s="32">
        <v>359</v>
      </c>
      <c r="B393" s="32">
        <f t="shared" si="10"/>
        <v>39</v>
      </c>
      <c r="C393" s="32">
        <f t="shared" si="11"/>
        <v>8</v>
      </c>
      <c r="D393" s="38" cm="1">
        <f t="array" ref="D393">INDEX('Chemio-2'!$B$2:$J$100,1+B393,C393)</f>
        <v>0</v>
      </c>
    </row>
    <row r="394" spans="1:4" x14ac:dyDescent="0.75">
      <c r="A394" s="32">
        <v>360</v>
      </c>
      <c r="B394" s="32">
        <f t="shared" si="10"/>
        <v>39</v>
      </c>
      <c r="C394" s="32">
        <f t="shared" si="11"/>
        <v>9</v>
      </c>
      <c r="D394" s="38" cm="1">
        <f t="array" ref="D394">INDEX('Chemio-2'!$B$2:$J$100,1+B394,C394)</f>
        <v>0</v>
      </c>
    </row>
    <row r="395" spans="1:4" x14ac:dyDescent="0.75">
      <c r="A395" s="32">
        <v>361</v>
      </c>
      <c r="B395" s="32">
        <f t="shared" si="10"/>
        <v>40</v>
      </c>
      <c r="C395" s="32">
        <f t="shared" si="11"/>
        <v>1</v>
      </c>
      <c r="D395" s="38" cm="1">
        <f t="array" ref="D395">INDEX('Chemio-2'!$B$2:$J$100,1+B395,C395)</f>
        <v>0</v>
      </c>
    </row>
    <row r="396" spans="1:4" x14ac:dyDescent="0.75">
      <c r="A396" s="32">
        <v>362</v>
      </c>
      <c r="B396" s="32">
        <f t="shared" si="10"/>
        <v>40</v>
      </c>
      <c r="C396" s="32">
        <f t="shared" si="11"/>
        <v>2</v>
      </c>
      <c r="D396" s="38" cm="1">
        <f t="array" ref="D396">INDEX('Chemio-2'!$B$2:$J$100,1+B396,C396)</f>
        <v>0</v>
      </c>
    </row>
    <row r="397" spans="1:4" x14ac:dyDescent="0.75">
      <c r="A397" s="32">
        <v>363</v>
      </c>
      <c r="B397" s="32">
        <f t="shared" si="10"/>
        <v>40</v>
      </c>
      <c r="C397" s="32">
        <f t="shared" si="11"/>
        <v>3</v>
      </c>
      <c r="D397" s="38" cm="1">
        <f t="array" ref="D397">INDEX('Chemio-2'!$B$2:$J$100,1+B397,C397)</f>
        <v>0</v>
      </c>
    </row>
    <row r="398" spans="1:4" x14ac:dyDescent="0.75">
      <c r="A398" s="32">
        <v>364</v>
      </c>
      <c r="B398" s="32">
        <f t="shared" si="10"/>
        <v>40</v>
      </c>
      <c r="C398" s="32">
        <f t="shared" si="11"/>
        <v>4</v>
      </c>
      <c r="D398" s="38" cm="1">
        <f t="array" ref="D398">INDEX('Chemio-2'!$B$2:$J$100,1+B398,C398)</f>
        <v>0</v>
      </c>
    </row>
    <row r="399" spans="1:4" x14ac:dyDescent="0.75">
      <c r="A399" s="32">
        <v>365</v>
      </c>
      <c r="B399" s="32">
        <f t="shared" si="10"/>
        <v>40</v>
      </c>
      <c r="C399" s="32">
        <f t="shared" si="11"/>
        <v>5</v>
      </c>
      <c r="D399" s="38" cm="1">
        <f t="array" ref="D399">INDEX('Chemio-2'!$B$2:$J$100,1+B399,C399)</f>
        <v>0</v>
      </c>
    </row>
    <row r="400" spans="1:4" x14ac:dyDescent="0.75">
      <c r="A400" s="32">
        <v>366</v>
      </c>
      <c r="B400" s="32">
        <f t="shared" si="10"/>
        <v>40</v>
      </c>
      <c r="C400" s="32">
        <f t="shared" si="11"/>
        <v>6</v>
      </c>
      <c r="D400" s="38" cm="1">
        <f t="array" ref="D400">INDEX('Chemio-2'!$B$2:$J$100,1+B400,C400)</f>
        <v>0</v>
      </c>
    </row>
    <row r="401" spans="1:4" x14ac:dyDescent="0.75">
      <c r="A401" s="32">
        <v>367</v>
      </c>
      <c r="B401" s="32">
        <f t="shared" si="10"/>
        <v>40</v>
      </c>
      <c r="C401" s="32">
        <f t="shared" si="11"/>
        <v>7</v>
      </c>
      <c r="D401" s="38" cm="1">
        <f t="array" ref="D401">INDEX('Chemio-2'!$B$2:$J$100,1+B401,C401)</f>
        <v>0</v>
      </c>
    </row>
    <row r="402" spans="1:4" x14ac:dyDescent="0.75">
      <c r="A402" s="32">
        <v>368</v>
      </c>
      <c r="B402" s="32">
        <f t="shared" si="10"/>
        <v>40</v>
      </c>
      <c r="C402" s="32">
        <f t="shared" si="11"/>
        <v>8</v>
      </c>
      <c r="D402" s="38" cm="1">
        <f t="array" ref="D402">INDEX('Chemio-2'!$B$2:$J$100,1+B402,C402)</f>
        <v>0</v>
      </c>
    </row>
    <row r="403" spans="1:4" x14ac:dyDescent="0.75">
      <c r="A403" s="32">
        <v>369</v>
      </c>
      <c r="B403" s="32">
        <f t="shared" si="10"/>
        <v>40</v>
      </c>
      <c r="C403" s="32">
        <f t="shared" si="11"/>
        <v>9</v>
      </c>
      <c r="D403" s="38" cm="1">
        <f t="array" ref="D403">INDEX('Chemio-2'!$B$2:$J$100,1+B403,C403)</f>
        <v>0</v>
      </c>
    </row>
    <row r="404" spans="1:4" x14ac:dyDescent="0.75">
      <c r="A404" s="32">
        <v>370</v>
      </c>
      <c r="B404" s="32">
        <f t="shared" si="10"/>
        <v>41</v>
      </c>
      <c r="C404" s="32">
        <f t="shared" si="11"/>
        <v>1</v>
      </c>
      <c r="D404" s="38" cm="1">
        <f t="array" ref="D404">INDEX('Chemio-2'!$B$2:$J$100,1+B404,C404)</f>
        <v>0</v>
      </c>
    </row>
    <row r="405" spans="1:4" x14ac:dyDescent="0.75">
      <c r="A405" s="32">
        <v>371</v>
      </c>
      <c r="B405" s="32">
        <f t="shared" si="10"/>
        <v>41</v>
      </c>
      <c r="C405" s="32">
        <f t="shared" si="11"/>
        <v>2</v>
      </c>
      <c r="D405" s="38" cm="1">
        <f t="array" ref="D405">INDEX('Chemio-2'!$B$2:$J$100,1+B405,C405)</f>
        <v>0</v>
      </c>
    </row>
    <row r="406" spans="1:4" x14ac:dyDescent="0.75">
      <c r="A406" s="32">
        <v>372</v>
      </c>
      <c r="B406" s="32">
        <f t="shared" si="10"/>
        <v>41</v>
      </c>
      <c r="C406" s="32">
        <f t="shared" si="11"/>
        <v>3</v>
      </c>
      <c r="D406" s="38" cm="1">
        <f t="array" ref="D406">INDEX('Chemio-2'!$B$2:$J$100,1+B406,C406)</f>
        <v>0</v>
      </c>
    </row>
    <row r="407" spans="1:4" x14ac:dyDescent="0.75">
      <c r="A407" s="32">
        <v>373</v>
      </c>
      <c r="B407" s="32">
        <f t="shared" si="10"/>
        <v>41</v>
      </c>
      <c r="C407" s="32">
        <f t="shared" si="11"/>
        <v>4</v>
      </c>
      <c r="D407" s="38" cm="1">
        <f t="array" ref="D407">INDEX('Chemio-2'!$B$2:$J$100,1+B407,C407)</f>
        <v>0</v>
      </c>
    </row>
    <row r="408" spans="1:4" x14ac:dyDescent="0.75">
      <c r="A408" s="32">
        <v>374</v>
      </c>
      <c r="B408" s="32">
        <f t="shared" si="10"/>
        <v>41</v>
      </c>
      <c r="C408" s="32">
        <f t="shared" si="11"/>
        <v>5</v>
      </c>
      <c r="D408" s="38" cm="1">
        <f t="array" ref="D408">INDEX('Chemio-2'!$B$2:$J$100,1+B408,C408)</f>
        <v>0</v>
      </c>
    </row>
    <row r="409" spans="1:4" x14ac:dyDescent="0.75">
      <c r="A409" s="32">
        <v>375</v>
      </c>
      <c r="B409" s="32">
        <f t="shared" si="10"/>
        <v>41</v>
      </c>
      <c r="C409" s="32">
        <f t="shared" si="11"/>
        <v>6</v>
      </c>
      <c r="D409" s="38" cm="1">
        <f t="array" ref="D409">INDEX('Chemio-2'!$B$2:$J$100,1+B409,C409)</f>
        <v>0</v>
      </c>
    </row>
    <row r="410" spans="1:4" x14ac:dyDescent="0.75">
      <c r="A410" s="32">
        <v>376</v>
      </c>
      <c r="B410" s="32">
        <f t="shared" si="10"/>
        <v>41</v>
      </c>
      <c r="C410" s="32">
        <f t="shared" si="11"/>
        <v>7</v>
      </c>
      <c r="D410" s="38" cm="1">
        <f t="array" ref="D410">INDEX('Chemio-2'!$B$2:$J$100,1+B410,C410)</f>
        <v>0</v>
      </c>
    </row>
    <row r="411" spans="1:4" x14ac:dyDescent="0.75">
      <c r="A411" s="32">
        <v>377</v>
      </c>
      <c r="B411" s="32">
        <f t="shared" si="10"/>
        <v>41</v>
      </c>
      <c r="C411" s="32">
        <f t="shared" si="11"/>
        <v>8</v>
      </c>
      <c r="D411" s="38" cm="1">
        <f t="array" ref="D411">INDEX('Chemio-2'!$B$2:$J$100,1+B411,C411)</f>
        <v>0</v>
      </c>
    </row>
    <row r="412" spans="1:4" x14ac:dyDescent="0.75">
      <c r="A412" s="32">
        <v>378</v>
      </c>
      <c r="B412" s="32">
        <f t="shared" si="10"/>
        <v>41</v>
      </c>
      <c r="C412" s="32">
        <f t="shared" si="11"/>
        <v>9</v>
      </c>
      <c r="D412" s="38" cm="1">
        <f t="array" ref="D412">INDEX('Chemio-2'!$B$2:$J$100,1+B412,C412)</f>
        <v>0</v>
      </c>
    </row>
    <row r="413" spans="1:4" x14ac:dyDescent="0.75">
      <c r="A413" s="32">
        <v>379</v>
      </c>
      <c r="B413" s="32">
        <f t="shared" si="10"/>
        <v>42</v>
      </c>
      <c r="C413" s="32">
        <f t="shared" si="11"/>
        <v>1</v>
      </c>
      <c r="D413" s="38" cm="1">
        <f t="array" ref="D413">INDEX('Chemio-2'!$B$2:$J$100,1+B413,C413)</f>
        <v>0</v>
      </c>
    </row>
    <row r="414" spans="1:4" x14ac:dyDescent="0.75">
      <c r="A414" s="32">
        <v>380</v>
      </c>
      <c r="B414" s="32">
        <f t="shared" si="10"/>
        <v>42</v>
      </c>
      <c r="C414" s="32">
        <f t="shared" si="11"/>
        <v>2</v>
      </c>
      <c r="D414" s="38" cm="1">
        <f t="array" ref="D414">INDEX('Chemio-2'!$B$2:$J$100,1+B414,C414)</f>
        <v>0</v>
      </c>
    </row>
    <row r="415" spans="1:4" x14ac:dyDescent="0.75">
      <c r="A415" s="32">
        <v>381</v>
      </c>
      <c r="B415" s="32">
        <f t="shared" si="10"/>
        <v>42</v>
      </c>
      <c r="C415" s="32">
        <f t="shared" si="11"/>
        <v>3</v>
      </c>
      <c r="D415" s="38" cm="1">
        <f t="array" ref="D415">INDEX('Chemio-2'!$B$2:$J$100,1+B415,C415)</f>
        <v>0</v>
      </c>
    </row>
    <row r="416" spans="1:4" x14ac:dyDescent="0.75">
      <c r="A416" s="32">
        <v>382</v>
      </c>
      <c r="B416" s="32">
        <f t="shared" si="10"/>
        <v>42</v>
      </c>
      <c r="C416" s="32">
        <f t="shared" si="11"/>
        <v>4</v>
      </c>
      <c r="D416" s="38" cm="1">
        <f t="array" ref="D416">INDEX('Chemio-2'!$B$2:$J$100,1+B416,C416)</f>
        <v>0</v>
      </c>
    </row>
    <row r="417" spans="1:4" x14ac:dyDescent="0.75">
      <c r="A417" s="32">
        <v>383</v>
      </c>
      <c r="B417" s="32">
        <f t="shared" si="10"/>
        <v>42</v>
      </c>
      <c r="C417" s="32">
        <f t="shared" si="11"/>
        <v>5</v>
      </c>
      <c r="D417" s="38" cm="1">
        <f t="array" ref="D417">INDEX('Chemio-2'!$B$2:$J$100,1+B417,C417)</f>
        <v>0</v>
      </c>
    </row>
    <row r="418" spans="1:4" x14ac:dyDescent="0.75">
      <c r="A418" s="32">
        <v>384</v>
      </c>
      <c r="B418" s="32">
        <f t="shared" si="10"/>
        <v>42</v>
      </c>
      <c r="C418" s="32">
        <f t="shared" si="11"/>
        <v>6</v>
      </c>
      <c r="D418" s="38" cm="1">
        <f t="array" ref="D418">INDEX('Chemio-2'!$B$2:$J$100,1+B418,C418)</f>
        <v>0</v>
      </c>
    </row>
    <row r="419" spans="1:4" x14ac:dyDescent="0.75">
      <c r="A419" s="32">
        <v>385</v>
      </c>
      <c r="B419" s="32">
        <f t="shared" si="10"/>
        <v>42</v>
      </c>
      <c r="C419" s="32">
        <f t="shared" si="11"/>
        <v>7</v>
      </c>
      <c r="D419" s="38" cm="1">
        <f t="array" ref="D419">INDEX('Chemio-2'!$B$2:$J$100,1+B419,C419)</f>
        <v>0</v>
      </c>
    </row>
    <row r="420" spans="1:4" x14ac:dyDescent="0.75">
      <c r="A420" s="32">
        <v>386</v>
      </c>
      <c r="B420" s="32">
        <f t="shared" ref="B420:B483" si="12">IF(MOD(A420,$B$25)=0,A420/$B$25-1,INT(A420/$B$25))</f>
        <v>42</v>
      </c>
      <c r="C420" s="32">
        <f t="shared" ref="C420:C483" si="13">IF(MOD(A420,$B$25)=0,$B$25,MOD(A420,$B$25))</f>
        <v>8</v>
      </c>
      <c r="D420" s="38" cm="1">
        <f t="array" ref="D420">INDEX('Chemio-2'!$B$2:$J$100,1+B420,C420)</f>
        <v>0</v>
      </c>
    </row>
    <row r="421" spans="1:4" x14ac:dyDescent="0.75">
      <c r="A421" s="32">
        <v>387</v>
      </c>
      <c r="B421" s="32">
        <f t="shared" si="12"/>
        <v>42</v>
      </c>
      <c r="C421" s="32">
        <f t="shared" si="13"/>
        <v>9</v>
      </c>
      <c r="D421" s="38" cm="1">
        <f t="array" ref="D421">INDEX('Chemio-2'!$B$2:$J$100,1+B421,C421)</f>
        <v>0</v>
      </c>
    </row>
    <row r="422" spans="1:4" x14ac:dyDescent="0.75">
      <c r="A422" s="32">
        <v>388</v>
      </c>
      <c r="B422" s="32">
        <f t="shared" si="12"/>
        <v>43</v>
      </c>
      <c r="C422" s="32">
        <f t="shared" si="13"/>
        <v>1</v>
      </c>
      <c r="D422" s="38" cm="1">
        <f t="array" ref="D422">INDEX('Chemio-2'!$B$2:$J$100,1+B422,C422)</f>
        <v>0</v>
      </c>
    </row>
    <row r="423" spans="1:4" x14ac:dyDescent="0.75">
      <c r="A423" s="32">
        <v>389</v>
      </c>
      <c r="B423" s="32">
        <f t="shared" si="12"/>
        <v>43</v>
      </c>
      <c r="C423" s="32">
        <f t="shared" si="13"/>
        <v>2</v>
      </c>
      <c r="D423" s="38" cm="1">
        <f t="array" ref="D423">INDEX('Chemio-2'!$B$2:$J$100,1+B423,C423)</f>
        <v>0</v>
      </c>
    </row>
    <row r="424" spans="1:4" x14ac:dyDescent="0.75">
      <c r="A424" s="32">
        <v>390</v>
      </c>
      <c r="B424" s="32">
        <f t="shared" si="12"/>
        <v>43</v>
      </c>
      <c r="C424" s="32">
        <f t="shared" si="13"/>
        <v>3</v>
      </c>
      <c r="D424" s="38" cm="1">
        <f t="array" ref="D424">INDEX('Chemio-2'!$B$2:$J$100,1+B424,C424)</f>
        <v>0</v>
      </c>
    </row>
    <row r="425" spans="1:4" x14ac:dyDescent="0.75">
      <c r="A425" s="32">
        <v>391</v>
      </c>
      <c r="B425" s="32">
        <f t="shared" si="12"/>
        <v>43</v>
      </c>
      <c r="C425" s="32">
        <f t="shared" si="13"/>
        <v>4</v>
      </c>
      <c r="D425" s="38" cm="1">
        <f t="array" ref="D425">INDEX('Chemio-2'!$B$2:$J$100,1+B425,C425)</f>
        <v>0</v>
      </c>
    </row>
    <row r="426" spans="1:4" x14ac:dyDescent="0.75">
      <c r="A426" s="32">
        <v>392</v>
      </c>
      <c r="B426" s="32">
        <f t="shared" si="12"/>
        <v>43</v>
      </c>
      <c r="C426" s="32">
        <f t="shared" si="13"/>
        <v>5</v>
      </c>
      <c r="D426" s="38" cm="1">
        <f t="array" ref="D426">INDEX('Chemio-2'!$B$2:$J$100,1+B426,C426)</f>
        <v>0</v>
      </c>
    </row>
    <row r="427" spans="1:4" x14ac:dyDescent="0.75">
      <c r="A427" s="32">
        <v>393</v>
      </c>
      <c r="B427" s="32">
        <f t="shared" si="12"/>
        <v>43</v>
      </c>
      <c r="C427" s="32">
        <f t="shared" si="13"/>
        <v>6</v>
      </c>
      <c r="D427" s="38" cm="1">
        <f t="array" ref="D427">INDEX('Chemio-2'!$B$2:$J$100,1+B427,C427)</f>
        <v>0</v>
      </c>
    </row>
    <row r="428" spans="1:4" x14ac:dyDescent="0.75">
      <c r="A428" s="32">
        <v>394</v>
      </c>
      <c r="B428" s="32">
        <f t="shared" si="12"/>
        <v>43</v>
      </c>
      <c r="C428" s="32">
        <f t="shared" si="13"/>
        <v>7</v>
      </c>
      <c r="D428" s="38" cm="1">
        <f t="array" ref="D428">INDEX('Chemio-2'!$B$2:$J$100,1+B428,C428)</f>
        <v>0</v>
      </c>
    </row>
    <row r="429" spans="1:4" x14ac:dyDescent="0.75">
      <c r="A429" s="32">
        <v>395</v>
      </c>
      <c r="B429" s="32">
        <f t="shared" si="12"/>
        <v>43</v>
      </c>
      <c r="C429" s="32">
        <f t="shared" si="13"/>
        <v>8</v>
      </c>
      <c r="D429" s="38" cm="1">
        <f t="array" ref="D429">INDEX('Chemio-2'!$B$2:$J$100,1+B429,C429)</f>
        <v>0</v>
      </c>
    </row>
    <row r="430" spans="1:4" x14ac:dyDescent="0.75">
      <c r="A430" s="32">
        <v>396</v>
      </c>
      <c r="B430" s="32">
        <f t="shared" si="12"/>
        <v>43</v>
      </c>
      <c r="C430" s="32">
        <f t="shared" si="13"/>
        <v>9</v>
      </c>
      <c r="D430" s="38" cm="1">
        <f t="array" ref="D430">INDEX('Chemio-2'!$B$2:$J$100,1+B430,C430)</f>
        <v>0</v>
      </c>
    </row>
    <row r="431" spans="1:4" x14ac:dyDescent="0.75">
      <c r="A431" s="32">
        <v>397</v>
      </c>
      <c r="B431" s="32">
        <f t="shared" si="12"/>
        <v>44</v>
      </c>
      <c r="C431" s="32">
        <f t="shared" si="13"/>
        <v>1</v>
      </c>
      <c r="D431" s="38" cm="1">
        <f t="array" ref="D431">INDEX('Chemio-2'!$B$2:$J$100,1+B431,C431)</f>
        <v>0</v>
      </c>
    </row>
    <row r="432" spans="1:4" x14ac:dyDescent="0.75">
      <c r="A432" s="32">
        <v>398</v>
      </c>
      <c r="B432" s="32">
        <f t="shared" si="12"/>
        <v>44</v>
      </c>
      <c r="C432" s="32">
        <f t="shared" si="13"/>
        <v>2</v>
      </c>
      <c r="D432" s="38" cm="1">
        <f t="array" ref="D432">INDEX('Chemio-2'!$B$2:$J$100,1+B432,C432)</f>
        <v>0</v>
      </c>
    </row>
    <row r="433" spans="1:4" x14ac:dyDescent="0.75">
      <c r="A433" s="32">
        <v>399</v>
      </c>
      <c r="B433" s="32">
        <f t="shared" si="12"/>
        <v>44</v>
      </c>
      <c r="C433" s="32">
        <f t="shared" si="13"/>
        <v>3</v>
      </c>
      <c r="D433" s="38" cm="1">
        <f t="array" ref="D433">INDEX('Chemio-2'!$B$2:$J$100,1+B433,C433)</f>
        <v>0</v>
      </c>
    </row>
    <row r="434" spans="1:4" x14ac:dyDescent="0.75">
      <c r="A434" s="32">
        <v>400</v>
      </c>
      <c r="B434" s="32">
        <f t="shared" si="12"/>
        <v>44</v>
      </c>
      <c r="C434" s="32">
        <f t="shared" si="13"/>
        <v>4</v>
      </c>
      <c r="D434" s="38" cm="1">
        <f t="array" ref="D434">INDEX('Chemio-2'!$B$2:$J$100,1+B434,C434)</f>
        <v>0</v>
      </c>
    </row>
    <row r="435" spans="1:4" x14ac:dyDescent="0.75">
      <c r="A435" s="32">
        <v>401</v>
      </c>
      <c r="B435" s="32">
        <f t="shared" si="12"/>
        <v>44</v>
      </c>
      <c r="C435" s="32">
        <f t="shared" si="13"/>
        <v>5</v>
      </c>
      <c r="D435" s="38" cm="1">
        <f t="array" ref="D435">INDEX('Chemio-2'!$B$2:$J$100,1+B435,C435)</f>
        <v>0</v>
      </c>
    </row>
    <row r="436" spans="1:4" x14ac:dyDescent="0.75">
      <c r="A436" s="32">
        <v>402</v>
      </c>
      <c r="B436" s="32">
        <f t="shared" si="12"/>
        <v>44</v>
      </c>
      <c r="C436" s="32">
        <f t="shared" si="13"/>
        <v>6</v>
      </c>
      <c r="D436" s="38" cm="1">
        <f t="array" ref="D436">INDEX('Chemio-2'!$B$2:$J$100,1+B436,C436)</f>
        <v>0</v>
      </c>
    </row>
    <row r="437" spans="1:4" x14ac:dyDescent="0.75">
      <c r="A437" s="32">
        <v>403</v>
      </c>
      <c r="B437" s="32">
        <f t="shared" si="12"/>
        <v>44</v>
      </c>
      <c r="C437" s="32">
        <f t="shared" si="13"/>
        <v>7</v>
      </c>
      <c r="D437" s="38" cm="1">
        <f t="array" ref="D437">INDEX('Chemio-2'!$B$2:$J$100,1+B437,C437)</f>
        <v>0</v>
      </c>
    </row>
    <row r="438" spans="1:4" x14ac:dyDescent="0.75">
      <c r="A438" s="32">
        <v>404</v>
      </c>
      <c r="B438" s="32">
        <f t="shared" si="12"/>
        <v>44</v>
      </c>
      <c r="C438" s="32">
        <f t="shared" si="13"/>
        <v>8</v>
      </c>
      <c r="D438" s="38" cm="1">
        <f t="array" ref="D438">INDEX('Chemio-2'!$B$2:$J$100,1+B438,C438)</f>
        <v>0</v>
      </c>
    </row>
    <row r="439" spans="1:4" x14ac:dyDescent="0.75">
      <c r="A439" s="32">
        <v>405</v>
      </c>
      <c r="B439" s="32">
        <f t="shared" si="12"/>
        <v>44</v>
      </c>
      <c r="C439" s="32">
        <f t="shared" si="13"/>
        <v>9</v>
      </c>
      <c r="D439" s="38" cm="1">
        <f t="array" ref="D439">INDEX('Chemio-2'!$B$2:$J$100,1+B439,C439)</f>
        <v>0</v>
      </c>
    </row>
    <row r="440" spans="1:4" x14ac:dyDescent="0.75">
      <c r="A440" s="32">
        <v>406</v>
      </c>
      <c r="B440" s="32">
        <f t="shared" si="12"/>
        <v>45</v>
      </c>
      <c r="C440" s="32">
        <f t="shared" si="13"/>
        <v>1</v>
      </c>
      <c r="D440" s="38" cm="1">
        <f t="array" ref="D440">INDEX('Chemio-2'!$B$2:$J$100,1+B440,C440)</f>
        <v>0</v>
      </c>
    </row>
    <row r="441" spans="1:4" x14ac:dyDescent="0.75">
      <c r="A441" s="32">
        <v>407</v>
      </c>
      <c r="B441" s="32">
        <f t="shared" si="12"/>
        <v>45</v>
      </c>
      <c r="C441" s="32">
        <f t="shared" si="13"/>
        <v>2</v>
      </c>
      <c r="D441" s="38" cm="1">
        <f t="array" ref="D441">INDEX('Chemio-2'!$B$2:$J$100,1+B441,C441)</f>
        <v>0</v>
      </c>
    </row>
    <row r="442" spans="1:4" x14ac:dyDescent="0.75">
      <c r="A442" s="32">
        <v>408</v>
      </c>
      <c r="B442" s="32">
        <f t="shared" si="12"/>
        <v>45</v>
      </c>
      <c r="C442" s="32">
        <f t="shared" si="13"/>
        <v>3</v>
      </c>
      <c r="D442" s="38" cm="1">
        <f t="array" ref="D442">INDEX('Chemio-2'!$B$2:$J$100,1+B442,C442)</f>
        <v>0</v>
      </c>
    </row>
    <row r="443" spans="1:4" x14ac:dyDescent="0.75">
      <c r="A443" s="32">
        <v>409</v>
      </c>
      <c r="B443" s="32">
        <f t="shared" si="12"/>
        <v>45</v>
      </c>
      <c r="C443" s="32">
        <f t="shared" si="13"/>
        <v>4</v>
      </c>
      <c r="D443" s="38" cm="1">
        <f t="array" ref="D443">INDEX('Chemio-2'!$B$2:$J$100,1+B443,C443)</f>
        <v>0</v>
      </c>
    </row>
    <row r="444" spans="1:4" x14ac:dyDescent="0.75">
      <c r="A444" s="32">
        <v>410</v>
      </c>
      <c r="B444" s="32">
        <f t="shared" si="12"/>
        <v>45</v>
      </c>
      <c r="C444" s="32">
        <f t="shared" si="13"/>
        <v>5</v>
      </c>
      <c r="D444" s="38" cm="1">
        <f t="array" ref="D444">INDEX('Chemio-2'!$B$2:$J$100,1+B444,C444)</f>
        <v>0</v>
      </c>
    </row>
    <row r="445" spans="1:4" x14ac:dyDescent="0.75">
      <c r="A445" s="32">
        <v>411</v>
      </c>
      <c r="B445" s="32">
        <f t="shared" si="12"/>
        <v>45</v>
      </c>
      <c r="C445" s="32">
        <f t="shared" si="13"/>
        <v>6</v>
      </c>
      <c r="D445" s="38" cm="1">
        <f t="array" ref="D445">INDEX('Chemio-2'!$B$2:$J$100,1+B445,C445)</f>
        <v>0</v>
      </c>
    </row>
    <row r="446" spans="1:4" x14ac:dyDescent="0.75">
      <c r="A446" s="32">
        <v>412</v>
      </c>
      <c r="B446" s="32">
        <f t="shared" si="12"/>
        <v>45</v>
      </c>
      <c r="C446" s="32">
        <f t="shared" si="13"/>
        <v>7</v>
      </c>
      <c r="D446" s="38" cm="1">
        <f t="array" ref="D446">INDEX('Chemio-2'!$B$2:$J$100,1+B446,C446)</f>
        <v>0</v>
      </c>
    </row>
    <row r="447" spans="1:4" x14ac:dyDescent="0.75">
      <c r="A447" s="32">
        <v>413</v>
      </c>
      <c r="B447" s="32">
        <f t="shared" si="12"/>
        <v>45</v>
      </c>
      <c r="C447" s="32">
        <f t="shared" si="13"/>
        <v>8</v>
      </c>
      <c r="D447" s="38" cm="1">
        <f t="array" ref="D447">INDEX('Chemio-2'!$B$2:$J$100,1+B447,C447)</f>
        <v>0</v>
      </c>
    </row>
    <row r="448" spans="1:4" x14ac:dyDescent="0.75">
      <c r="A448" s="32">
        <v>414</v>
      </c>
      <c r="B448" s="32">
        <f t="shared" si="12"/>
        <v>45</v>
      </c>
      <c r="C448" s="32">
        <f t="shared" si="13"/>
        <v>9</v>
      </c>
      <c r="D448" s="38" cm="1">
        <f t="array" ref="D448">INDEX('Chemio-2'!$B$2:$J$100,1+B448,C448)</f>
        <v>0</v>
      </c>
    </row>
    <row r="449" spans="1:4" x14ac:dyDescent="0.75">
      <c r="A449" s="32">
        <v>415</v>
      </c>
      <c r="B449" s="32">
        <f t="shared" si="12"/>
        <v>46</v>
      </c>
      <c r="C449" s="32">
        <f t="shared" si="13"/>
        <v>1</v>
      </c>
      <c r="D449" s="38" cm="1">
        <f t="array" ref="D449">INDEX('Chemio-2'!$B$2:$J$100,1+B449,C449)</f>
        <v>0</v>
      </c>
    </row>
    <row r="450" spans="1:4" x14ac:dyDescent="0.75">
      <c r="A450" s="32">
        <v>416</v>
      </c>
      <c r="B450" s="32">
        <f t="shared" si="12"/>
        <v>46</v>
      </c>
      <c r="C450" s="32">
        <f t="shared" si="13"/>
        <v>2</v>
      </c>
      <c r="D450" s="38" cm="1">
        <f t="array" ref="D450">INDEX('Chemio-2'!$B$2:$J$100,1+B450,C450)</f>
        <v>0</v>
      </c>
    </row>
    <row r="451" spans="1:4" x14ac:dyDescent="0.75">
      <c r="A451" s="32">
        <v>417</v>
      </c>
      <c r="B451" s="32">
        <f t="shared" si="12"/>
        <v>46</v>
      </c>
      <c r="C451" s="32">
        <f t="shared" si="13"/>
        <v>3</v>
      </c>
      <c r="D451" s="38" cm="1">
        <f t="array" ref="D451">INDEX('Chemio-2'!$B$2:$J$100,1+B451,C451)</f>
        <v>0</v>
      </c>
    </row>
    <row r="452" spans="1:4" x14ac:dyDescent="0.75">
      <c r="A452" s="32">
        <v>418</v>
      </c>
      <c r="B452" s="32">
        <f t="shared" si="12"/>
        <v>46</v>
      </c>
      <c r="C452" s="32">
        <f t="shared" si="13"/>
        <v>4</v>
      </c>
      <c r="D452" s="38" cm="1">
        <f t="array" ref="D452">INDEX('Chemio-2'!$B$2:$J$100,1+B452,C452)</f>
        <v>0</v>
      </c>
    </row>
    <row r="453" spans="1:4" x14ac:dyDescent="0.75">
      <c r="A453" s="32">
        <v>419</v>
      </c>
      <c r="B453" s="32">
        <f t="shared" si="12"/>
        <v>46</v>
      </c>
      <c r="C453" s="32">
        <f t="shared" si="13"/>
        <v>5</v>
      </c>
      <c r="D453" s="38" cm="1">
        <f t="array" ref="D453">INDEX('Chemio-2'!$B$2:$J$100,1+B453,C453)</f>
        <v>0</v>
      </c>
    </row>
    <row r="454" spans="1:4" x14ac:dyDescent="0.75">
      <c r="A454" s="32">
        <v>420</v>
      </c>
      <c r="B454" s="32">
        <f t="shared" si="12"/>
        <v>46</v>
      </c>
      <c r="C454" s="32">
        <f t="shared" si="13"/>
        <v>6</v>
      </c>
      <c r="D454" s="38" cm="1">
        <f t="array" ref="D454">INDEX('Chemio-2'!$B$2:$J$100,1+B454,C454)</f>
        <v>0</v>
      </c>
    </row>
    <row r="455" spans="1:4" x14ac:dyDescent="0.75">
      <c r="A455" s="32">
        <v>421</v>
      </c>
      <c r="B455" s="32">
        <f t="shared" si="12"/>
        <v>46</v>
      </c>
      <c r="C455" s="32">
        <f t="shared" si="13"/>
        <v>7</v>
      </c>
      <c r="D455" s="38" cm="1">
        <f t="array" ref="D455">INDEX('Chemio-2'!$B$2:$J$100,1+B455,C455)</f>
        <v>0</v>
      </c>
    </row>
    <row r="456" spans="1:4" x14ac:dyDescent="0.75">
      <c r="A456" s="32">
        <v>422</v>
      </c>
      <c r="B456" s="32">
        <f t="shared" si="12"/>
        <v>46</v>
      </c>
      <c r="C456" s="32">
        <f t="shared" si="13"/>
        <v>8</v>
      </c>
      <c r="D456" s="38" cm="1">
        <f t="array" ref="D456">INDEX('Chemio-2'!$B$2:$J$100,1+B456,C456)</f>
        <v>0</v>
      </c>
    </row>
    <row r="457" spans="1:4" x14ac:dyDescent="0.75">
      <c r="A457" s="32">
        <v>423</v>
      </c>
      <c r="B457" s="32">
        <f t="shared" si="12"/>
        <v>46</v>
      </c>
      <c r="C457" s="32">
        <f t="shared" si="13"/>
        <v>9</v>
      </c>
      <c r="D457" s="38" cm="1">
        <f t="array" ref="D457">INDEX('Chemio-2'!$B$2:$J$100,1+B457,C457)</f>
        <v>0</v>
      </c>
    </row>
    <row r="458" spans="1:4" x14ac:dyDescent="0.75">
      <c r="A458" s="32">
        <v>424</v>
      </c>
      <c r="B458" s="32">
        <f t="shared" si="12"/>
        <v>47</v>
      </c>
      <c r="C458" s="32">
        <f t="shared" si="13"/>
        <v>1</v>
      </c>
      <c r="D458" s="38" cm="1">
        <f t="array" ref="D458">INDEX('Chemio-2'!$B$2:$J$100,1+B458,C458)</f>
        <v>0</v>
      </c>
    </row>
    <row r="459" spans="1:4" x14ac:dyDescent="0.75">
      <c r="A459" s="32">
        <v>425</v>
      </c>
      <c r="B459" s="32">
        <f t="shared" si="12"/>
        <v>47</v>
      </c>
      <c r="C459" s="32">
        <f t="shared" si="13"/>
        <v>2</v>
      </c>
      <c r="D459" s="38" cm="1">
        <f t="array" ref="D459">INDEX('Chemio-2'!$B$2:$J$100,1+B459,C459)</f>
        <v>0</v>
      </c>
    </row>
    <row r="460" spans="1:4" x14ac:dyDescent="0.75">
      <c r="A460" s="32">
        <v>426</v>
      </c>
      <c r="B460" s="32">
        <f t="shared" si="12"/>
        <v>47</v>
      </c>
      <c r="C460" s="32">
        <f t="shared" si="13"/>
        <v>3</v>
      </c>
      <c r="D460" s="38" cm="1">
        <f t="array" ref="D460">INDEX('Chemio-2'!$B$2:$J$100,1+B460,C460)</f>
        <v>0</v>
      </c>
    </row>
    <row r="461" spans="1:4" x14ac:dyDescent="0.75">
      <c r="A461" s="32">
        <v>427</v>
      </c>
      <c r="B461" s="32">
        <f t="shared" si="12"/>
        <v>47</v>
      </c>
      <c r="C461" s="32">
        <f t="shared" si="13"/>
        <v>4</v>
      </c>
      <c r="D461" s="38" cm="1">
        <f t="array" ref="D461">INDEX('Chemio-2'!$B$2:$J$100,1+B461,C461)</f>
        <v>0</v>
      </c>
    </row>
    <row r="462" spans="1:4" x14ac:dyDescent="0.75">
      <c r="A462" s="32">
        <v>428</v>
      </c>
      <c r="B462" s="32">
        <f t="shared" si="12"/>
        <v>47</v>
      </c>
      <c r="C462" s="32">
        <f t="shared" si="13"/>
        <v>5</v>
      </c>
      <c r="D462" s="38" cm="1">
        <f t="array" ref="D462">INDEX('Chemio-2'!$B$2:$J$100,1+B462,C462)</f>
        <v>0</v>
      </c>
    </row>
    <row r="463" spans="1:4" x14ac:dyDescent="0.75">
      <c r="A463" s="32">
        <v>429</v>
      </c>
      <c r="B463" s="32">
        <f t="shared" si="12"/>
        <v>47</v>
      </c>
      <c r="C463" s="32">
        <f t="shared" si="13"/>
        <v>6</v>
      </c>
      <c r="D463" s="38" cm="1">
        <f t="array" ref="D463">INDEX('Chemio-2'!$B$2:$J$100,1+B463,C463)</f>
        <v>0</v>
      </c>
    </row>
    <row r="464" spans="1:4" x14ac:dyDescent="0.75">
      <c r="A464" s="32">
        <v>430</v>
      </c>
      <c r="B464" s="32">
        <f t="shared" si="12"/>
        <v>47</v>
      </c>
      <c r="C464" s="32">
        <f t="shared" si="13"/>
        <v>7</v>
      </c>
      <c r="D464" s="38" cm="1">
        <f t="array" ref="D464">INDEX('Chemio-2'!$B$2:$J$100,1+B464,C464)</f>
        <v>0</v>
      </c>
    </row>
    <row r="465" spans="1:4" x14ac:dyDescent="0.75">
      <c r="A465" s="32">
        <v>431</v>
      </c>
      <c r="B465" s="32">
        <f t="shared" si="12"/>
        <v>47</v>
      </c>
      <c r="C465" s="32">
        <f t="shared" si="13"/>
        <v>8</v>
      </c>
      <c r="D465" s="38" cm="1">
        <f t="array" ref="D465">INDEX('Chemio-2'!$B$2:$J$100,1+B465,C465)</f>
        <v>0</v>
      </c>
    </row>
    <row r="466" spans="1:4" x14ac:dyDescent="0.75">
      <c r="A466" s="32">
        <v>432</v>
      </c>
      <c r="B466" s="32">
        <f t="shared" si="12"/>
        <v>47</v>
      </c>
      <c r="C466" s="32">
        <f t="shared" si="13"/>
        <v>9</v>
      </c>
      <c r="D466" s="38" cm="1">
        <f t="array" ref="D466">INDEX('Chemio-2'!$B$2:$J$100,1+B466,C466)</f>
        <v>0</v>
      </c>
    </row>
    <row r="467" spans="1:4" x14ac:dyDescent="0.75">
      <c r="A467" s="32">
        <v>433</v>
      </c>
      <c r="B467" s="32">
        <f t="shared" si="12"/>
        <v>48</v>
      </c>
      <c r="C467" s="32">
        <f t="shared" si="13"/>
        <v>1</v>
      </c>
      <c r="D467" s="38" cm="1">
        <f t="array" ref="D467">INDEX('Chemio-2'!$B$2:$J$100,1+B467,C467)</f>
        <v>0</v>
      </c>
    </row>
    <row r="468" spans="1:4" x14ac:dyDescent="0.75">
      <c r="A468" s="32">
        <v>434</v>
      </c>
      <c r="B468" s="32">
        <f t="shared" si="12"/>
        <v>48</v>
      </c>
      <c r="C468" s="32">
        <f t="shared" si="13"/>
        <v>2</v>
      </c>
      <c r="D468" s="38" cm="1">
        <f t="array" ref="D468">INDEX('Chemio-2'!$B$2:$J$100,1+B468,C468)</f>
        <v>0</v>
      </c>
    </row>
    <row r="469" spans="1:4" x14ac:dyDescent="0.75">
      <c r="A469" s="32">
        <v>435</v>
      </c>
      <c r="B469" s="32">
        <f t="shared" si="12"/>
        <v>48</v>
      </c>
      <c r="C469" s="32">
        <f t="shared" si="13"/>
        <v>3</v>
      </c>
      <c r="D469" s="38" cm="1">
        <f t="array" ref="D469">INDEX('Chemio-2'!$B$2:$J$100,1+B469,C469)</f>
        <v>0</v>
      </c>
    </row>
    <row r="470" spans="1:4" x14ac:dyDescent="0.75">
      <c r="A470" s="32">
        <v>436</v>
      </c>
      <c r="B470" s="32">
        <f t="shared" si="12"/>
        <v>48</v>
      </c>
      <c r="C470" s="32">
        <f t="shared" si="13"/>
        <v>4</v>
      </c>
      <c r="D470" s="38" cm="1">
        <f t="array" ref="D470">INDEX('Chemio-2'!$B$2:$J$100,1+B470,C470)</f>
        <v>0</v>
      </c>
    </row>
    <row r="471" spans="1:4" x14ac:dyDescent="0.75">
      <c r="A471" s="32">
        <v>437</v>
      </c>
      <c r="B471" s="32">
        <f t="shared" si="12"/>
        <v>48</v>
      </c>
      <c r="C471" s="32">
        <f t="shared" si="13"/>
        <v>5</v>
      </c>
      <c r="D471" s="38" cm="1">
        <f t="array" ref="D471">INDEX('Chemio-2'!$B$2:$J$100,1+B471,C471)</f>
        <v>0</v>
      </c>
    </row>
    <row r="472" spans="1:4" x14ac:dyDescent="0.75">
      <c r="A472" s="32">
        <v>438</v>
      </c>
      <c r="B472" s="32">
        <f t="shared" si="12"/>
        <v>48</v>
      </c>
      <c r="C472" s="32">
        <f t="shared" si="13"/>
        <v>6</v>
      </c>
      <c r="D472" s="38" cm="1">
        <f t="array" ref="D472">INDEX('Chemio-2'!$B$2:$J$100,1+B472,C472)</f>
        <v>0</v>
      </c>
    </row>
    <row r="473" spans="1:4" x14ac:dyDescent="0.75">
      <c r="A473" s="32">
        <v>439</v>
      </c>
      <c r="B473" s="32">
        <f t="shared" si="12"/>
        <v>48</v>
      </c>
      <c r="C473" s="32">
        <f t="shared" si="13"/>
        <v>7</v>
      </c>
      <c r="D473" s="38" cm="1">
        <f t="array" ref="D473">INDEX('Chemio-2'!$B$2:$J$100,1+B473,C473)</f>
        <v>0</v>
      </c>
    </row>
    <row r="474" spans="1:4" x14ac:dyDescent="0.75">
      <c r="A474" s="32">
        <v>440</v>
      </c>
      <c r="B474" s="32">
        <f t="shared" si="12"/>
        <v>48</v>
      </c>
      <c r="C474" s="32">
        <f t="shared" si="13"/>
        <v>8</v>
      </c>
      <c r="D474" s="38" cm="1">
        <f t="array" ref="D474">INDEX('Chemio-2'!$B$2:$J$100,1+B474,C474)</f>
        <v>0</v>
      </c>
    </row>
    <row r="475" spans="1:4" x14ac:dyDescent="0.75">
      <c r="A475" s="32">
        <v>441</v>
      </c>
      <c r="B475" s="32">
        <f t="shared" si="12"/>
        <v>48</v>
      </c>
      <c r="C475" s="32">
        <f t="shared" si="13"/>
        <v>9</v>
      </c>
      <c r="D475" s="38" cm="1">
        <f t="array" ref="D475">INDEX('Chemio-2'!$B$2:$J$100,1+B475,C475)</f>
        <v>0</v>
      </c>
    </row>
    <row r="476" spans="1:4" x14ac:dyDescent="0.75">
      <c r="A476" s="32">
        <v>442</v>
      </c>
      <c r="B476" s="32">
        <f t="shared" si="12"/>
        <v>49</v>
      </c>
      <c r="C476" s="32">
        <f t="shared" si="13"/>
        <v>1</v>
      </c>
      <c r="D476" s="38" cm="1">
        <f t="array" ref="D476">INDEX('Chemio-2'!$B$2:$J$100,1+B476,C476)</f>
        <v>0</v>
      </c>
    </row>
    <row r="477" spans="1:4" x14ac:dyDescent="0.75">
      <c r="A477" s="32">
        <v>443</v>
      </c>
      <c r="B477" s="32">
        <f t="shared" si="12"/>
        <v>49</v>
      </c>
      <c r="C477" s="32">
        <f t="shared" si="13"/>
        <v>2</v>
      </c>
      <c r="D477" s="38" cm="1">
        <f t="array" ref="D477">INDEX('Chemio-2'!$B$2:$J$100,1+B477,C477)</f>
        <v>0</v>
      </c>
    </row>
    <row r="478" spans="1:4" x14ac:dyDescent="0.75">
      <c r="A478" s="32">
        <v>444</v>
      </c>
      <c r="B478" s="32">
        <f t="shared" si="12"/>
        <v>49</v>
      </c>
      <c r="C478" s="32">
        <f t="shared" si="13"/>
        <v>3</v>
      </c>
      <c r="D478" s="38" cm="1">
        <f t="array" ref="D478">INDEX('Chemio-2'!$B$2:$J$100,1+B478,C478)</f>
        <v>0</v>
      </c>
    </row>
    <row r="479" spans="1:4" x14ac:dyDescent="0.75">
      <c r="A479" s="32">
        <v>445</v>
      </c>
      <c r="B479" s="32">
        <f t="shared" si="12"/>
        <v>49</v>
      </c>
      <c r="C479" s="32">
        <f t="shared" si="13"/>
        <v>4</v>
      </c>
      <c r="D479" s="38" cm="1">
        <f t="array" ref="D479">INDEX('Chemio-2'!$B$2:$J$100,1+B479,C479)</f>
        <v>0</v>
      </c>
    </row>
    <row r="480" spans="1:4" x14ac:dyDescent="0.75">
      <c r="A480" s="32">
        <v>446</v>
      </c>
      <c r="B480" s="32">
        <f t="shared" si="12"/>
        <v>49</v>
      </c>
      <c r="C480" s="32">
        <f t="shared" si="13"/>
        <v>5</v>
      </c>
      <c r="D480" s="38" cm="1">
        <f t="array" ref="D480">INDEX('Chemio-2'!$B$2:$J$100,1+B480,C480)</f>
        <v>0</v>
      </c>
    </row>
    <row r="481" spans="1:4" x14ac:dyDescent="0.75">
      <c r="A481" s="32">
        <v>447</v>
      </c>
      <c r="B481" s="32">
        <f t="shared" si="12"/>
        <v>49</v>
      </c>
      <c r="C481" s="32">
        <f t="shared" si="13"/>
        <v>6</v>
      </c>
      <c r="D481" s="38" cm="1">
        <f t="array" ref="D481">INDEX('Chemio-2'!$B$2:$J$100,1+B481,C481)</f>
        <v>0</v>
      </c>
    </row>
    <row r="482" spans="1:4" x14ac:dyDescent="0.75">
      <c r="A482" s="32">
        <v>448</v>
      </c>
      <c r="B482" s="32">
        <f t="shared" si="12"/>
        <v>49</v>
      </c>
      <c r="C482" s="32">
        <f t="shared" si="13"/>
        <v>7</v>
      </c>
      <c r="D482" s="38" cm="1">
        <f t="array" ref="D482">INDEX('Chemio-2'!$B$2:$J$100,1+B482,C482)</f>
        <v>0</v>
      </c>
    </row>
    <row r="483" spans="1:4" x14ac:dyDescent="0.75">
      <c r="A483" s="32">
        <v>449</v>
      </c>
      <c r="B483" s="32">
        <f t="shared" si="12"/>
        <v>49</v>
      </c>
      <c r="C483" s="32">
        <f t="shared" si="13"/>
        <v>8</v>
      </c>
      <c r="D483" s="38" cm="1">
        <f t="array" ref="D483">INDEX('Chemio-2'!$B$2:$J$100,1+B483,C483)</f>
        <v>0</v>
      </c>
    </row>
    <row r="484" spans="1:4" x14ac:dyDescent="0.75">
      <c r="A484" s="32">
        <v>450</v>
      </c>
      <c r="B484" s="32">
        <f t="shared" ref="B484:B547" si="14">IF(MOD(A484,$B$25)=0,A484/$B$25-1,INT(A484/$B$25))</f>
        <v>49</v>
      </c>
      <c r="C484" s="32">
        <f t="shared" ref="C484:C547" si="15">IF(MOD(A484,$B$25)=0,$B$25,MOD(A484,$B$25))</f>
        <v>9</v>
      </c>
      <c r="D484" s="38" cm="1">
        <f t="array" ref="D484">INDEX('Chemio-2'!$B$2:$J$100,1+B484,C484)</f>
        <v>0</v>
      </c>
    </row>
    <row r="485" spans="1:4" x14ac:dyDescent="0.75">
      <c r="A485" s="32">
        <v>451</v>
      </c>
      <c r="B485" s="32">
        <f t="shared" si="14"/>
        <v>50</v>
      </c>
      <c r="C485" s="32">
        <f t="shared" si="15"/>
        <v>1</v>
      </c>
      <c r="D485" s="38" cm="1">
        <f t="array" ref="D485">INDEX('Chemio-2'!$B$2:$J$100,1+B485,C485)</f>
        <v>0</v>
      </c>
    </row>
    <row r="486" spans="1:4" x14ac:dyDescent="0.75">
      <c r="A486" s="32">
        <v>452</v>
      </c>
      <c r="B486" s="32">
        <f t="shared" si="14"/>
        <v>50</v>
      </c>
      <c r="C486" s="32">
        <f t="shared" si="15"/>
        <v>2</v>
      </c>
      <c r="D486" s="38" cm="1">
        <f t="array" ref="D486">INDEX('Chemio-2'!$B$2:$J$100,1+B486,C486)</f>
        <v>0</v>
      </c>
    </row>
    <row r="487" spans="1:4" x14ac:dyDescent="0.75">
      <c r="A487" s="32">
        <v>453</v>
      </c>
      <c r="B487" s="32">
        <f t="shared" si="14"/>
        <v>50</v>
      </c>
      <c r="C487" s="32">
        <f t="shared" si="15"/>
        <v>3</v>
      </c>
      <c r="D487" s="38" cm="1">
        <f t="array" ref="D487">INDEX('Chemio-2'!$B$2:$J$100,1+B487,C487)</f>
        <v>0</v>
      </c>
    </row>
    <row r="488" spans="1:4" x14ac:dyDescent="0.75">
      <c r="A488" s="32">
        <v>454</v>
      </c>
      <c r="B488" s="32">
        <f t="shared" si="14"/>
        <v>50</v>
      </c>
      <c r="C488" s="32">
        <f t="shared" si="15"/>
        <v>4</v>
      </c>
      <c r="D488" s="38" cm="1">
        <f t="array" ref="D488">INDEX('Chemio-2'!$B$2:$J$100,1+B488,C488)</f>
        <v>0</v>
      </c>
    </row>
    <row r="489" spans="1:4" x14ac:dyDescent="0.75">
      <c r="A489" s="32">
        <v>455</v>
      </c>
      <c r="B489" s="32">
        <f t="shared" si="14"/>
        <v>50</v>
      </c>
      <c r="C489" s="32">
        <f t="shared" si="15"/>
        <v>5</v>
      </c>
      <c r="D489" s="38" cm="1">
        <f t="array" ref="D489">INDEX('Chemio-2'!$B$2:$J$100,1+B489,C489)</f>
        <v>0</v>
      </c>
    </row>
    <row r="490" spans="1:4" x14ac:dyDescent="0.75">
      <c r="A490" s="32">
        <v>456</v>
      </c>
      <c r="B490" s="32">
        <f t="shared" si="14"/>
        <v>50</v>
      </c>
      <c r="C490" s="32">
        <f t="shared" si="15"/>
        <v>6</v>
      </c>
      <c r="D490" s="38" cm="1">
        <f t="array" ref="D490">INDEX('Chemio-2'!$B$2:$J$100,1+B490,C490)</f>
        <v>0</v>
      </c>
    </row>
    <row r="491" spans="1:4" x14ac:dyDescent="0.75">
      <c r="A491" s="32">
        <v>457</v>
      </c>
      <c r="B491" s="32">
        <f t="shared" si="14"/>
        <v>50</v>
      </c>
      <c r="C491" s="32">
        <f t="shared" si="15"/>
        <v>7</v>
      </c>
      <c r="D491" s="38" cm="1">
        <f t="array" ref="D491">INDEX('Chemio-2'!$B$2:$J$100,1+B491,C491)</f>
        <v>0</v>
      </c>
    </row>
    <row r="492" spans="1:4" x14ac:dyDescent="0.75">
      <c r="A492" s="32">
        <v>458</v>
      </c>
      <c r="B492" s="32">
        <f t="shared" si="14"/>
        <v>50</v>
      </c>
      <c r="C492" s="32">
        <f t="shared" si="15"/>
        <v>8</v>
      </c>
      <c r="D492" s="38" cm="1">
        <f t="array" ref="D492">INDEX('Chemio-2'!$B$2:$J$100,1+B492,C492)</f>
        <v>0</v>
      </c>
    </row>
    <row r="493" spans="1:4" x14ac:dyDescent="0.75">
      <c r="A493" s="32">
        <v>459</v>
      </c>
      <c r="B493" s="32">
        <f t="shared" si="14"/>
        <v>50</v>
      </c>
      <c r="C493" s="32">
        <f t="shared" si="15"/>
        <v>9</v>
      </c>
      <c r="D493" s="38" cm="1">
        <f t="array" ref="D493">INDEX('Chemio-2'!$B$2:$J$100,1+B493,C493)</f>
        <v>0</v>
      </c>
    </row>
    <row r="494" spans="1:4" x14ac:dyDescent="0.75">
      <c r="A494" s="32">
        <v>460</v>
      </c>
      <c r="B494" s="32">
        <f t="shared" si="14"/>
        <v>51</v>
      </c>
      <c r="C494" s="32">
        <f t="shared" si="15"/>
        <v>1</v>
      </c>
      <c r="D494" s="38" cm="1">
        <f t="array" ref="D494">INDEX('Chemio-2'!$B$2:$J$100,1+B494,C494)</f>
        <v>0</v>
      </c>
    </row>
    <row r="495" spans="1:4" x14ac:dyDescent="0.75">
      <c r="A495" s="32">
        <v>461</v>
      </c>
      <c r="B495" s="32">
        <f t="shared" si="14"/>
        <v>51</v>
      </c>
      <c r="C495" s="32">
        <f t="shared" si="15"/>
        <v>2</v>
      </c>
      <c r="D495" s="38" cm="1">
        <f t="array" ref="D495">INDEX('Chemio-2'!$B$2:$J$100,1+B495,C495)</f>
        <v>0</v>
      </c>
    </row>
    <row r="496" spans="1:4" x14ac:dyDescent="0.75">
      <c r="A496" s="32">
        <v>462</v>
      </c>
      <c r="B496" s="32">
        <f t="shared" si="14"/>
        <v>51</v>
      </c>
      <c r="C496" s="32">
        <f t="shared" si="15"/>
        <v>3</v>
      </c>
      <c r="D496" s="38" cm="1">
        <f t="array" ref="D496">INDEX('Chemio-2'!$B$2:$J$100,1+B496,C496)</f>
        <v>0</v>
      </c>
    </row>
    <row r="497" spans="1:4" x14ac:dyDescent="0.75">
      <c r="A497" s="32">
        <v>463</v>
      </c>
      <c r="B497" s="32">
        <f t="shared" si="14"/>
        <v>51</v>
      </c>
      <c r="C497" s="32">
        <f t="shared" si="15"/>
        <v>4</v>
      </c>
      <c r="D497" s="38" cm="1">
        <f t="array" ref="D497">INDEX('Chemio-2'!$B$2:$J$100,1+B497,C497)</f>
        <v>0</v>
      </c>
    </row>
    <row r="498" spans="1:4" x14ac:dyDescent="0.75">
      <c r="A498" s="32">
        <v>464</v>
      </c>
      <c r="B498" s="32">
        <f t="shared" si="14"/>
        <v>51</v>
      </c>
      <c r="C498" s="32">
        <f t="shared" si="15"/>
        <v>5</v>
      </c>
      <c r="D498" s="38" cm="1">
        <f t="array" ref="D498">INDEX('Chemio-2'!$B$2:$J$100,1+B498,C498)</f>
        <v>0</v>
      </c>
    </row>
    <row r="499" spans="1:4" x14ac:dyDescent="0.75">
      <c r="A499" s="32">
        <v>465</v>
      </c>
      <c r="B499" s="32">
        <f t="shared" si="14"/>
        <v>51</v>
      </c>
      <c r="C499" s="32">
        <f t="shared" si="15"/>
        <v>6</v>
      </c>
      <c r="D499" s="38" cm="1">
        <f t="array" ref="D499">INDEX('Chemio-2'!$B$2:$J$100,1+B499,C499)</f>
        <v>0</v>
      </c>
    </row>
    <row r="500" spans="1:4" x14ac:dyDescent="0.75">
      <c r="A500" s="32">
        <v>466</v>
      </c>
      <c r="B500" s="32">
        <f t="shared" si="14"/>
        <v>51</v>
      </c>
      <c r="C500" s="32">
        <f t="shared" si="15"/>
        <v>7</v>
      </c>
      <c r="D500" s="38" cm="1">
        <f t="array" ref="D500">INDEX('Chemio-2'!$B$2:$J$100,1+B500,C500)</f>
        <v>0</v>
      </c>
    </row>
    <row r="501" spans="1:4" x14ac:dyDescent="0.75">
      <c r="A501" s="32">
        <v>467</v>
      </c>
      <c r="B501" s="32">
        <f t="shared" si="14"/>
        <v>51</v>
      </c>
      <c r="C501" s="32">
        <f t="shared" si="15"/>
        <v>8</v>
      </c>
      <c r="D501" s="38" cm="1">
        <f t="array" ref="D501">INDEX('Chemio-2'!$B$2:$J$100,1+B501,C501)</f>
        <v>0</v>
      </c>
    </row>
    <row r="502" spans="1:4" x14ac:dyDescent="0.75">
      <c r="A502" s="32">
        <v>468</v>
      </c>
      <c r="B502" s="32">
        <f t="shared" si="14"/>
        <v>51</v>
      </c>
      <c r="C502" s="32">
        <f t="shared" si="15"/>
        <v>9</v>
      </c>
      <c r="D502" s="38" cm="1">
        <f t="array" ref="D502">INDEX('Chemio-2'!$B$2:$J$100,1+B502,C502)</f>
        <v>0</v>
      </c>
    </row>
    <row r="503" spans="1:4" x14ac:dyDescent="0.75">
      <c r="A503" s="32">
        <v>469</v>
      </c>
      <c r="B503" s="32">
        <f t="shared" si="14"/>
        <v>52</v>
      </c>
      <c r="C503" s="32">
        <f t="shared" si="15"/>
        <v>1</v>
      </c>
      <c r="D503" s="38" cm="1">
        <f t="array" ref="D503">INDEX('Chemio-2'!$B$2:$J$100,1+B503,C503)</f>
        <v>0</v>
      </c>
    </row>
    <row r="504" spans="1:4" x14ac:dyDescent="0.75">
      <c r="A504" s="32">
        <v>470</v>
      </c>
      <c r="B504" s="32">
        <f t="shared" si="14"/>
        <v>52</v>
      </c>
      <c r="C504" s="32">
        <f t="shared" si="15"/>
        <v>2</v>
      </c>
      <c r="D504" s="38" cm="1">
        <f t="array" ref="D504">INDEX('Chemio-2'!$B$2:$J$100,1+B504,C504)</f>
        <v>0</v>
      </c>
    </row>
    <row r="505" spans="1:4" x14ac:dyDescent="0.75">
      <c r="A505" s="32">
        <v>471</v>
      </c>
      <c r="B505" s="32">
        <f t="shared" si="14"/>
        <v>52</v>
      </c>
      <c r="C505" s="32">
        <f t="shared" si="15"/>
        <v>3</v>
      </c>
      <c r="D505" s="38" cm="1">
        <f t="array" ref="D505">INDEX('Chemio-2'!$B$2:$J$100,1+B505,C505)</f>
        <v>0</v>
      </c>
    </row>
    <row r="506" spans="1:4" x14ac:dyDescent="0.75">
      <c r="A506" s="32">
        <v>472</v>
      </c>
      <c r="B506" s="32">
        <f t="shared" si="14"/>
        <v>52</v>
      </c>
      <c r="C506" s="32">
        <f t="shared" si="15"/>
        <v>4</v>
      </c>
      <c r="D506" s="38" cm="1">
        <f t="array" ref="D506">INDEX('Chemio-2'!$B$2:$J$100,1+B506,C506)</f>
        <v>0</v>
      </c>
    </row>
    <row r="507" spans="1:4" x14ac:dyDescent="0.75">
      <c r="A507" s="32">
        <v>473</v>
      </c>
      <c r="B507" s="32">
        <f t="shared" si="14"/>
        <v>52</v>
      </c>
      <c r="C507" s="32">
        <f t="shared" si="15"/>
        <v>5</v>
      </c>
      <c r="D507" s="38" cm="1">
        <f t="array" ref="D507">INDEX('Chemio-2'!$B$2:$J$100,1+B507,C507)</f>
        <v>0</v>
      </c>
    </row>
    <row r="508" spans="1:4" x14ac:dyDescent="0.75">
      <c r="A508" s="32">
        <v>474</v>
      </c>
      <c r="B508" s="32">
        <f t="shared" si="14"/>
        <v>52</v>
      </c>
      <c r="C508" s="32">
        <f t="shared" si="15"/>
        <v>6</v>
      </c>
      <c r="D508" s="38" cm="1">
        <f t="array" ref="D508">INDEX('Chemio-2'!$B$2:$J$100,1+B508,C508)</f>
        <v>0</v>
      </c>
    </row>
    <row r="509" spans="1:4" x14ac:dyDescent="0.75">
      <c r="A509" s="32">
        <v>475</v>
      </c>
      <c r="B509" s="32">
        <f t="shared" si="14"/>
        <v>52</v>
      </c>
      <c r="C509" s="32">
        <f t="shared" si="15"/>
        <v>7</v>
      </c>
      <c r="D509" s="38" cm="1">
        <f t="array" ref="D509">INDEX('Chemio-2'!$B$2:$J$100,1+B509,C509)</f>
        <v>0</v>
      </c>
    </row>
    <row r="510" spans="1:4" x14ac:dyDescent="0.75">
      <c r="A510" s="32">
        <v>476</v>
      </c>
      <c r="B510" s="32">
        <f t="shared" si="14"/>
        <v>52</v>
      </c>
      <c r="C510" s="32">
        <f t="shared" si="15"/>
        <v>8</v>
      </c>
      <c r="D510" s="38" cm="1">
        <f t="array" ref="D510">INDEX('Chemio-2'!$B$2:$J$100,1+B510,C510)</f>
        <v>0</v>
      </c>
    </row>
    <row r="511" spans="1:4" x14ac:dyDescent="0.75">
      <c r="A511" s="32">
        <v>477</v>
      </c>
      <c r="B511" s="32">
        <f t="shared" si="14"/>
        <v>52</v>
      </c>
      <c r="C511" s="32">
        <f t="shared" si="15"/>
        <v>9</v>
      </c>
      <c r="D511" s="38" cm="1">
        <f t="array" ref="D511">INDEX('Chemio-2'!$B$2:$J$100,1+B511,C511)</f>
        <v>0</v>
      </c>
    </row>
    <row r="512" spans="1:4" x14ac:dyDescent="0.75">
      <c r="A512" s="32">
        <v>478</v>
      </c>
      <c r="B512" s="32">
        <f t="shared" si="14"/>
        <v>53</v>
      </c>
      <c r="C512" s="32">
        <f t="shared" si="15"/>
        <v>1</v>
      </c>
      <c r="D512" s="38" cm="1">
        <f t="array" ref="D512">INDEX('Chemio-2'!$B$2:$J$100,1+B512,C512)</f>
        <v>0</v>
      </c>
    </row>
    <row r="513" spans="1:4" x14ac:dyDescent="0.75">
      <c r="A513" s="32">
        <v>479</v>
      </c>
      <c r="B513" s="32">
        <f t="shared" si="14"/>
        <v>53</v>
      </c>
      <c r="C513" s="32">
        <f t="shared" si="15"/>
        <v>2</v>
      </c>
      <c r="D513" s="38" cm="1">
        <f t="array" ref="D513">INDEX('Chemio-2'!$B$2:$J$100,1+B513,C513)</f>
        <v>0</v>
      </c>
    </row>
    <row r="514" spans="1:4" x14ac:dyDescent="0.75">
      <c r="A514" s="32">
        <v>480</v>
      </c>
      <c r="B514" s="32">
        <f t="shared" si="14"/>
        <v>53</v>
      </c>
      <c r="C514" s="32">
        <f t="shared" si="15"/>
        <v>3</v>
      </c>
      <c r="D514" s="38" cm="1">
        <f t="array" ref="D514">INDEX('Chemio-2'!$B$2:$J$100,1+B514,C514)</f>
        <v>0</v>
      </c>
    </row>
    <row r="515" spans="1:4" x14ac:dyDescent="0.75">
      <c r="A515" s="32">
        <v>481</v>
      </c>
      <c r="B515" s="32">
        <f t="shared" si="14"/>
        <v>53</v>
      </c>
      <c r="C515" s="32">
        <f t="shared" si="15"/>
        <v>4</v>
      </c>
      <c r="D515" s="38" cm="1">
        <f t="array" ref="D515">INDEX('Chemio-2'!$B$2:$J$100,1+B515,C515)</f>
        <v>0</v>
      </c>
    </row>
    <row r="516" spans="1:4" x14ac:dyDescent="0.75">
      <c r="A516" s="32">
        <v>482</v>
      </c>
      <c r="B516" s="32">
        <f t="shared" si="14"/>
        <v>53</v>
      </c>
      <c r="C516" s="32">
        <f t="shared" si="15"/>
        <v>5</v>
      </c>
      <c r="D516" s="38" cm="1">
        <f t="array" ref="D516">INDEX('Chemio-2'!$B$2:$J$100,1+B516,C516)</f>
        <v>0</v>
      </c>
    </row>
    <row r="517" spans="1:4" x14ac:dyDescent="0.75">
      <c r="A517" s="32">
        <v>483</v>
      </c>
      <c r="B517" s="32">
        <f t="shared" si="14"/>
        <v>53</v>
      </c>
      <c r="C517" s="32">
        <f t="shared" si="15"/>
        <v>6</v>
      </c>
      <c r="D517" s="38" cm="1">
        <f t="array" ref="D517">INDEX('Chemio-2'!$B$2:$J$100,1+B517,C517)</f>
        <v>0</v>
      </c>
    </row>
    <row r="518" spans="1:4" x14ac:dyDescent="0.75">
      <c r="A518" s="32">
        <v>484</v>
      </c>
      <c r="B518" s="32">
        <f t="shared" si="14"/>
        <v>53</v>
      </c>
      <c r="C518" s="32">
        <f t="shared" si="15"/>
        <v>7</v>
      </c>
      <c r="D518" s="38" cm="1">
        <f t="array" ref="D518">INDEX('Chemio-2'!$B$2:$J$100,1+B518,C518)</f>
        <v>0</v>
      </c>
    </row>
    <row r="519" spans="1:4" x14ac:dyDescent="0.75">
      <c r="A519" s="32">
        <v>485</v>
      </c>
      <c r="B519" s="32">
        <f t="shared" si="14"/>
        <v>53</v>
      </c>
      <c r="C519" s="32">
        <f t="shared" si="15"/>
        <v>8</v>
      </c>
      <c r="D519" s="38" cm="1">
        <f t="array" ref="D519">INDEX('Chemio-2'!$B$2:$J$100,1+B519,C519)</f>
        <v>0</v>
      </c>
    </row>
    <row r="520" spans="1:4" x14ac:dyDescent="0.75">
      <c r="A520" s="32">
        <v>486</v>
      </c>
      <c r="B520" s="32">
        <f t="shared" si="14"/>
        <v>53</v>
      </c>
      <c r="C520" s="32">
        <f t="shared" si="15"/>
        <v>9</v>
      </c>
      <c r="D520" s="38" cm="1">
        <f t="array" ref="D520">INDEX('Chemio-2'!$B$2:$J$100,1+B520,C520)</f>
        <v>0</v>
      </c>
    </row>
    <row r="521" spans="1:4" x14ac:dyDescent="0.75">
      <c r="A521" s="32">
        <v>487</v>
      </c>
      <c r="B521" s="32">
        <f t="shared" si="14"/>
        <v>54</v>
      </c>
      <c r="C521" s="32">
        <f t="shared" si="15"/>
        <v>1</v>
      </c>
      <c r="D521" s="38" cm="1">
        <f t="array" ref="D521">INDEX('Chemio-2'!$B$2:$J$100,1+B521,C521)</f>
        <v>0</v>
      </c>
    </row>
    <row r="522" spans="1:4" x14ac:dyDescent="0.75">
      <c r="A522" s="32">
        <v>488</v>
      </c>
      <c r="B522" s="32">
        <f t="shared" si="14"/>
        <v>54</v>
      </c>
      <c r="C522" s="32">
        <f t="shared" si="15"/>
        <v>2</v>
      </c>
      <c r="D522" s="38" cm="1">
        <f t="array" ref="D522">INDEX('Chemio-2'!$B$2:$J$100,1+B522,C522)</f>
        <v>0</v>
      </c>
    </row>
    <row r="523" spans="1:4" x14ac:dyDescent="0.75">
      <c r="A523" s="32">
        <v>489</v>
      </c>
      <c r="B523" s="32">
        <f t="shared" si="14"/>
        <v>54</v>
      </c>
      <c r="C523" s="32">
        <f t="shared" si="15"/>
        <v>3</v>
      </c>
      <c r="D523" s="38" cm="1">
        <f t="array" ref="D523">INDEX('Chemio-2'!$B$2:$J$100,1+B523,C523)</f>
        <v>0</v>
      </c>
    </row>
    <row r="524" spans="1:4" x14ac:dyDescent="0.75">
      <c r="A524" s="32">
        <v>490</v>
      </c>
      <c r="B524" s="32">
        <f t="shared" si="14"/>
        <v>54</v>
      </c>
      <c r="C524" s="32">
        <f t="shared" si="15"/>
        <v>4</v>
      </c>
      <c r="D524" s="38" cm="1">
        <f t="array" ref="D524">INDEX('Chemio-2'!$B$2:$J$100,1+B524,C524)</f>
        <v>0</v>
      </c>
    </row>
    <row r="525" spans="1:4" x14ac:dyDescent="0.75">
      <c r="A525" s="32">
        <v>491</v>
      </c>
      <c r="B525" s="32">
        <f t="shared" si="14"/>
        <v>54</v>
      </c>
      <c r="C525" s="32">
        <f t="shared" si="15"/>
        <v>5</v>
      </c>
      <c r="D525" s="38" cm="1">
        <f t="array" ref="D525">INDEX('Chemio-2'!$B$2:$J$100,1+B525,C525)</f>
        <v>0</v>
      </c>
    </row>
    <row r="526" spans="1:4" x14ac:dyDescent="0.75">
      <c r="A526" s="32">
        <v>492</v>
      </c>
      <c r="B526" s="32">
        <f t="shared" si="14"/>
        <v>54</v>
      </c>
      <c r="C526" s="32">
        <f t="shared" si="15"/>
        <v>6</v>
      </c>
      <c r="D526" s="38" cm="1">
        <f t="array" ref="D526">INDEX('Chemio-2'!$B$2:$J$100,1+B526,C526)</f>
        <v>0</v>
      </c>
    </row>
    <row r="527" spans="1:4" x14ac:dyDescent="0.75">
      <c r="A527" s="32">
        <v>493</v>
      </c>
      <c r="B527" s="32">
        <f t="shared" si="14"/>
        <v>54</v>
      </c>
      <c r="C527" s="32">
        <f t="shared" si="15"/>
        <v>7</v>
      </c>
      <c r="D527" s="38" cm="1">
        <f t="array" ref="D527">INDEX('Chemio-2'!$B$2:$J$100,1+B527,C527)</f>
        <v>0</v>
      </c>
    </row>
    <row r="528" spans="1:4" x14ac:dyDescent="0.75">
      <c r="A528" s="32">
        <v>494</v>
      </c>
      <c r="B528" s="32">
        <f t="shared" si="14"/>
        <v>54</v>
      </c>
      <c r="C528" s="32">
        <f t="shared" si="15"/>
        <v>8</v>
      </c>
      <c r="D528" s="38" cm="1">
        <f t="array" ref="D528">INDEX('Chemio-2'!$B$2:$J$100,1+B528,C528)</f>
        <v>0</v>
      </c>
    </row>
    <row r="529" spans="1:4" x14ac:dyDescent="0.75">
      <c r="A529" s="32">
        <v>495</v>
      </c>
      <c r="B529" s="32">
        <f t="shared" si="14"/>
        <v>54</v>
      </c>
      <c r="C529" s="32">
        <f t="shared" si="15"/>
        <v>9</v>
      </c>
      <c r="D529" s="38" cm="1">
        <f t="array" ref="D529">INDEX('Chemio-2'!$B$2:$J$100,1+B529,C529)</f>
        <v>0</v>
      </c>
    </row>
    <row r="530" spans="1:4" x14ac:dyDescent="0.75">
      <c r="A530" s="32">
        <v>496</v>
      </c>
      <c r="B530" s="32">
        <f t="shared" si="14"/>
        <v>55</v>
      </c>
      <c r="C530" s="32">
        <f t="shared" si="15"/>
        <v>1</v>
      </c>
      <c r="D530" s="38" cm="1">
        <f t="array" ref="D530">INDEX('Chemio-2'!$B$2:$J$100,1+B530,C530)</f>
        <v>0</v>
      </c>
    </row>
    <row r="531" spans="1:4" x14ac:dyDescent="0.75">
      <c r="A531" s="32">
        <v>497</v>
      </c>
      <c r="B531" s="32">
        <f t="shared" si="14"/>
        <v>55</v>
      </c>
      <c r="C531" s="32">
        <f t="shared" si="15"/>
        <v>2</v>
      </c>
      <c r="D531" s="38" cm="1">
        <f t="array" ref="D531">INDEX('Chemio-2'!$B$2:$J$100,1+B531,C531)</f>
        <v>0</v>
      </c>
    </row>
    <row r="532" spans="1:4" x14ac:dyDescent="0.75">
      <c r="A532" s="32">
        <v>498</v>
      </c>
      <c r="B532" s="32">
        <f t="shared" si="14"/>
        <v>55</v>
      </c>
      <c r="C532" s="32">
        <f t="shared" si="15"/>
        <v>3</v>
      </c>
      <c r="D532" s="38" cm="1">
        <f t="array" ref="D532">INDEX('Chemio-2'!$B$2:$J$100,1+B532,C532)</f>
        <v>0</v>
      </c>
    </row>
    <row r="533" spans="1:4" x14ac:dyDescent="0.75">
      <c r="A533" s="32">
        <v>499</v>
      </c>
      <c r="B533" s="32">
        <f t="shared" si="14"/>
        <v>55</v>
      </c>
      <c r="C533" s="32">
        <f t="shared" si="15"/>
        <v>4</v>
      </c>
      <c r="D533" s="38" cm="1">
        <f t="array" ref="D533">INDEX('Chemio-2'!$B$2:$J$100,1+B533,C533)</f>
        <v>0</v>
      </c>
    </row>
    <row r="534" spans="1:4" x14ac:dyDescent="0.75">
      <c r="A534" s="32">
        <v>500</v>
      </c>
      <c r="B534" s="32">
        <f t="shared" si="14"/>
        <v>55</v>
      </c>
      <c r="C534" s="32">
        <f t="shared" si="15"/>
        <v>5</v>
      </c>
      <c r="D534" s="38" cm="1">
        <f t="array" ref="D534">INDEX('Chemio-2'!$B$2:$J$100,1+B534,C534)</f>
        <v>0</v>
      </c>
    </row>
    <row r="535" spans="1:4" x14ac:dyDescent="0.75">
      <c r="A535" s="32">
        <v>501</v>
      </c>
      <c r="B535" s="32">
        <f t="shared" si="14"/>
        <v>55</v>
      </c>
      <c r="C535" s="32">
        <f t="shared" si="15"/>
        <v>6</v>
      </c>
      <c r="D535" s="38" cm="1">
        <f t="array" ref="D535">INDEX('Chemio-2'!$B$2:$J$100,1+B535,C535)</f>
        <v>0</v>
      </c>
    </row>
    <row r="536" spans="1:4" x14ac:dyDescent="0.75">
      <c r="A536" s="32">
        <v>502</v>
      </c>
      <c r="B536" s="32">
        <f t="shared" si="14"/>
        <v>55</v>
      </c>
      <c r="C536" s="32">
        <f t="shared" si="15"/>
        <v>7</v>
      </c>
      <c r="D536" s="38" cm="1">
        <f t="array" ref="D536">INDEX('Chemio-2'!$B$2:$J$100,1+B536,C536)</f>
        <v>0</v>
      </c>
    </row>
    <row r="537" spans="1:4" x14ac:dyDescent="0.75">
      <c r="A537" s="32">
        <v>503</v>
      </c>
      <c r="B537" s="32">
        <f t="shared" si="14"/>
        <v>55</v>
      </c>
      <c r="C537" s="32">
        <f t="shared" si="15"/>
        <v>8</v>
      </c>
      <c r="D537" s="38" cm="1">
        <f t="array" ref="D537">INDEX('Chemio-2'!$B$2:$J$100,1+B537,C537)</f>
        <v>0</v>
      </c>
    </row>
    <row r="538" spans="1:4" x14ac:dyDescent="0.75">
      <c r="A538" s="32">
        <v>504</v>
      </c>
      <c r="B538" s="32">
        <f t="shared" si="14"/>
        <v>55</v>
      </c>
      <c r="C538" s="32">
        <f t="shared" si="15"/>
        <v>9</v>
      </c>
      <c r="D538" s="38" cm="1">
        <f t="array" ref="D538">INDEX('Chemio-2'!$B$2:$J$100,1+B538,C538)</f>
        <v>0</v>
      </c>
    </row>
    <row r="539" spans="1:4" x14ac:dyDescent="0.75">
      <c r="A539" s="32">
        <v>505</v>
      </c>
      <c r="B539" s="32">
        <f t="shared" si="14"/>
        <v>56</v>
      </c>
      <c r="C539" s="32">
        <f t="shared" si="15"/>
        <v>1</v>
      </c>
      <c r="D539" s="38" cm="1">
        <f t="array" ref="D539">INDEX('Chemio-2'!$B$2:$J$100,1+B539,C539)</f>
        <v>0</v>
      </c>
    </row>
    <row r="540" spans="1:4" x14ac:dyDescent="0.75">
      <c r="A540" s="32">
        <v>506</v>
      </c>
      <c r="B540" s="32">
        <f t="shared" si="14"/>
        <v>56</v>
      </c>
      <c r="C540" s="32">
        <f t="shared" si="15"/>
        <v>2</v>
      </c>
      <c r="D540" s="38" cm="1">
        <f t="array" ref="D540">INDEX('Chemio-2'!$B$2:$J$100,1+B540,C540)</f>
        <v>0</v>
      </c>
    </row>
    <row r="541" spans="1:4" x14ac:dyDescent="0.75">
      <c r="A541" s="32">
        <v>507</v>
      </c>
      <c r="B541" s="32">
        <f t="shared" si="14"/>
        <v>56</v>
      </c>
      <c r="C541" s="32">
        <f t="shared" si="15"/>
        <v>3</v>
      </c>
      <c r="D541" s="38" cm="1">
        <f t="array" ref="D541">INDEX('Chemio-2'!$B$2:$J$100,1+B541,C541)</f>
        <v>0</v>
      </c>
    </row>
    <row r="542" spans="1:4" x14ac:dyDescent="0.75">
      <c r="A542" s="32">
        <v>508</v>
      </c>
      <c r="B542" s="32">
        <f t="shared" si="14"/>
        <v>56</v>
      </c>
      <c r="C542" s="32">
        <f t="shared" si="15"/>
        <v>4</v>
      </c>
      <c r="D542" s="38" cm="1">
        <f t="array" ref="D542">INDEX('Chemio-2'!$B$2:$J$100,1+B542,C542)</f>
        <v>0</v>
      </c>
    </row>
    <row r="543" spans="1:4" x14ac:dyDescent="0.75">
      <c r="A543" s="32">
        <v>509</v>
      </c>
      <c r="B543" s="32">
        <f t="shared" si="14"/>
        <v>56</v>
      </c>
      <c r="C543" s="32">
        <f t="shared" si="15"/>
        <v>5</v>
      </c>
      <c r="D543" s="38" cm="1">
        <f t="array" ref="D543">INDEX('Chemio-2'!$B$2:$J$100,1+B543,C543)</f>
        <v>0</v>
      </c>
    </row>
    <row r="544" spans="1:4" x14ac:dyDescent="0.75">
      <c r="A544" s="32">
        <v>510</v>
      </c>
      <c r="B544" s="32">
        <f t="shared" si="14"/>
        <v>56</v>
      </c>
      <c r="C544" s="32">
        <f t="shared" si="15"/>
        <v>6</v>
      </c>
      <c r="D544" s="38" cm="1">
        <f t="array" ref="D544">INDEX('Chemio-2'!$B$2:$J$100,1+B544,C544)</f>
        <v>0</v>
      </c>
    </row>
    <row r="545" spans="1:4" x14ac:dyDescent="0.75">
      <c r="A545" s="32">
        <v>511</v>
      </c>
      <c r="B545" s="32">
        <f t="shared" si="14"/>
        <v>56</v>
      </c>
      <c r="C545" s="32">
        <f t="shared" si="15"/>
        <v>7</v>
      </c>
      <c r="D545" s="38" cm="1">
        <f t="array" ref="D545">INDEX('Chemio-2'!$B$2:$J$100,1+B545,C545)</f>
        <v>0</v>
      </c>
    </row>
    <row r="546" spans="1:4" x14ac:dyDescent="0.75">
      <c r="A546" s="32">
        <v>512</v>
      </c>
      <c r="B546" s="32">
        <f t="shared" si="14"/>
        <v>56</v>
      </c>
      <c r="C546" s="32">
        <f t="shared" si="15"/>
        <v>8</v>
      </c>
      <c r="D546" s="38" cm="1">
        <f t="array" ref="D546">INDEX('Chemio-2'!$B$2:$J$100,1+B546,C546)</f>
        <v>0</v>
      </c>
    </row>
    <row r="547" spans="1:4" x14ac:dyDescent="0.75">
      <c r="A547" s="32">
        <v>513</v>
      </c>
      <c r="B547" s="32">
        <f t="shared" si="14"/>
        <v>56</v>
      </c>
      <c r="C547" s="32">
        <f t="shared" si="15"/>
        <v>9</v>
      </c>
      <c r="D547" s="38" cm="1">
        <f t="array" ref="D547">INDEX('Chemio-2'!$B$2:$J$100,1+B547,C547)</f>
        <v>0</v>
      </c>
    </row>
    <row r="548" spans="1:4" x14ac:dyDescent="0.75">
      <c r="A548" s="32">
        <v>514</v>
      </c>
      <c r="B548" s="32">
        <f t="shared" ref="B548:B583" si="16">IF(MOD(A548,$B$25)=0,A548/$B$25-1,INT(A548/$B$25))</f>
        <v>57</v>
      </c>
      <c r="C548" s="32">
        <f t="shared" ref="C548:C583" si="17">IF(MOD(A548,$B$25)=0,$B$25,MOD(A548,$B$25))</f>
        <v>1</v>
      </c>
      <c r="D548" s="38" cm="1">
        <f t="array" ref="D548">INDEX('Chemio-2'!$B$2:$J$100,1+B548,C548)</f>
        <v>0</v>
      </c>
    </row>
    <row r="549" spans="1:4" x14ac:dyDescent="0.75">
      <c r="A549" s="32">
        <v>515</v>
      </c>
      <c r="B549" s="32">
        <f t="shared" si="16"/>
        <v>57</v>
      </c>
      <c r="C549" s="32">
        <f t="shared" si="17"/>
        <v>2</v>
      </c>
      <c r="D549" s="38" cm="1">
        <f t="array" ref="D549">INDEX('Chemio-2'!$B$2:$J$100,1+B549,C549)</f>
        <v>0</v>
      </c>
    </row>
    <row r="550" spans="1:4" x14ac:dyDescent="0.75">
      <c r="A550" s="32">
        <v>516</v>
      </c>
      <c r="B550" s="32">
        <f t="shared" si="16"/>
        <v>57</v>
      </c>
      <c r="C550" s="32">
        <f t="shared" si="17"/>
        <v>3</v>
      </c>
      <c r="D550" s="38" cm="1">
        <f t="array" ref="D550">INDEX('Chemio-2'!$B$2:$J$100,1+B550,C550)</f>
        <v>0</v>
      </c>
    </row>
    <row r="551" spans="1:4" x14ac:dyDescent="0.75">
      <c r="A551" s="32">
        <v>517</v>
      </c>
      <c r="B551" s="32">
        <f t="shared" si="16"/>
        <v>57</v>
      </c>
      <c r="C551" s="32">
        <f t="shared" si="17"/>
        <v>4</v>
      </c>
      <c r="D551" s="38" cm="1">
        <f t="array" ref="D551">INDEX('Chemio-2'!$B$2:$J$100,1+B551,C551)</f>
        <v>0</v>
      </c>
    </row>
    <row r="552" spans="1:4" x14ac:dyDescent="0.75">
      <c r="A552" s="32">
        <v>518</v>
      </c>
      <c r="B552" s="32">
        <f t="shared" si="16"/>
        <v>57</v>
      </c>
      <c r="C552" s="32">
        <f t="shared" si="17"/>
        <v>5</v>
      </c>
      <c r="D552" s="38" cm="1">
        <f t="array" ref="D552">INDEX('Chemio-2'!$B$2:$J$100,1+B552,C552)</f>
        <v>0</v>
      </c>
    </row>
    <row r="553" spans="1:4" x14ac:dyDescent="0.75">
      <c r="A553" s="32">
        <v>519</v>
      </c>
      <c r="B553" s="32">
        <f t="shared" si="16"/>
        <v>57</v>
      </c>
      <c r="C553" s="32">
        <f t="shared" si="17"/>
        <v>6</v>
      </c>
      <c r="D553" s="38" cm="1">
        <f t="array" ref="D553">INDEX('Chemio-2'!$B$2:$J$100,1+B553,C553)</f>
        <v>0</v>
      </c>
    </row>
    <row r="554" spans="1:4" x14ac:dyDescent="0.75">
      <c r="A554" s="32">
        <v>520</v>
      </c>
      <c r="B554" s="32">
        <f t="shared" si="16"/>
        <v>57</v>
      </c>
      <c r="C554" s="32">
        <f t="shared" si="17"/>
        <v>7</v>
      </c>
      <c r="D554" s="38" cm="1">
        <f t="array" ref="D554">INDEX('Chemio-2'!$B$2:$J$100,1+B554,C554)</f>
        <v>0</v>
      </c>
    </row>
    <row r="555" spans="1:4" x14ac:dyDescent="0.75">
      <c r="A555" s="32">
        <v>521</v>
      </c>
      <c r="B555" s="32">
        <f t="shared" si="16"/>
        <v>57</v>
      </c>
      <c r="C555" s="32">
        <f t="shared" si="17"/>
        <v>8</v>
      </c>
      <c r="D555" s="38" cm="1">
        <f t="array" ref="D555">INDEX('Chemio-2'!$B$2:$J$100,1+B555,C555)</f>
        <v>0</v>
      </c>
    </row>
    <row r="556" spans="1:4" x14ac:dyDescent="0.75">
      <c r="A556" s="32">
        <v>522</v>
      </c>
      <c r="B556" s="32">
        <f t="shared" si="16"/>
        <v>57</v>
      </c>
      <c r="C556" s="32">
        <f t="shared" si="17"/>
        <v>9</v>
      </c>
      <c r="D556" s="38" cm="1">
        <f t="array" ref="D556">INDEX('Chemio-2'!$B$2:$J$100,1+B556,C556)</f>
        <v>0</v>
      </c>
    </row>
    <row r="557" spans="1:4" x14ac:dyDescent="0.75">
      <c r="A557" s="32">
        <v>523</v>
      </c>
      <c r="B557" s="32">
        <f t="shared" si="16"/>
        <v>58</v>
      </c>
      <c r="C557" s="32">
        <f t="shared" si="17"/>
        <v>1</v>
      </c>
      <c r="D557" s="38" cm="1">
        <f t="array" ref="D557">INDEX('Chemio-2'!$B$2:$J$100,1+B557,C557)</f>
        <v>0</v>
      </c>
    </row>
    <row r="558" spans="1:4" x14ac:dyDescent="0.75">
      <c r="A558" s="32">
        <v>524</v>
      </c>
      <c r="B558" s="32">
        <f t="shared" si="16"/>
        <v>58</v>
      </c>
      <c r="C558" s="32">
        <f t="shared" si="17"/>
        <v>2</v>
      </c>
      <c r="D558" s="38" cm="1">
        <f t="array" ref="D558">INDEX('Chemio-2'!$B$2:$J$100,1+B558,C558)</f>
        <v>0</v>
      </c>
    </row>
    <row r="559" spans="1:4" x14ac:dyDescent="0.75">
      <c r="A559" s="32">
        <v>525</v>
      </c>
      <c r="B559" s="32">
        <f t="shared" si="16"/>
        <v>58</v>
      </c>
      <c r="C559" s="32">
        <f t="shared" si="17"/>
        <v>3</v>
      </c>
      <c r="D559" s="38" cm="1">
        <f t="array" ref="D559">INDEX('Chemio-2'!$B$2:$J$100,1+B559,C559)</f>
        <v>0</v>
      </c>
    </row>
    <row r="560" spans="1:4" x14ac:dyDescent="0.75">
      <c r="A560" s="32">
        <v>526</v>
      </c>
      <c r="B560" s="32">
        <f t="shared" si="16"/>
        <v>58</v>
      </c>
      <c r="C560" s="32">
        <f t="shared" si="17"/>
        <v>4</v>
      </c>
      <c r="D560" s="38" cm="1">
        <f t="array" ref="D560">INDEX('Chemio-2'!$B$2:$J$100,1+B560,C560)</f>
        <v>0</v>
      </c>
    </row>
    <row r="561" spans="1:4" x14ac:dyDescent="0.75">
      <c r="A561" s="32">
        <v>527</v>
      </c>
      <c r="B561" s="32">
        <f t="shared" si="16"/>
        <v>58</v>
      </c>
      <c r="C561" s="32">
        <f t="shared" si="17"/>
        <v>5</v>
      </c>
      <c r="D561" s="38" cm="1">
        <f t="array" ref="D561">INDEX('Chemio-2'!$B$2:$J$100,1+B561,C561)</f>
        <v>0</v>
      </c>
    </row>
    <row r="562" spans="1:4" x14ac:dyDescent="0.75">
      <c r="A562" s="32">
        <v>528</v>
      </c>
      <c r="B562" s="32">
        <f t="shared" si="16"/>
        <v>58</v>
      </c>
      <c r="C562" s="32">
        <f t="shared" si="17"/>
        <v>6</v>
      </c>
      <c r="D562" s="38" cm="1">
        <f t="array" ref="D562">INDEX('Chemio-2'!$B$2:$J$100,1+B562,C562)</f>
        <v>0</v>
      </c>
    </row>
    <row r="563" spans="1:4" x14ac:dyDescent="0.75">
      <c r="A563" s="32">
        <v>529</v>
      </c>
      <c r="B563" s="32">
        <f t="shared" si="16"/>
        <v>58</v>
      </c>
      <c r="C563" s="32">
        <f t="shared" si="17"/>
        <v>7</v>
      </c>
      <c r="D563" s="38" cm="1">
        <f t="array" ref="D563">INDEX('Chemio-2'!$B$2:$J$100,1+B563,C563)</f>
        <v>0</v>
      </c>
    </row>
    <row r="564" spans="1:4" x14ac:dyDescent="0.75">
      <c r="A564" s="32">
        <v>530</v>
      </c>
      <c r="B564" s="32">
        <f t="shared" si="16"/>
        <v>58</v>
      </c>
      <c r="C564" s="32">
        <f t="shared" si="17"/>
        <v>8</v>
      </c>
      <c r="D564" s="38" cm="1">
        <f t="array" ref="D564">INDEX('Chemio-2'!$B$2:$J$100,1+B564,C564)</f>
        <v>0</v>
      </c>
    </row>
    <row r="565" spans="1:4" x14ac:dyDescent="0.75">
      <c r="A565" s="32">
        <v>531</v>
      </c>
      <c r="B565" s="32">
        <f t="shared" si="16"/>
        <v>58</v>
      </c>
      <c r="C565" s="32">
        <f t="shared" si="17"/>
        <v>9</v>
      </c>
      <c r="D565" s="38" cm="1">
        <f t="array" ref="D565">INDEX('Chemio-2'!$B$2:$J$100,1+B565,C565)</f>
        <v>0</v>
      </c>
    </row>
    <row r="566" spans="1:4" x14ac:dyDescent="0.75">
      <c r="A566" s="32">
        <v>532</v>
      </c>
      <c r="B566" s="32">
        <f t="shared" si="16"/>
        <v>59</v>
      </c>
      <c r="C566" s="32">
        <f t="shared" si="17"/>
        <v>1</v>
      </c>
      <c r="D566" s="38" cm="1">
        <f t="array" ref="D566">INDEX('Chemio-2'!$B$2:$J$100,1+B566,C566)</f>
        <v>0</v>
      </c>
    </row>
    <row r="567" spans="1:4" x14ac:dyDescent="0.75">
      <c r="A567" s="32">
        <v>533</v>
      </c>
      <c r="B567" s="32">
        <f t="shared" si="16"/>
        <v>59</v>
      </c>
      <c r="C567" s="32">
        <f t="shared" si="17"/>
        <v>2</v>
      </c>
      <c r="D567" s="38" cm="1">
        <f t="array" ref="D567">INDEX('Chemio-2'!$B$2:$J$100,1+B567,C567)</f>
        <v>0</v>
      </c>
    </row>
    <row r="568" spans="1:4" x14ac:dyDescent="0.75">
      <c r="A568" s="32">
        <v>534</v>
      </c>
      <c r="B568" s="32">
        <f t="shared" si="16"/>
        <v>59</v>
      </c>
      <c r="C568" s="32">
        <f t="shared" si="17"/>
        <v>3</v>
      </c>
      <c r="D568" s="38" cm="1">
        <f t="array" ref="D568">INDEX('Chemio-2'!$B$2:$J$100,1+B568,C568)</f>
        <v>0</v>
      </c>
    </row>
    <row r="569" spans="1:4" x14ac:dyDescent="0.75">
      <c r="A569" s="32">
        <v>535</v>
      </c>
      <c r="B569" s="32">
        <f t="shared" si="16"/>
        <v>59</v>
      </c>
      <c r="C569" s="32">
        <f t="shared" si="17"/>
        <v>4</v>
      </c>
      <c r="D569" s="38" cm="1">
        <f t="array" ref="D569">INDEX('Chemio-2'!$B$2:$J$100,1+B569,C569)</f>
        <v>0</v>
      </c>
    </row>
    <row r="570" spans="1:4" x14ac:dyDescent="0.75">
      <c r="A570" s="32">
        <v>536</v>
      </c>
      <c r="B570" s="32">
        <f t="shared" si="16"/>
        <v>59</v>
      </c>
      <c r="C570" s="32">
        <f t="shared" si="17"/>
        <v>5</v>
      </c>
      <c r="D570" s="38" cm="1">
        <f t="array" ref="D570">INDEX('Chemio-2'!$B$2:$J$100,1+B570,C570)</f>
        <v>0</v>
      </c>
    </row>
    <row r="571" spans="1:4" x14ac:dyDescent="0.75">
      <c r="A571" s="32">
        <v>537</v>
      </c>
      <c r="B571" s="32">
        <f t="shared" si="16"/>
        <v>59</v>
      </c>
      <c r="C571" s="32">
        <f t="shared" si="17"/>
        <v>6</v>
      </c>
      <c r="D571" s="38" cm="1">
        <f t="array" ref="D571">INDEX('Chemio-2'!$B$2:$J$100,1+B571,C571)</f>
        <v>0</v>
      </c>
    </row>
    <row r="572" spans="1:4" x14ac:dyDescent="0.75">
      <c r="A572" s="32">
        <v>538</v>
      </c>
      <c r="B572" s="32">
        <f t="shared" si="16"/>
        <v>59</v>
      </c>
      <c r="C572" s="32">
        <f t="shared" si="17"/>
        <v>7</v>
      </c>
      <c r="D572" s="38" cm="1">
        <f t="array" ref="D572">INDEX('Chemio-2'!$B$2:$J$100,1+B572,C572)</f>
        <v>0</v>
      </c>
    </row>
    <row r="573" spans="1:4" x14ac:dyDescent="0.75">
      <c r="A573" s="32">
        <v>539</v>
      </c>
      <c r="B573" s="32">
        <f t="shared" si="16"/>
        <v>59</v>
      </c>
      <c r="C573" s="32">
        <f t="shared" si="17"/>
        <v>8</v>
      </c>
      <c r="D573" s="38" cm="1">
        <f t="array" ref="D573">INDEX('Chemio-2'!$B$2:$J$100,1+B573,C573)</f>
        <v>0</v>
      </c>
    </row>
    <row r="574" spans="1:4" x14ac:dyDescent="0.75">
      <c r="A574" s="32">
        <v>540</v>
      </c>
      <c r="B574" s="32">
        <f t="shared" si="16"/>
        <v>59</v>
      </c>
      <c r="C574" s="32">
        <f t="shared" si="17"/>
        <v>9</v>
      </c>
      <c r="D574" s="38" cm="1">
        <f t="array" ref="D574">INDEX('Chemio-2'!$B$2:$J$100,1+B574,C574)</f>
        <v>0</v>
      </c>
    </row>
    <row r="575" spans="1:4" x14ac:dyDescent="0.75">
      <c r="A575" s="32">
        <v>541</v>
      </c>
      <c r="B575" s="32">
        <f t="shared" si="16"/>
        <v>60</v>
      </c>
      <c r="C575" s="32">
        <f t="shared" si="17"/>
        <v>1</v>
      </c>
      <c r="D575" s="38" cm="1">
        <f t="array" ref="D575">INDEX('Chemio-2'!$B$2:$J$100,1+B575,C575)</f>
        <v>0</v>
      </c>
    </row>
    <row r="576" spans="1:4" x14ac:dyDescent="0.75">
      <c r="A576" s="32">
        <v>542</v>
      </c>
      <c r="B576" s="32">
        <f t="shared" si="16"/>
        <v>60</v>
      </c>
      <c r="C576" s="32">
        <f t="shared" si="17"/>
        <v>2</v>
      </c>
      <c r="D576" s="38" cm="1">
        <f t="array" ref="D576">INDEX('Chemio-2'!$B$2:$J$100,1+B576,C576)</f>
        <v>0</v>
      </c>
    </row>
    <row r="577" spans="1:4" x14ac:dyDescent="0.75">
      <c r="A577" s="32">
        <v>543</v>
      </c>
      <c r="B577" s="32">
        <f t="shared" si="16"/>
        <v>60</v>
      </c>
      <c r="C577" s="32">
        <f t="shared" si="17"/>
        <v>3</v>
      </c>
      <c r="D577" s="38" cm="1">
        <f t="array" ref="D577">INDEX('Chemio-2'!$B$2:$J$100,1+B577,C577)</f>
        <v>0</v>
      </c>
    </row>
    <row r="578" spans="1:4" x14ac:dyDescent="0.75">
      <c r="A578" s="32">
        <v>544</v>
      </c>
      <c r="B578" s="32">
        <f t="shared" si="16"/>
        <v>60</v>
      </c>
      <c r="C578" s="32">
        <f t="shared" si="17"/>
        <v>4</v>
      </c>
      <c r="D578" s="38" cm="1">
        <f t="array" ref="D578">INDEX('Chemio-2'!$B$2:$J$100,1+B578,C578)</f>
        <v>0</v>
      </c>
    </row>
    <row r="579" spans="1:4" x14ac:dyDescent="0.75">
      <c r="A579" s="32">
        <v>545</v>
      </c>
      <c r="B579" s="32">
        <f t="shared" si="16"/>
        <v>60</v>
      </c>
      <c r="C579" s="32">
        <f t="shared" si="17"/>
        <v>5</v>
      </c>
      <c r="D579" s="38" cm="1">
        <f t="array" ref="D579">INDEX('Chemio-2'!$B$2:$J$100,1+B579,C579)</f>
        <v>0</v>
      </c>
    </row>
    <row r="580" spans="1:4" x14ac:dyDescent="0.75">
      <c r="A580" s="32">
        <v>546</v>
      </c>
      <c r="B580" s="32">
        <f t="shared" si="16"/>
        <v>60</v>
      </c>
      <c r="C580" s="32">
        <f t="shared" si="17"/>
        <v>6</v>
      </c>
      <c r="D580" s="38" cm="1">
        <f t="array" ref="D580">INDEX('Chemio-2'!$B$2:$J$100,1+B580,C580)</f>
        <v>0</v>
      </c>
    </row>
    <row r="581" spans="1:4" x14ac:dyDescent="0.75">
      <c r="A581" s="32">
        <v>547</v>
      </c>
      <c r="B581" s="32">
        <f t="shared" si="16"/>
        <v>60</v>
      </c>
      <c r="C581" s="32">
        <f t="shared" si="17"/>
        <v>7</v>
      </c>
      <c r="D581" s="38" cm="1">
        <f t="array" ref="D581">INDEX('Chemio-2'!$B$2:$J$100,1+B581,C581)</f>
        <v>0</v>
      </c>
    </row>
    <row r="582" spans="1:4" x14ac:dyDescent="0.75">
      <c r="A582" s="32">
        <v>548</v>
      </c>
      <c r="B582" s="32">
        <f t="shared" si="16"/>
        <v>60</v>
      </c>
      <c r="C582" s="32">
        <f t="shared" si="17"/>
        <v>8</v>
      </c>
      <c r="D582" s="38" cm="1">
        <f t="array" ref="D582">INDEX('Chemio-2'!$B$2:$J$100,1+B582,C582)</f>
        <v>0</v>
      </c>
    </row>
    <row r="583" spans="1:4" x14ac:dyDescent="0.75">
      <c r="A583" s="32">
        <v>549</v>
      </c>
      <c r="B583" s="32">
        <f t="shared" si="16"/>
        <v>60</v>
      </c>
      <c r="C583" s="32">
        <f t="shared" si="17"/>
        <v>9</v>
      </c>
      <c r="D583" s="38" cm="1">
        <f t="array" ref="D583">INDEX('Chemio-2'!$B$2:$J$100,1+B583,C583)</f>
        <v>0</v>
      </c>
    </row>
  </sheetData>
  <hyperlinks>
    <hyperlink ref="G10" r:id="rId1" xr:uid="{22932486-CD4D-4EF9-AD70-2EBF7E826844}"/>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C13E9-3AAA-4089-AD0B-B61ECA01FAA3}">
  <sheetPr codeName="Foglio16"/>
  <dimension ref="A1:M99"/>
  <sheetViews>
    <sheetView workbookViewId="0">
      <selection activeCell="D14" sqref="D14"/>
    </sheetView>
  </sheetViews>
  <sheetFormatPr defaultRowHeight="14.75" x14ac:dyDescent="0.75"/>
  <cols>
    <col min="1" max="2" width="8.7265625" style="31"/>
    <col min="3" max="3" width="48.04296875" style="31" customWidth="1"/>
    <col min="4" max="4" width="53.81640625" style="31" customWidth="1"/>
    <col min="5" max="5" width="24.81640625" style="31" customWidth="1"/>
    <col min="6" max="6" width="16.1328125" style="31" customWidth="1"/>
    <col min="7" max="7" width="10.76953125" style="31" customWidth="1"/>
    <col min="8" max="8" width="45.26953125" style="31" customWidth="1"/>
    <col min="9" max="9" width="40.1328125" style="1" customWidth="1"/>
    <col min="10" max="10" width="26.6328125" style="1" customWidth="1"/>
    <col min="11" max="11" width="48.54296875" style="1" customWidth="1"/>
    <col min="12" max="12" width="53.36328125" style="31" customWidth="1"/>
    <col min="13" max="13" width="51.5" style="31" customWidth="1"/>
    <col min="14" max="16384" width="8.7265625" style="31"/>
  </cols>
  <sheetData>
    <row r="1" spans="1:13" ht="15.5" thickBot="1" x14ac:dyDescent="0.9">
      <c r="C1" s="145" t="str">
        <f>'Chemio-1'!B1</f>
        <v>canonical</v>
      </c>
      <c r="D1" s="20" t="s">
        <v>31</v>
      </c>
      <c r="E1" s="21"/>
      <c r="F1" s="59" t="s">
        <v>89</v>
      </c>
      <c r="M1" s="31" t="s">
        <v>87</v>
      </c>
    </row>
    <row r="2" spans="1:13" ht="15.5" thickBot="1" x14ac:dyDescent="0.9">
      <c r="C2" s="146" t="str">
        <f>'Chemio-1'!B2</f>
        <v>http://hl7.eu/fhir/ig/pcsp</v>
      </c>
      <c r="D2" s="18" t="s">
        <v>95</v>
      </c>
      <c r="E2" s="44"/>
      <c r="F2" s="31" t="s">
        <v>71</v>
      </c>
      <c r="L2" s="62"/>
      <c r="M2" s="31" t="str">
        <f>CONCATENATE("Mapping: ",E2)</f>
        <v xml:space="preserve">Mapping: </v>
      </c>
    </row>
    <row r="3" spans="1:13" ht="15.5" thickBot="1" x14ac:dyDescent="0.9">
      <c r="C3" s="145" t="str">
        <f>'Chemio-1'!B3</f>
        <v>Publisher</v>
      </c>
      <c r="D3" s="52"/>
      <c r="E3" s="45"/>
      <c r="L3" s="62"/>
      <c r="M3" s="31" t="str">
        <f>CONCATENATE("Id: ",E2)</f>
        <v xml:space="preserve">Id: </v>
      </c>
    </row>
    <row r="4" spans="1:13" ht="15.5" thickBot="1" x14ac:dyDescent="0.9">
      <c r="C4" s="146" t="str">
        <f>'Chemio-1'!B4</f>
        <v>PanCareSurPass project</v>
      </c>
      <c r="D4" s="61"/>
      <c r="E4" s="46"/>
      <c r="L4" s="62"/>
      <c r="M4" s="31" t="str">
        <f>CONCATENATE("Title: """,D2,"""")</f>
        <v>Title: "FHIR"</v>
      </c>
    </row>
    <row r="5" spans="1:13" x14ac:dyDescent="0.75">
      <c r="L5" s="62"/>
      <c r="M5" s="31" t="str">
        <f>CONCATENATE("Source: ",C2,"/",C7)</f>
        <v>Source: http://hl7.eu/fhir/ig/pcsp/Chemotherapy</v>
      </c>
    </row>
    <row r="6" spans="1:13" x14ac:dyDescent="0.75">
      <c r="D6" s="31" t="s">
        <v>70</v>
      </c>
      <c r="L6" s="62"/>
      <c r="M6" s="31" t="str">
        <f>CONCATENATE("Target: """,D4,"""")</f>
        <v>Target: ""</v>
      </c>
    </row>
    <row r="7" spans="1:13" x14ac:dyDescent="0.75">
      <c r="A7" s="32"/>
      <c r="B7" s="32">
        <f>'Chemio-1'!A6</f>
        <v>0</v>
      </c>
      <c r="C7" s="28" t="str">
        <f>'Chemio-1'!B6</f>
        <v>Chemotherapy</v>
      </c>
      <c r="D7" s="28"/>
      <c r="L7" s="31" t="s">
        <v>88</v>
      </c>
      <c r="M7" s="31" t="s">
        <v>87</v>
      </c>
    </row>
    <row r="8" spans="1:13" ht="44.25" x14ac:dyDescent="0.75">
      <c r="A8" s="32">
        <v>0</v>
      </c>
      <c r="B8" s="32">
        <f>'Chemio-1'!A7</f>
        <v>1</v>
      </c>
      <c r="C8" s="32" t="str">
        <f>'Chemio-1'!B7</f>
        <v>productAdministration</v>
      </c>
      <c r="D8" s="32" t="s">
        <v>1141</v>
      </c>
      <c r="E8" s="31" t="s">
        <v>90</v>
      </c>
      <c r="G8" s="31" t="b">
        <f>IF(D8&gt;"",TRUE,FALSE)</f>
        <v>1</v>
      </c>
      <c r="H8" s="1" t="str">
        <f>IF(G8,CONCATENATE("* differential.element[",$B8,"].mapping[",$A8,"].identity = """,$F$1,""""),"")</f>
        <v>* differential.element[1].mapping[0].identity = "fhir"</v>
      </c>
      <c r="I8" s="1" t="str">
        <f>IF(G8,CONCATENATE("* differential.element[",$B8,"].mapping[",$A8,"].map = """,D8,""""),"")</f>
        <v>* differential.element[1].mapping[0].map = "MedStatement "</v>
      </c>
      <c r="J8" s="1" t="str">
        <f>IF(E8&gt;"",CONCATENATE("* differential.element[",$B8,"].mapping[",$A8,"].comment = """,E8,""""),"")</f>
        <v>* differential.element[1].mapping[0].comment = "note"</v>
      </c>
      <c r="L8" s="62"/>
      <c r="M8" s="31" t="str">
        <f t="shared" ref="M8:M26" si="0">CONCATENATE("* ",C8," -&gt; """,D8,"""")</f>
        <v>* productAdministration -&gt; "MedStatement "</v>
      </c>
    </row>
    <row r="9" spans="1:13" ht="29.5" x14ac:dyDescent="0.75">
      <c r="A9" s="32">
        <v>0</v>
      </c>
      <c r="B9" s="32">
        <f>'Chemio-1'!A8</f>
        <v>2</v>
      </c>
      <c r="C9" s="32" t="str">
        <f>'Chemio-1'!B8</f>
        <v>productAdministration.agent</v>
      </c>
      <c r="D9" s="32" t="s">
        <v>1141</v>
      </c>
      <c r="G9" s="31" t="b">
        <f t="shared" ref="G9:G59" si="1">IF(D9&gt;"",TRUE,FALSE)</f>
        <v>1</v>
      </c>
      <c r="H9" s="1" t="str">
        <f t="shared" ref="H9:H59" si="2">IF(G9,CONCATENATE("* differential.element[",$B9,"].mapping[",$A9,"].identity = """,$F$1,""""),"")</f>
        <v>* differential.element[2].mapping[0].identity = "fhir"</v>
      </c>
      <c r="I9" s="1" t="str">
        <f t="shared" ref="I9:I59" si="3">IF(G9,CONCATENATE("* differential.element[",$B9,"].mapping[",$A9,"].map = """,D9,""""),"")</f>
        <v>* differential.element[2].mapping[0].map = "MedStatement "</v>
      </c>
      <c r="J9" s="1" t="str">
        <f t="shared" ref="J9:J59" si="4">IF(E9&gt;"",CONCATENATE("* differential.element[",$B9,"].mapping[",$A9,"].comment = """,E9,""""),"")</f>
        <v/>
      </c>
      <c r="L9" s="62"/>
      <c r="M9" s="31" t="str">
        <f t="shared" si="0"/>
        <v>* productAdministration.agent -&gt; "MedStatement "</v>
      </c>
    </row>
    <row r="10" spans="1:13" ht="29.5" x14ac:dyDescent="0.75">
      <c r="A10" s="32">
        <v>0</v>
      </c>
      <c r="B10" s="32">
        <f>'Chemio-1'!A9</f>
        <v>3</v>
      </c>
      <c r="C10" s="32" t="str">
        <f>'Chemio-1'!B9</f>
        <v>productAdministration.cumulativeDose</v>
      </c>
      <c r="D10" s="32" t="s">
        <v>1141</v>
      </c>
      <c r="G10" s="31" t="b">
        <f t="shared" si="1"/>
        <v>1</v>
      </c>
      <c r="H10" s="1" t="str">
        <f t="shared" si="2"/>
        <v>* differential.element[3].mapping[0].identity = "fhir"</v>
      </c>
      <c r="I10" s="1" t="str">
        <f t="shared" si="3"/>
        <v>* differential.element[3].mapping[0].map = "MedStatement "</v>
      </c>
      <c r="J10" s="1" t="str">
        <f t="shared" si="4"/>
        <v/>
      </c>
      <c r="L10" s="62"/>
      <c r="M10" s="31" t="str">
        <f t="shared" si="0"/>
        <v>* productAdministration.cumulativeDose -&gt; "MedStatement "</v>
      </c>
    </row>
    <row r="11" spans="1:13" ht="29.5" x14ac:dyDescent="0.75">
      <c r="A11" s="32">
        <v>0</v>
      </c>
      <c r="B11" s="32">
        <f>'Chemio-1'!A10</f>
        <v>4</v>
      </c>
      <c r="C11" s="32" t="str">
        <f>'Chemio-1'!B10</f>
        <v>productAdministration.cumulativeDose.notAvailable</v>
      </c>
      <c r="D11" s="32" t="s">
        <v>1141</v>
      </c>
      <c r="G11" s="31" t="b">
        <f t="shared" si="1"/>
        <v>1</v>
      </c>
      <c r="H11" s="1" t="str">
        <f t="shared" si="2"/>
        <v>* differential.element[4].mapping[0].identity = "fhir"</v>
      </c>
      <c r="I11" s="1" t="str">
        <f t="shared" si="3"/>
        <v>* differential.element[4].mapping[0].map = "MedStatement "</v>
      </c>
      <c r="J11" s="1" t="str">
        <f t="shared" si="4"/>
        <v/>
      </c>
      <c r="L11" s="62"/>
      <c r="M11" s="31" t="str">
        <f t="shared" si="0"/>
        <v>* productAdministration.cumulativeDose.notAvailable -&gt; "MedStatement "</v>
      </c>
    </row>
    <row r="12" spans="1:13" ht="29.5" x14ac:dyDescent="0.75">
      <c r="A12" s="32">
        <v>0</v>
      </c>
      <c r="B12" s="32">
        <f>'Chemio-1'!A11</f>
        <v>5</v>
      </c>
      <c r="C12" s="32" t="str">
        <f>'Chemio-1'!B11</f>
        <v>productAdministration.cumulativeDose.value</v>
      </c>
      <c r="D12" s="32" t="s">
        <v>1141</v>
      </c>
      <c r="G12" s="31" t="b">
        <f t="shared" si="1"/>
        <v>1</v>
      </c>
      <c r="H12" s="1" t="str">
        <f t="shared" si="2"/>
        <v>* differential.element[5].mapping[0].identity = "fhir"</v>
      </c>
      <c r="I12" s="1" t="str">
        <f t="shared" si="3"/>
        <v>* differential.element[5].mapping[0].map = "MedStatement "</v>
      </c>
      <c r="J12" s="1" t="str">
        <f t="shared" si="4"/>
        <v/>
      </c>
      <c r="L12" s="62"/>
      <c r="M12" s="31" t="str">
        <f t="shared" si="0"/>
        <v>* productAdministration.cumulativeDose.value -&gt; "MedStatement "</v>
      </c>
    </row>
    <row r="13" spans="1:13" ht="29.5" x14ac:dyDescent="0.75">
      <c r="A13" s="32">
        <v>0</v>
      </c>
      <c r="B13" s="32">
        <f>'Chemio-1'!A12</f>
        <v>6</v>
      </c>
      <c r="C13" s="32" t="str">
        <f>'Chemio-1'!B12</f>
        <v>productAdministration.cumulativeDose.unit</v>
      </c>
      <c r="D13" s="32" t="s">
        <v>1141</v>
      </c>
      <c r="G13" s="31" t="b">
        <f t="shared" si="1"/>
        <v>1</v>
      </c>
      <c r="H13" s="1" t="str">
        <f t="shared" si="2"/>
        <v>* differential.element[6].mapping[0].identity = "fhir"</v>
      </c>
      <c r="I13" s="1" t="str">
        <f t="shared" si="3"/>
        <v>* differential.element[6].mapping[0].map = "MedStatement "</v>
      </c>
      <c r="J13" s="1" t="str">
        <f t="shared" si="4"/>
        <v/>
      </c>
      <c r="L13" s="62"/>
      <c r="M13" s="31" t="str">
        <f t="shared" si="0"/>
        <v>* productAdministration.cumulativeDose.unit -&gt; "MedStatement "</v>
      </c>
    </row>
    <row r="14" spans="1:13" x14ac:dyDescent="0.75">
      <c r="A14" s="32">
        <v>0</v>
      </c>
      <c r="B14" s="32">
        <f>'Chemio-1'!A13</f>
        <v>7</v>
      </c>
      <c r="C14" s="32" t="str">
        <f>'Chemio-1'!B13</f>
        <v>corticosteroids</v>
      </c>
      <c r="D14" s="32"/>
      <c r="G14" s="31" t="b">
        <f t="shared" si="1"/>
        <v>0</v>
      </c>
      <c r="H14" s="1" t="str">
        <f t="shared" si="2"/>
        <v/>
      </c>
      <c r="I14" s="1" t="str">
        <f t="shared" si="3"/>
        <v/>
      </c>
      <c r="J14" s="1" t="str">
        <f t="shared" si="4"/>
        <v/>
      </c>
      <c r="L14" s="62"/>
      <c r="M14" s="31" t="str">
        <f t="shared" si="0"/>
        <v>* corticosteroids -&gt; ""</v>
      </c>
    </row>
    <row r="15" spans="1:13" x14ac:dyDescent="0.75">
      <c r="A15" s="32">
        <v>0</v>
      </c>
      <c r="B15" s="32">
        <f>'Chemio-1'!A14</f>
        <v>8</v>
      </c>
      <c r="C15" s="32" t="str">
        <f>'Chemio-1'!B14</f>
        <v>intrathecalInjections</v>
      </c>
      <c r="D15" s="32"/>
      <c r="G15" s="31" t="b">
        <f t="shared" si="1"/>
        <v>0</v>
      </c>
      <c r="H15" s="1" t="str">
        <f t="shared" si="2"/>
        <v/>
      </c>
      <c r="I15" s="1" t="str">
        <f t="shared" si="3"/>
        <v/>
      </c>
      <c r="J15" s="1" t="str">
        <f t="shared" si="4"/>
        <v/>
      </c>
      <c r="M15" s="31" t="str">
        <f t="shared" si="0"/>
        <v>* intrathecalInjections -&gt; ""</v>
      </c>
    </row>
    <row r="16" spans="1:13" x14ac:dyDescent="0.75">
      <c r="A16" s="32">
        <v>0</v>
      </c>
      <c r="B16" s="32">
        <f>'Chemio-1'!A15</f>
        <v>9</v>
      </c>
      <c r="C16" s="32">
        <f>'Chemio-1'!B15</f>
        <v>0</v>
      </c>
      <c r="D16" s="32"/>
      <c r="G16" s="31" t="b">
        <f t="shared" si="1"/>
        <v>0</v>
      </c>
      <c r="H16" s="1" t="str">
        <f t="shared" si="2"/>
        <v/>
      </c>
      <c r="I16" s="1" t="str">
        <f t="shared" si="3"/>
        <v/>
      </c>
      <c r="J16" s="1" t="str">
        <f t="shared" si="4"/>
        <v/>
      </c>
      <c r="M16" s="31" t="str">
        <f t="shared" si="0"/>
        <v>* 0 -&gt; ""</v>
      </c>
    </row>
    <row r="17" spans="1:13" x14ac:dyDescent="0.75">
      <c r="A17" s="32">
        <v>0</v>
      </c>
      <c r="B17" s="32">
        <f>'Chemio-1'!A16</f>
        <v>10</v>
      </c>
      <c r="C17" s="32">
        <f>'Chemio-1'!B16</f>
        <v>0</v>
      </c>
      <c r="D17" s="32"/>
      <c r="G17" s="31" t="b">
        <f t="shared" si="1"/>
        <v>0</v>
      </c>
      <c r="H17" s="1" t="str">
        <f t="shared" si="2"/>
        <v/>
      </c>
      <c r="I17" s="1" t="str">
        <f t="shared" si="3"/>
        <v/>
      </c>
      <c r="J17" s="1" t="str">
        <f t="shared" si="4"/>
        <v/>
      </c>
      <c r="M17" s="31" t="str">
        <f t="shared" si="0"/>
        <v>* 0 -&gt; ""</v>
      </c>
    </row>
    <row r="18" spans="1:13" x14ac:dyDescent="0.75">
      <c r="A18" s="32">
        <v>0</v>
      </c>
      <c r="B18" s="32">
        <f>'Chemio-1'!A17</f>
        <v>11</v>
      </c>
      <c r="C18" s="32">
        <f>'Chemio-1'!B17</f>
        <v>0</v>
      </c>
      <c r="D18" s="32"/>
      <c r="G18" s="31" t="b">
        <f t="shared" si="1"/>
        <v>0</v>
      </c>
      <c r="H18" s="1" t="str">
        <f t="shared" si="2"/>
        <v/>
      </c>
      <c r="I18" s="1" t="str">
        <f t="shared" si="3"/>
        <v/>
      </c>
      <c r="J18" s="1" t="str">
        <f t="shared" si="4"/>
        <v/>
      </c>
      <c r="M18" s="31" t="str">
        <f t="shared" si="0"/>
        <v>* 0 -&gt; ""</v>
      </c>
    </row>
    <row r="19" spans="1:13" x14ac:dyDescent="0.75">
      <c r="A19" s="32">
        <v>0</v>
      </c>
      <c r="B19" s="32">
        <f>'Chemio-1'!A18</f>
        <v>12</v>
      </c>
      <c r="C19" s="32">
        <f>'Chemio-1'!B18</f>
        <v>0</v>
      </c>
      <c r="D19" s="32"/>
      <c r="G19" s="31" t="b">
        <f t="shared" si="1"/>
        <v>0</v>
      </c>
      <c r="H19" s="1" t="str">
        <f t="shared" si="2"/>
        <v/>
      </c>
      <c r="I19" s="1" t="str">
        <f t="shared" si="3"/>
        <v/>
      </c>
      <c r="J19" s="1" t="str">
        <f t="shared" si="4"/>
        <v/>
      </c>
      <c r="M19" s="31" t="str">
        <f t="shared" si="0"/>
        <v>* 0 -&gt; ""</v>
      </c>
    </row>
    <row r="20" spans="1:13" x14ac:dyDescent="0.75">
      <c r="A20" s="32">
        <v>0</v>
      </c>
      <c r="B20" s="32">
        <f>'Chemio-1'!A19</f>
        <v>13</v>
      </c>
      <c r="C20" s="32">
        <f>'Chemio-1'!B19</f>
        <v>0</v>
      </c>
      <c r="D20" s="32"/>
      <c r="G20" s="31" t="b">
        <f t="shared" si="1"/>
        <v>0</v>
      </c>
      <c r="H20" s="1" t="str">
        <f t="shared" si="2"/>
        <v/>
      </c>
      <c r="I20" s="1" t="str">
        <f t="shared" si="3"/>
        <v/>
      </c>
      <c r="J20" s="1" t="str">
        <f t="shared" si="4"/>
        <v/>
      </c>
      <c r="M20" s="31" t="str">
        <f t="shared" si="0"/>
        <v>* 0 -&gt; ""</v>
      </c>
    </row>
    <row r="21" spans="1:13" x14ac:dyDescent="0.75">
      <c r="A21" s="32">
        <v>0</v>
      </c>
      <c r="B21" s="32">
        <f>'Chemio-1'!A20</f>
        <v>14</v>
      </c>
      <c r="C21" s="32">
        <f>'Chemio-1'!B20</f>
        <v>0</v>
      </c>
      <c r="D21" s="32"/>
      <c r="G21" s="31" t="b">
        <f t="shared" si="1"/>
        <v>0</v>
      </c>
      <c r="H21" s="1" t="str">
        <f t="shared" si="2"/>
        <v/>
      </c>
      <c r="I21" s="1" t="str">
        <f t="shared" si="3"/>
        <v/>
      </c>
      <c r="J21" s="1" t="str">
        <f t="shared" si="4"/>
        <v/>
      </c>
      <c r="M21" s="31" t="str">
        <f t="shared" si="0"/>
        <v>* 0 -&gt; ""</v>
      </c>
    </row>
    <row r="22" spans="1:13" x14ac:dyDescent="0.75">
      <c r="A22" s="32">
        <v>0</v>
      </c>
      <c r="B22" s="32">
        <f>'Chemio-1'!A21</f>
        <v>15</v>
      </c>
      <c r="C22" s="32">
        <f>'Chemio-1'!B21</f>
        <v>0</v>
      </c>
      <c r="D22" s="32"/>
      <c r="G22" s="31" t="b">
        <f t="shared" si="1"/>
        <v>0</v>
      </c>
      <c r="H22" s="1" t="str">
        <f t="shared" si="2"/>
        <v/>
      </c>
      <c r="I22" s="1" t="str">
        <f t="shared" si="3"/>
        <v/>
      </c>
      <c r="J22" s="1" t="str">
        <f t="shared" si="4"/>
        <v/>
      </c>
      <c r="M22" s="31" t="str">
        <f t="shared" si="0"/>
        <v>* 0 -&gt; ""</v>
      </c>
    </row>
    <row r="23" spans="1:13" x14ac:dyDescent="0.75">
      <c r="A23" s="32">
        <v>0</v>
      </c>
      <c r="B23" s="32">
        <f>'Chemio-1'!A22</f>
        <v>16</v>
      </c>
      <c r="C23" s="32">
        <f>'Chemio-1'!B22</f>
        <v>0</v>
      </c>
      <c r="D23" s="32"/>
      <c r="G23" s="31" t="b">
        <f t="shared" si="1"/>
        <v>0</v>
      </c>
      <c r="H23" s="1" t="str">
        <f t="shared" si="2"/>
        <v/>
      </c>
      <c r="I23" s="1" t="str">
        <f t="shared" si="3"/>
        <v/>
      </c>
      <c r="J23" s="1" t="str">
        <f t="shared" si="4"/>
        <v/>
      </c>
      <c r="M23" s="31" t="str">
        <f t="shared" si="0"/>
        <v>* 0 -&gt; ""</v>
      </c>
    </row>
    <row r="24" spans="1:13" x14ac:dyDescent="0.75">
      <c r="A24" s="32">
        <v>0</v>
      </c>
      <c r="B24" s="32">
        <f>'Chemio-1'!A23</f>
        <v>17</v>
      </c>
      <c r="C24" s="32">
        <f>'Chemio-1'!B23</f>
        <v>0</v>
      </c>
      <c r="D24" s="32"/>
      <c r="G24" s="31" t="b">
        <f t="shared" si="1"/>
        <v>0</v>
      </c>
      <c r="H24" s="1" t="str">
        <f t="shared" si="2"/>
        <v/>
      </c>
      <c r="I24" s="1" t="str">
        <f t="shared" si="3"/>
        <v/>
      </c>
      <c r="J24" s="1" t="str">
        <f t="shared" si="4"/>
        <v/>
      </c>
      <c r="M24" s="31" t="str">
        <f t="shared" si="0"/>
        <v>* 0 -&gt; ""</v>
      </c>
    </row>
    <row r="25" spans="1:13" x14ac:dyDescent="0.75">
      <c r="A25" s="32">
        <v>0</v>
      </c>
      <c r="B25" s="32">
        <f>'Chemio-1'!A24</f>
        <v>18</v>
      </c>
      <c r="C25" s="32">
        <f>'Chemio-1'!B24</f>
        <v>0</v>
      </c>
      <c r="D25" s="32"/>
      <c r="G25" s="31" t="b">
        <f t="shared" si="1"/>
        <v>0</v>
      </c>
      <c r="H25" s="1" t="str">
        <f t="shared" si="2"/>
        <v/>
      </c>
      <c r="I25" s="1" t="str">
        <f t="shared" si="3"/>
        <v/>
      </c>
      <c r="J25" s="1" t="str">
        <f t="shared" si="4"/>
        <v/>
      </c>
      <c r="M25" s="31" t="str">
        <f t="shared" si="0"/>
        <v>* 0 -&gt; ""</v>
      </c>
    </row>
    <row r="26" spans="1:13" x14ac:dyDescent="0.75">
      <c r="A26" s="32">
        <v>0</v>
      </c>
      <c r="B26" s="32">
        <f>'Chemio-1'!A25</f>
        <v>19</v>
      </c>
      <c r="C26" s="32">
        <f>'Chemio-1'!B25</f>
        <v>0</v>
      </c>
      <c r="D26" s="32"/>
      <c r="G26" s="31" t="b">
        <f t="shared" si="1"/>
        <v>0</v>
      </c>
      <c r="H26" s="1" t="str">
        <f t="shared" si="2"/>
        <v/>
      </c>
      <c r="I26" s="1" t="str">
        <f t="shared" si="3"/>
        <v/>
      </c>
      <c r="J26" s="1" t="str">
        <f t="shared" si="4"/>
        <v/>
      </c>
      <c r="M26" s="31" t="str">
        <f t="shared" si="0"/>
        <v>* 0 -&gt; ""</v>
      </c>
    </row>
    <row r="27" spans="1:13" x14ac:dyDescent="0.75">
      <c r="A27" s="68">
        <v>0</v>
      </c>
      <c r="B27" s="32">
        <f>'Chemio-1'!A26</f>
        <v>20</v>
      </c>
      <c r="C27" s="32">
        <f>'Chemio-1'!B26</f>
        <v>0</v>
      </c>
      <c r="D27" s="32"/>
      <c r="G27" s="31" t="b">
        <f t="shared" si="1"/>
        <v>0</v>
      </c>
      <c r="H27" s="1" t="str">
        <f t="shared" si="2"/>
        <v/>
      </c>
      <c r="I27" s="1" t="str">
        <f t="shared" si="3"/>
        <v/>
      </c>
      <c r="J27" s="1" t="str">
        <f t="shared" si="4"/>
        <v/>
      </c>
    </row>
    <row r="28" spans="1:13" x14ac:dyDescent="0.75">
      <c r="A28" s="32">
        <v>1</v>
      </c>
      <c r="B28" s="32">
        <f>'Chemio-1'!A27</f>
        <v>21</v>
      </c>
      <c r="C28" s="32">
        <f>'Chemio-1'!B27</f>
        <v>0</v>
      </c>
      <c r="D28" s="32"/>
      <c r="G28" s="31" t="b">
        <f t="shared" si="1"/>
        <v>0</v>
      </c>
      <c r="H28" s="1" t="str">
        <f t="shared" si="2"/>
        <v/>
      </c>
      <c r="I28" s="1" t="str">
        <f t="shared" si="3"/>
        <v/>
      </c>
      <c r="J28" s="1" t="str">
        <f t="shared" si="4"/>
        <v/>
      </c>
      <c r="M28" s="31" t="str">
        <f t="shared" ref="M28:M36" si="5">CONCATENATE("* ",C28," -&gt; """,D28,"""")</f>
        <v>* 0 -&gt; ""</v>
      </c>
    </row>
    <row r="29" spans="1:13" x14ac:dyDescent="0.75">
      <c r="A29" s="32">
        <v>0</v>
      </c>
      <c r="B29" s="32">
        <f>'Chemio-1'!A28</f>
        <v>22</v>
      </c>
      <c r="C29" s="32">
        <f>'Chemio-1'!B28</f>
        <v>0</v>
      </c>
      <c r="D29" s="32"/>
      <c r="G29" s="31" t="b">
        <f t="shared" si="1"/>
        <v>0</v>
      </c>
      <c r="H29" s="1" t="str">
        <f t="shared" si="2"/>
        <v/>
      </c>
      <c r="I29" s="1" t="str">
        <f t="shared" si="3"/>
        <v/>
      </c>
      <c r="J29" s="1" t="str">
        <f t="shared" si="4"/>
        <v/>
      </c>
      <c r="M29" s="31" t="str">
        <f t="shared" si="5"/>
        <v>* 0 -&gt; ""</v>
      </c>
    </row>
    <row r="30" spans="1:13" x14ac:dyDescent="0.75">
      <c r="A30" s="32">
        <v>0</v>
      </c>
      <c r="B30" s="32">
        <f>'Chemio-1'!A29</f>
        <v>23</v>
      </c>
      <c r="C30" s="32">
        <f>'Chemio-1'!B29</f>
        <v>0</v>
      </c>
      <c r="D30" s="32"/>
      <c r="G30" s="31" t="b">
        <f t="shared" si="1"/>
        <v>0</v>
      </c>
      <c r="H30" s="1" t="str">
        <f t="shared" si="2"/>
        <v/>
      </c>
      <c r="I30" s="1" t="str">
        <f t="shared" si="3"/>
        <v/>
      </c>
      <c r="J30" s="1" t="str">
        <f t="shared" si="4"/>
        <v/>
      </c>
      <c r="M30" s="31" t="str">
        <f t="shared" si="5"/>
        <v>* 0 -&gt; ""</v>
      </c>
    </row>
    <row r="31" spans="1:13" x14ac:dyDescent="0.75">
      <c r="A31" s="32">
        <v>0</v>
      </c>
      <c r="B31" s="32">
        <f>'Chemio-1'!A30</f>
        <v>24</v>
      </c>
      <c r="C31" s="32">
        <f>'Chemio-1'!B30</f>
        <v>0</v>
      </c>
      <c r="D31" s="32"/>
      <c r="G31" s="31" t="b">
        <f t="shared" si="1"/>
        <v>0</v>
      </c>
      <c r="H31" s="1" t="str">
        <f t="shared" si="2"/>
        <v/>
      </c>
      <c r="I31" s="1" t="str">
        <f t="shared" si="3"/>
        <v/>
      </c>
      <c r="J31" s="1" t="str">
        <f t="shared" si="4"/>
        <v/>
      </c>
      <c r="M31" s="31" t="str">
        <f t="shared" si="5"/>
        <v>* 0 -&gt; ""</v>
      </c>
    </row>
    <row r="32" spans="1:13" x14ac:dyDescent="0.75">
      <c r="A32" s="32">
        <v>0</v>
      </c>
      <c r="B32" s="32">
        <f>'Chemio-1'!A31</f>
        <v>25</v>
      </c>
      <c r="C32" s="32">
        <f>'Chemio-1'!B31</f>
        <v>0</v>
      </c>
      <c r="D32" s="32"/>
      <c r="G32" s="31" t="b">
        <f t="shared" si="1"/>
        <v>0</v>
      </c>
      <c r="H32" s="1" t="str">
        <f t="shared" si="2"/>
        <v/>
      </c>
      <c r="I32" s="1" t="str">
        <f t="shared" si="3"/>
        <v/>
      </c>
      <c r="J32" s="1" t="str">
        <f t="shared" si="4"/>
        <v/>
      </c>
      <c r="M32" s="31" t="str">
        <f t="shared" si="5"/>
        <v>* 0 -&gt; ""</v>
      </c>
    </row>
    <row r="33" spans="1:13" x14ac:dyDescent="0.75">
      <c r="A33" s="32">
        <v>0</v>
      </c>
      <c r="B33" s="32">
        <f>'Chemio-1'!A32</f>
        <v>26</v>
      </c>
      <c r="C33" s="32">
        <f>'Chemio-1'!B32</f>
        <v>0</v>
      </c>
      <c r="D33" s="32"/>
      <c r="G33" s="31" t="b">
        <f t="shared" si="1"/>
        <v>0</v>
      </c>
      <c r="H33" s="1" t="str">
        <f t="shared" si="2"/>
        <v/>
      </c>
      <c r="I33" s="1" t="str">
        <f t="shared" si="3"/>
        <v/>
      </c>
      <c r="J33" s="1" t="str">
        <f t="shared" si="4"/>
        <v/>
      </c>
      <c r="M33" s="31" t="str">
        <f t="shared" si="5"/>
        <v>* 0 -&gt; ""</v>
      </c>
    </row>
    <row r="34" spans="1:13" x14ac:dyDescent="0.75">
      <c r="A34" s="32">
        <v>0</v>
      </c>
      <c r="B34" s="32">
        <f>'Chemio-1'!A33</f>
        <v>27</v>
      </c>
      <c r="C34" s="32">
        <f>'Chemio-1'!B33</f>
        <v>0</v>
      </c>
      <c r="D34" s="32"/>
      <c r="G34" s="31" t="b">
        <f t="shared" si="1"/>
        <v>0</v>
      </c>
      <c r="H34" s="1" t="str">
        <f t="shared" si="2"/>
        <v/>
      </c>
      <c r="I34" s="1" t="str">
        <f t="shared" si="3"/>
        <v/>
      </c>
      <c r="J34" s="1" t="str">
        <f t="shared" si="4"/>
        <v/>
      </c>
      <c r="M34" s="31" t="str">
        <f t="shared" si="5"/>
        <v>* 0 -&gt; ""</v>
      </c>
    </row>
    <row r="35" spans="1:13" x14ac:dyDescent="0.75">
      <c r="A35" s="32">
        <v>0</v>
      </c>
      <c r="B35" s="32">
        <f>'Chemio-1'!A34</f>
        <v>28</v>
      </c>
      <c r="C35" s="32">
        <f>'Chemio-1'!B34</f>
        <v>0</v>
      </c>
      <c r="D35" s="32"/>
      <c r="G35" s="31" t="b">
        <f t="shared" si="1"/>
        <v>0</v>
      </c>
      <c r="H35" s="1" t="str">
        <f t="shared" si="2"/>
        <v/>
      </c>
      <c r="I35" s="1" t="str">
        <f t="shared" si="3"/>
        <v/>
      </c>
      <c r="J35" s="1" t="str">
        <f t="shared" si="4"/>
        <v/>
      </c>
      <c r="M35" s="31" t="str">
        <f t="shared" si="5"/>
        <v>* 0 -&gt; ""</v>
      </c>
    </row>
    <row r="36" spans="1:13" x14ac:dyDescent="0.75">
      <c r="A36" s="32">
        <v>0</v>
      </c>
      <c r="B36" s="32">
        <f>'Chemio-1'!A35</f>
        <v>29</v>
      </c>
      <c r="C36" s="32">
        <f>'Chemio-1'!B35</f>
        <v>0</v>
      </c>
      <c r="D36" s="32"/>
      <c r="G36" s="31" t="b">
        <f t="shared" si="1"/>
        <v>0</v>
      </c>
      <c r="H36" s="1" t="str">
        <f t="shared" si="2"/>
        <v/>
      </c>
      <c r="I36" s="1" t="str">
        <f t="shared" si="3"/>
        <v/>
      </c>
      <c r="J36" s="1" t="str">
        <f t="shared" si="4"/>
        <v/>
      </c>
      <c r="M36" s="31" t="str">
        <f t="shared" si="5"/>
        <v>* 0 -&gt; ""</v>
      </c>
    </row>
    <row r="37" spans="1:13" x14ac:dyDescent="0.75">
      <c r="A37" s="32">
        <v>0</v>
      </c>
      <c r="B37" s="32">
        <f>'Chemio-1'!A36</f>
        <v>30</v>
      </c>
      <c r="C37" s="32">
        <f>'Chemio-1'!B36</f>
        <v>0</v>
      </c>
      <c r="D37" s="32"/>
      <c r="G37" s="31" t="b">
        <f t="shared" si="1"/>
        <v>0</v>
      </c>
      <c r="H37" s="1" t="str">
        <f t="shared" si="2"/>
        <v/>
      </c>
      <c r="I37" s="1" t="str">
        <f t="shared" si="3"/>
        <v/>
      </c>
      <c r="J37" s="1" t="str">
        <f t="shared" si="4"/>
        <v/>
      </c>
    </row>
    <row r="38" spans="1:13" x14ac:dyDescent="0.75">
      <c r="A38" s="32"/>
      <c r="B38" s="32"/>
      <c r="C38" s="32"/>
      <c r="D38" s="32"/>
      <c r="G38" s="31" t="b">
        <f t="shared" si="1"/>
        <v>0</v>
      </c>
      <c r="H38" s="1" t="str">
        <f t="shared" si="2"/>
        <v/>
      </c>
      <c r="I38" s="1" t="str">
        <f t="shared" si="3"/>
        <v/>
      </c>
      <c r="J38" s="1" t="str">
        <f t="shared" si="4"/>
        <v/>
      </c>
    </row>
    <row r="39" spans="1:13" x14ac:dyDescent="0.75">
      <c r="A39" s="32"/>
      <c r="B39" s="32"/>
      <c r="C39" s="32"/>
      <c r="D39" s="32"/>
      <c r="G39" s="31" t="b">
        <f t="shared" si="1"/>
        <v>0</v>
      </c>
      <c r="H39" s="1" t="str">
        <f t="shared" si="2"/>
        <v/>
      </c>
      <c r="I39" s="1" t="str">
        <f t="shared" si="3"/>
        <v/>
      </c>
      <c r="J39" s="1" t="str">
        <f t="shared" si="4"/>
        <v/>
      </c>
    </row>
    <row r="40" spans="1:13" x14ac:dyDescent="0.75">
      <c r="B40" s="31">
        <f>'Chemio-1'!A84</f>
        <v>0</v>
      </c>
      <c r="G40" s="31" t="b">
        <f t="shared" si="1"/>
        <v>0</v>
      </c>
      <c r="H40" s="1" t="str">
        <f t="shared" si="2"/>
        <v/>
      </c>
      <c r="I40" s="1" t="str">
        <f t="shared" si="3"/>
        <v/>
      </c>
      <c r="J40" s="1" t="str">
        <f t="shared" si="4"/>
        <v/>
      </c>
    </row>
    <row r="41" spans="1:13" x14ac:dyDescent="0.75">
      <c r="B41" s="31">
        <f>'Chemio-1'!A85</f>
        <v>0</v>
      </c>
      <c r="C41" s="31">
        <f>'Chemio-1'!B85</f>
        <v>0</v>
      </c>
      <c r="G41" s="31" t="b">
        <f t="shared" si="1"/>
        <v>0</v>
      </c>
      <c r="H41" s="1" t="str">
        <f t="shared" si="2"/>
        <v/>
      </c>
      <c r="I41" s="1" t="str">
        <f t="shared" si="3"/>
        <v/>
      </c>
      <c r="J41" s="1" t="str">
        <f t="shared" si="4"/>
        <v/>
      </c>
    </row>
    <row r="42" spans="1:13" x14ac:dyDescent="0.75">
      <c r="B42" s="31">
        <f>'Chemio-1'!A86</f>
        <v>0</v>
      </c>
      <c r="C42" s="31">
        <f>'Chemio-1'!B86</f>
        <v>0</v>
      </c>
      <c r="G42" s="31" t="b">
        <f t="shared" si="1"/>
        <v>0</v>
      </c>
      <c r="H42" s="1" t="str">
        <f t="shared" si="2"/>
        <v/>
      </c>
      <c r="I42" s="1" t="str">
        <f t="shared" si="3"/>
        <v/>
      </c>
      <c r="J42" s="1" t="str">
        <f t="shared" si="4"/>
        <v/>
      </c>
    </row>
    <row r="43" spans="1:13" x14ac:dyDescent="0.75">
      <c r="B43" s="31">
        <f>'Chemio-1'!A87</f>
        <v>0</v>
      </c>
      <c r="C43" s="31">
        <f>'Chemio-1'!B87</f>
        <v>0</v>
      </c>
      <c r="D43" s="63"/>
      <c r="G43" s="31" t="b">
        <f t="shared" si="1"/>
        <v>0</v>
      </c>
      <c r="H43" s="1" t="str">
        <f t="shared" si="2"/>
        <v/>
      </c>
      <c r="I43" s="1" t="str">
        <f t="shared" si="3"/>
        <v/>
      </c>
      <c r="J43" s="1" t="str">
        <f t="shared" si="4"/>
        <v/>
      </c>
    </row>
    <row r="44" spans="1:13" x14ac:dyDescent="0.75">
      <c r="B44" s="31">
        <f>'Chemio-1'!A88</f>
        <v>0</v>
      </c>
      <c r="C44" s="31">
        <f>'Chemio-1'!B88</f>
        <v>0</v>
      </c>
      <c r="D44" s="32"/>
      <c r="G44" s="31" t="b">
        <f t="shared" si="1"/>
        <v>0</v>
      </c>
      <c r="H44" s="1" t="str">
        <f t="shared" si="2"/>
        <v/>
      </c>
      <c r="I44" s="1" t="str">
        <f t="shared" si="3"/>
        <v/>
      </c>
      <c r="J44" s="1" t="str">
        <f t="shared" si="4"/>
        <v/>
      </c>
    </row>
    <row r="45" spans="1:13" x14ac:dyDescent="0.75">
      <c r="B45" s="31">
        <f>'Chemio-1'!A89</f>
        <v>0</v>
      </c>
      <c r="C45" s="31">
        <f>'Chemio-1'!B89</f>
        <v>0</v>
      </c>
      <c r="D45" s="63"/>
      <c r="G45" s="31" t="b">
        <f t="shared" si="1"/>
        <v>0</v>
      </c>
      <c r="H45" s="1" t="str">
        <f t="shared" si="2"/>
        <v/>
      </c>
      <c r="I45" s="1" t="str">
        <f t="shared" si="3"/>
        <v/>
      </c>
      <c r="J45" s="1" t="str">
        <f t="shared" si="4"/>
        <v/>
      </c>
    </row>
    <row r="46" spans="1:13" x14ac:dyDescent="0.75">
      <c r="B46" s="31">
        <f>'Chemio-1'!A90</f>
        <v>0</v>
      </c>
      <c r="C46" s="31">
        <f>'Chemio-1'!B90</f>
        <v>0</v>
      </c>
      <c r="G46" s="31" t="b">
        <f t="shared" si="1"/>
        <v>0</v>
      </c>
      <c r="H46" s="1" t="str">
        <f t="shared" si="2"/>
        <v/>
      </c>
      <c r="I46" s="1" t="str">
        <f t="shared" si="3"/>
        <v/>
      </c>
      <c r="J46" s="1" t="str">
        <f t="shared" si="4"/>
        <v/>
      </c>
    </row>
    <row r="47" spans="1:13" x14ac:dyDescent="0.75">
      <c r="B47" s="31">
        <f>'Chemio-1'!A91</f>
        <v>0</v>
      </c>
      <c r="C47" s="31">
        <f>'Chemio-1'!B91</f>
        <v>0</v>
      </c>
      <c r="G47" s="31" t="b">
        <f t="shared" si="1"/>
        <v>0</v>
      </c>
      <c r="H47" s="1" t="str">
        <f t="shared" si="2"/>
        <v/>
      </c>
      <c r="I47" s="1" t="str">
        <f t="shared" si="3"/>
        <v/>
      </c>
      <c r="J47" s="1" t="str">
        <f t="shared" si="4"/>
        <v/>
      </c>
    </row>
    <row r="48" spans="1:13" x14ac:dyDescent="0.75">
      <c r="B48" s="31">
        <f>'Chemio-1'!A92</f>
        <v>0</v>
      </c>
      <c r="C48" s="31">
        <f>'Chemio-1'!B92</f>
        <v>0</v>
      </c>
      <c r="G48" s="31" t="b">
        <f t="shared" si="1"/>
        <v>0</v>
      </c>
      <c r="H48" s="1" t="str">
        <f t="shared" si="2"/>
        <v/>
      </c>
      <c r="I48" s="1" t="str">
        <f t="shared" si="3"/>
        <v/>
      </c>
      <c r="J48" s="1" t="str">
        <f t="shared" si="4"/>
        <v/>
      </c>
    </row>
    <row r="49" spans="2:10" x14ac:dyDescent="0.75">
      <c r="B49" s="31">
        <f>'Chemio-1'!A93</f>
        <v>0</v>
      </c>
      <c r="C49" s="31">
        <f>'Chemio-1'!B93</f>
        <v>0</v>
      </c>
      <c r="G49" s="31" t="b">
        <f t="shared" si="1"/>
        <v>0</v>
      </c>
      <c r="H49" s="1" t="str">
        <f t="shared" si="2"/>
        <v/>
      </c>
      <c r="I49" s="1" t="str">
        <f t="shared" si="3"/>
        <v/>
      </c>
      <c r="J49" s="1" t="str">
        <f t="shared" si="4"/>
        <v/>
      </c>
    </row>
    <row r="50" spans="2:10" x14ac:dyDescent="0.75">
      <c r="B50" s="31">
        <f>'Chemio-1'!A94</f>
        <v>0</v>
      </c>
      <c r="C50" s="31">
        <f>'Chemio-1'!B94</f>
        <v>0</v>
      </c>
      <c r="G50" s="31" t="b">
        <f t="shared" si="1"/>
        <v>0</v>
      </c>
      <c r="H50" s="1" t="str">
        <f t="shared" si="2"/>
        <v/>
      </c>
      <c r="I50" s="1" t="str">
        <f t="shared" si="3"/>
        <v/>
      </c>
      <c r="J50" s="1" t="str">
        <f t="shared" si="4"/>
        <v/>
      </c>
    </row>
    <row r="51" spans="2:10" x14ac:dyDescent="0.75">
      <c r="B51" s="31">
        <f>'Chemio-1'!A95</f>
        <v>0</v>
      </c>
      <c r="C51" s="31">
        <f>'Chemio-1'!B95</f>
        <v>0</v>
      </c>
      <c r="G51" s="31" t="b">
        <f t="shared" si="1"/>
        <v>0</v>
      </c>
      <c r="H51" s="1" t="str">
        <f t="shared" si="2"/>
        <v/>
      </c>
      <c r="I51" s="1" t="str">
        <f t="shared" si="3"/>
        <v/>
      </c>
      <c r="J51" s="1" t="str">
        <f t="shared" si="4"/>
        <v/>
      </c>
    </row>
    <row r="52" spans="2:10" x14ac:dyDescent="0.75">
      <c r="B52" s="31">
        <f>'Chemio-1'!A96</f>
        <v>0</v>
      </c>
      <c r="C52" s="31">
        <f>'Chemio-1'!B96</f>
        <v>0</v>
      </c>
      <c r="G52" s="31" t="b">
        <f t="shared" si="1"/>
        <v>0</v>
      </c>
      <c r="H52" s="1" t="str">
        <f t="shared" si="2"/>
        <v/>
      </c>
      <c r="I52" s="1" t="str">
        <f t="shared" si="3"/>
        <v/>
      </c>
      <c r="J52" s="1" t="str">
        <f t="shared" si="4"/>
        <v/>
      </c>
    </row>
    <row r="53" spans="2:10" x14ac:dyDescent="0.75">
      <c r="B53" s="31">
        <f>'Chemio-1'!A97</f>
        <v>0</v>
      </c>
      <c r="C53" s="31">
        <f>'Chemio-1'!B97</f>
        <v>0</v>
      </c>
      <c r="G53" s="31" t="b">
        <f t="shared" si="1"/>
        <v>0</v>
      </c>
      <c r="H53" s="1" t="str">
        <f t="shared" si="2"/>
        <v/>
      </c>
      <c r="I53" s="1" t="str">
        <f t="shared" si="3"/>
        <v/>
      </c>
      <c r="J53" s="1" t="str">
        <f t="shared" si="4"/>
        <v/>
      </c>
    </row>
    <row r="54" spans="2:10" x14ac:dyDescent="0.75">
      <c r="B54" s="31">
        <f>'Chemio-1'!A98</f>
        <v>0</v>
      </c>
      <c r="C54" s="31">
        <f>'Chemio-1'!B98</f>
        <v>0</v>
      </c>
      <c r="G54" s="31" t="b">
        <f t="shared" si="1"/>
        <v>0</v>
      </c>
      <c r="H54" s="1" t="str">
        <f t="shared" si="2"/>
        <v/>
      </c>
      <c r="I54" s="1" t="str">
        <f t="shared" si="3"/>
        <v/>
      </c>
      <c r="J54" s="1" t="str">
        <f t="shared" si="4"/>
        <v/>
      </c>
    </row>
    <row r="55" spans="2:10" x14ac:dyDescent="0.75">
      <c r="B55" s="31">
        <f>'Chemio-1'!A99</f>
        <v>0</v>
      </c>
      <c r="C55" s="31">
        <f>'Chemio-1'!B99</f>
        <v>0</v>
      </c>
      <c r="G55" s="31" t="b">
        <f t="shared" si="1"/>
        <v>0</v>
      </c>
      <c r="H55" s="1" t="str">
        <f t="shared" si="2"/>
        <v/>
      </c>
      <c r="I55" s="1" t="str">
        <f t="shared" si="3"/>
        <v/>
      </c>
      <c r="J55" s="1" t="str">
        <f t="shared" si="4"/>
        <v/>
      </c>
    </row>
    <row r="56" spans="2:10" x14ac:dyDescent="0.75">
      <c r="B56" s="31">
        <f>'Chemio-1'!A100</f>
        <v>0</v>
      </c>
      <c r="C56" s="31">
        <f>'Chemio-1'!B100</f>
        <v>0</v>
      </c>
      <c r="G56" s="31" t="b">
        <f t="shared" si="1"/>
        <v>0</v>
      </c>
      <c r="H56" s="1" t="str">
        <f t="shared" si="2"/>
        <v/>
      </c>
      <c r="I56" s="1" t="str">
        <f t="shared" si="3"/>
        <v/>
      </c>
      <c r="J56" s="1" t="str">
        <f t="shared" si="4"/>
        <v/>
      </c>
    </row>
    <row r="57" spans="2:10" x14ac:dyDescent="0.75">
      <c r="B57" s="31">
        <f>'Chemio-1'!A101</f>
        <v>0</v>
      </c>
      <c r="C57" s="31">
        <f>'Chemio-1'!B101</f>
        <v>0</v>
      </c>
      <c r="G57" s="31" t="b">
        <f t="shared" si="1"/>
        <v>0</v>
      </c>
      <c r="H57" s="1" t="str">
        <f t="shared" si="2"/>
        <v/>
      </c>
      <c r="I57" s="1" t="str">
        <f t="shared" si="3"/>
        <v/>
      </c>
      <c r="J57" s="1" t="str">
        <f t="shared" si="4"/>
        <v/>
      </c>
    </row>
    <row r="58" spans="2:10" x14ac:dyDescent="0.75">
      <c r="B58" s="31">
        <f>'Chemio-1'!A102</f>
        <v>0</v>
      </c>
      <c r="C58" s="31">
        <f>'Chemio-1'!B102</f>
        <v>0</v>
      </c>
      <c r="G58" s="31" t="b">
        <f t="shared" si="1"/>
        <v>0</v>
      </c>
      <c r="H58" s="1" t="str">
        <f t="shared" si="2"/>
        <v/>
      </c>
      <c r="I58" s="1" t="str">
        <f t="shared" si="3"/>
        <v/>
      </c>
      <c r="J58" s="1" t="str">
        <f t="shared" si="4"/>
        <v/>
      </c>
    </row>
    <row r="59" spans="2:10" x14ac:dyDescent="0.75">
      <c r="B59" s="31">
        <f>'Chemio-1'!A103</f>
        <v>0</v>
      </c>
      <c r="C59" s="31">
        <f>'Chemio-1'!B103</f>
        <v>0</v>
      </c>
      <c r="G59" s="31" t="b">
        <f t="shared" si="1"/>
        <v>0</v>
      </c>
      <c r="H59" s="1" t="str">
        <f t="shared" si="2"/>
        <v/>
      </c>
      <c r="I59" s="1" t="str">
        <f t="shared" si="3"/>
        <v/>
      </c>
      <c r="J59" s="1" t="str">
        <f t="shared" si="4"/>
        <v/>
      </c>
    </row>
    <row r="60" spans="2:10" x14ac:dyDescent="0.75">
      <c r="B60" s="31">
        <f>'Chemio-1'!A104</f>
        <v>0</v>
      </c>
      <c r="C60" s="31">
        <f>'Chemio-1'!B104</f>
        <v>0</v>
      </c>
    </row>
    <row r="61" spans="2:10" x14ac:dyDescent="0.75">
      <c r="B61" s="31">
        <f>'Chemio-1'!A105</f>
        <v>0</v>
      </c>
      <c r="C61" s="31">
        <f>'Chemio-1'!B105</f>
        <v>0</v>
      </c>
    </row>
    <row r="62" spans="2:10" x14ac:dyDescent="0.75">
      <c r="B62" s="31">
        <f>'Chemio-1'!A106</f>
        <v>0</v>
      </c>
      <c r="C62" s="31">
        <f>'Chemio-1'!B106</f>
        <v>0</v>
      </c>
    </row>
    <row r="63" spans="2:10" x14ac:dyDescent="0.75">
      <c r="B63" s="31">
        <f>'Chemio-1'!A107</f>
        <v>0</v>
      </c>
      <c r="C63" s="31">
        <f>'Chemio-1'!B107</f>
        <v>0</v>
      </c>
    </row>
    <row r="64" spans="2:10" x14ac:dyDescent="0.75">
      <c r="B64" s="31">
        <f>'Chemio-1'!A108</f>
        <v>0</v>
      </c>
      <c r="C64" s="31">
        <f>'Chemio-1'!B108</f>
        <v>0</v>
      </c>
    </row>
    <row r="65" spans="2:3" x14ac:dyDescent="0.75">
      <c r="B65" s="31">
        <f>'Chemio-1'!A109</f>
        <v>0</v>
      </c>
      <c r="C65" s="31">
        <f>'Chemio-1'!B109</f>
        <v>0</v>
      </c>
    </row>
    <row r="66" spans="2:3" x14ac:dyDescent="0.75">
      <c r="B66" s="31">
        <f>'Chemio-1'!A110</f>
        <v>0</v>
      </c>
      <c r="C66" s="31">
        <f>'Chemio-1'!B110</f>
        <v>0</v>
      </c>
    </row>
    <row r="67" spans="2:3" x14ac:dyDescent="0.75">
      <c r="B67" s="31">
        <f>'Chemio-1'!A111</f>
        <v>0</v>
      </c>
      <c r="C67" s="31">
        <f>'Chemio-1'!B111</f>
        <v>0</v>
      </c>
    </row>
    <row r="68" spans="2:3" x14ac:dyDescent="0.75">
      <c r="B68" s="31">
        <f>'Chemio-1'!A112</f>
        <v>0</v>
      </c>
      <c r="C68" s="31">
        <f>'Chemio-1'!B112</f>
        <v>0</v>
      </c>
    </row>
    <row r="69" spans="2:3" x14ac:dyDescent="0.75">
      <c r="B69" s="31">
        <f>'Chemio-1'!A113</f>
        <v>0</v>
      </c>
      <c r="C69" s="31">
        <f>'Chemio-1'!B113</f>
        <v>0</v>
      </c>
    </row>
    <row r="70" spans="2:3" x14ac:dyDescent="0.75">
      <c r="B70" s="31">
        <f>'Chemio-1'!A114</f>
        <v>0</v>
      </c>
      <c r="C70" s="31">
        <f>'Chemio-1'!B114</f>
        <v>0</v>
      </c>
    </row>
    <row r="71" spans="2:3" x14ac:dyDescent="0.75">
      <c r="B71" s="31">
        <f>'Chemio-1'!A115</f>
        <v>0</v>
      </c>
      <c r="C71" s="31">
        <f>'Chemio-1'!B115</f>
        <v>0</v>
      </c>
    </row>
    <row r="72" spans="2:3" x14ac:dyDescent="0.75">
      <c r="B72" s="31">
        <f>'Chemio-1'!A116</f>
        <v>0</v>
      </c>
      <c r="C72" s="31">
        <f>'Chemio-1'!B116</f>
        <v>0</v>
      </c>
    </row>
    <row r="73" spans="2:3" x14ac:dyDescent="0.75">
      <c r="B73" s="31">
        <f>'Chemio-1'!A117</f>
        <v>0</v>
      </c>
      <c r="C73" s="31">
        <f>'Chemio-1'!B117</f>
        <v>0</v>
      </c>
    </row>
    <row r="74" spans="2:3" x14ac:dyDescent="0.75">
      <c r="B74" s="31">
        <f>'Chemio-1'!A118</f>
        <v>0</v>
      </c>
      <c r="C74" s="31">
        <f>'Chemio-1'!B118</f>
        <v>0</v>
      </c>
    </row>
    <row r="75" spans="2:3" x14ac:dyDescent="0.75">
      <c r="B75" s="31">
        <f>'Chemio-1'!A119</f>
        <v>0</v>
      </c>
      <c r="C75" s="31">
        <f>'Chemio-1'!B119</f>
        <v>0</v>
      </c>
    </row>
    <row r="76" spans="2:3" x14ac:dyDescent="0.75">
      <c r="B76" s="31">
        <f>'Chemio-1'!A120</f>
        <v>0</v>
      </c>
      <c r="C76" s="31">
        <f>'Chemio-1'!B120</f>
        <v>0</v>
      </c>
    </row>
    <row r="77" spans="2:3" x14ac:dyDescent="0.75">
      <c r="B77" s="31">
        <f>'Chemio-1'!A121</f>
        <v>0</v>
      </c>
      <c r="C77" s="31">
        <f>'Chemio-1'!B121</f>
        <v>0</v>
      </c>
    </row>
    <row r="78" spans="2:3" x14ac:dyDescent="0.75">
      <c r="B78" s="31">
        <f>'Chemio-1'!A122</f>
        <v>0</v>
      </c>
      <c r="C78" s="31">
        <f>'Chemio-1'!B122</f>
        <v>0</v>
      </c>
    </row>
    <row r="79" spans="2:3" x14ac:dyDescent="0.75">
      <c r="B79" s="31">
        <f>'Chemio-1'!A123</f>
        <v>0</v>
      </c>
      <c r="C79" s="31">
        <f>'Chemio-1'!B123</f>
        <v>0</v>
      </c>
    </row>
    <row r="80" spans="2:3" x14ac:dyDescent="0.75">
      <c r="B80" s="31">
        <f>'Chemio-1'!A124</f>
        <v>0</v>
      </c>
      <c r="C80" s="31">
        <f>'Chemio-1'!B124</f>
        <v>0</v>
      </c>
    </row>
    <row r="81" spans="2:3" x14ac:dyDescent="0.75">
      <c r="B81" s="31">
        <f>'Chemio-1'!A125</f>
        <v>0</v>
      </c>
      <c r="C81" s="31">
        <f>'Chemio-1'!B125</f>
        <v>0</v>
      </c>
    </row>
    <row r="82" spans="2:3" x14ac:dyDescent="0.75">
      <c r="B82" s="31">
        <f>'Chemio-1'!A126</f>
        <v>0</v>
      </c>
      <c r="C82" s="31">
        <f>'Chemio-1'!B126</f>
        <v>0</v>
      </c>
    </row>
    <row r="83" spans="2:3" x14ac:dyDescent="0.75">
      <c r="B83" s="31">
        <f>'Chemio-1'!A127</f>
        <v>0</v>
      </c>
      <c r="C83" s="31">
        <f>'Chemio-1'!B127</f>
        <v>0</v>
      </c>
    </row>
    <row r="84" spans="2:3" x14ac:dyDescent="0.75">
      <c r="B84" s="31">
        <f>'Chemio-1'!A128</f>
        <v>0</v>
      </c>
      <c r="C84" s="31">
        <f>'Chemio-1'!B128</f>
        <v>0</v>
      </c>
    </row>
    <row r="85" spans="2:3" x14ac:dyDescent="0.75">
      <c r="B85" s="31">
        <f>'Chemio-1'!A129</f>
        <v>0</v>
      </c>
      <c r="C85" s="31">
        <f>'Chemio-1'!B129</f>
        <v>0</v>
      </c>
    </row>
    <row r="86" spans="2:3" x14ac:dyDescent="0.75">
      <c r="B86" s="31">
        <f>'Chemio-1'!A130</f>
        <v>0</v>
      </c>
      <c r="C86" s="31">
        <f>'Chemio-1'!B130</f>
        <v>0</v>
      </c>
    </row>
    <row r="87" spans="2:3" x14ac:dyDescent="0.75">
      <c r="B87" s="31">
        <f>'Chemio-1'!A131</f>
        <v>0</v>
      </c>
      <c r="C87" s="31">
        <f>'Chemio-1'!B131</f>
        <v>0</v>
      </c>
    </row>
    <row r="88" spans="2:3" x14ac:dyDescent="0.75">
      <c r="B88" s="31">
        <f>'Chemio-1'!A132</f>
        <v>0</v>
      </c>
      <c r="C88" s="31">
        <f>'Chemio-1'!B132</f>
        <v>0</v>
      </c>
    </row>
    <row r="89" spans="2:3" x14ac:dyDescent="0.75">
      <c r="B89" s="31">
        <f>'Chemio-1'!A133</f>
        <v>0</v>
      </c>
      <c r="C89" s="31">
        <f>'Chemio-1'!B133</f>
        <v>0</v>
      </c>
    </row>
    <row r="90" spans="2:3" x14ac:dyDescent="0.75">
      <c r="B90" s="31">
        <f>'Chemio-1'!A134</f>
        <v>0</v>
      </c>
      <c r="C90" s="31">
        <f>'Chemio-1'!B134</f>
        <v>0</v>
      </c>
    </row>
    <row r="91" spans="2:3" x14ac:dyDescent="0.75">
      <c r="B91" s="31">
        <f>'Chemio-1'!A135</f>
        <v>0</v>
      </c>
      <c r="C91" s="31">
        <f>'Chemio-1'!B135</f>
        <v>0</v>
      </c>
    </row>
    <row r="92" spans="2:3" x14ac:dyDescent="0.75">
      <c r="B92" s="31">
        <f>'Chemio-1'!A136</f>
        <v>0</v>
      </c>
      <c r="C92" s="31">
        <f>'Chemio-1'!B136</f>
        <v>0</v>
      </c>
    </row>
    <row r="93" spans="2:3" x14ac:dyDescent="0.75">
      <c r="B93" s="31">
        <f>'Chemio-1'!A137</f>
        <v>0</v>
      </c>
      <c r="C93" s="31">
        <f>'Chemio-1'!B137</f>
        <v>0</v>
      </c>
    </row>
    <row r="94" spans="2:3" x14ac:dyDescent="0.75">
      <c r="B94" s="31">
        <f>'Chemio-1'!A138</f>
        <v>0</v>
      </c>
      <c r="C94" s="31">
        <f>'Chemio-1'!B138</f>
        <v>0</v>
      </c>
    </row>
    <row r="95" spans="2:3" x14ac:dyDescent="0.75">
      <c r="B95" s="31">
        <f>'Chemio-1'!A139</f>
        <v>0</v>
      </c>
      <c r="C95" s="31">
        <f>'Chemio-1'!B139</f>
        <v>0</v>
      </c>
    </row>
    <row r="96" spans="2:3" x14ac:dyDescent="0.75">
      <c r="B96" s="31">
        <f>'Chemio-1'!A140</f>
        <v>0</v>
      </c>
      <c r="C96" s="31">
        <f>'Chemio-1'!B140</f>
        <v>0</v>
      </c>
    </row>
    <row r="97" spans="2:3" x14ac:dyDescent="0.75">
      <c r="B97" s="31">
        <f>'Chemio-1'!A141</f>
        <v>0</v>
      </c>
      <c r="C97" s="31">
        <f>'Chemio-1'!B141</f>
        <v>0</v>
      </c>
    </row>
    <row r="98" spans="2:3" x14ac:dyDescent="0.75">
      <c r="B98" s="31">
        <f>'Chemio-1'!A142</f>
        <v>0</v>
      </c>
      <c r="C98" s="31">
        <f>'Chemio-1'!B142</f>
        <v>0</v>
      </c>
    </row>
    <row r="99" spans="2:3" x14ac:dyDescent="0.75">
      <c r="B99" s="31">
        <f>'Chemio-1'!A143</f>
        <v>0</v>
      </c>
      <c r="C99" s="31">
        <f>'Chemio-1'!B143</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EAD0-FF41-4146-9CAD-3516D7F1095B}">
  <sheetPr codeName="Foglio17"/>
  <dimension ref="A2:G393"/>
  <sheetViews>
    <sheetView topLeftCell="A130" workbookViewId="0">
      <selection activeCell="B25" sqref="B25"/>
    </sheetView>
  </sheetViews>
  <sheetFormatPr defaultRowHeight="14.75" x14ac:dyDescent="0.75"/>
  <cols>
    <col min="1" max="3" width="8.7265625" style="31"/>
    <col min="4" max="4" width="130.81640625" style="31" customWidth="1"/>
    <col min="5" max="5" width="19.86328125" style="31" customWidth="1"/>
    <col min="6" max="6" width="8.7265625" style="31"/>
    <col min="7" max="7" width="69.36328125" style="31" customWidth="1"/>
    <col min="8" max="16384" width="8.7265625" style="31"/>
  </cols>
  <sheetData>
    <row r="2" spans="1:4" x14ac:dyDescent="0.75">
      <c r="D2" s="8"/>
    </row>
    <row r="3" spans="1:4" x14ac:dyDescent="0.75">
      <c r="A3" s="32">
        <v>1</v>
      </c>
      <c r="B3" s="32">
        <f>IF(MOD(A3,3)=0,A3/3-1,INT(A3/3))</f>
        <v>0</v>
      </c>
      <c r="C3" s="32">
        <f>IF(MOD(A3,3)=0,3,MOD(A3,3))</f>
        <v>1</v>
      </c>
      <c r="D3" s="31" t="str" cm="1">
        <f t="array" ref="D3">INDEX('ChemioMap-1'!$H$8:$J$94,1+B3,C3)</f>
        <v>* differential.element[1].mapping[0].identity = "fhir"</v>
      </c>
    </row>
    <row r="4" spans="1:4" x14ac:dyDescent="0.75">
      <c r="A4" s="32">
        <v>2</v>
      </c>
      <c r="B4" s="32">
        <f t="shared" ref="B4:B67" si="0">IF(MOD(A4,3)=0,A4/3-1,INT(A4/3))</f>
        <v>0</v>
      </c>
      <c r="C4" s="32">
        <f t="shared" ref="C4:C67" si="1">IF(MOD(A4,3)=0,3,MOD(A4,3))</f>
        <v>2</v>
      </c>
      <c r="D4" s="31" t="str" cm="1">
        <f t="array" ref="D4">INDEX('ChemioMap-1'!$H$8:$J$94,1+B4,C4)</f>
        <v>* differential.element[1].mapping[0].map = "MedStatement "</v>
      </c>
    </row>
    <row r="5" spans="1:4" x14ac:dyDescent="0.75">
      <c r="A5" s="32">
        <v>3</v>
      </c>
      <c r="B5" s="32">
        <f t="shared" si="0"/>
        <v>0</v>
      </c>
      <c r="C5" s="32">
        <f t="shared" si="1"/>
        <v>3</v>
      </c>
      <c r="D5" s="31" t="str" cm="1">
        <f t="array" ref="D5">INDEX('ChemioMap-1'!$H$8:$J$94,1+B5,C5)</f>
        <v>* differential.element[1].mapping[0].comment = "note"</v>
      </c>
    </row>
    <row r="6" spans="1:4" x14ac:dyDescent="0.75">
      <c r="A6" s="32">
        <v>4</v>
      </c>
      <c r="B6" s="32">
        <f t="shared" si="0"/>
        <v>1</v>
      </c>
      <c r="C6" s="32">
        <f t="shared" si="1"/>
        <v>1</v>
      </c>
      <c r="D6" s="31" t="str" cm="1">
        <f t="array" ref="D6">INDEX('ChemioMap-1'!$H$8:$J$94,1+B6,C6)</f>
        <v>* differential.element[2].mapping[0].identity = "fhir"</v>
      </c>
    </row>
    <row r="7" spans="1:4" x14ac:dyDescent="0.75">
      <c r="A7" s="32">
        <v>5</v>
      </c>
      <c r="B7" s="32">
        <f t="shared" si="0"/>
        <v>1</v>
      </c>
      <c r="C7" s="32">
        <f t="shared" si="1"/>
        <v>2</v>
      </c>
      <c r="D7" s="31" t="str" cm="1">
        <f t="array" ref="D7">INDEX('ChemioMap-1'!$H$8:$J$94,1+B7,C7)</f>
        <v>* differential.element[2].mapping[0].map = "MedStatement "</v>
      </c>
    </row>
    <row r="8" spans="1:4" x14ac:dyDescent="0.75">
      <c r="A8" s="32">
        <v>6</v>
      </c>
      <c r="B8" s="32">
        <f t="shared" si="0"/>
        <v>1</v>
      </c>
      <c r="C8" s="32">
        <f t="shared" si="1"/>
        <v>3</v>
      </c>
      <c r="D8" s="31" t="str" cm="1">
        <f t="array" ref="D8">INDEX('ChemioMap-1'!$H$8:$J$94,1+B8,C8)</f>
        <v/>
      </c>
    </row>
    <row r="9" spans="1:4" x14ac:dyDescent="0.75">
      <c r="A9" s="32">
        <v>7</v>
      </c>
      <c r="B9" s="32">
        <f t="shared" si="0"/>
        <v>2</v>
      </c>
      <c r="C9" s="32">
        <f t="shared" si="1"/>
        <v>1</v>
      </c>
      <c r="D9" s="31" t="str" cm="1">
        <f t="array" ref="D9">INDEX('ChemioMap-1'!$H$8:$J$94,1+B9,C9)</f>
        <v>* differential.element[3].mapping[0].identity = "fhir"</v>
      </c>
    </row>
    <row r="10" spans="1:4" x14ac:dyDescent="0.75">
      <c r="A10" s="32">
        <v>8</v>
      </c>
      <c r="B10" s="32">
        <f t="shared" si="0"/>
        <v>2</v>
      </c>
      <c r="C10" s="32">
        <f t="shared" si="1"/>
        <v>2</v>
      </c>
      <c r="D10" s="31" t="str" cm="1">
        <f t="array" ref="D10">INDEX('ChemioMap-1'!$H$8:$J$94,1+B10,C10)</f>
        <v>* differential.element[3].mapping[0].map = "MedStatement "</v>
      </c>
    </row>
    <row r="11" spans="1:4" x14ac:dyDescent="0.75">
      <c r="A11" s="32">
        <v>9</v>
      </c>
      <c r="B11" s="32">
        <f t="shared" si="0"/>
        <v>2</v>
      </c>
      <c r="C11" s="32">
        <f t="shared" si="1"/>
        <v>3</v>
      </c>
      <c r="D11" s="31" t="str" cm="1">
        <f t="array" ref="D11">INDEX('ChemioMap-1'!$H$8:$J$94,1+B11,C11)</f>
        <v/>
      </c>
    </row>
    <row r="12" spans="1:4" x14ac:dyDescent="0.75">
      <c r="A12" s="32">
        <v>10</v>
      </c>
      <c r="B12" s="32">
        <f t="shared" si="0"/>
        <v>3</v>
      </c>
      <c r="C12" s="32">
        <f t="shared" si="1"/>
        <v>1</v>
      </c>
      <c r="D12" s="31" t="str" cm="1">
        <f t="array" ref="D12">INDEX('ChemioMap-1'!$H$8:$J$94,1+B12,C12)</f>
        <v>* differential.element[4].mapping[0].identity = "fhir"</v>
      </c>
    </row>
    <row r="13" spans="1:4" x14ac:dyDescent="0.75">
      <c r="A13" s="32">
        <v>11</v>
      </c>
      <c r="B13" s="32">
        <f t="shared" si="0"/>
        <v>3</v>
      </c>
      <c r="C13" s="32">
        <f t="shared" si="1"/>
        <v>2</v>
      </c>
      <c r="D13" s="31" t="str" cm="1">
        <f t="array" ref="D13">INDEX('ChemioMap-1'!$H$8:$J$94,1+B13,C13)</f>
        <v>* differential.element[4].mapping[0].map = "MedStatement "</v>
      </c>
    </row>
    <row r="14" spans="1:4" x14ac:dyDescent="0.75">
      <c r="A14" s="32">
        <v>12</v>
      </c>
      <c r="B14" s="32">
        <f t="shared" si="0"/>
        <v>3</v>
      </c>
      <c r="C14" s="32">
        <f t="shared" si="1"/>
        <v>3</v>
      </c>
      <c r="D14" s="31" t="str" cm="1">
        <f t="array" ref="D14">INDEX('ChemioMap-1'!$H$8:$J$94,1+B14,C14)</f>
        <v/>
      </c>
    </row>
    <row r="15" spans="1:4" x14ac:dyDescent="0.75">
      <c r="A15" s="32">
        <v>13</v>
      </c>
      <c r="B15" s="32">
        <f t="shared" si="0"/>
        <v>4</v>
      </c>
      <c r="C15" s="32">
        <f t="shared" si="1"/>
        <v>1</v>
      </c>
      <c r="D15" s="31" t="str" cm="1">
        <f t="array" ref="D15">INDEX('ChemioMap-1'!$H$8:$J$94,1+B15,C15)</f>
        <v>* differential.element[5].mapping[0].identity = "fhir"</v>
      </c>
    </row>
    <row r="16" spans="1:4" x14ac:dyDescent="0.75">
      <c r="A16" s="32">
        <v>14</v>
      </c>
      <c r="B16" s="32">
        <f t="shared" si="0"/>
        <v>4</v>
      </c>
      <c r="C16" s="32">
        <f t="shared" si="1"/>
        <v>2</v>
      </c>
      <c r="D16" s="31" t="str" cm="1">
        <f t="array" ref="D16">INDEX('ChemioMap-1'!$H$8:$J$94,1+B16,C16)</f>
        <v>* differential.element[5].mapping[0].map = "MedStatement "</v>
      </c>
    </row>
    <row r="17" spans="1:4" x14ac:dyDescent="0.75">
      <c r="A17" s="32">
        <v>15</v>
      </c>
      <c r="B17" s="32">
        <f t="shared" si="0"/>
        <v>4</v>
      </c>
      <c r="C17" s="32">
        <f t="shared" si="1"/>
        <v>3</v>
      </c>
      <c r="D17" s="31" t="str" cm="1">
        <f t="array" ref="D17">INDEX('ChemioMap-1'!$H$8:$J$94,1+B17,C17)</f>
        <v/>
      </c>
    </row>
    <row r="18" spans="1:4" x14ac:dyDescent="0.75">
      <c r="A18" s="32">
        <v>16</v>
      </c>
      <c r="B18" s="32">
        <f t="shared" si="0"/>
        <v>5</v>
      </c>
      <c r="C18" s="32">
        <f t="shared" si="1"/>
        <v>1</v>
      </c>
      <c r="D18" s="31" t="str" cm="1">
        <f t="array" ref="D18">INDEX('ChemioMap-1'!$H$8:$J$94,1+B18,C18)</f>
        <v>* differential.element[6].mapping[0].identity = "fhir"</v>
      </c>
    </row>
    <row r="19" spans="1:4" x14ac:dyDescent="0.75">
      <c r="A19" s="32">
        <v>17</v>
      </c>
      <c r="B19" s="32">
        <f t="shared" si="0"/>
        <v>5</v>
      </c>
      <c r="C19" s="32">
        <f t="shared" si="1"/>
        <v>2</v>
      </c>
      <c r="D19" s="31" t="str" cm="1">
        <f t="array" ref="D19">INDEX('ChemioMap-1'!$H$8:$J$94,1+B19,C19)</f>
        <v>* differential.element[6].mapping[0].map = "MedStatement "</v>
      </c>
    </row>
    <row r="20" spans="1:4" x14ac:dyDescent="0.75">
      <c r="A20" s="32">
        <v>18</v>
      </c>
      <c r="B20" s="32">
        <f t="shared" si="0"/>
        <v>5</v>
      </c>
      <c r="C20" s="32">
        <f t="shared" si="1"/>
        <v>3</v>
      </c>
      <c r="D20" s="31" t="str" cm="1">
        <f t="array" ref="D20">INDEX('ChemioMap-1'!$H$8:$J$94,1+B20,C20)</f>
        <v/>
      </c>
    </row>
    <row r="21" spans="1:4" x14ac:dyDescent="0.75">
      <c r="A21" s="32">
        <v>19</v>
      </c>
      <c r="B21" s="32">
        <f t="shared" si="0"/>
        <v>6</v>
      </c>
      <c r="C21" s="32">
        <f t="shared" si="1"/>
        <v>1</v>
      </c>
      <c r="D21" s="31" t="str" cm="1">
        <f t="array" ref="D21">INDEX('ChemioMap-1'!$H$8:$J$94,1+B21,C21)</f>
        <v/>
      </c>
    </row>
    <row r="22" spans="1:4" x14ac:dyDescent="0.75">
      <c r="A22" s="32">
        <v>20</v>
      </c>
      <c r="B22" s="32">
        <f t="shared" si="0"/>
        <v>6</v>
      </c>
      <c r="C22" s="32">
        <f t="shared" si="1"/>
        <v>2</v>
      </c>
      <c r="D22" s="31" t="str" cm="1">
        <f t="array" ref="D22">INDEX('ChemioMap-1'!$H$8:$J$94,1+B22,C22)</f>
        <v/>
      </c>
    </row>
    <row r="23" spans="1:4" x14ac:dyDescent="0.75">
      <c r="A23" s="32">
        <v>21</v>
      </c>
      <c r="B23" s="32">
        <f t="shared" si="0"/>
        <v>6</v>
      </c>
      <c r="C23" s="32">
        <f t="shared" si="1"/>
        <v>3</v>
      </c>
      <c r="D23" s="31" t="str" cm="1">
        <f t="array" ref="D23">INDEX('ChemioMap-1'!$H$8:$J$94,1+B23,C23)</f>
        <v/>
      </c>
    </row>
    <row r="24" spans="1:4" x14ac:dyDescent="0.75">
      <c r="A24" s="32">
        <v>22</v>
      </c>
      <c r="B24" s="32">
        <f t="shared" si="0"/>
        <v>7</v>
      </c>
      <c r="C24" s="32">
        <f t="shared" si="1"/>
        <v>1</v>
      </c>
      <c r="D24" s="31" t="str" cm="1">
        <f t="array" ref="D24">INDEX('ChemioMap-1'!$H$8:$J$94,1+B24,C24)</f>
        <v/>
      </c>
    </row>
    <row r="25" spans="1:4" x14ac:dyDescent="0.75">
      <c r="A25" s="32">
        <v>23</v>
      </c>
      <c r="B25" s="32">
        <f t="shared" si="0"/>
        <v>7</v>
      </c>
      <c r="C25" s="32">
        <f t="shared" si="1"/>
        <v>2</v>
      </c>
      <c r="D25" s="31" t="str" cm="1">
        <f t="array" ref="D25">INDEX('ChemioMap-1'!$H$8:$J$94,1+B25,C25)</f>
        <v/>
      </c>
    </row>
    <row r="26" spans="1:4" x14ac:dyDescent="0.75">
      <c r="A26" s="32">
        <v>24</v>
      </c>
      <c r="B26" s="32">
        <f t="shared" si="0"/>
        <v>7</v>
      </c>
      <c r="C26" s="32">
        <f t="shared" si="1"/>
        <v>3</v>
      </c>
      <c r="D26" s="31" t="str" cm="1">
        <f t="array" ref="D26">INDEX('ChemioMap-1'!$H$8:$J$94,1+B26,C26)</f>
        <v/>
      </c>
    </row>
    <row r="27" spans="1:4" x14ac:dyDescent="0.75">
      <c r="A27" s="32">
        <v>25</v>
      </c>
      <c r="B27" s="32">
        <f t="shared" si="0"/>
        <v>8</v>
      </c>
      <c r="C27" s="32">
        <f t="shared" si="1"/>
        <v>1</v>
      </c>
      <c r="D27" s="31" t="str" cm="1">
        <f t="array" ref="D27">INDEX('ChemioMap-1'!$H$8:$J$94,1+B27,C27)</f>
        <v/>
      </c>
    </row>
    <row r="28" spans="1:4" x14ac:dyDescent="0.75">
      <c r="A28" s="32">
        <v>26</v>
      </c>
      <c r="B28" s="32">
        <f t="shared" si="0"/>
        <v>8</v>
      </c>
      <c r="C28" s="32">
        <f t="shared" si="1"/>
        <v>2</v>
      </c>
      <c r="D28" s="31" t="str" cm="1">
        <f t="array" ref="D28">INDEX('ChemioMap-1'!$H$8:$J$94,1+B28,C28)</f>
        <v/>
      </c>
    </row>
    <row r="29" spans="1:4" x14ac:dyDescent="0.75">
      <c r="A29" s="32">
        <v>27</v>
      </c>
      <c r="B29" s="32">
        <f t="shared" si="0"/>
        <v>8</v>
      </c>
      <c r="C29" s="32">
        <f t="shared" si="1"/>
        <v>3</v>
      </c>
      <c r="D29" s="31" t="str" cm="1">
        <f t="array" ref="D29">INDEX('ChemioMap-1'!$H$8:$J$94,1+B29,C29)</f>
        <v/>
      </c>
    </row>
    <row r="30" spans="1:4" x14ac:dyDescent="0.75">
      <c r="A30" s="32">
        <v>28</v>
      </c>
      <c r="B30" s="32">
        <f t="shared" si="0"/>
        <v>9</v>
      </c>
      <c r="C30" s="32">
        <f t="shared" si="1"/>
        <v>1</v>
      </c>
      <c r="D30" s="31" t="str" cm="1">
        <f t="array" ref="D30">INDEX('ChemioMap-1'!$H$8:$J$94,1+B30,C30)</f>
        <v/>
      </c>
    </row>
    <row r="31" spans="1:4" x14ac:dyDescent="0.75">
      <c r="A31" s="32">
        <v>29</v>
      </c>
      <c r="B31" s="32">
        <f t="shared" si="0"/>
        <v>9</v>
      </c>
      <c r="C31" s="32">
        <f t="shared" si="1"/>
        <v>2</v>
      </c>
      <c r="D31" s="31" t="str" cm="1">
        <f t="array" ref="D31">INDEX('ChemioMap-1'!$H$8:$J$94,1+B31,C31)</f>
        <v/>
      </c>
    </row>
    <row r="32" spans="1:4" x14ac:dyDescent="0.75">
      <c r="A32" s="32">
        <v>30</v>
      </c>
      <c r="B32" s="32">
        <f t="shared" si="0"/>
        <v>9</v>
      </c>
      <c r="C32" s="32">
        <f t="shared" si="1"/>
        <v>3</v>
      </c>
      <c r="D32" s="31" t="str" cm="1">
        <f t="array" ref="D32">INDEX('ChemioMap-1'!$H$8:$J$94,1+B32,C32)</f>
        <v/>
      </c>
    </row>
    <row r="33" spans="1:4" x14ac:dyDescent="0.75">
      <c r="A33" s="32">
        <v>31</v>
      </c>
      <c r="B33" s="32">
        <f t="shared" si="0"/>
        <v>10</v>
      </c>
      <c r="C33" s="32">
        <f t="shared" si="1"/>
        <v>1</v>
      </c>
      <c r="D33" s="31" t="str" cm="1">
        <f t="array" ref="D33">INDEX('ChemioMap-1'!$H$8:$J$94,1+B33,C33)</f>
        <v/>
      </c>
    </row>
    <row r="34" spans="1:4" x14ac:dyDescent="0.75">
      <c r="A34" s="32">
        <v>32</v>
      </c>
      <c r="B34" s="32">
        <f t="shared" si="0"/>
        <v>10</v>
      </c>
      <c r="C34" s="32">
        <f t="shared" si="1"/>
        <v>2</v>
      </c>
      <c r="D34" s="31" t="str" cm="1">
        <f t="array" ref="D34">INDEX('ChemioMap-1'!$H$8:$J$94,1+B34,C34)</f>
        <v/>
      </c>
    </row>
    <row r="35" spans="1:4" x14ac:dyDescent="0.75">
      <c r="A35" s="32">
        <v>33</v>
      </c>
      <c r="B35" s="32">
        <f t="shared" si="0"/>
        <v>10</v>
      </c>
      <c r="C35" s="32">
        <f t="shared" si="1"/>
        <v>3</v>
      </c>
      <c r="D35" s="31" t="str" cm="1">
        <f t="array" ref="D35">INDEX('ChemioMap-1'!$H$8:$J$94,1+B35,C35)</f>
        <v/>
      </c>
    </row>
    <row r="36" spans="1:4" x14ac:dyDescent="0.75">
      <c r="A36" s="32">
        <v>34</v>
      </c>
      <c r="B36" s="32">
        <f t="shared" si="0"/>
        <v>11</v>
      </c>
      <c r="C36" s="32">
        <f t="shared" si="1"/>
        <v>1</v>
      </c>
      <c r="D36" s="31" t="str" cm="1">
        <f t="array" ref="D36">INDEX('ChemioMap-1'!$H$8:$J$94,1+B36,C36)</f>
        <v/>
      </c>
    </row>
    <row r="37" spans="1:4" x14ac:dyDescent="0.75">
      <c r="A37" s="32">
        <v>35</v>
      </c>
      <c r="B37" s="32">
        <f t="shared" si="0"/>
        <v>11</v>
      </c>
      <c r="C37" s="32">
        <f t="shared" si="1"/>
        <v>2</v>
      </c>
      <c r="D37" s="31" t="str" cm="1">
        <f t="array" ref="D37">INDEX('ChemioMap-1'!$H$8:$J$94,1+B37,C37)</f>
        <v/>
      </c>
    </row>
    <row r="38" spans="1:4" x14ac:dyDescent="0.75">
      <c r="A38" s="32">
        <v>36</v>
      </c>
      <c r="B38" s="32">
        <f t="shared" si="0"/>
        <v>11</v>
      </c>
      <c r="C38" s="32">
        <f t="shared" si="1"/>
        <v>3</v>
      </c>
      <c r="D38" s="31" t="str" cm="1">
        <f t="array" ref="D38">INDEX('ChemioMap-1'!$H$8:$J$94,1+B38,C38)</f>
        <v/>
      </c>
    </row>
    <row r="39" spans="1:4" x14ac:dyDescent="0.75">
      <c r="A39" s="32">
        <v>37</v>
      </c>
      <c r="B39" s="32">
        <f t="shared" si="0"/>
        <v>12</v>
      </c>
      <c r="C39" s="32">
        <f t="shared" si="1"/>
        <v>1</v>
      </c>
      <c r="D39" s="31" t="str" cm="1">
        <f t="array" ref="D39">INDEX('ChemioMap-1'!$H$8:$J$94,1+B39,C39)</f>
        <v/>
      </c>
    </row>
    <row r="40" spans="1:4" x14ac:dyDescent="0.75">
      <c r="A40" s="32">
        <v>38</v>
      </c>
      <c r="B40" s="32">
        <f t="shared" si="0"/>
        <v>12</v>
      </c>
      <c r="C40" s="32">
        <f t="shared" si="1"/>
        <v>2</v>
      </c>
      <c r="D40" s="31" t="str" cm="1">
        <f t="array" ref="D40">INDEX('ChemioMap-1'!$H$8:$J$94,1+B40,C40)</f>
        <v/>
      </c>
    </row>
    <row r="41" spans="1:4" x14ac:dyDescent="0.75">
      <c r="A41" s="32">
        <v>39</v>
      </c>
      <c r="B41" s="32">
        <f t="shared" si="0"/>
        <v>12</v>
      </c>
      <c r="C41" s="32">
        <f t="shared" si="1"/>
        <v>3</v>
      </c>
      <c r="D41" s="31" t="str" cm="1">
        <f t="array" ref="D41">INDEX('ChemioMap-1'!$H$8:$J$94,1+B41,C41)</f>
        <v/>
      </c>
    </row>
    <row r="42" spans="1:4" x14ac:dyDescent="0.75">
      <c r="A42" s="32">
        <v>40</v>
      </c>
      <c r="B42" s="32">
        <f t="shared" si="0"/>
        <v>13</v>
      </c>
      <c r="C42" s="32">
        <f t="shared" si="1"/>
        <v>1</v>
      </c>
      <c r="D42" s="31" t="str" cm="1">
        <f t="array" ref="D42">INDEX('ChemioMap-1'!$H$8:$J$94,1+B42,C42)</f>
        <v/>
      </c>
    </row>
    <row r="43" spans="1:4" x14ac:dyDescent="0.75">
      <c r="A43" s="32">
        <v>41</v>
      </c>
      <c r="B43" s="32">
        <f t="shared" si="0"/>
        <v>13</v>
      </c>
      <c r="C43" s="32">
        <f t="shared" si="1"/>
        <v>2</v>
      </c>
      <c r="D43" s="31" t="str" cm="1">
        <f t="array" ref="D43">INDEX('ChemioMap-1'!$H$8:$J$94,1+B43,C43)</f>
        <v/>
      </c>
    </row>
    <row r="44" spans="1:4" x14ac:dyDescent="0.75">
      <c r="A44" s="32">
        <v>42</v>
      </c>
      <c r="B44" s="32">
        <f t="shared" si="0"/>
        <v>13</v>
      </c>
      <c r="C44" s="32">
        <f t="shared" si="1"/>
        <v>3</v>
      </c>
      <c r="D44" s="31" t="str" cm="1">
        <f t="array" ref="D44">INDEX('ChemioMap-1'!$H$8:$J$94,1+B44,C44)</f>
        <v/>
      </c>
    </row>
    <row r="45" spans="1:4" x14ac:dyDescent="0.75">
      <c r="A45" s="32">
        <v>43</v>
      </c>
      <c r="B45" s="32">
        <f t="shared" si="0"/>
        <v>14</v>
      </c>
      <c r="C45" s="32">
        <f t="shared" si="1"/>
        <v>1</v>
      </c>
      <c r="D45" s="31" t="str" cm="1">
        <f t="array" ref="D45">INDEX('ChemioMap-1'!$H$8:$J$94,1+B45,C45)</f>
        <v/>
      </c>
    </row>
    <row r="46" spans="1:4" x14ac:dyDescent="0.75">
      <c r="A46" s="32">
        <v>44</v>
      </c>
      <c r="B46" s="32">
        <f t="shared" si="0"/>
        <v>14</v>
      </c>
      <c r="C46" s="32">
        <f t="shared" si="1"/>
        <v>2</v>
      </c>
      <c r="D46" s="31" t="str" cm="1">
        <f t="array" ref="D46">INDEX('ChemioMap-1'!$H$8:$J$94,1+B46,C46)</f>
        <v/>
      </c>
    </row>
    <row r="47" spans="1:4" x14ac:dyDescent="0.75">
      <c r="A47" s="32">
        <v>45</v>
      </c>
      <c r="B47" s="32">
        <f t="shared" si="0"/>
        <v>14</v>
      </c>
      <c r="C47" s="32">
        <f t="shared" si="1"/>
        <v>3</v>
      </c>
      <c r="D47" s="31" t="str" cm="1">
        <f t="array" ref="D47">INDEX('ChemioMap-1'!$H$8:$J$94,1+B47,C47)</f>
        <v/>
      </c>
    </row>
    <row r="48" spans="1:4" x14ac:dyDescent="0.75">
      <c r="A48" s="32">
        <v>46</v>
      </c>
      <c r="B48" s="32">
        <f t="shared" si="0"/>
        <v>15</v>
      </c>
      <c r="C48" s="32">
        <f t="shared" si="1"/>
        <v>1</v>
      </c>
      <c r="D48" s="31" t="str" cm="1">
        <f t="array" ref="D48">INDEX('ChemioMap-1'!$H$8:$J$94,1+B48,C48)</f>
        <v/>
      </c>
    </row>
    <row r="49" spans="1:7" x14ac:dyDescent="0.75">
      <c r="A49" s="32">
        <v>47</v>
      </c>
      <c r="B49" s="32">
        <f t="shared" si="0"/>
        <v>15</v>
      </c>
      <c r="C49" s="32">
        <f t="shared" si="1"/>
        <v>2</v>
      </c>
      <c r="D49" s="31" t="str" cm="1">
        <f t="array" ref="D49">INDEX('ChemioMap-1'!$H$8:$J$94,1+B49,C49)</f>
        <v/>
      </c>
    </row>
    <row r="50" spans="1:7" x14ac:dyDescent="0.75">
      <c r="A50" s="32">
        <v>48</v>
      </c>
      <c r="B50" s="32">
        <f t="shared" si="0"/>
        <v>15</v>
      </c>
      <c r="C50" s="32">
        <f t="shared" si="1"/>
        <v>3</v>
      </c>
      <c r="D50" s="31" t="str" cm="1">
        <f t="array" ref="D50">INDEX('ChemioMap-1'!$H$8:$J$94,1+B50,C50)</f>
        <v/>
      </c>
    </row>
    <row r="51" spans="1:7" x14ac:dyDescent="0.75">
      <c r="A51" s="32">
        <v>49</v>
      </c>
      <c r="B51" s="32">
        <f t="shared" si="0"/>
        <v>16</v>
      </c>
      <c r="C51" s="32">
        <f t="shared" si="1"/>
        <v>1</v>
      </c>
      <c r="D51" s="31" t="str" cm="1">
        <f t="array" ref="D51">INDEX('ChemioMap-1'!$H$8:$J$94,1+B51,C51)</f>
        <v/>
      </c>
    </row>
    <row r="52" spans="1:7" x14ac:dyDescent="0.75">
      <c r="A52" s="32">
        <v>50</v>
      </c>
      <c r="B52" s="32">
        <f t="shared" si="0"/>
        <v>16</v>
      </c>
      <c r="C52" s="32">
        <f t="shared" si="1"/>
        <v>2</v>
      </c>
      <c r="D52" s="31" t="str" cm="1">
        <f t="array" ref="D52">INDEX('ChemioMap-1'!$H$8:$J$94,1+B52,C52)</f>
        <v/>
      </c>
    </row>
    <row r="53" spans="1:7" x14ac:dyDescent="0.75">
      <c r="A53" s="32">
        <v>51</v>
      </c>
      <c r="B53" s="32">
        <f t="shared" si="0"/>
        <v>16</v>
      </c>
      <c r="C53" s="32">
        <f t="shared" si="1"/>
        <v>3</v>
      </c>
      <c r="D53" s="31" t="str" cm="1">
        <f t="array" ref="D53">INDEX('ChemioMap-1'!$H$8:$J$94,1+B53,C53)</f>
        <v/>
      </c>
    </row>
    <row r="54" spans="1:7" x14ac:dyDescent="0.75">
      <c r="A54" s="32">
        <v>52</v>
      </c>
      <c r="B54" s="32">
        <f t="shared" si="0"/>
        <v>17</v>
      </c>
      <c r="C54" s="32">
        <f t="shared" si="1"/>
        <v>1</v>
      </c>
      <c r="D54" s="31" t="str" cm="1">
        <f t="array" ref="D54">INDEX('ChemioMap-1'!$H$8:$J$94,1+B54,C54)</f>
        <v/>
      </c>
    </row>
    <row r="55" spans="1:7" x14ac:dyDescent="0.75">
      <c r="A55" s="32">
        <v>53</v>
      </c>
      <c r="B55" s="32">
        <f t="shared" si="0"/>
        <v>17</v>
      </c>
      <c r="C55" s="32">
        <f t="shared" si="1"/>
        <v>2</v>
      </c>
      <c r="D55" s="31" t="str" cm="1">
        <f t="array" ref="D55">INDEX('ChemioMap-1'!$H$8:$J$94,1+B55,C55)</f>
        <v/>
      </c>
      <c r="G55" s="16"/>
    </row>
    <row r="56" spans="1:7" x14ac:dyDescent="0.75">
      <c r="A56" s="32">
        <v>54</v>
      </c>
      <c r="B56" s="32">
        <f t="shared" si="0"/>
        <v>17</v>
      </c>
      <c r="C56" s="32">
        <f t="shared" si="1"/>
        <v>3</v>
      </c>
      <c r="D56" s="31" t="str" cm="1">
        <f t="array" ref="D56">INDEX('ChemioMap-1'!$H$8:$J$94,1+B56,C56)</f>
        <v/>
      </c>
    </row>
    <row r="57" spans="1:7" x14ac:dyDescent="0.75">
      <c r="A57" s="32">
        <v>55</v>
      </c>
      <c r="B57" s="32">
        <f t="shared" si="0"/>
        <v>18</v>
      </c>
      <c r="C57" s="32">
        <f t="shared" si="1"/>
        <v>1</v>
      </c>
      <c r="D57" s="31" t="str" cm="1">
        <f t="array" ref="D57">INDEX('ChemioMap-1'!$H$8:$J$94,1+B57,C57)</f>
        <v/>
      </c>
    </row>
    <row r="58" spans="1:7" x14ac:dyDescent="0.75">
      <c r="A58" s="32">
        <v>56</v>
      </c>
      <c r="B58" s="32">
        <f t="shared" si="0"/>
        <v>18</v>
      </c>
      <c r="C58" s="32">
        <f t="shared" si="1"/>
        <v>2</v>
      </c>
      <c r="D58" s="31" t="str" cm="1">
        <f t="array" ref="D58">INDEX('ChemioMap-1'!$H$8:$J$94,1+B58,C58)</f>
        <v/>
      </c>
    </row>
    <row r="59" spans="1:7" x14ac:dyDescent="0.75">
      <c r="A59" s="32">
        <v>57</v>
      </c>
      <c r="B59" s="32">
        <f t="shared" si="0"/>
        <v>18</v>
      </c>
      <c r="C59" s="32">
        <f t="shared" si="1"/>
        <v>3</v>
      </c>
      <c r="D59" s="31" t="str" cm="1">
        <f t="array" ref="D59">INDEX('ChemioMap-1'!$H$8:$J$94,1+B59,C59)</f>
        <v/>
      </c>
    </row>
    <row r="60" spans="1:7" x14ac:dyDescent="0.75">
      <c r="A60" s="32">
        <v>58</v>
      </c>
      <c r="B60" s="32">
        <f t="shared" si="0"/>
        <v>19</v>
      </c>
      <c r="C60" s="32">
        <f t="shared" si="1"/>
        <v>1</v>
      </c>
      <c r="D60" s="31" t="str" cm="1">
        <f t="array" ref="D60">INDEX('ChemioMap-1'!$H$8:$J$94,1+B60,C60)</f>
        <v/>
      </c>
    </row>
    <row r="61" spans="1:7" x14ac:dyDescent="0.75">
      <c r="A61" s="32">
        <v>59</v>
      </c>
      <c r="B61" s="32">
        <f t="shared" si="0"/>
        <v>19</v>
      </c>
      <c r="C61" s="32">
        <f t="shared" si="1"/>
        <v>2</v>
      </c>
      <c r="D61" s="31" t="str" cm="1">
        <f t="array" ref="D61">INDEX('ChemioMap-1'!$H$8:$J$94,1+B61,C61)</f>
        <v/>
      </c>
    </row>
    <row r="62" spans="1:7" x14ac:dyDescent="0.75">
      <c r="A62" s="32">
        <v>60</v>
      </c>
      <c r="B62" s="32">
        <f t="shared" si="0"/>
        <v>19</v>
      </c>
      <c r="C62" s="32">
        <f t="shared" si="1"/>
        <v>3</v>
      </c>
      <c r="D62" s="31" t="str" cm="1">
        <f t="array" ref="D62">INDEX('ChemioMap-1'!$H$8:$J$94,1+B62,C62)</f>
        <v/>
      </c>
    </row>
    <row r="63" spans="1:7" x14ac:dyDescent="0.75">
      <c r="A63" s="32">
        <v>61</v>
      </c>
      <c r="B63" s="32">
        <f t="shared" si="0"/>
        <v>20</v>
      </c>
      <c r="C63" s="32">
        <f t="shared" si="1"/>
        <v>1</v>
      </c>
      <c r="D63" s="31" t="str" cm="1">
        <f t="array" ref="D63">INDEX('ChemioMap-1'!$H$8:$J$94,1+B63,C63)</f>
        <v/>
      </c>
    </row>
    <row r="64" spans="1:7" x14ac:dyDescent="0.75">
      <c r="A64" s="32">
        <v>62</v>
      </c>
      <c r="B64" s="32">
        <f t="shared" si="0"/>
        <v>20</v>
      </c>
      <c r="C64" s="32">
        <f t="shared" si="1"/>
        <v>2</v>
      </c>
      <c r="D64" s="31" t="str" cm="1">
        <f t="array" ref="D64">INDEX('ChemioMap-1'!$H$8:$J$94,1+B64,C64)</f>
        <v/>
      </c>
    </row>
    <row r="65" spans="1:4" x14ac:dyDescent="0.75">
      <c r="A65" s="32">
        <v>63</v>
      </c>
      <c r="B65" s="32">
        <f t="shared" si="0"/>
        <v>20</v>
      </c>
      <c r="C65" s="32">
        <f t="shared" si="1"/>
        <v>3</v>
      </c>
      <c r="D65" s="31" t="str" cm="1">
        <f t="array" ref="D65">INDEX('ChemioMap-1'!$H$8:$J$94,1+B65,C65)</f>
        <v/>
      </c>
    </row>
    <row r="66" spans="1:4" x14ac:dyDescent="0.75">
      <c r="A66" s="32">
        <v>64</v>
      </c>
      <c r="B66" s="32">
        <f t="shared" si="0"/>
        <v>21</v>
      </c>
      <c r="C66" s="32">
        <f t="shared" si="1"/>
        <v>1</v>
      </c>
      <c r="D66" s="31" t="str" cm="1">
        <f t="array" ref="D66">INDEX('ChemioMap-1'!$H$8:$J$94,1+B66,C66)</f>
        <v/>
      </c>
    </row>
    <row r="67" spans="1:4" x14ac:dyDescent="0.75">
      <c r="A67" s="32">
        <v>65</v>
      </c>
      <c r="B67" s="32">
        <f t="shared" si="0"/>
        <v>21</v>
      </c>
      <c r="C67" s="32">
        <f t="shared" si="1"/>
        <v>2</v>
      </c>
      <c r="D67" s="31" t="str" cm="1">
        <f t="array" ref="D67">INDEX('ChemioMap-1'!$H$8:$J$94,1+B67,C67)</f>
        <v/>
      </c>
    </row>
    <row r="68" spans="1:4" x14ac:dyDescent="0.75">
      <c r="A68" s="32">
        <v>66</v>
      </c>
      <c r="B68" s="32">
        <f t="shared" ref="B68:B131" si="2">IF(MOD(A68,3)=0,A68/3-1,INT(A68/3))</f>
        <v>21</v>
      </c>
      <c r="C68" s="32">
        <f t="shared" ref="C68:C131" si="3">IF(MOD(A68,3)=0,3,MOD(A68,3))</f>
        <v>3</v>
      </c>
      <c r="D68" s="31" t="str" cm="1">
        <f t="array" ref="D68">INDEX('ChemioMap-1'!$H$8:$J$94,1+B68,C68)</f>
        <v/>
      </c>
    </row>
    <row r="69" spans="1:4" x14ac:dyDescent="0.75">
      <c r="A69" s="32">
        <v>67</v>
      </c>
      <c r="B69" s="32">
        <f t="shared" si="2"/>
        <v>22</v>
      </c>
      <c r="C69" s="32">
        <f t="shared" si="3"/>
        <v>1</v>
      </c>
      <c r="D69" s="31" t="str" cm="1">
        <f t="array" ref="D69">INDEX('ChemioMap-1'!$H$8:$J$94,1+B69,C69)</f>
        <v/>
      </c>
    </row>
    <row r="70" spans="1:4" x14ac:dyDescent="0.75">
      <c r="A70" s="32">
        <v>68</v>
      </c>
      <c r="B70" s="32">
        <f t="shared" si="2"/>
        <v>22</v>
      </c>
      <c r="C70" s="32">
        <f t="shared" si="3"/>
        <v>2</v>
      </c>
      <c r="D70" s="31" t="str" cm="1">
        <f t="array" ref="D70">INDEX('ChemioMap-1'!$H$8:$J$94,1+B70,C70)</f>
        <v/>
      </c>
    </row>
    <row r="71" spans="1:4" x14ac:dyDescent="0.75">
      <c r="A71" s="32">
        <v>69</v>
      </c>
      <c r="B71" s="32">
        <f t="shared" si="2"/>
        <v>22</v>
      </c>
      <c r="C71" s="32">
        <f t="shared" si="3"/>
        <v>3</v>
      </c>
      <c r="D71" s="31" t="str" cm="1">
        <f t="array" ref="D71">INDEX('ChemioMap-1'!$H$8:$J$94,1+B71,C71)</f>
        <v/>
      </c>
    </row>
    <row r="72" spans="1:4" x14ac:dyDescent="0.75">
      <c r="A72" s="32">
        <v>70</v>
      </c>
      <c r="B72" s="32">
        <f t="shared" si="2"/>
        <v>23</v>
      </c>
      <c r="C72" s="32">
        <f t="shared" si="3"/>
        <v>1</v>
      </c>
      <c r="D72" s="31" t="str" cm="1">
        <f t="array" ref="D72">INDEX('ChemioMap-1'!$H$8:$J$94,1+B72,C72)</f>
        <v/>
      </c>
    </row>
    <row r="73" spans="1:4" x14ac:dyDescent="0.75">
      <c r="A73" s="32">
        <v>71</v>
      </c>
      <c r="B73" s="32">
        <f t="shared" si="2"/>
        <v>23</v>
      </c>
      <c r="C73" s="32">
        <f t="shared" si="3"/>
        <v>2</v>
      </c>
      <c r="D73" s="31" t="str" cm="1">
        <f t="array" ref="D73">INDEX('ChemioMap-1'!$H$8:$J$94,1+B73,C73)</f>
        <v/>
      </c>
    </row>
    <row r="74" spans="1:4" x14ac:dyDescent="0.75">
      <c r="A74" s="32">
        <v>72</v>
      </c>
      <c r="B74" s="32">
        <f t="shared" si="2"/>
        <v>23</v>
      </c>
      <c r="C74" s="32">
        <f t="shared" si="3"/>
        <v>3</v>
      </c>
      <c r="D74" s="31" t="str" cm="1">
        <f t="array" ref="D74">INDEX('ChemioMap-1'!$H$8:$J$94,1+B74,C74)</f>
        <v/>
      </c>
    </row>
    <row r="75" spans="1:4" x14ac:dyDescent="0.75">
      <c r="A75" s="32">
        <v>73</v>
      </c>
      <c r="B75" s="32">
        <f t="shared" si="2"/>
        <v>24</v>
      </c>
      <c r="C75" s="32">
        <f t="shared" si="3"/>
        <v>1</v>
      </c>
      <c r="D75" s="31" t="str" cm="1">
        <f t="array" ref="D75">INDEX('ChemioMap-1'!$H$8:$J$94,1+B75,C75)</f>
        <v/>
      </c>
    </row>
    <row r="76" spans="1:4" x14ac:dyDescent="0.75">
      <c r="A76" s="32">
        <v>74</v>
      </c>
      <c r="B76" s="32">
        <f t="shared" si="2"/>
        <v>24</v>
      </c>
      <c r="C76" s="32">
        <f t="shared" si="3"/>
        <v>2</v>
      </c>
      <c r="D76" s="31" t="str" cm="1">
        <f t="array" ref="D76">INDEX('ChemioMap-1'!$H$8:$J$94,1+B76,C76)</f>
        <v/>
      </c>
    </row>
    <row r="77" spans="1:4" x14ac:dyDescent="0.75">
      <c r="A77" s="32">
        <v>75</v>
      </c>
      <c r="B77" s="32">
        <f t="shared" si="2"/>
        <v>24</v>
      </c>
      <c r="C77" s="32">
        <f t="shared" si="3"/>
        <v>3</v>
      </c>
      <c r="D77" s="31" t="str" cm="1">
        <f t="array" ref="D77">INDEX('ChemioMap-1'!$H$8:$J$94,1+B77,C77)</f>
        <v/>
      </c>
    </row>
    <row r="78" spans="1:4" x14ac:dyDescent="0.75">
      <c r="A78" s="32">
        <v>76</v>
      </c>
      <c r="B78" s="32">
        <f t="shared" si="2"/>
        <v>25</v>
      </c>
      <c r="C78" s="32">
        <f t="shared" si="3"/>
        <v>1</v>
      </c>
      <c r="D78" s="31" t="str" cm="1">
        <f t="array" ref="D78">INDEX('ChemioMap-1'!$H$8:$J$94,1+B78,C78)</f>
        <v/>
      </c>
    </row>
    <row r="79" spans="1:4" x14ac:dyDescent="0.75">
      <c r="A79" s="32">
        <v>77</v>
      </c>
      <c r="B79" s="32">
        <f t="shared" si="2"/>
        <v>25</v>
      </c>
      <c r="C79" s="32">
        <f t="shared" si="3"/>
        <v>2</v>
      </c>
      <c r="D79" s="31" t="str" cm="1">
        <f t="array" ref="D79">INDEX('ChemioMap-1'!$H$8:$J$94,1+B79,C79)</f>
        <v/>
      </c>
    </row>
    <row r="80" spans="1:4" x14ac:dyDescent="0.75">
      <c r="A80" s="32">
        <v>78</v>
      </c>
      <c r="B80" s="32">
        <f t="shared" si="2"/>
        <v>25</v>
      </c>
      <c r="C80" s="32">
        <f t="shared" si="3"/>
        <v>3</v>
      </c>
      <c r="D80" s="31" t="str" cm="1">
        <f t="array" ref="D80">INDEX('ChemioMap-1'!$H$8:$J$94,1+B80,C80)</f>
        <v/>
      </c>
    </row>
    <row r="81" spans="1:4" x14ac:dyDescent="0.75">
      <c r="A81" s="32">
        <v>79</v>
      </c>
      <c r="B81" s="32">
        <f t="shared" si="2"/>
        <v>26</v>
      </c>
      <c r="C81" s="32">
        <f t="shared" si="3"/>
        <v>1</v>
      </c>
      <c r="D81" s="31" t="str" cm="1">
        <f t="array" ref="D81">INDEX('ChemioMap-1'!$H$8:$J$94,1+B81,C81)</f>
        <v/>
      </c>
    </row>
    <row r="82" spans="1:4" x14ac:dyDescent="0.75">
      <c r="A82" s="32">
        <v>80</v>
      </c>
      <c r="B82" s="32">
        <f t="shared" si="2"/>
        <v>26</v>
      </c>
      <c r="C82" s="32">
        <f t="shared" si="3"/>
        <v>2</v>
      </c>
      <c r="D82" s="31" t="str" cm="1">
        <f t="array" ref="D82">INDEX('ChemioMap-1'!$H$8:$J$94,1+B82,C82)</f>
        <v/>
      </c>
    </row>
    <row r="83" spans="1:4" x14ac:dyDescent="0.75">
      <c r="A83" s="32">
        <v>81</v>
      </c>
      <c r="B83" s="32">
        <f t="shared" si="2"/>
        <v>26</v>
      </c>
      <c r="C83" s="32">
        <f t="shared" si="3"/>
        <v>3</v>
      </c>
      <c r="D83" s="31" t="str" cm="1">
        <f t="array" ref="D83">INDEX('ChemioMap-1'!$H$8:$J$94,1+B83,C83)</f>
        <v/>
      </c>
    </row>
    <row r="84" spans="1:4" x14ac:dyDescent="0.75">
      <c r="A84" s="32">
        <v>82</v>
      </c>
      <c r="B84" s="32">
        <f t="shared" si="2"/>
        <v>27</v>
      </c>
      <c r="C84" s="32">
        <f t="shared" si="3"/>
        <v>1</v>
      </c>
      <c r="D84" s="31" t="str" cm="1">
        <f t="array" ref="D84">INDEX('ChemioMap-1'!$H$8:$J$94,1+B84,C84)</f>
        <v/>
      </c>
    </row>
    <row r="85" spans="1:4" x14ac:dyDescent="0.75">
      <c r="A85" s="32">
        <v>83</v>
      </c>
      <c r="B85" s="32">
        <f t="shared" si="2"/>
        <v>27</v>
      </c>
      <c r="C85" s="32">
        <f t="shared" si="3"/>
        <v>2</v>
      </c>
      <c r="D85" s="31" t="str" cm="1">
        <f t="array" ref="D85">INDEX('ChemioMap-1'!$H$8:$J$94,1+B85,C85)</f>
        <v/>
      </c>
    </row>
    <row r="86" spans="1:4" x14ac:dyDescent="0.75">
      <c r="A86" s="32">
        <v>84</v>
      </c>
      <c r="B86" s="32">
        <f t="shared" si="2"/>
        <v>27</v>
      </c>
      <c r="C86" s="32">
        <f t="shared" si="3"/>
        <v>3</v>
      </c>
      <c r="D86" s="31" t="str" cm="1">
        <f t="array" ref="D86">INDEX('ChemioMap-1'!$H$8:$J$94,1+B86,C86)</f>
        <v/>
      </c>
    </row>
    <row r="87" spans="1:4" x14ac:dyDescent="0.75">
      <c r="A87" s="32">
        <v>85</v>
      </c>
      <c r="B87" s="32">
        <f t="shared" si="2"/>
        <v>28</v>
      </c>
      <c r="C87" s="32">
        <f t="shared" si="3"/>
        <v>1</v>
      </c>
      <c r="D87" s="31" t="str" cm="1">
        <f t="array" ref="D87">INDEX('ChemioMap-1'!$H$8:$J$94,1+B87,C87)</f>
        <v/>
      </c>
    </row>
    <row r="88" spans="1:4" x14ac:dyDescent="0.75">
      <c r="A88" s="32">
        <v>86</v>
      </c>
      <c r="B88" s="32">
        <f t="shared" si="2"/>
        <v>28</v>
      </c>
      <c r="C88" s="32">
        <f t="shared" si="3"/>
        <v>2</v>
      </c>
      <c r="D88" s="31" t="str" cm="1">
        <f t="array" ref="D88">INDEX('ChemioMap-1'!$H$8:$J$94,1+B88,C88)</f>
        <v/>
      </c>
    </row>
    <row r="89" spans="1:4" x14ac:dyDescent="0.75">
      <c r="A89" s="32">
        <v>87</v>
      </c>
      <c r="B89" s="32">
        <f t="shared" si="2"/>
        <v>28</v>
      </c>
      <c r="C89" s="32">
        <f t="shared" si="3"/>
        <v>3</v>
      </c>
      <c r="D89" s="31" t="str" cm="1">
        <f t="array" ref="D89">INDEX('ChemioMap-1'!$H$8:$J$94,1+B89,C89)</f>
        <v/>
      </c>
    </row>
    <row r="90" spans="1:4" x14ac:dyDescent="0.75">
      <c r="A90" s="32">
        <v>88</v>
      </c>
      <c r="B90" s="32">
        <f t="shared" si="2"/>
        <v>29</v>
      </c>
      <c r="C90" s="32">
        <f t="shared" si="3"/>
        <v>1</v>
      </c>
      <c r="D90" s="31" t="str" cm="1">
        <f t="array" ref="D90">INDEX('ChemioMap-1'!$H$8:$J$94,1+B90,C90)</f>
        <v/>
      </c>
    </row>
    <row r="91" spans="1:4" x14ac:dyDescent="0.75">
      <c r="A91" s="32">
        <v>89</v>
      </c>
      <c r="B91" s="32">
        <f t="shared" si="2"/>
        <v>29</v>
      </c>
      <c r="C91" s="32">
        <f t="shared" si="3"/>
        <v>2</v>
      </c>
      <c r="D91" s="31" t="str" cm="1">
        <f t="array" ref="D91">INDEX('ChemioMap-1'!$H$8:$J$94,1+B91,C91)</f>
        <v/>
      </c>
    </row>
    <row r="92" spans="1:4" x14ac:dyDescent="0.75">
      <c r="A92" s="32">
        <v>90</v>
      </c>
      <c r="B92" s="32">
        <f t="shared" si="2"/>
        <v>29</v>
      </c>
      <c r="C92" s="32">
        <f t="shared" si="3"/>
        <v>3</v>
      </c>
      <c r="D92" s="31" t="str" cm="1">
        <f t="array" ref="D92">INDEX('ChemioMap-1'!$H$8:$J$94,1+B92,C92)</f>
        <v/>
      </c>
    </row>
    <row r="93" spans="1:4" x14ac:dyDescent="0.75">
      <c r="A93" s="32">
        <v>91</v>
      </c>
      <c r="B93" s="32">
        <f t="shared" si="2"/>
        <v>30</v>
      </c>
      <c r="C93" s="32">
        <f t="shared" si="3"/>
        <v>1</v>
      </c>
      <c r="D93" s="31" t="str" cm="1">
        <f t="array" ref="D93">INDEX('ChemioMap-1'!$H$8:$J$94,1+B93,C93)</f>
        <v/>
      </c>
    </row>
    <row r="94" spans="1:4" x14ac:dyDescent="0.75">
      <c r="A94" s="32">
        <v>92</v>
      </c>
      <c r="B94" s="32">
        <f t="shared" si="2"/>
        <v>30</v>
      </c>
      <c r="C94" s="32">
        <f t="shared" si="3"/>
        <v>2</v>
      </c>
      <c r="D94" s="31" t="str" cm="1">
        <f t="array" ref="D94">INDEX('ChemioMap-1'!$H$8:$J$94,1+B94,C94)</f>
        <v/>
      </c>
    </row>
    <row r="95" spans="1:4" x14ac:dyDescent="0.75">
      <c r="A95" s="32">
        <v>93</v>
      </c>
      <c r="B95" s="32">
        <f t="shared" si="2"/>
        <v>30</v>
      </c>
      <c r="C95" s="32">
        <f t="shared" si="3"/>
        <v>3</v>
      </c>
      <c r="D95" s="31" t="str" cm="1">
        <f t="array" ref="D95">INDEX('ChemioMap-1'!$H$8:$J$94,1+B95,C95)</f>
        <v/>
      </c>
    </row>
    <row r="96" spans="1:4" x14ac:dyDescent="0.75">
      <c r="A96" s="32">
        <v>94</v>
      </c>
      <c r="B96" s="32">
        <f t="shared" si="2"/>
        <v>31</v>
      </c>
      <c r="C96" s="32">
        <f t="shared" si="3"/>
        <v>1</v>
      </c>
      <c r="D96" s="31" t="str" cm="1">
        <f t="array" ref="D96">INDEX('ChemioMap-1'!$H$8:$J$94,1+B96,C96)</f>
        <v/>
      </c>
    </row>
    <row r="97" spans="1:4" x14ac:dyDescent="0.75">
      <c r="A97" s="32">
        <v>95</v>
      </c>
      <c r="B97" s="32">
        <f t="shared" si="2"/>
        <v>31</v>
      </c>
      <c r="C97" s="32">
        <f t="shared" si="3"/>
        <v>2</v>
      </c>
      <c r="D97" s="31" t="str" cm="1">
        <f t="array" ref="D97">INDEX('ChemioMap-1'!$H$8:$J$94,1+B97,C97)</f>
        <v/>
      </c>
    </row>
    <row r="98" spans="1:4" x14ac:dyDescent="0.75">
      <c r="A98" s="32">
        <v>96</v>
      </c>
      <c r="B98" s="32">
        <f t="shared" si="2"/>
        <v>31</v>
      </c>
      <c r="C98" s="32">
        <f t="shared" si="3"/>
        <v>3</v>
      </c>
      <c r="D98" s="31" t="str" cm="1">
        <f t="array" ref="D98">INDEX('ChemioMap-1'!$H$8:$J$94,1+B98,C98)</f>
        <v/>
      </c>
    </row>
    <row r="99" spans="1:4" x14ac:dyDescent="0.75">
      <c r="A99" s="32">
        <v>97</v>
      </c>
      <c r="B99" s="32">
        <f t="shared" si="2"/>
        <v>32</v>
      </c>
      <c r="C99" s="32">
        <f t="shared" si="3"/>
        <v>1</v>
      </c>
      <c r="D99" s="31" t="str" cm="1">
        <f t="array" ref="D99">INDEX('ChemioMap-1'!$H$8:$J$94,1+B99,C99)</f>
        <v/>
      </c>
    </row>
    <row r="100" spans="1:4" x14ac:dyDescent="0.75">
      <c r="A100" s="32">
        <v>98</v>
      </c>
      <c r="B100" s="32">
        <f t="shared" si="2"/>
        <v>32</v>
      </c>
      <c r="C100" s="32">
        <f t="shared" si="3"/>
        <v>2</v>
      </c>
      <c r="D100" s="31" t="str" cm="1">
        <f t="array" ref="D100">INDEX('ChemioMap-1'!$H$8:$J$94,1+B100,C100)</f>
        <v/>
      </c>
    </row>
    <row r="101" spans="1:4" x14ac:dyDescent="0.75">
      <c r="A101" s="32">
        <v>99</v>
      </c>
      <c r="B101" s="32">
        <f t="shared" si="2"/>
        <v>32</v>
      </c>
      <c r="C101" s="32">
        <f t="shared" si="3"/>
        <v>3</v>
      </c>
      <c r="D101" s="31" t="str" cm="1">
        <f t="array" ref="D101">INDEX('ChemioMap-1'!$H$8:$J$94,1+B101,C101)</f>
        <v/>
      </c>
    </row>
    <row r="102" spans="1:4" x14ac:dyDescent="0.75">
      <c r="A102" s="32">
        <v>100</v>
      </c>
      <c r="B102" s="32">
        <f t="shared" si="2"/>
        <v>33</v>
      </c>
      <c r="C102" s="32">
        <f t="shared" si="3"/>
        <v>1</v>
      </c>
      <c r="D102" s="31" t="str" cm="1">
        <f t="array" ref="D102">INDEX('ChemioMap-1'!$H$8:$J$94,1+B102,C102)</f>
        <v/>
      </c>
    </row>
    <row r="103" spans="1:4" x14ac:dyDescent="0.75">
      <c r="A103" s="32">
        <v>101</v>
      </c>
      <c r="B103" s="32">
        <f t="shared" si="2"/>
        <v>33</v>
      </c>
      <c r="C103" s="32">
        <f t="shared" si="3"/>
        <v>2</v>
      </c>
      <c r="D103" s="31" t="str" cm="1">
        <f t="array" ref="D103">INDEX('ChemioMap-1'!$H$8:$J$94,1+B103,C103)</f>
        <v/>
      </c>
    </row>
    <row r="104" spans="1:4" x14ac:dyDescent="0.75">
      <c r="A104" s="32">
        <v>102</v>
      </c>
      <c r="B104" s="32">
        <f t="shared" si="2"/>
        <v>33</v>
      </c>
      <c r="C104" s="32">
        <f t="shared" si="3"/>
        <v>3</v>
      </c>
      <c r="D104" s="31" t="str" cm="1">
        <f t="array" ref="D104">INDEX('ChemioMap-1'!$H$8:$J$94,1+B104,C104)</f>
        <v/>
      </c>
    </row>
    <row r="105" spans="1:4" x14ac:dyDescent="0.75">
      <c r="A105" s="32">
        <v>103</v>
      </c>
      <c r="B105" s="32">
        <f t="shared" si="2"/>
        <v>34</v>
      </c>
      <c r="C105" s="32">
        <f t="shared" si="3"/>
        <v>1</v>
      </c>
      <c r="D105" s="31" t="str" cm="1">
        <f t="array" ref="D105">INDEX('ChemioMap-1'!$H$8:$J$94,1+B105,C105)</f>
        <v/>
      </c>
    </row>
    <row r="106" spans="1:4" x14ac:dyDescent="0.75">
      <c r="A106" s="32">
        <v>104</v>
      </c>
      <c r="B106" s="32">
        <f t="shared" si="2"/>
        <v>34</v>
      </c>
      <c r="C106" s="32">
        <f t="shared" si="3"/>
        <v>2</v>
      </c>
      <c r="D106" s="31" t="str" cm="1">
        <f t="array" ref="D106">INDEX('ChemioMap-1'!$H$8:$J$94,1+B106,C106)</f>
        <v/>
      </c>
    </row>
    <row r="107" spans="1:4" x14ac:dyDescent="0.75">
      <c r="A107" s="32">
        <v>105</v>
      </c>
      <c r="B107" s="32">
        <f t="shared" si="2"/>
        <v>34</v>
      </c>
      <c r="C107" s="32">
        <f t="shared" si="3"/>
        <v>3</v>
      </c>
      <c r="D107" s="31" t="str" cm="1">
        <f t="array" ref="D107">INDEX('ChemioMap-1'!$H$8:$J$94,1+B107,C107)</f>
        <v/>
      </c>
    </row>
    <row r="108" spans="1:4" x14ac:dyDescent="0.75">
      <c r="A108" s="32">
        <v>106</v>
      </c>
      <c r="B108" s="32">
        <f t="shared" si="2"/>
        <v>35</v>
      </c>
      <c r="C108" s="32">
        <f t="shared" si="3"/>
        <v>1</v>
      </c>
      <c r="D108" s="31" t="str" cm="1">
        <f t="array" ref="D108">INDEX('ChemioMap-1'!$H$8:$J$94,1+B108,C108)</f>
        <v/>
      </c>
    </row>
    <row r="109" spans="1:4" x14ac:dyDescent="0.75">
      <c r="A109" s="32">
        <v>107</v>
      </c>
      <c r="B109" s="32">
        <f t="shared" si="2"/>
        <v>35</v>
      </c>
      <c r="C109" s="32">
        <f t="shared" si="3"/>
        <v>2</v>
      </c>
      <c r="D109" s="31" t="str" cm="1">
        <f t="array" ref="D109">INDEX('ChemioMap-1'!$H$8:$J$94,1+B109,C109)</f>
        <v/>
      </c>
    </row>
    <row r="110" spans="1:4" x14ac:dyDescent="0.75">
      <c r="A110" s="32">
        <v>108</v>
      </c>
      <c r="B110" s="32">
        <f t="shared" si="2"/>
        <v>35</v>
      </c>
      <c r="C110" s="32">
        <f t="shared" si="3"/>
        <v>3</v>
      </c>
      <c r="D110" s="31" t="str" cm="1">
        <f t="array" ref="D110">INDEX('ChemioMap-1'!$H$8:$J$94,1+B110,C110)</f>
        <v/>
      </c>
    </row>
    <row r="111" spans="1:4" x14ac:dyDescent="0.75">
      <c r="A111" s="32">
        <v>109</v>
      </c>
      <c r="B111" s="32">
        <f t="shared" si="2"/>
        <v>36</v>
      </c>
      <c r="C111" s="32">
        <f t="shared" si="3"/>
        <v>1</v>
      </c>
      <c r="D111" s="31" t="str" cm="1">
        <f t="array" ref="D111">INDEX('ChemioMap-1'!$H$8:$J$94,1+B111,C111)</f>
        <v/>
      </c>
    </row>
    <row r="112" spans="1:4" x14ac:dyDescent="0.75">
      <c r="A112" s="32">
        <v>110</v>
      </c>
      <c r="B112" s="32">
        <f t="shared" si="2"/>
        <v>36</v>
      </c>
      <c r="C112" s="32">
        <f t="shared" si="3"/>
        <v>2</v>
      </c>
      <c r="D112" s="31" t="str" cm="1">
        <f t="array" ref="D112">INDEX('ChemioMap-1'!$H$8:$J$94,1+B112,C112)</f>
        <v/>
      </c>
    </row>
    <row r="113" spans="1:4" x14ac:dyDescent="0.75">
      <c r="A113" s="32">
        <v>111</v>
      </c>
      <c r="B113" s="32">
        <f t="shared" si="2"/>
        <v>36</v>
      </c>
      <c r="C113" s="32">
        <f t="shared" si="3"/>
        <v>3</v>
      </c>
      <c r="D113" s="31" t="str" cm="1">
        <f t="array" ref="D113">INDEX('ChemioMap-1'!$H$8:$J$94,1+B113,C113)</f>
        <v/>
      </c>
    </row>
    <row r="114" spans="1:4" x14ac:dyDescent="0.75">
      <c r="A114" s="32">
        <v>112</v>
      </c>
      <c r="B114" s="32">
        <f t="shared" si="2"/>
        <v>37</v>
      </c>
      <c r="C114" s="32">
        <f t="shared" si="3"/>
        <v>1</v>
      </c>
      <c r="D114" s="31" t="str" cm="1">
        <f t="array" ref="D114">INDEX('ChemioMap-1'!$H$8:$J$94,1+B114,C114)</f>
        <v/>
      </c>
    </row>
    <row r="115" spans="1:4" x14ac:dyDescent="0.75">
      <c r="A115" s="32">
        <v>113</v>
      </c>
      <c r="B115" s="32">
        <f t="shared" si="2"/>
        <v>37</v>
      </c>
      <c r="C115" s="32">
        <f t="shared" si="3"/>
        <v>2</v>
      </c>
      <c r="D115" s="31" t="str" cm="1">
        <f t="array" ref="D115">INDEX('ChemioMap-1'!$H$8:$J$94,1+B115,C115)</f>
        <v/>
      </c>
    </row>
    <row r="116" spans="1:4" x14ac:dyDescent="0.75">
      <c r="A116" s="32">
        <v>114</v>
      </c>
      <c r="B116" s="32">
        <f t="shared" si="2"/>
        <v>37</v>
      </c>
      <c r="C116" s="32">
        <f t="shared" si="3"/>
        <v>3</v>
      </c>
      <c r="D116" s="31" t="str" cm="1">
        <f t="array" ref="D116">INDEX('ChemioMap-1'!$H$8:$J$94,1+B116,C116)</f>
        <v/>
      </c>
    </row>
    <row r="117" spans="1:4" x14ac:dyDescent="0.75">
      <c r="A117" s="32">
        <v>115</v>
      </c>
      <c r="B117" s="32">
        <f t="shared" si="2"/>
        <v>38</v>
      </c>
      <c r="C117" s="32">
        <f t="shared" si="3"/>
        <v>1</v>
      </c>
      <c r="D117" s="31" t="str" cm="1">
        <f t="array" ref="D117">INDEX('ChemioMap-1'!$H$8:$J$94,1+B117,C117)</f>
        <v/>
      </c>
    </row>
    <row r="118" spans="1:4" x14ac:dyDescent="0.75">
      <c r="A118" s="32">
        <v>116</v>
      </c>
      <c r="B118" s="32">
        <f t="shared" si="2"/>
        <v>38</v>
      </c>
      <c r="C118" s="32">
        <f t="shared" si="3"/>
        <v>2</v>
      </c>
      <c r="D118" s="31" t="str" cm="1">
        <f t="array" ref="D118">INDEX('ChemioMap-1'!$H$8:$J$94,1+B118,C118)</f>
        <v/>
      </c>
    </row>
    <row r="119" spans="1:4" x14ac:dyDescent="0.75">
      <c r="A119" s="32">
        <v>117</v>
      </c>
      <c r="B119" s="32">
        <f t="shared" si="2"/>
        <v>38</v>
      </c>
      <c r="C119" s="32">
        <f t="shared" si="3"/>
        <v>3</v>
      </c>
      <c r="D119" s="31" t="str" cm="1">
        <f t="array" ref="D119">INDEX('ChemioMap-1'!$H$8:$J$94,1+B119,C119)</f>
        <v/>
      </c>
    </row>
    <row r="120" spans="1:4" x14ac:dyDescent="0.75">
      <c r="A120" s="32">
        <v>118</v>
      </c>
      <c r="B120" s="32">
        <f t="shared" si="2"/>
        <v>39</v>
      </c>
      <c r="C120" s="32">
        <f t="shared" si="3"/>
        <v>1</v>
      </c>
      <c r="D120" s="31" t="str" cm="1">
        <f t="array" ref="D120">INDEX('ChemioMap-1'!$H$8:$J$94,1+B120,C120)</f>
        <v/>
      </c>
    </row>
    <row r="121" spans="1:4" x14ac:dyDescent="0.75">
      <c r="A121" s="32">
        <v>119</v>
      </c>
      <c r="B121" s="32">
        <f t="shared" si="2"/>
        <v>39</v>
      </c>
      <c r="C121" s="32">
        <f t="shared" si="3"/>
        <v>2</v>
      </c>
      <c r="D121" s="31" t="str" cm="1">
        <f t="array" ref="D121">INDEX('ChemioMap-1'!$H$8:$J$94,1+B121,C121)</f>
        <v/>
      </c>
    </row>
    <row r="122" spans="1:4" x14ac:dyDescent="0.75">
      <c r="A122" s="32">
        <v>120</v>
      </c>
      <c r="B122" s="32">
        <f t="shared" si="2"/>
        <v>39</v>
      </c>
      <c r="C122" s="32">
        <f t="shared" si="3"/>
        <v>3</v>
      </c>
      <c r="D122" s="31" t="str" cm="1">
        <f t="array" ref="D122">INDEX('ChemioMap-1'!$H$8:$J$94,1+B122,C122)</f>
        <v/>
      </c>
    </row>
    <row r="123" spans="1:4" x14ac:dyDescent="0.75">
      <c r="A123" s="32">
        <v>121</v>
      </c>
      <c r="B123" s="32">
        <f t="shared" si="2"/>
        <v>40</v>
      </c>
      <c r="C123" s="32">
        <f t="shared" si="3"/>
        <v>1</v>
      </c>
      <c r="D123" s="31" t="str" cm="1">
        <f t="array" ref="D123">INDEX('ChemioMap-1'!$H$8:$J$94,1+B123,C123)</f>
        <v/>
      </c>
    </row>
    <row r="124" spans="1:4" x14ac:dyDescent="0.75">
      <c r="A124" s="32">
        <v>122</v>
      </c>
      <c r="B124" s="32">
        <f t="shared" si="2"/>
        <v>40</v>
      </c>
      <c r="C124" s="32">
        <f t="shared" si="3"/>
        <v>2</v>
      </c>
      <c r="D124" s="31" t="str" cm="1">
        <f t="array" ref="D124">INDEX('ChemioMap-1'!$H$8:$J$94,1+B124,C124)</f>
        <v/>
      </c>
    </row>
    <row r="125" spans="1:4" x14ac:dyDescent="0.75">
      <c r="A125" s="32">
        <v>123</v>
      </c>
      <c r="B125" s="32">
        <f t="shared" si="2"/>
        <v>40</v>
      </c>
      <c r="C125" s="32">
        <f t="shared" si="3"/>
        <v>3</v>
      </c>
      <c r="D125" s="31" t="str" cm="1">
        <f t="array" ref="D125">INDEX('ChemioMap-1'!$H$8:$J$94,1+B125,C125)</f>
        <v/>
      </c>
    </row>
    <row r="126" spans="1:4" x14ac:dyDescent="0.75">
      <c r="A126" s="32">
        <v>124</v>
      </c>
      <c r="B126" s="32">
        <f t="shared" si="2"/>
        <v>41</v>
      </c>
      <c r="C126" s="32">
        <f t="shared" si="3"/>
        <v>1</v>
      </c>
      <c r="D126" s="31" t="str" cm="1">
        <f t="array" ref="D126">INDEX('ChemioMap-1'!$H$8:$J$94,1+B126,C126)</f>
        <v/>
      </c>
    </row>
    <row r="127" spans="1:4" x14ac:dyDescent="0.75">
      <c r="A127" s="32">
        <v>125</v>
      </c>
      <c r="B127" s="32">
        <f t="shared" si="2"/>
        <v>41</v>
      </c>
      <c r="C127" s="32">
        <f t="shared" si="3"/>
        <v>2</v>
      </c>
      <c r="D127" s="31" t="str" cm="1">
        <f t="array" ref="D127">INDEX('ChemioMap-1'!$H$8:$J$94,1+B127,C127)</f>
        <v/>
      </c>
    </row>
    <row r="128" spans="1:4" x14ac:dyDescent="0.75">
      <c r="A128" s="32">
        <v>126</v>
      </c>
      <c r="B128" s="32">
        <f t="shared" si="2"/>
        <v>41</v>
      </c>
      <c r="C128" s="32">
        <f t="shared" si="3"/>
        <v>3</v>
      </c>
      <c r="D128" s="31" t="str" cm="1">
        <f t="array" ref="D128">INDEX('ChemioMap-1'!$H$8:$J$94,1+B128,C128)</f>
        <v/>
      </c>
    </row>
    <row r="129" spans="1:4" x14ac:dyDescent="0.75">
      <c r="A129" s="32">
        <v>127</v>
      </c>
      <c r="B129" s="32">
        <f t="shared" si="2"/>
        <v>42</v>
      </c>
      <c r="C129" s="32">
        <f t="shared" si="3"/>
        <v>1</v>
      </c>
      <c r="D129" s="31" t="str" cm="1">
        <f t="array" ref="D129">INDEX('ChemioMap-1'!$H$8:$J$94,1+B129,C129)</f>
        <v/>
      </c>
    </row>
    <row r="130" spans="1:4" x14ac:dyDescent="0.75">
      <c r="A130" s="32">
        <v>128</v>
      </c>
      <c r="B130" s="32">
        <f t="shared" si="2"/>
        <v>42</v>
      </c>
      <c r="C130" s="32">
        <f t="shared" si="3"/>
        <v>2</v>
      </c>
      <c r="D130" s="31" t="str" cm="1">
        <f t="array" ref="D130">INDEX('ChemioMap-1'!$H$8:$J$94,1+B130,C130)</f>
        <v/>
      </c>
    </row>
    <row r="131" spans="1:4" x14ac:dyDescent="0.75">
      <c r="A131" s="32">
        <v>129</v>
      </c>
      <c r="B131" s="32">
        <f t="shared" si="2"/>
        <v>42</v>
      </c>
      <c r="C131" s="32">
        <f t="shared" si="3"/>
        <v>3</v>
      </c>
      <c r="D131" s="31" t="str" cm="1">
        <f t="array" ref="D131">INDEX('ChemioMap-1'!$H$8:$J$94,1+B131,C131)</f>
        <v/>
      </c>
    </row>
    <row r="132" spans="1:4" x14ac:dyDescent="0.75">
      <c r="A132" s="32">
        <v>130</v>
      </c>
      <c r="B132" s="32">
        <f t="shared" ref="B132:B195" si="4">IF(MOD(A132,3)=0,A132/3-1,INT(A132/3))</f>
        <v>43</v>
      </c>
      <c r="C132" s="32">
        <f t="shared" ref="C132:C195" si="5">IF(MOD(A132,3)=0,3,MOD(A132,3))</f>
        <v>1</v>
      </c>
      <c r="D132" s="31" t="str" cm="1">
        <f t="array" ref="D132">INDEX('ChemioMap-1'!$H$8:$J$94,1+B132,C132)</f>
        <v/>
      </c>
    </row>
    <row r="133" spans="1:4" x14ac:dyDescent="0.75">
      <c r="A133" s="32">
        <v>131</v>
      </c>
      <c r="B133" s="32">
        <f t="shared" si="4"/>
        <v>43</v>
      </c>
      <c r="C133" s="32">
        <f t="shared" si="5"/>
        <v>2</v>
      </c>
      <c r="D133" s="31" t="str" cm="1">
        <f t="array" ref="D133">INDEX('ChemioMap-1'!$H$8:$J$94,1+B133,C133)</f>
        <v/>
      </c>
    </row>
    <row r="134" spans="1:4" x14ac:dyDescent="0.75">
      <c r="A134" s="32">
        <v>132</v>
      </c>
      <c r="B134" s="32">
        <f t="shared" si="4"/>
        <v>43</v>
      </c>
      <c r="C134" s="32">
        <f t="shared" si="5"/>
        <v>3</v>
      </c>
      <c r="D134" s="31" t="str" cm="1">
        <f t="array" ref="D134">INDEX('ChemioMap-1'!$H$8:$J$94,1+B134,C134)</f>
        <v/>
      </c>
    </row>
    <row r="135" spans="1:4" x14ac:dyDescent="0.75">
      <c r="A135" s="32">
        <v>133</v>
      </c>
      <c r="B135" s="32">
        <f t="shared" si="4"/>
        <v>44</v>
      </c>
      <c r="C135" s="32">
        <f t="shared" si="5"/>
        <v>1</v>
      </c>
      <c r="D135" s="31" t="str" cm="1">
        <f t="array" ref="D135">INDEX('ChemioMap-1'!$H$8:$J$94,1+B135,C135)</f>
        <v/>
      </c>
    </row>
    <row r="136" spans="1:4" x14ac:dyDescent="0.75">
      <c r="A136" s="32">
        <v>134</v>
      </c>
      <c r="B136" s="32">
        <f t="shared" si="4"/>
        <v>44</v>
      </c>
      <c r="C136" s="32">
        <f t="shared" si="5"/>
        <v>2</v>
      </c>
      <c r="D136" s="31" t="str" cm="1">
        <f t="array" ref="D136">INDEX('ChemioMap-1'!$H$8:$J$94,1+B136,C136)</f>
        <v/>
      </c>
    </row>
    <row r="137" spans="1:4" x14ac:dyDescent="0.75">
      <c r="A137" s="32">
        <v>135</v>
      </c>
      <c r="B137" s="32">
        <f t="shared" si="4"/>
        <v>44</v>
      </c>
      <c r="C137" s="32">
        <f t="shared" si="5"/>
        <v>3</v>
      </c>
      <c r="D137" s="31" t="str" cm="1">
        <f t="array" ref="D137">INDEX('ChemioMap-1'!$H$8:$J$94,1+B137,C137)</f>
        <v/>
      </c>
    </row>
    <row r="138" spans="1:4" x14ac:dyDescent="0.75">
      <c r="A138" s="32">
        <v>136</v>
      </c>
      <c r="B138" s="32">
        <f t="shared" si="4"/>
        <v>45</v>
      </c>
      <c r="C138" s="32">
        <f t="shared" si="5"/>
        <v>1</v>
      </c>
      <c r="D138" s="31" t="str" cm="1">
        <f t="array" ref="D138">INDEX('ChemioMap-1'!$H$8:$J$94,1+B138,C138)</f>
        <v/>
      </c>
    </row>
    <row r="139" spans="1:4" x14ac:dyDescent="0.75">
      <c r="A139" s="32">
        <v>137</v>
      </c>
      <c r="B139" s="32">
        <f t="shared" si="4"/>
        <v>45</v>
      </c>
      <c r="C139" s="32">
        <f t="shared" si="5"/>
        <v>2</v>
      </c>
      <c r="D139" s="31" t="str" cm="1">
        <f t="array" ref="D139">INDEX('ChemioMap-1'!$H$8:$J$94,1+B139,C139)</f>
        <v/>
      </c>
    </row>
    <row r="140" spans="1:4" x14ac:dyDescent="0.75">
      <c r="A140" s="32">
        <v>138</v>
      </c>
      <c r="B140" s="32">
        <f t="shared" si="4"/>
        <v>45</v>
      </c>
      <c r="C140" s="32">
        <f t="shared" si="5"/>
        <v>3</v>
      </c>
      <c r="D140" s="31" t="str" cm="1">
        <f t="array" ref="D140">INDEX('ChemioMap-1'!$H$8:$J$94,1+B140,C140)</f>
        <v/>
      </c>
    </row>
    <row r="141" spans="1:4" x14ac:dyDescent="0.75">
      <c r="A141" s="32">
        <v>139</v>
      </c>
      <c r="B141" s="32">
        <f t="shared" si="4"/>
        <v>46</v>
      </c>
      <c r="C141" s="32">
        <f t="shared" si="5"/>
        <v>1</v>
      </c>
      <c r="D141" s="31" t="str" cm="1">
        <f t="array" ref="D141">INDEX('ChemioMap-1'!$H$8:$J$94,1+B141,C141)</f>
        <v/>
      </c>
    </row>
    <row r="142" spans="1:4" x14ac:dyDescent="0.75">
      <c r="A142" s="32">
        <v>140</v>
      </c>
      <c r="B142" s="32">
        <f t="shared" si="4"/>
        <v>46</v>
      </c>
      <c r="C142" s="32">
        <f t="shared" si="5"/>
        <v>2</v>
      </c>
      <c r="D142" s="31" t="str" cm="1">
        <f t="array" ref="D142">INDEX('ChemioMap-1'!$H$8:$J$94,1+B142,C142)</f>
        <v/>
      </c>
    </row>
    <row r="143" spans="1:4" x14ac:dyDescent="0.75">
      <c r="A143" s="32">
        <v>141</v>
      </c>
      <c r="B143" s="32">
        <f t="shared" si="4"/>
        <v>46</v>
      </c>
      <c r="C143" s="32">
        <f t="shared" si="5"/>
        <v>3</v>
      </c>
      <c r="D143" s="31" t="str" cm="1">
        <f t="array" ref="D143">INDEX('ChemioMap-1'!$H$8:$J$94,1+B143,C143)</f>
        <v/>
      </c>
    </row>
    <row r="144" spans="1:4" x14ac:dyDescent="0.75">
      <c r="A144" s="32">
        <v>142</v>
      </c>
      <c r="B144" s="32">
        <f t="shared" si="4"/>
        <v>47</v>
      </c>
      <c r="C144" s="32">
        <f t="shared" si="5"/>
        <v>1</v>
      </c>
      <c r="D144" s="31" t="str" cm="1">
        <f t="array" ref="D144">INDEX('ChemioMap-1'!$H$8:$J$94,1+B144,C144)</f>
        <v/>
      </c>
    </row>
    <row r="145" spans="1:4" x14ac:dyDescent="0.75">
      <c r="A145" s="32">
        <v>143</v>
      </c>
      <c r="B145" s="32">
        <f t="shared" si="4"/>
        <v>47</v>
      </c>
      <c r="C145" s="32">
        <f t="shared" si="5"/>
        <v>2</v>
      </c>
      <c r="D145" s="31" t="str" cm="1">
        <f t="array" ref="D145">INDEX('ChemioMap-1'!$H$8:$J$94,1+B145,C145)</f>
        <v/>
      </c>
    </row>
    <row r="146" spans="1:4" x14ac:dyDescent="0.75">
      <c r="A146" s="32">
        <v>144</v>
      </c>
      <c r="B146" s="32">
        <f t="shared" si="4"/>
        <v>47</v>
      </c>
      <c r="C146" s="32">
        <f t="shared" si="5"/>
        <v>3</v>
      </c>
      <c r="D146" s="31" t="str" cm="1">
        <f t="array" ref="D146">INDEX('ChemioMap-1'!$H$8:$J$94,1+B146,C146)</f>
        <v/>
      </c>
    </row>
    <row r="147" spans="1:4" x14ac:dyDescent="0.75">
      <c r="A147" s="32">
        <v>145</v>
      </c>
      <c r="B147" s="32">
        <f t="shared" si="4"/>
        <v>48</v>
      </c>
      <c r="C147" s="32">
        <f t="shared" si="5"/>
        <v>1</v>
      </c>
      <c r="D147" s="31" t="str" cm="1">
        <f t="array" ref="D147">INDEX('ChemioMap-1'!$H$8:$J$94,1+B147,C147)</f>
        <v/>
      </c>
    </row>
    <row r="148" spans="1:4" x14ac:dyDescent="0.75">
      <c r="A148" s="32">
        <v>146</v>
      </c>
      <c r="B148" s="32">
        <f t="shared" si="4"/>
        <v>48</v>
      </c>
      <c r="C148" s="32">
        <f t="shared" si="5"/>
        <v>2</v>
      </c>
      <c r="D148" s="31" t="str" cm="1">
        <f t="array" ref="D148">INDEX('ChemioMap-1'!$H$8:$J$94,1+B148,C148)</f>
        <v/>
      </c>
    </row>
    <row r="149" spans="1:4" x14ac:dyDescent="0.75">
      <c r="A149" s="32">
        <v>147</v>
      </c>
      <c r="B149" s="32">
        <f t="shared" si="4"/>
        <v>48</v>
      </c>
      <c r="C149" s="32">
        <f t="shared" si="5"/>
        <v>3</v>
      </c>
      <c r="D149" s="31" t="str" cm="1">
        <f t="array" ref="D149">INDEX('ChemioMap-1'!$H$8:$J$94,1+B149,C149)</f>
        <v/>
      </c>
    </row>
    <row r="150" spans="1:4" x14ac:dyDescent="0.75">
      <c r="A150" s="32">
        <v>148</v>
      </c>
      <c r="B150" s="32">
        <f t="shared" si="4"/>
        <v>49</v>
      </c>
      <c r="C150" s="32">
        <f t="shared" si="5"/>
        <v>1</v>
      </c>
      <c r="D150" s="31" t="str" cm="1">
        <f t="array" ref="D150">INDEX('ChemioMap-1'!$H$8:$J$94,1+B150,C150)</f>
        <v/>
      </c>
    </row>
    <row r="151" spans="1:4" x14ac:dyDescent="0.75">
      <c r="A151" s="32">
        <v>149</v>
      </c>
      <c r="B151" s="32">
        <f t="shared" si="4"/>
        <v>49</v>
      </c>
      <c r="C151" s="32">
        <f t="shared" si="5"/>
        <v>2</v>
      </c>
      <c r="D151" s="31" t="str" cm="1">
        <f t="array" ref="D151">INDEX('ChemioMap-1'!$H$8:$J$94,1+B151,C151)</f>
        <v/>
      </c>
    </row>
    <row r="152" spans="1:4" x14ac:dyDescent="0.75">
      <c r="A152" s="32">
        <v>150</v>
      </c>
      <c r="B152" s="32">
        <f t="shared" si="4"/>
        <v>49</v>
      </c>
      <c r="C152" s="32">
        <f t="shared" si="5"/>
        <v>3</v>
      </c>
      <c r="D152" s="31" t="str" cm="1">
        <f t="array" ref="D152">INDEX('ChemioMap-1'!$H$8:$J$94,1+B152,C152)</f>
        <v/>
      </c>
    </row>
    <row r="153" spans="1:4" x14ac:dyDescent="0.75">
      <c r="A153" s="32">
        <v>151</v>
      </c>
      <c r="B153" s="32">
        <f t="shared" si="4"/>
        <v>50</v>
      </c>
      <c r="C153" s="32">
        <f t="shared" si="5"/>
        <v>1</v>
      </c>
      <c r="D153" s="31" t="str" cm="1">
        <f t="array" ref="D153">INDEX('ChemioMap-1'!$H$8:$J$94,1+B153,C153)</f>
        <v/>
      </c>
    </row>
    <row r="154" spans="1:4" x14ac:dyDescent="0.75">
      <c r="A154" s="32">
        <v>152</v>
      </c>
      <c r="B154" s="32">
        <f t="shared" si="4"/>
        <v>50</v>
      </c>
      <c r="C154" s="32">
        <f t="shared" si="5"/>
        <v>2</v>
      </c>
      <c r="D154" s="31" t="str" cm="1">
        <f t="array" ref="D154">INDEX('ChemioMap-1'!$H$8:$J$94,1+B154,C154)</f>
        <v/>
      </c>
    </row>
    <row r="155" spans="1:4" x14ac:dyDescent="0.75">
      <c r="A155" s="32">
        <v>153</v>
      </c>
      <c r="B155" s="32">
        <f t="shared" si="4"/>
        <v>50</v>
      </c>
      <c r="C155" s="32">
        <f t="shared" si="5"/>
        <v>3</v>
      </c>
      <c r="D155" s="31" t="str" cm="1">
        <f t="array" ref="D155">INDEX('ChemioMap-1'!$H$8:$J$94,1+B155,C155)</f>
        <v/>
      </c>
    </row>
    <row r="156" spans="1:4" x14ac:dyDescent="0.75">
      <c r="A156" s="32">
        <v>154</v>
      </c>
      <c r="B156" s="32">
        <f t="shared" si="4"/>
        <v>51</v>
      </c>
      <c r="C156" s="32">
        <f t="shared" si="5"/>
        <v>1</v>
      </c>
      <c r="D156" s="31" t="str" cm="1">
        <f t="array" ref="D156">INDEX('ChemioMap-1'!$H$8:$J$94,1+B156,C156)</f>
        <v/>
      </c>
    </row>
    <row r="157" spans="1:4" x14ac:dyDescent="0.75">
      <c r="A157" s="32">
        <v>155</v>
      </c>
      <c r="B157" s="32">
        <f t="shared" si="4"/>
        <v>51</v>
      </c>
      <c r="C157" s="32">
        <f t="shared" si="5"/>
        <v>2</v>
      </c>
      <c r="D157" s="31" t="str" cm="1">
        <f t="array" ref="D157">INDEX('ChemioMap-1'!$H$8:$J$94,1+B157,C157)</f>
        <v/>
      </c>
    </row>
    <row r="158" spans="1:4" x14ac:dyDescent="0.75">
      <c r="A158" s="32">
        <v>156</v>
      </c>
      <c r="B158" s="32">
        <f t="shared" si="4"/>
        <v>51</v>
      </c>
      <c r="C158" s="32">
        <f t="shared" si="5"/>
        <v>3</v>
      </c>
      <c r="D158" s="31" t="str" cm="1">
        <f t="array" ref="D158">INDEX('ChemioMap-1'!$H$8:$J$94,1+B158,C158)</f>
        <v/>
      </c>
    </row>
    <row r="159" spans="1:4" x14ac:dyDescent="0.75">
      <c r="A159" s="32">
        <v>157</v>
      </c>
      <c r="B159" s="32">
        <f t="shared" si="4"/>
        <v>52</v>
      </c>
      <c r="C159" s="32">
        <f t="shared" si="5"/>
        <v>1</v>
      </c>
      <c r="D159" s="31" cm="1">
        <f t="array" ref="D159">INDEX('ChemioMap-1'!$H$8:$J$94,1+B159,C159)</f>
        <v>0</v>
      </c>
    </row>
    <row r="160" spans="1:4" x14ac:dyDescent="0.75">
      <c r="A160" s="32">
        <v>158</v>
      </c>
      <c r="B160" s="32">
        <f t="shared" si="4"/>
        <v>52</v>
      </c>
      <c r="C160" s="32">
        <f t="shared" si="5"/>
        <v>2</v>
      </c>
      <c r="D160" s="31" cm="1">
        <f t="array" ref="D160">INDEX('ChemioMap-1'!$H$8:$J$94,1+B160,C160)</f>
        <v>0</v>
      </c>
    </row>
    <row r="161" spans="1:4" x14ac:dyDescent="0.75">
      <c r="A161" s="32">
        <v>159</v>
      </c>
      <c r="B161" s="32">
        <f t="shared" si="4"/>
        <v>52</v>
      </c>
      <c r="C161" s="32">
        <f t="shared" si="5"/>
        <v>3</v>
      </c>
      <c r="D161" s="31" cm="1">
        <f t="array" ref="D161">INDEX('ChemioMap-1'!$H$8:$J$94,1+B161,C161)</f>
        <v>0</v>
      </c>
    </row>
    <row r="162" spans="1:4" x14ac:dyDescent="0.75">
      <c r="A162" s="32">
        <v>160</v>
      </c>
      <c r="B162" s="32">
        <f t="shared" si="4"/>
        <v>53</v>
      </c>
      <c r="C162" s="32">
        <f t="shared" si="5"/>
        <v>1</v>
      </c>
      <c r="D162" s="31" cm="1">
        <f t="array" ref="D162">INDEX('ChemioMap-1'!$H$8:$J$94,1+B162,C162)</f>
        <v>0</v>
      </c>
    </row>
    <row r="163" spans="1:4" x14ac:dyDescent="0.75">
      <c r="A163" s="32">
        <v>161</v>
      </c>
      <c r="B163" s="32">
        <f t="shared" si="4"/>
        <v>53</v>
      </c>
      <c r="C163" s="32">
        <f t="shared" si="5"/>
        <v>2</v>
      </c>
      <c r="D163" s="31" cm="1">
        <f t="array" ref="D163">INDEX('ChemioMap-1'!$H$8:$J$94,1+B163,C163)</f>
        <v>0</v>
      </c>
    </row>
    <row r="164" spans="1:4" x14ac:dyDescent="0.75">
      <c r="A164" s="32">
        <v>162</v>
      </c>
      <c r="B164" s="32">
        <f t="shared" si="4"/>
        <v>53</v>
      </c>
      <c r="C164" s="32">
        <f t="shared" si="5"/>
        <v>3</v>
      </c>
      <c r="D164" s="31" cm="1">
        <f t="array" ref="D164">INDEX('ChemioMap-1'!$H$8:$J$94,1+B164,C164)</f>
        <v>0</v>
      </c>
    </row>
    <row r="165" spans="1:4" x14ac:dyDescent="0.75">
      <c r="A165" s="32">
        <v>163</v>
      </c>
      <c r="B165" s="32">
        <f t="shared" si="4"/>
        <v>54</v>
      </c>
      <c r="C165" s="32">
        <f t="shared" si="5"/>
        <v>1</v>
      </c>
      <c r="D165" s="31" cm="1">
        <f t="array" ref="D165">INDEX('ChemioMap-1'!$H$8:$J$94,1+B165,C165)</f>
        <v>0</v>
      </c>
    </row>
    <row r="166" spans="1:4" x14ac:dyDescent="0.75">
      <c r="A166" s="32">
        <v>164</v>
      </c>
      <c r="B166" s="32">
        <f t="shared" si="4"/>
        <v>54</v>
      </c>
      <c r="C166" s="32">
        <f t="shared" si="5"/>
        <v>2</v>
      </c>
      <c r="D166" s="31" cm="1">
        <f t="array" ref="D166">INDEX('ChemioMap-1'!$H$8:$J$94,1+B166,C166)</f>
        <v>0</v>
      </c>
    </row>
    <row r="167" spans="1:4" x14ac:dyDescent="0.75">
      <c r="A167" s="32">
        <v>165</v>
      </c>
      <c r="B167" s="32">
        <f t="shared" si="4"/>
        <v>54</v>
      </c>
      <c r="C167" s="32">
        <f t="shared" si="5"/>
        <v>3</v>
      </c>
      <c r="D167" s="31" cm="1">
        <f t="array" ref="D167">INDEX('ChemioMap-1'!$H$8:$J$94,1+B167,C167)</f>
        <v>0</v>
      </c>
    </row>
    <row r="168" spans="1:4" x14ac:dyDescent="0.75">
      <c r="A168" s="32">
        <v>166</v>
      </c>
      <c r="B168" s="32">
        <f t="shared" si="4"/>
        <v>55</v>
      </c>
      <c r="C168" s="32">
        <f t="shared" si="5"/>
        <v>1</v>
      </c>
      <c r="D168" s="31" cm="1">
        <f t="array" ref="D168">INDEX('ChemioMap-1'!$H$8:$J$94,1+B168,C168)</f>
        <v>0</v>
      </c>
    </row>
    <row r="169" spans="1:4" x14ac:dyDescent="0.75">
      <c r="A169" s="32">
        <v>167</v>
      </c>
      <c r="B169" s="32">
        <f t="shared" si="4"/>
        <v>55</v>
      </c>
      <c r="C169" s="32">
        <f t="shared" si="5"/>
        <v>2</v>
      </c>
      <c r="D169" s="31" cm="1">
        <f t="array" ref="D169">INDEX('ChemioMap-1'!$H$8:$J$94,1+B169,C169)</f>
        <v>0</v>
      </c>
    </row>
    <row r="170" spans="1:4" x14ac:dyDescent="0.75">
      <c r="A170" s="32">
        <v>168</v>
      </c>
      <c r="B170" s="32">
        <f t="shared" si="4"/>
        <v>55</v>
      </c>
      <c r="C170" s="32">
        <f t="shared" si="5"/>
        <v>3</v>
      </c>
      <c r="D170" s="31" cm="1">
        <f t="array" ref="D170">INDEX('ChemioMap-1'!$H$8:$J$94,1+B170,C170)</f>
        <v>0</v>
      </c>
    </row>
    <row r="171" spans="1:4" x14ac:dyDescent="0.75">
      <c r="A171" s="32">
        <v>169</v>
      </c>
      <c r="B171" s="32">
        <f t="shared" si="4"/>
        <v>56</v>
      </c>
      <c r="C171" s="32">
        <f t="shared" si="5"/>
        <v>1</v>
      </c>
      <c r="D171" s="31" cm="1">
        <f t="array" ref="D171">INDEX('ChemioMap-1'!$H$8:$J$94,1+B171,C171)</f>
        <v>0</v>
      </c>
    </row>
    <row r="172" spans="1:4" x14ac:dyDescent="0.75">
      <c r="A172" s="32">
        <v>170</v>
      </c>
      <c r="B172" s="32">
        <f t="shared" si="4"/>
        <v>56</v>
      </c>
      <c r="C172" s="32">
        <f t="shared" si="5"/>
        <v>2</v>
      </c>
      <c r="D172" s="31" cm="1">
        <f t="array" ref="D172">INDEX('ChemioMap-1'!$H$8:$J$94,1+B172,C172)</f>
        <v>0</v>
      </c>
    </row>
    <row r="173" spans="1:4" x14ac:dyDescent="0.75">
      <c r="A173" s="32">
        <v>171</v>
      </c>
      <c r="B173" s="32">
        <f t="shared" si="4"/>
        <v>56</v>
      </c>
      <c r="C173" s="32">
        <f t="shared" si="5"/>
        <v>3</v>
      </c>
      <c r="D173" s="31" cm="1">
        <f t="array" ref="D173">INDEX('ChemioMap-1'!$H$8:$J$94,1+B173,C173)</f>
        <v>0</v>
      </c>
    </row>
    <row r="174" spans="1:4" x14ac:dyDescent="0.75">
      <c r="A174" s="32">
        <v>172</v>
      </c>
      <c r="B174" s="32">
        <f t="shared" si="4"/>
        <v>57</v>
      </c>
      <c r="C174" s="32">
        <f t="shared" si="5"/>
        <v>1</v>
      </c>
      <c r="D174" s="31" cm="1">
        <f t="array" ref="D174">INDEX('ChemioMap-1'!$H$8:$J$94,1+B174,C174)</f>
        <v>0</v>
      </c>
    </row>
    <row r="175" spans="1:4" x14ac:dyDescent="0.75">
      <c r="A175" s="32">
        <v>173</v>
      </c>
      <c r="B175" s="32">
        <f t="shared" si="4"/>
        <v>57</v>
      </c>
      <c r="C175" s="32">
        <f t="shared" si="5"/>
        <v>2</v>
      </c>
      <c r="D175" s="31" cm="1">
        <f t="array" ref="D175">INDEX('ChemioMap-1'!$H$8:$J$94,1+B175,C175)</f>
        <v>0</v>
      </c>
    </row>
    <row r="176" spans="1:4" x14ac:dyDescent="0.75">
      <c r="A176" s="32">
        <v>174</v>
      </c>
      <c r="B176" s="32">
        <f t="shared" si="4"/>
        <v>57</v>
      </c>
      <c r="C176" s="32">
        <f t="shared" si="5"/>
        <v>3</v>
      </c>
      <c r="D176" s="31" cm="1">
        <f t="array" ref="D176">INDEX('ChemioMap-1'!$H$8:$J$94,1+B176,C176)</f>
        <v>0</v>
      </c>
    </row>
    <row r="177" spans="1:4" x14ac:dyDescent="0.75">
      <c r="A177" s="32">
        <v>175</v>
      </c>
      <c r="B177" s="32">
        <f t="shared" si="4"/>
        <v>58</v>
      </c>
      <c r="C177" s="32">
        <f t="shared" si="5"/>
        <v>1</v>
      </c>
      <c r="D177" s="31" cm="1">
        <f t="array" ref="D177">INDEX('ChemioMap-1'!$H$8:$J$94,1+B177,C177)</f>
        <v>0</v>
      </c>
    </row>
    <row r="178" spans="1:4" x14ac:dyDescent="0.75">
      <c r="A178" s="32">
        <v>176</v>
      </c>
      <c r="B178" s="32">
        <f t="shared" si="4"/>
        <v>58</v>
      </c>
      <c r="C178" s="32">
        <f t="shared" si="5"/>
        <v>2</v>
      </c>
      <c r="D178" s="31" cm="1">
        <f t="array" ref="D178">INDEX('ChemioMap-1'!$H$8:$J$94,1+B178,C178)</f>
        <v>0</v>
      </c>
    </row>
    <row r="179" spans="1:4" x14ac:dyDescent="0.75">
      <c r="A179" s="32">
        <v>177</v>
      </c>
      <c r="B179" s="32">
        <f t="shared" si="4"/>
        <v>58</v>
      </c>
      <c r="C179" s="32">
        <f t="shared" si="5"/>
        <v>3</v>
      </c>
      <c r="D179" s="31" cm="1">
        <f t="array" ref="D179">INDEX('ChemioMap-1'!$H$8:$J$94,1+B179,C179)</f>
        <v>0</v>
      </c>
    </row>
    <row r="180" spans="1:4" x14ac:dyDescent="0.75">
      <c r="A180" s="32">
        <v>178</v>
      </c>
      <c r="B180" s="32">
        <f t="shared" si="4"/>
        <v>59</v>
      </c>
      <c r="C180" s="32">
        <f t="shared" si="5"/>
        <v>1</v>
      </c>
      <c r="D180" s="31" cm="1">
        <f t="array" ref="D180">INDEX('ChemioMap-1'!$H$8:$J$94,1+B180,C180)</f>
        <v>0</v>
      </c>
    </row>
    <row r="181" spans="1:4" x14ac:dyDescent="0.75">
      <c r="A181" s="32">
        <v>179</v>
      </c>
      <c r="B181" s="32">
        <f t="shared" si="4"/>
        <v>59</v>
      </c>
      <c r="C181" s="32">
        <f t="shared" si="5"/>
        <v>2</v>
      </c>
      <c r="D181" s="31" cm="1">
        <f t="array" ref="D181">INDEX('ChemioMap-1'!$H$8:$J$94,1+B181,C181)</f>
        <v>0</v>
      </c>
    </row>
    <row r="182" spans="1:4" x14ac:dyDescent="0.75">
      <c r="A182" s="32">
        <v>180</v>
      </c>
      <c r="B182" s="32">
        <f t="shared" si="4"/>
        <v>59</v>
      </c>
      <c r="C182" s="32">
        <f t="shared" si="5"/>
        <v>3</v>
      </c>
      <c r="D182" s="31" cm="1">
        <f t="array" ref="D182">INDEX('ChemioMap-1'!$H$8:$J$94,1+B182,C182)</f>
        <v>0</v>
      </c>
    </row>
    <row r="183" spans="1:4" x14ac:dyDescent="0.75">
      <c r="A183" s="32">
        <v>181</v>
      </c>
      <c r="B183" s="32">
        <f t="shared" si="4"/>
        <v>60</v>
      </c>
      <c r="C183" s="32">
        <f t="shared" si="5"/>
        <v>1</v>
      </c>
      <c r="D183" s="31" cm="1">
        <f t="array" ref="D183">INDEX('ChemioMap-1'!$H$8:$J$94,1+B183,C183)</f>
        <v>0</v>
      </c>
    </row>
    <row r="184" spans="1:4" x14ac:dyDescent="0.75">
      <c r="A184" s="32">
        <v>182</v>
      </c>
      <c r="B184" s="32">
        <f t="shared" si="4"/>
        <v>60</v>
      </c>
      <c r="C184" s="32">
        <f t="shared" si="5"/>
        <v>2</v>
      </c>
      <c r="D184" s="31" cm="1">
        <f t="array" ref="D184">INDEX('ChemioMap-1'!$H$8:$J$94,1+B184,C184)</f>
        <v>0</v>
      </c>
    </row>
    <row r="185" spans="1:4" x14ac:dyDescent="0.75">
      <c r="A185" s="32">
        <v>183</v>
      </c>
      <c r="B185" s="32">
        <f t="shared" si="4"/>
        <v>60</v>
      </c>
      <c r="C185" s="32">
        <f t="shared" si="5"/>
        <v>3</v>
      </c>
      <c r="D185" s="31" cm="1">
        <f t="array" ref="D185">INDEX('ChemioMap-1'!$H$8:$J$94,1+B185,C185)</f>
        <v>0</v>
      </c>
    </row>
    <row r="186" spans="1:4" x14ac:dyDescent="0.75">
      <c r="A186" s="32">
        <v>184</v>
      </c>
      <c r="B186" s="32">
        <f t="shared" si="4"/>
        <v>61</v>
      </c>
      <c r="C186" s="32">
        <f t="shared" si="5"/>
        <v>1</v>
      </c>
      <c r="D186" s="31" cm="1">
        <f t="array" ref="D186">INDEX('ChemioMap-1'!$H$8:$J$94,1+B186,C186)</f>
        <v>0</v>
      </c>
    </row>
    <row r="187" spans="1:4" x14ac:dyDescent="0.75">
      <c r="A187" s="32">
        <v>185</v>
      </c>
      <c r="B187" s="32">
        <f t="shared" si="4"/>
        <v>61</v>
      </c>
      <c r="C187" s="32">
        <f t="shared" si="5"/>
        <v>2</v>
      </c>
      <c r="D187" s="31" cm="1">
        <f t="array" ref="D187">INDEX('ChemioMap-1'!$H$8:$J$94,1+B187,C187)</f>
        <v>0</v>
      </c>
    </row>
    <row r="188" spans="1:4" x14ac:dyDescent="0.75">
      <c r="A188" s="32">
        <v>186</v>
      </c>
      <c r="B188" s="32">
        <f t="shared" si="4"/>
        <v>61</v>
      </c>
      <c r="C188" s="32">
        <f t="shared" si="5"/>
        <v>3</v>
      </c>
      <c r="D188" s="31" cm="1">
        <f t="array" ref="D188">INDEX('ChemioMap-1'!$H$8:$J$94,1+B188,C188)</f>
        <v>0</v>
      </c>
    </row>
    <row r="189" spans="1:4" x14ac:dyDescent="0.75">
      <c r="A189" s="32">
        <v>187</v>
      </c>
      <c r="B189" s="32">
        <f t="shared" si="4"/>
        <v>62</v>
      </c>
      <c r="C189" s="32">
        <f t="shared" si="5"/>
        <v>1</v>
      </c>
      <c r="D189" s="31" cm="1">
        <f t="array" ref="D189">INDEX('ChemioMap-1'!$H$8:$J$94,1+B189,C189)</f>
        <v>0</v>
      </c>
    </row>
    <row r="190" spans="1:4" x14ac:dyDescent="0.75">
      <c r="A190" s="32">
        <v>188</v>
      </c>
      <c r="B190" s="32">
        <f t="shared" si="4"/>
        <v>62</v>
      </c>
      <c r="C190" s="32">
        <f t="shared" si="5"/>
        <v>2</v>
      </c>
      <c r="D190" s="31" cm="1">
        <f t="array" ref="D190">INDEX('ChemioMap-1'!$H$8:$J$94,1+B190,C190)</f>
        <v>0</v>
      </c>
    </row>
    <row r="191" spans="1:4" x14ac:dyDescent="0.75">
      <c r="A191" s="32">
        <v>189</v>
      </c>
      <c r="B191" s="32">
        <f t="shared" si="4"/>
        <v>62</v>
      </c>
      <c r="C191" s="32">
        <f t="shared" si="5"/>
        <v>3</v>
      </c>
      <c r="D191" s="31" cm="1">
        <f t="array" ref="D191">INDEX('ChemioMap-1'!$H$8:$J$94,1+B191,C191)</f>
        <v>0</v>
      </c>
    </row>
    <row r="192" spans="1:4" x14ac:dyDescent="0.75">
      <c r="A192" s="32">
        <v>190</v>
      </c>
      <c r="B192" s="32">
        <f t="shared" si="4"/>
        <v>63</v>
      </c>
      <c r="C192" s="32">
        <f t="shared" si="5"/>
        <v>1</v>
      </c>
      <c r="D192" s="31" cm="1">
        <f t="array" ref="D192">INDEX('ChemioMap-1'!$H$8:$J$94,1+B192,C192)</f>
        <v>0</v>
      </c>
    </row>
    <row r="193" spans="1:4" x14ac:dyDescent="0.75">
      <c r="A193" s="32">
        <v>191</v>
      </c>
      <c r="B193" s="32">
        <f t="shared" si="4"/>
        <v>63</v>
      </c>
      <c r="C193" s="32">
        <f t="shared" si="5"/>
        <v>2</v>
      </c>
      <c r="D193" s="31" cm="1">
        <f t="array" ref="D193">INDEX('ChemioMap-1'!$H$8:$J$94,1+B193,C193)</f>
        <v>0</v>
      </c>
    </row>
    <row r="194" spans="1:4" x14ac:dyDescent="0.75">
      <c r="A194" s="32">
        <v>192</v>
      </c>
      <c r="B194" s="32">
        <f t="shared" si="4"/>
        <v>63</v>
      </c>
      <c r="C194" s="32">
        <f t="shared" si="5"/>
        <v>3</v>
      </c>
      <c r="D194" s="31" cm="1">
        <f t="array" ref="D194">INDEX('ChemioMap-1'!$H$8:$J$94,1+B194,C194)</f>
        <v>0</v>
      </c>
    </row>
    <row r="195" spans="1:4" x14ac:dyDescent="0.75">
      <c r="A195" s="32">
        <v>193</v>
      </c>
      <c r="B195" s="32">
        <f t="shared" si="4"/>
        <v>64</v>
      </c>
      <c r="C195" s="32">
        <f t="shared" si="5"/>
        <v>1</v>
      </c>
      <c r="D195" s="31" cm="1">
        <f t="array" ref="D195">INDEX('ChemioMap-1'!$H$8:$J$94,1+B195,C195)</f>
        <v>0</v>
      </c>
    </row>
    <row r="196" spans="1:4" x14ac:dyDescent="0.75">
      <c r="A196" s="32">
        <v>194</v>
      </c>
      <c r="B196" s="32">
        <f t="shared" ref="B196:B259" si="6">IF(MOD(A196,3)=0,A196/3-1,INT(A196/3))</f>
        <v>64</v>
      </c>
      <c r="C196" s="32">
        <f t="shared" ref="C196:C259" si="7">IF(MOD(A196,3)=0,3,MOD(A196,3))</f>
        <v>2</v>
      </c>
      <c r="D196" s="31" cm="1">
        <f t="array" ref="D196">INDEX('ChemioMap-1'!$H$8:$J$94,1+B196,C196)</f>
        <v>0</v>
      </c>
    </row>
    <row r="197" spans="1:4" x14ac:dyDescent="0.75">
      <c r="A197" s="32">
        <v>195</v>
      </c>
      <c r="B197" s="32">
        <f t="shared" si="6"/>
        <v>64</v>
      </c>
      <c r="C197" s="32">
        <f t="shared" si="7"/>
        <v>3</v>
      </c>
      <c r="D197" s="31" cm="1">
        <f t="array" ref="D197">INDEX('ChemioMap-1'!$H$8:$J$94,1+B197,C197)</f>
        <v>0</v>
      </c>
    </row>
    <row r="198" spans="1:4" x14ac:dyDescent="0.75">
      <c r="A198" s="32">
        <v>196</v>
      </c>
      <c r="B198" s="32">
        <f t="shared" si="6"/>
        <v>65</v>
      </c>
      <c r="C198" s="32">
        <f t="shared" si="7"/>
        <v>1</v>
      </c>
      <c r="D198" s="31" cm="1">
        <f t="array" ref="D198">INDEX('ChemioMap-1'!$H$8:$J$94,1+B198,C198)</f>
        <v>0</v>
      </c>
    </row>
    <row r="199" spans="1:4" x14ac:dyDescent="0.75">
      <c r="A199" s="32">
        <v>197</v>
      </c>
      <c r="B199" s="32">
        <f t="shared" si="6"/>
        <v>65</v>
      </c>
      <c r="C199" s="32">
        <f t="shared" si="7"/>
        <v>2</v>
      </c>
      <c r="D199" s="31" cm="1">
        <f t="array" ref="D199">INDEX('ChemioMap-1'!$H$8:$J$94,1+B199,C199)</f>
        <v>0</v>
      </c>
    </row>
    <row r="200" spans="1:4" x14ac:dyDescent="0.75">
      <c r="A200" s="32">
        <v>198</v>
      </c>
      <c r="B200" s="32">
        <f t="shared" si="6"/>
        <v>65</v>
      </c>
      <c r="C200" s="32">
        <f t="shared" si="7"/>
        <v>3</v>
      </c>
      <c r="D200" s="31" cm="1">
        <f t="array" ref="D200">INDEX('ChemioMap-1'!$H$8:$J$94,1+B200,C200)</f>
        <v>0</v>
      </c>
    </row>
    <row r="201" spans="1:4" x14ac:dyDescent="0.75">
      <c r="A201" s="32">
        <v>199</v>
      </c>
      <c r="B201" s="32">
        <f t="shared" si="6"/>
        <v>66</v>
      </c>
      <c r="C201" s="32">
        <f t="shared" si="7"/>
        <v>1</v>
      </c>
      <c r="D201" s="31" cm="1">
        <f t="array" ref="D201">INDEX('ChemioMap-1'!$H$8:$J$94,1+B201,C201)</f>
        <v>0</v>
      </c>
    </row>
    <row r="202" spans="1:4" x14ac:dyDescent="0.75">
      <c r="A202" s="32">
        <v>200</v>
      </c>
      <c r="B202" s="32">
        <f t="shared" si="6"/>
        <v>66</v>
      </c>
      <c r="C202" s="32">
        <f t="shared" si="7"/>
        <v>2</v>
      </c>
      <c r="D202" s="31" cm="1">
        <f t="array" ref="D202">INDEX('ChemioMap-1'!$H$8:$J$94,1+B202,C202)</f>
        <v>0</v>
      </c>
    </row>
    <row r="203" spans="1:4" x14ac:dyDescent="0.75">
      <c r="A203" s="32">
        <v>201</v>
      </c>
      <c r="B203" s="32">
        <f t="shared" si="6"/>
        <v>66</v>
      </c>
      <c r="C203" s="32">
        <f t="shared" si="7"/>
        <v>3</v>
      </c>
      <c r="D203" s="31" cm="1">
        <f t="array" ref="D203">INDEX('ChemioMap-1'!$H$8:$J$94,1+B203,C203)</f>
        <v>0</v>
      </c>
    </row>
    <row r="204" spans="1:4" x14ac:dyDescent="0.75">
      <c r="A204" s="32">
        <v>202</v>
      </c>
      <c r="B204" s="32">
        <f t="shared" si="6"/>
        <v>67</v>
      </c>
      <c r="C204" s="32">
        <f t="shared" si="7"/>
        <v>1</v>
      </c>
      <c r="D204" s="31" cm="1">
        <f t="array" ref="D204">INDEX('ChemioMap-1'!$H$8:$J$94,1+B204,C204)</f>
        <v>0</v>
      </c>
    </row>
    <row r="205" spans="1:4" x14ac:dyDescent="0.75">
      <c r="A205" s="32">
        <v>203</v>
      </c>
      <c r="B205" s="32">
        <f t="shared" si="6"/>
        <v>67</v>
      </c>
      <c r="C205" s="32">
        <f t="shared" si="7"/>
        <v>2</v>
      </c>
      <c r="D205" s="31" cm="1">
        <f t="array" ref="D205">INDEX('ChemioMap-1'!$H$8:$J$94,1+B205,C205)</f>
        <v>0</v>
      </c>
    </row>
    <row r="206" spans="1:4" x14ac:dyDescent="0.75">
      <c r="A206" s="32">
        <v>204</v>
      </c>
      <c r="B206" s="32">
        <f t="shared" si="6"/>
        <v>67</v>
      </c>
      <c r="C206" s="32">
        <f t="shared" si="7"/>
        <v>3</v>
      </c>
      <c r="D206" s="31" cm="1">
        <f t="array" ref="D206">INDEX('ChemioMap-1'!$H$8:$J$94,1+B206,C206)</f>
        <v>0</v>
      </c>
    </row>
    <row r="207" spans="1:4" x14ac:dyDescent="0.75">
      <c r="A207" s="32">
        <v>205</v>
      </c>
      <c r="B207" s="32">
        <f t="shared" si="6"/>
        <v>68</v>
      </c>
      <c r="C207" s="32">
        <f t="shared" si="7"/>
        <v>1</v>
      </c>
      <c r="D207" s="31" cm="1">
        <f t="array" ref="D207">INDEX('ChemioMap-1'!$H$8:$J$94,1+B207,C207)</f>
        <v>0</v>
      </c>
    </row>
    <row r="208" spans="1:4" x14ac:dyDescent="0.75">
      <c r="A208" s="32">
        <v>206</v>
      </c>
      <c r="B208" s="32">
        <f t="shared" si="6"/>
        <v>68</v>
      </c>
      <c r="C208" s="32">
        <f t="shared" si="7"/>
        <v>2</v>
      </c>
      <c r="D208" s="31" cm="1">
        <f t="array" ref="D208">INDEX('ChemioMap-1'!$H$8:$J$94,1+B208,C208)</f>
        <v>0</v>
      </c>
    </row>
    <row r="209" spans="1:4" x14ac:dyDescent="0.75">
      <c r="A209" s="32">
        <v>207</v>
      </c>
      <c r="B209" s="32">
        <f t="shared" si="6"/>
        <v>68</v>
      </c>
      <c r="C209" s="32">
        <f t="shared" si="7"/>
        <v>3</v>
      </c>
      <c r="D209" s="31" cm="1">
        <f t="array" ref="D209">INDEX('ChemioMap-1'!$H$8:$J$94,1+B209,C209)</f>
        <v>0</v>
      </c>
    </row>
    <row r="210" spans="1:4" x14ac:dyDescent="0.75">
      <c r="A210" s="32">
        <v>208</v>
      </c>
      <c r="B210" s="32">
        <f t="shared" si="6"/>
        <v>69</v>
      </c>
      <c r="C210" s="32">
        <f t="shared" si="7"/>
        <v>1</v>
      </c>
      <c r="D210" s="31" cm="1">
        <f t="array" ref="D210">INDEX('ChemioMap-1'!$H$8:$J$94,1+B210,C210)</f>
        <v>0</v>
      </c>
    </row>
    <row r="211" spans="1:4" x14ac:dyDescent="0.75">
      <c r="A211" s="32">
        <v>209</v>
      </c>
      <c r="B211" s="32">
        <f t="shared" si="6"/>
        <v>69</v>
      </c>
      <c r="C211" s="32">
        <f t="shared" si="7"/>
        <v>2</v>
      </c>
      <c r="D211" s="31" cm="1">
        <f t="array" ref="D211">INDEX('ChemioMap-1'!$H$8:$J$94,1+B211,C211)</f>
        <v>0</v>
      </c>
    </row>
    <row r="212" spans="1:4" x14ac:dyDescent="0.75">
      <c r="A212" s="32">
        <v>210</v>
      </c>
      <c r="B212" s="32">
        <f t="shared" si="6"/>
        <v>69</v>
      </c>
      <c r="C212" s="32">
        <f t="shared" si="7"/>
        <v>3</v>
      </c>
      <c r="D212" s="31" cm="1">
        <f t="array" ref="D212">INDEX('ChemioMap-1'!$H$8:$J$94,1+B212,C212)</f>
        <v>0</v>
      </c>
    </row>
    <row r="213" spans="1:4" x14ac:dyDescent="0.75">
      <c r="A213" s="32">
        <v>211</v>
      </c>
      <c r="B213" s="32">
        <f t="shared" si="6"/>
        <v>70</v>
      </c>
      <c r="C213" s="32">
        <f t="shared" si="7"/>
        <v>1</v>
      </c>
      <c r="D213" s="31" cm="1">
        <f t="array" ref="D213">INDEX('ChemioMap-1'!$H$8:$J$94,1+B213,C213)</f>
        <v>0</v>
      </c>
    </row>
    <row r="214" spans="1:4" x14ac:dyDescent="0.75">
      <c r="A214" s="32">
        <v>212</v>
      </c>
      <c r="B214" s="32">
        <f t="shared" si="6"/>
        <v>70</v>
      </c>
      <c r="C214" s="32">
        <f t="shared" si="7"/>
        <v>2</v>
      </c>
      <c r="D214" s="31" cm="1">
        <f t="array" ref="D214">INDEX('ChemioMap-1'!$H$8:$J$94,1+B214,C214)</f>
        <v>0</v>
      </c>
    </row>
    <row r="215" spans="1:4" x14ac:dyDescent="0.75">
      <c r="A215" s="32">
        <v>213</v>
      </c>
      <c r="B215" s="32">
        <f t="shared" si="6"/>
        <v>70</v>
      </c>
      <c r="C215" s="32">
        <f t="shared" si="7"/>
        <v>3</v>
      </c>
      <c r="D215" s="31" cm="1">
        <f t="array" ref="D215">INDEX('ChemioMap-1'!$H$8:$J$94,1+B215,C215)</f>
        <v>0</v>
      </c>
    </row>
    <row r="216" spans="1:4" x14ac:dyDescent="0.75">
      <c r="A216" s="32">
        <v>214</v>
      </c>
      <c r="B216" s="32">
        <f t="shared" si="6"/>
        <v>71</v>
      </c>
      <c r="C216" s="32">
        <f t="shared" si="7"/>
        <v>1</v>
      </c>
      <c r="D216" s="31" cm="1">
        <f t="array" ref="D216">INDEX('ChemioMap-1'!$H$8:$J$94,1+B216,C216)</f>
        <v>0</v>
      </c>
    </row>
    <row r="217" spans="1:4" x14ac:dyDescent="0.75">
      <c r="A217" s="32">
        <v>215</v>
      </c>
      <c r="B217" s="32">
        <f t="shared" si="6"/>
        <v>71</v>
      </c>
      <c r="C217" s="32">
        <f t="shared" si="7"/>
        <v>2</v>
      </c>
      <c r="D217" s="31" cm="1">
        <f t="array" ref="D217">INDEX('ChemioMap-1'!$H$8:$J$94,1+B217,C217)</f>
        <v>0</v>
      </c>
    </row>
    <row r="218" spans="1:4" x14ac:dyDescent="0.75">
      <c r="A218" s="32">
        <v>216</v>
      </c>
      <c r="B218" s="32">
        <f t="shared" si="6"/>
        <v>71</v>
      </c>
      <c r="C218" s="32">
        <f t="shared" si="7"/>
        <v>3</v>
      </c>
      <c r="D218" s="31" cm="1">
        <f t="array" ref="D218">INDEX('ChemioMap-1'!$H$8:$J$94,1+B218,C218)</f>
        <v>0</v>
      </c>
    </row>
    <row r="219" spans="1:4" x14ac:dyDescent="0.75">
      <c r="A219" s="32">
        <v>217</v>
      </c>
      <c r="B219" s="32">
        <f t="shared" si="6"/>
        <v>72</v>
      </c>
      <c r="C219" s="32">
        <f t="shared" si="7"/>
        <v>1</v>
      </c>
      <c r="D219" s="31" cm="1">
        <f t="array" ref="D219">INDEX('ChemioMap-1'!$H$8:$J$94,1+B219,C219)</f>
        <v>0</v>
      </c>
    </row>
    <row r="220" spans="1:4" x14ac:dyDescent="0.75">
      <c r="A220" s="32">
        <v>218</v>
      </c>
      <c r="B220" s="32">
        <f t="shared" si="6"/>
        <v>72</v>
      </c>
      <c r="C220" s="32">
        <f t="shared" si="7"/>
        <v>2</v>
      </c>
      <c r="D220" s="31" cm="1">
        <f t="array" ref="D220">INDEX('ChemioMap-1'!$H$8:$J$94,1+B220,C220)</f>
        <v>0</v>
      </c>
    </row>
    <row r="221" spans="1:4" x14ac:dyDescent="0.75">
      <c r="A221" s="32">
        <v>219</v>
      </c>
      <c r="B221" s="32">
        <f t="shared" si="6"/>
        <v>72</v>
      </c>
      <c r="C221" s="32">
        <f t="shared" si="7"/>
        <v>3</v>
      </c>
      <c r="D221" s="31" cm="1">
        <f t="array" ref="D221">INDEX('ChemioMap-1'!$H$8:$J$94,1+B221,C221)</f>
        <v>0</v>
      </c>
    </row>
    <row r="222" spans="1:4" x14ac:dyDescent="0.75">
      <c r="A222" s="32">
        <v>220</v>
      </c>
      <c r="B222" s="32">
        <f t="shared" si="6"/>
        <v>73</v>
      </c>
      <c r="C222" s="32">
        <f t="shared" si="7"/>
        <v>1</v>
      </c>
      <c r="D222" s="31" cm="1">
        <f t="array" ref="D222">INDEX('ChemioMap-1'!$H$8:$J$94,1+B222,C222)</f>
        <v>0</v>
      </c>
    </row>
    <row r="223" spans="1:4" x14ac:dyDescent="0.75">
      <c r="A223" s="32">
        <v>221</v>
      </c>
      <c r="B223" s="32">
        <f t="shared" si="6"/>
        <v>73</v>
      </c>
      <c r="C223" s="32">
        <f t="shared" si="7"/>
        <v>2</v>
      </c>
      <c r="D223" s="31" cm="1">
        <f t="array" ref="D223">INDEX('ChemioMap-1'!$H$8:$J$94,1+B223,C223)</f>
        <v>0</v>
      </c>
    </row>
    <row r="224" spans="1:4" x14ac:dyDescent="0.75">
      <c r="A224" s="32">
        <v>222</v>
      </c>
      <c r="B224" s="32">
        <f t="shared" si="6"/>
        <v>73</v>
      </c>
      <c r="C224" s="32">
        <f t="shared" si="7"/>
        <v>3</v>
      </c>
      <c r="D224" s="31" cm="1">
        <f t="array" ref="D224">INDEX('ChemioMap-1'!$H$8:$J$94,1+B224,C224)</f>
        <v>0</v>
      </c>
    </row>
    <row r="225" spans="1:4" x14ac:dyDescent="0.75">
      <c r="A225" s="32">
        <v>223</v>
      </c>
      <c r="B225" s="32">
        <f t="shared" si="6"/>
        <v>74</v>
      </c>
      <c r="C225" s="32">
        <f t="shared" si="7"/>
        <v>1</v>
      </c>
      <c r="D225" s="31" cm="1">
        <f t="array" ref="D225">INDEX('ChemioMap-1'!$H$8:$J$94,1+B225,C225)</f>
        <v>0</v>
      </c>
    </row>
    <row r="226" spans="1:4" x14ac:dyDescent="0.75">
      <c r="A226" s="32">
        <v>224</v>
      </c>
      <c r="B226" s="32">
        <f t="shared" si="6"/>
        <v>74</v>
      </c>
      <c r="C226" s="32">
        <f t="shared" si="7"/>
        <v>2</v>
      </c>
      <c r="D226" s="31" cm="1">
        <f t="array" ref="D226">INDEX('ChemioMap-1'!$H$8:$J$94,1+B226,C226)</f>
        <v>0</v>
      </c>
    </row>
    <row r="227" spans="1:4" x14ac:dyDescent="0.75">
      <c r="A227" s="32">
        <v>225</v>
      </c>
      <c r="B227" s="32">
        <f t="shared" si="6"/>
        <v>74</v>
      </c>
      <c r="C227" s="32">
        <f t="shared" si="7"/>
        <v>3</v>
      </c>
      <c r="D227" s="31" cm="1">
        <f t="array" ref="D227">INDEX('ChemioMap-1'!$H$8:$J$94,1+B227,C227)</f>
        <v>0</v>
      </c>
    </row>
    <row r="228" spans="1:4" x14ac:dyDescent="0.75">
      <c r="A228" s="32">
        <v>226</v>
      </c>
      <c r="B228" s="32">
        <f t="shared" si="6"/>
        <v>75</v>
      </c>
      <c r="C228" s="32">
        <f t="shared" si="7"/>
        <v>1</v>
      </c>
      <c r="D228" s="31" cm="1">
        <f t="array" ref="D228">INDEX('ChemioMap-1'!$H$8:$J$94,1+B228,C228)</f>
        <v>0</v>
      </c>
    </row>
    <row r="229" spans="1:4" x14ac:dyDescent="0.75">
      <c r="A229" s="32">
        <v>227</v>
      </c>
      <c r="B229" s="32">
        <f t="shared" si="6"/>
        <v>75</v>
      </c>
      <c r="C229" s="32">
        <f t="shared" si="7"/>
        <v>2</v>
      </c>
      <c r="D229" s="31" cm="1">
        <f t="array" ref="D229">INDEX('ChemioMap-1'!$H$8:$J$94,1+B229,C229)</f>
        <v>0</v>
      </c>
    </row>
    <row r="230" spans="1:4" x14ac:dyDescent="0.75">
      <c r="A230" s="32">
        <v>228</v>
      </c>
      <c r="B230" s="32">
        <f t="shared" si="6"/>
        <v>75</v>
      </c>
      <c r="C230" s="32">
        <f t="shared" si="7"/>
        <v>3</v>
      </c>
      <c r="D230" s="31" cm="1">
        <f t="array" ref="D230">INDEX('ChemioMap-1'!$H$8:$J$94,1+B230,C230)</f>
        <v>0</v>
      </c>
    </row>
    <row r="231" spans="1:4" x14ac:dyDescent="0.75">
      <c r="A231" s="32">
        <v>229</v>
      </c>
      <c r="B231" s="32">
        <f t="shared" si="6"/>
        <v>76</v>
      </c>
      <c r="C231" s="32">
        <f t="shared" si="7"/>
        <v>1</v>
      </c>
      <c r="D231" s="31" cm="1">
        <f t="array" ref="D231">INDEX('ChemioMap-1'!$H$8:$J$94,1+B231,C231)</f>
        <v>0</v>
      </c>
    </row>
    <row r="232" spans="1:4" x14ac:dyDescent="0.75">
      <c r="A232" s="32">
        <v>230</v>
      </c>
      <c r="B232" s="32">
        <f t="shared" si="6"/>
        <v>76</v>
      </c>
      <c r="C232" s="32">
        <f t="shared" si="7"/>
        <v>2</v>
      </c>
      <c r="D232" s="31" cm="1">
        <f t="array" ref="D232">INDEX('ChemioMap-1'!$H$8:$J$94,1+B232,C232)</f>
        <v>0</v>
      </c>
    </row>
    <row r="233" spans="1:4" x14ac:dyDescent="0.75">
      <c r="A233" s="32">
        <v>231</v>
      </c>
      <c r="B233" s="32">
        <f t="shared" si="6"/>
        <v>76</v>
      </c>
      <c r="C233" s="32">
        <f t="shared" si="7"/>
        <v>3</v>
      </c>
      <c r="D233" s="31" cm="1">
        <f t="array" ref="D233">INDEX('ChemioMap-1'!$H$8:$J$94,1+B233,C233)</f>
        <v>0</v>
      </c>
    </row>
    <row r="234" spans="1:4" x14ac:dyDescent="0.75">
      <c r="A234" s="32">
        <v>232</v>
      </c>
      <c r="B234" s="32">
        <f t="shared" si="6"/>
        <v>77</v>
      </c>
      <c r="C234" s="32">
        <f t="shared" si="7"/>
        <v>1</v>
      </c>
      <c r="D234" s="31" cm="1">
        <f t="array" ref="D234">INDEX('ChemioMap-1'!$H$8:$J$94,1+B234,C234)</f>
        <v>0</v>
      </c>
    </row>
    <row r="235" spans="1:4" x14ac:dyDescent="0.75">
      <c r="A235" s="32">
        <v>233</v>
      </c>
      <c r="B235" s="32">
        <f t="shared" si="6"/>
        <v>77</v>
      </c>
      <c r="C235" s="32">
        <f t="shared" si="7"/>
        <v>2</v>
      </c>
      <c r="D235" s="31" cm="1">
        <f t="array" ref="D235">INDEX('ChemioMap-1'!$H$8:$J$94,1+B235,C235)</f>
        <v>0</v>
      </c>
    </row>
    <row r="236" spans="1:4" x14ac:dyDescent="0.75">
      <c r="A236" s="32">
        <v>234</v>
      </c>
      <c r="B236" s="32">
        <f t="shared" si="6"/>
        <v>77</v>
      </c>
      <c r="C236" s="32">
        <f t="shared" si="7"/>
        <v>3</v>
      </c>
      <c r="D236" s="31" cm="1">
        <f t="array" ref="D236">INDEX('ChemioMap-1'!$H$8:$J$94,1+B236,C236)</f>
        <v>0</v>
      </c>
    </row>
    <row r="237" spans="1:4" x14ac:dyDescent="0.75">
      <c r="A237" s="32">
        <v>235</v>
      </c>
      <c r="B237" s="32">
        <f t="shared" si="6"/>
        <v>78</v>
      </c>
      <c r="C237" s="32">
        <f t="shared" si="7"/>
        <v>1</v>
      </c>
      <c r="D237" s="31" cm="1">
        <f t="array" ref="D237">INDEX('ChemioMap-1'!$H$8:$J$94,1+B237,C237)</f>
        <v>0</v>
      </c>
    </row>
    <row r="238" spans="1:4" x14ac:dyDescent="0.75">
      <c r="A238" s="32">
        <v>236</v>
      </c>
      <c r="B238" s="32">
        <f t="shared" si="6"/>
        <v>78</v>
      </c>
      <c r="C238" s="32">
        <f t="shared" si="7"/>
        <v>2</v>
      </c>
      <c r="D238" s="31" cm="1">
        <f t="array" ref="D238">INDEX('ChemioMap-1'!$H$8:$J$94,1+B238,C238)</f>
        <v>0</v>
      </c>
    </row>
    <row r="239" spans="1:4" x14ac:dyDescent="0.75">
      <c r="A239" s="32">
        <v>237</v>
      </c>
      <c r="B239" s="32">
        <f t="shared" si="6"/>
        <v>78</v>
      </c>
      <c r="C239" s="32">
        <f t="shared" si="7"/>
        <v>3</v>
      </c>
      <c r="D239" s="31" cm="1">
        <f t="array" ref="D239">INDEX('ChemioMap-1'!$H$8:$J$94,1+B239,C239)</f>
        <v>0</v>
      </c>
    </row>
    <row r="240" spans="1:4" x14ac:dyDescent="0.75">
      <c r="A240" s="32">
        <v>238</v>
      </c>
      <c r="B240" s="32">
        <f t="shared" si="6"/>
        <v>79</v>
      </c>
      <c r="C240" s="32">
        <f t="shared" si="7"/>
        <v>1</v>
      </c>
      <c r="D240" s="31" cm="1">
        <f t="array" ref="D240">INDEX('ChemioMap-1'!$H$8:$J$94,1+B240,C240)</f>
        <v>0</v>
      </c>
    </row>
    <row r="241" spans="1:4" x14ac:dyDescent="0.75">
      <c r="A241" s="32">
        <v>239</v>
      </c>
      <c r="B241" s="32">
        <f t="shared" si="6"/>
        <v>79</v>
      </c>
      <c r="C241" s="32">
        <f t="shared" si="7"/>
        <v>2</v>
      </c>
      <c r="D241" s="31" cm="1">
        <f t="array" ref="D241">INDEX('ChemioMap-1'!$H$8:$J$94,1+B241,C241)</f>
        <v>0</v>
      </c>
    </row>
    <row r="242" spans="1:4" x14ac:dyDescent="0.75">
      <c r="A242" s="32">
        <v>240</v>
      </c>
      <c r="B242" s="32">
        <f t="shared" si="6"/>
        <v>79</v>
      </c>
      <c r="C242" s="32">
        <f t="shared" si="7"/>
        <v>3</v>
      </c>
      <c r="D242" s="31" cm="1">
        <f t="array" ref="D242">INDEX('ChemioMap-1'!$H$8:$J$94,1+B242,C242)</f>
        <v>0</v>
      </c>
    </row>
    <row r="243" spans="1:4" x14ac:dyDescent="0.75">
      <c r="A243" s="32">
        <v>241</v>
      </c>
      <c r="B243" s="32">
        <f t="shared" si="6"/>
        <v>80</v>
      </c>
      <c r="C243" s="32">
        <f t="shared" si="7"/>
        <v>1</v>
      </c>
      <c r="D243" s="31" cm="1">
        <f t="array" ref="D243">INDEX('ChemioMap-1'!$H$8:$J$94,1+B243,C243)</f>
        <v>0</v>
      </c>
    </row>
    <row r="244" spans="1:4" x14ac:dyDescent="0.75">
      <c r="A244" s="32">
        <v>242</v>
      </c>
      <c r="B244" s="32">
        <f t="shared" si="6"/>
        <v>80</v>
      </c>
      <c r="C244" s="32">
        <f t="shared" si="7"/>
        <v>2</v>
      </c>
      <c r="D244" s="31" cm="1">
        <f t="array" ref="D244">INDEX('ChemioMap-1'!$H$8:$J$94,1+B244,C244)</f>
        <v>0</v>
      </c>
    </row>
    <row r="245" spans="1:4" x14ac:dyDescent="0.75">
      <c r="A245" s="32">
        <v>243</v>
      </c>
      <c r="B245" s="32">
        <f t="shared" si="6"/>
        <v>80</v>
      </c>
      <c r="C245" s="32">
        <f t="shared" si="7"/>
        <v>3</v>
      </c>
      <c r="D245" s="31" cm="1">
        <f t="array" ref="D245">INDEX('ChemioMap-1'!$H$8:$J$94,1+B245,C245)</f>
        <v>0</v>
      </c>
    </row>
    <row r="246" spans="1:4" x14ac:dyDescent="0.75">
      <c r="A246" s="32">
        <v>244</v>
      </c>
      <c r="B246" s="32">
        <f t="shared" si="6"/>
        <v>81</v>
      </c>
      <c r="C246" s="32">
        <f t="shared" si="7"/>
        <v>1</v>
      </c>
      <c r="D246" s="31" cm="1">
        <f t="array" ref="D246">INDEX('ChemioMap-1'!$H$8:$J$94,1+B246,C246)</f>
        <v>0</v>
      </c>
    </row>
    <row r="247" spans="1:4" x14ac:dyDescent="0.75">
      <c r="A247" s="32">
        <v>245</v>
      </c>
      <c r="B247" s="32">
        <f t="shared" si="6"/>
        <v>81</v>
      </c>
      <c r="C247" s="32">
        <f t="shared" si="7"/>
        <v>2</v>
      </c>
      <c r="D247" s="31" cm="1">
        <f t="array" ref="D247">INDEX('ChemioMap-1'!$H$8:$J$94,1+B247,C247)</f>
        <v>0</v>
      </c>
    </row>
    <row r="248" spans="1:4" x14ac:dyDescent="0.75">
      <c r="A248" s="32">
        <v>246</v>
      </c>
      <c r="B248" s="32">
        <f t="shared" si="6"/>
        <v>81</v>
      </c>
      <c r="C248" s="32">
        <f t="shared" si="7"/>
        <v>3</v>
      </c>
      <c r="D248" s="31" cm="1">
        <f t="array" ref="D248">INDEX('ChemioMap-1'!$H$8:$J$94,1+B248,C248)</f>
        <v>0</v>
      </c>
    </row>
    <row r="249" spans="1:4" x14ac:dyDescent="0.75">
      <c r="A249" s="32">
        <v>247</v>
      </c>
      <c r="B249" s="32">
        <f t="shared" si="6"/>
        <v>82</v>
      </c>
      <c r="C249" s="32">
        <f t="shared" si="7"/>
        <v>1</v>
      </c>
      <c r="D249" s="31" cm="1">
        <f t="array" ref="D249">INDEX('ChemioMap-1'!$H$8:$J$94,1+B249,C249)</f>
        <v>0</v>
      </c>
    </row>
    <row r="250" spans="1:4" x14ac:dyDescent="0.75">
      <c r="A250" s="32">
        <v>248</v>
      </c>
      <c r="B250" s="32">
        <f t="shared" si="6"/>
        <v>82</v>
      </c>
      <c r="C250" s="32">
        <f t="shared" si="7"/>
        <v>2</v>
      </c>
      <c r="D250" s="31" cm="1">
        <f t="array" ref="D250">INDEX('ChemioMap-1'!$H$8:$J$94,1+B250,C250)</f>
        <v>0</v>
      </c>
    </row>
    <row r="251" spans="1:4" x14ac:dyDescent="0.75">
      <c r="A251" s="32">
        <v>249</v>
      </c>
      <c r="B251" s="32">
        <f t="shared" si="6"/>
        <v>82</v>
      </c>
      <c r="C251" s="32">
        <f t="shared" si="7"/>
        <v>3</v>
      </c>
      <c r="D251" s="31" cm="1">
        <f t="array" ref="D251">INDEX('ChemioMap-1'!$H$8:$J$94,1+B251,C251)</f>
        <v>0</v>
      </c>
    </row>
    <row r="252" spans="1:4" x14ac:dyDescent="0.75">
      <c r="A252" s="32">
        <v>250</v>
      </c>
      <c r="B252" s="32">
        <f t="shared" si="6"/>
        <v>83</v>
      </c>
      <c r="C252" s="32">
        <f t="shared" si="7"/>
        <v>1</v>
      </c>
      <c r="D252" s="31" cm="1">
        <f t="array" ref="D252">INDEX('ChemioMap-1'!$H$8:$J$94,1+B252,C252)</f>
        <v>0</v>
      </c>
    </row>
    <row r="253" spans="1:4" x14ac:dyDescent="0.75">
      <c r="A253" s="32">
        <v>251</v>
      </c>
      <c r="B253" s="32">
        <f t="shared" si="6"/>
        <v>83</v>
      </c>
      <c r="C253" s="32">
        <f t="shared" si="7"/>
        <v>2</v>
      </c>
      <c r="D253" s="31" cm="1">
        <f t="array" ref="D253">INDEX('ChemioMap-1'!$H$8:$J$94,1+B253,C253)</f>
        <v>0</v>
      </c>
    </row>
    <row r="254" spans="1:4" x14ac:dyDescent="0.75">
      <c r="A254" s="32">
        <v>252</v>
      </c>
      <c r="B254" s="32">
        <f t="shared" si="6"/>
        <v>83</v>
      </c>
      <c r="C254" s="32">
        <f t="shared" si="7"/>
        <v>3</v>
      </c>
      <c r="D254" s="31" cm="1">
        <f t="array" ref="D254">INDEX('ChemioMap-1'!$H$8:$J$94,1+B254,C254)</f>
        <v>0</v>
      </c>
    </row>
    <row r="255" spans="1:4" x14ac:dyDescent="0.75">
      <c r="A255" s="32">
        <v>253</v>
      </c>
      <c r="B255" s="32">
        <f t="shared" si="6"/>
        <v>84</v>
      </c>
      <c r="C255" s="32">
        <f t="shared" si="7"/>
        <v>1</v>
      </c>
      <c r="D255" s="31" cm="1">
        <f t="array" ref="D255">INDEX('ChemioMap-1'!$H$8:$J$94,1+B255,C255)</f>
        <v>0</v>
      </c>
    </row>
    <row r="256" spans="1:4" x14ac:dyDescent="0.75">
      <c r="A256" s="32">
        <v>254</v>
      </c>
      <c r="B256" s="32">
        <f t="shared" si="6"/>
        <v>84</v>
      </c>
      <c r="C256" s="32">
        <f t="shared" si="7"/>
        <v>2</v>
      </c>
      <c r="D256" s="31" cm="1">
        <f t="array" ref="D256">INDEX('ChemioMap-1'!$H$8:$J$94,1+B256,C256)</f>
        <v>0</v>
      </c>
    </row>
    <row r="257" spans="1:4" x14ac:dyDescent="0.75">
      <c r="A257" s="32">
        <v>255</v>
      </c>
      <c r="B257" s="32">
        <f t="shared" si="6"/>
        <v>84</v>
      </c>
      <c r="C257" s="32">
        <f t="shared" si="7"/>
        <v>3</v>
      </c>
      <c r="D257" s="31" cm="1">
        <f t="array" ref="D257">INDEX('ChemioMap-1'!$H$8:$J$94,1+B257,C257)</f>
        <v>0</v>
      </c>
    </row>
    <row r="258" spans="1:4" x14ac:dyDescent="0.75">
      <c r="A258" s="32">
        <v>256</v>
      </c>
      <c r="B258" s="32">
        <f t="shared" si="6"/>
        <v>85</v>
      </c>
      <c r="C258" s="32">
        <f t="shared" si="7"/>
        <v>1</v>
      </c>
      <c r="D258" s="31" cm="1">
        <f t="array" ref="D258">INDEX('ChemioMap-1'!$H$8:$J$94,1+B258,C258)</f>
        <v>0</v>
      </c>
    </row>
    <row r="259" spans="1:4" x14ac:dyDescent="0.75">
      <c r="A259" s="32">
        <v>257</v>
      </c>
      <c r="B259" s="32">
        <f t="shared" si="6"/>
        <v>85</v>
      </c>
      <c r="C259" s="32">
        <f t="shared" si="7"/>
        <v>2</v>
      </c>
      <c r="D259" s="31" cm="1">
        <f t="array" ref="D259">INDEX('ChemioMap-1'!$H$8:$J$94,1+B259,C259)</f>
        <v>0</v>
      </c>
    </row>
    <row r="260" spans="1:4" x14ac:dyDescent="0.75">
      <c r="A260" s="32">
        <v>258</v>
      </c>
      <c r="B260" s="32">
        <f t="shared" ref="B260:B323" si="8">IF(MOD(A260,3)=0,A260/3-1,INT(A260/3))</f>
        <v>85</v>
      </c>
      <c r="C260" s="32">
        <f t="shared" ref="C260:C323" si="9">IF(MOD(A260,3)=0,3,MOD(A260,3))</f>
        <v>3</v>
      </c>
      <c r="D260" s="31" cm="1">
        <f t="array" ref="D260">INDEX('ChemioMap-1'!$H$8:$J$94,1+B260,C260)</f>
        <v>0</v>
      </c>
    </row>
    <row r="261" spans="1:4" x14ac:dyDescent="0.75">
      <c r="A261" s="32">
        <v>259</v>
      </c>
      <c r="B261" s="32">
        <f t="shared" si="8"/>
        <v>86</v>
      </c>
      <c r="C261" s="32">
        <f t="shared" si="9"/>
        <v>1</v>
      </c>
      <c r="D261" s="31" cm="1">
        <f t="array" ref="D261">INDEX('ChemioMap-1'!$H$8:$J$94,1+B261,C261)</f>
        <v>0</v>
      </c>
    </row>
    <row r="262" spans="1:4" x14ac:dyDescent="0.75">
      <c r="A262" s="32">
        <v>260</v>
      </c>
      <c r="B262" s="32">
        <f t="shared" si="8"/>
        <v>86</v>
      </c>
      <c r="C262" s="32">
        <f t="shared" si="9"/>
        <v>2</v>
      </c>
      <c r="D262" s="31" cm="1">
        <f t="array" ref="D262">INDEX('ChemioMap-1'!$H$8:$J$94,1+B262,C262)</f>
        <v>0</v>
      </c>
    </row>
    <row r="263" spans="1:4" x14ac:dyDescent="0.75">
      <c r="A263" s="32">
        <v>261</v>
      </c>
      <c r="B263" s="32">
        <f t="shared" si="8"/>
        <v>86</v>
      </c>
      <c r="C263" s="32">
        <f t="shared" si="9"/>
        <v>3</v>
      </c>
      <c r="D263" s="31" cm="1">
        <f t="array" ref="D263">INDEX('ChemioMap-1'!$H$8:$J$94,1+B263,C263)</f>
        <v>0</v>
      </c>
    </row>
    <row r="264" spans="1:4" x14ac:dyDescent="0.75">
      <c r="A264" s="32">
        <v>262</v>
      </c>
      <c r="B264" s="32">
        <f t="shared" si="8"/>
        <v>87</v>
      </c>
      <c r="C264" s="32">
        <f t="shared" si="9"/>
        <v>1</v>
      </c>
      <c r="D264" s="31" t="e" cm="1">
        <f t="array" ref="D264">INDEX('ChemioMap-1'!$H$8:$J$94,1+B264,C264)</f>
        <v>#REF!</v>
      </c>
    </row>
    <row r="265" spans="1:4" x14ac:dyDescent="0.75">
      <c r="A265" s="32">
        <v>263</v>
      </c>
      <c r="B265" s="32">
        <f t="shared" si="8"/>
        <v>87</v>
      </c>
      <c r="C265" s="32">
        <f t="shared" si="9"/>
        <v>2</v>
      </c>
      <c r="D265" s="31" t="e" cm="1">
        <f t="array" ref="D265">INDEX('ChemioMap-1'!$H$8:$J$94,1+B265,C265)</f>
        <v>#REF!</v>
      </c>
    </row>
    <row r="266" spans="1:4" x14ac:dyDescent="0.75">
      <c r="A266" s="32">
        <v>264</v>
      </c>
      <c r="B266" s="32">
        <f t="shared" si="8"/>
        <v>87</v>
      </c>
      <c r="C266" s="32">
        <f t="shared" si="9"/>
        <v>3</v>
      </c>
      <c r="D266" s="31" t="e" cm="1">
        <f t="array" ref="D266">INDEX('ChemioMap-1'!$H$8:$J$94,1+B266,C266)</f>
        <v>#REF!</v>
      </c>
    </row>
    <row r="267" spans="1:4" x14ac:dyDescent="0.75">
      <c r="A267" s="32">
        <v>265</v>
      </c>
      <c r="B267" s="32">
        <f t="shared" si="8"/>
        <v>88</v>
      </c>
      <c r="C267" s="32">
        <f t="shared" si="9"/>
        <v>1</v>
      </c>
      <c r="D267" s="31" t="e" cm="1">
        <f t="array" ref="D267">INDEX('ChemioMap-1'!$H$8:$J$94,1+B267,C267)</f>
        <v>#REF!</v>
      </c>
    </row>
    <row r="268" spans="1:4" x14ac:dyDescent="0.75">
      <c r="A268" s="32">
        <v>266</v>
      </c>
      <c r="B268" s="32">
        <f t="shared" si="8"/>
        <v>88</v>
      </c>
      <c r="C268" s="32">
        <f t="shared" si="9"/>
        <v>2</v>
      </c>
      <c r="D268" s="31" t="e" cm="1">
        <f t="array" ref="D268">INDEX('ChemioMap-1'!$H$8:$J$94,1+B268,C268)</f>
        <v>#REF!</v>
      </c>
    </row>
    <row r="269" spans="1:4" x14ac:dyDescent="0.75">
      <c r="A269" s="32">
        <v>267</v>
      </c>
      <c r="B269" s="32">
        <f t="shared" si="8"/>
        <v>88</v>
      </c>
      <c r="C269" s="32">
        <f t="shared" si="9"/>
        <v>3</v>
      </c>
      <c r="D269" s="31" t="e" cm="1">
        <f t="array" ref="D269">INDEX('ChemioMap-1'!$H$8:$J$94,1+B269,C269)</f>
        <v>#REF!</v>
      </c>
    </row>
    <row r="270" spans="1:4" x14ac:dyDescent="0.75">
      <c r="A270" s="32">
        <v>268</v>
      </c>
      <c r="B270" s="32">
        <f t="shared" si="8"/>
        <v>89</v>
      </c>
      <c r="C270" s="32">
        <f t="shared" si="9"/>
        <v>1</v>
      </c>
      <c r="D270" s="31" t="e" cm="1">
        <f t="array" ref="D270">INDEX('ChemioMap-1'!$H$8:$J$94,1+B270,C270)</f>
        <v>#REF!</v>
      </c>
    </row>
    <row r="271" spans="1:4" x14ac:dyDescent="0.75">
      <c r="A271" s="32">
        <v>269</v>
      </c>
      <c r="B271" s="32">
        <f t="shared" si="8"/>
        <v>89</v>
      </c>
      <c r="C271" s="32">
        <f t="shared" si="9"/>
        <v>2</v>
      </c>
      <c r="D271" s="31" t="e" cm="1">
        <f t="array" ref="D271">INDEX('ChemioMap-1'!$H$8:$J$94,1+B271,C271)</f>
        <v>#REF!</v>
      </c>
    </row>
    <row r="272" spans="1:4" x14ac:dyDescent="0.75">
      <c r="A272" s="32">
        <v>270</v>
      </c>
      <c r="B272" s="32">
        <f t="shared" si="8"/>
        <v>89</v>
      </c>
      <c r="C272" s="32">
        <f t="shared" si="9"/>
        <v>3</v>
      </c>
      <c r="D272" s="31" t="e" cm="1">
        <f t="array" ref="D272">INDEX('ChemioMap-1'!$H$8:$J$94,1+B272,C272)</f>
        <v>#REF!</v>
      </c>
    </row>
    <row r="273" spans="1:4" x14ac:dyDescent="0.75">
      <c r="A273" s="32">
        <v>271</v>
      </c>
      <c r="B273" s="32">
        <f t="shared" si="8"/>
        <v>90</v>
      </c>
      <c r="C273" s="32">
        <f t="shared" si="9"/>
        <v>1</v>
      </c>
      <c r="D273" s="31" t="e" cm="1">
        <f t="array" ref="D273">INDEX('ChemioMap-1'!$H$8:$J$94,1+B273,C273)</f>
        <v>#REF!</v>
      </c>
    </row>
    <row r="274" spans="1:4" x14ac:dyDescent="0.75">
      <c r="A274" s="32">
        <v>272</v>
      </c>
      <c r="B274" s="32">
        <f t="shared" si="8"/>
        <v>90</v>
      </c>
      <c r="C274" s="32">
        <f t="shared" si="9"/>
        <v>2</v>
      </c>
      <c r="D274" s="31" t="e" cm="1">
        <f t="array" ref="D274">INDEX('ChemioMap-1'!$H$8:$J$94,1+B274,C274)</f>
        <v>#REF!</v>
      </c>
    </row>
    <row r="275" spans="1:4" x14ac:dyDescent="0.75">
      <c r="A275" s="32">
        <v>273</v>
      </c>
      <c r="B275" s="32">
        <f t="shared" si="8"/>
        <v>90</v>
      </c>
      <c r="C275" s="32">
        <f t="shared" si="9"/>
        <v>3</v>
      </c>
      <c r="D275" s="31" t="e" cm="1">
        <f t="array" ref="D275">INDEX('ChemioMap-1'!$H$8:$J$94,1+B275,C275)</f>
        <v>#REF!</v>
      </c>
    </row>
    <row r="276" spans="1:4" x14ac:dyDescent="0.75">
      <c r="A276" s="32">
        <v>274</v>
      </c>
      <c r="B276" s="32">
        <f t="shared" si="8"/>
        <v>91</v>
      </c>
      <c r="C276" s="32">
        <f t="shared" si="9"/>
        <v>1</v>
      </c>
      <c r="D276" s="31" t="e" cm="1">
        <f t="array" ref="D276">INDEX('ChemioMap-1'!$H$8:$J$94,1+B276,C276)</f>
        <v>#REF!</v>
      </c>
    </row>
    <row r="277" spans="1:4" x14ac:dyDescent="0.75">
      <c r="A277" s="32">
        <v>275</v>
      </c>
      <c r="B277" s="32">
        <f t="shared" si="8"/>
        <v>91</v>
      </c>
      <c r="C277" s="32">
        <f t="shared" si="9"/>
        <v>2</v>
      </c>
      <c r="D277" s="31" t="e" cm="1">
        <f t="array" ref="D277">INDEX('ChemioMap-1'!$H$8:$J$94,1+B277,C277)</f>
        <v>#REF!</v>
      </c>
    </row>
    <row r="278" spans="1:4" x14ac:dyDescent="0.75">
      <c r="A278" s="32">
        <v>276</v>
      </c>
      <c r="B278" s="32">
        <f t="shared" si="8"/>
        <v>91</v>
      </c>
      <c r="C278" s="32">
        <f t="shared" si="9"/>
        <v>3</v>
      </c>
      <c r="D278" s="31" t="e" cm="1">
        <f t="array" ref="D278">INDEX('ChemioMap-1'!$H$8:$J$94,1+B278,C278)</f>
        <v>#REF!</v>
      </c>
    </row>
    <row r="279" spans="1:4" x14ac:dyDescent="0.75">
      <c r="A279" s="32">
        <v>277</v>
      </c>
      <c r="B279" s="32">
        <f t="shared" si="8"/>
        <v>92</v>
      </c>
      <c r="C279" s="32">
        <f t="shared" si="9"/>
        <v>1</v>
      </c>
      <c r="D279" s="31" t="e" cm="1">
        <f t="array" ref="D279">INDEX('ChemioMap-1'!$H$8:$J$94,1+B279,C279)</f>
        <v>#REF!</v>
      </c>
    </row>
    <row r="280" spans="1:4" x14ac:dyDescent="0.75">
      <c r="A280" s="32">
        <v>278</v>
      </c>
      <c r="B280" s="32">
        <f t="shared" si="8"/>
        <v>92</v>
      </c>
      <c r="C280" s="32">
        <f t="shared" si="9"/>
        <v>2</v>
      </c>
      <c r="D280" s="31" t="e" cm="1">
        <f t="array" ref="D280">INDEX('ChemioMap-1'!$H$8:$J$94,1+B280,C280)</f>
        <v>#REF!</v>
      </c>
    </row>
    <row r="281" spans="1:4" x14ac:dyDescent="0.75">
      <c r="A281" s="32">
        <v>279</v>
      </c>
      <c r="B281" s="32">
        <f t="shared" si="8"/>
        <v>92</v>
      </c>
      <c r="C281" s="32">
        <f t="shared" si="9"/>
        <v>3</v>
      </c>
      <c r="D281" s="31" t="e" cm="1">
        <f t="array" ref="D281">INDEX('ChemioMap-1'!$H$8:$J$94,1+B281,C281)</f>
        <v>#REF!</v>
      </c>
    </row>
    <row r="282" spans="1:4" x14ac:dyDescent="0.75">
      <c r="A282" s="32">
        <v>280</v>
      </c>
      <c r="B282" s="32">
        <f t="shared" si="8"/>
        <v>93</v>
      </c>
      <c r="C282" s="32">
        <f t="shared" si="9"/>
        <v>1</v>
      </c>
      <c r="D282" s="31" t="e" cm="1">
        <f t="array" ref="D282">INDEX('ChemioMap-1'!$H$8:$J$94,1+B282,C282)</f>
        <v>#REF!</v>
      </c>
    </row>
    <row r="283" spans="1:4" x14ac:dyDescent="0.75">
      <c r="A283" s="32">
        <v>281</v>
      </c>
      <c r="B283" s="32">
        <f t="shared" si="8"/>
        <v>93</v>
      </c>
      <c r="C283" s="32">
        <f t="shared" si="9"/>
        <v>2</v>
      </c>
      <c r="D283" s="31" t="e" cm="1">
        <f t="array" ref="D283">INDEX('ChemioMap-1'!$H$8:$J$94,1+B283,C283)</f>
        <v>#REF!</v>
      </c>
    </row>
    <row r="284" spans="1:4" x14ac:dyDescent="0.75">
      <c r="A284" s="32">
        <v>282</v>
      </c>
      <c r="B284" s="32">
        <f t="shared" si="8"/>
        <v>93</v>
      </c>
      <c r="C284" s="32">
        <f t="shared" si="9"/>
        <v>3</v>
      </c>
      <c r="D284" s="31" t="e" cm="1">
        <f t="array" ref="D284">INDEX('ChemioMap-1'!$H$8:$J$94,1+B284,C284)</f>
        <v>#REF!</v>
      </c>
    </row>
    <row r="285" spans="1:4" x14ac:dyDescent="0.75">
      <c r="A285" s="32">
        <v>283</v>
      </c>
      <c r="B285" s="32">
        <f t="shared" si="8"/>
        <v>94</v>
      </c>
      <c r="C285" s="32">
        <f t="shared" si="9"/>
        <v>1</v>
      </c>
      <c r="D285" s="31" t="e" cm="1">
        <f t="array" ref="D285">INDEX('ChemioMap-1'!$H$8:$J$94,1+B285,C285)</f>
        <v>#REF!</v>
      </c>
    </row>
    <row r="286" spans="1:4" x14ac:dyDescent="0.75">
      <c r="A286" s="32">
        <v>284</v>
      </c>
      <c r="B286" s="32">
        <f t="shared" si="8"/>
        <v>94</v>
      </c>
      <c r="C286" s="32">
        <f t="shared" si="9"/>
        <v>2</v>
      </c>
      <c r="D286" s="31" t="e" cm="1">
        <f t="array" ref="D286">INDEX('ChemioMap-1'!$H$8:$J$94,1+B286,C286)</f>
        <v>#REF!</v>
      </c>
    </row>
    <row r="287" spans="1:4" x14ac:dyDescent="0.75">
      <c r="A287" s="32">
        <v>285</v>
      </c>
      <c r="B287" s="32">
        <f t="shared" si="8"/>
        <v>94</v>
      </c>
      <c r="C287" s="32">
        <f t="shared" si="9"/>
        <v>3</v>
      </c>
      <c r="D287" s="31" t="e" cm="1">
        <f t="array" ref="D287">INDEX('ChemioMap-1'!$H$8:$J$94,1+B287,C287)</f>
        <v>#REF!</v>
      </c>
    </row>
    <row r="288" spans="1:4" x14ac:dyDescent="0.75">
      <c r="A288" s="32">
        <v>286</v>
      </c>
      <c r="B288" s="32">
        <f t="shared" si="8"/>
        <v>95</v>
      </c>
      <c r="C288" s="32">
        <f t="shared" si="9"/>
        <v>1</v>
      </c>
      <c r="D288" s="31" t="e" cm="1">
        <f t="array" ref="D288">INDEX('ChemioMap-1'!$H$8:$J$94,1+B288,C288)</f>
        <v>#REF!</v>
      </c>
    </row>
    <row r="289" spans="1:4" x14ac:dyDescent="0.75">
      <c r="A289" s="32">
        <v>287</v>
      </c>
      <c r="B289" s="32">
        <f t="shared" si="8"/>
        <v>95</v>
      </c>
      <c r="C289" s="32">
        <f t="shared" si="9"/>
        <v>2</v>
      </c>
      <c r="D289" s="31" t="e" cm="1">
        <f t="array" ref="D289">INDEX('ChemioMap-1'!$H$8:$J$94,1+B289,C289)</f>
        <v>#REF!</v>
      </c>
    </row>
    <row r="290" spans="1:4" x14ac:dyDescent="0.75">
      <c r="A290" s="32">
        <v>288</v>
      </c>
      <c r="B290" s="32">
        <f t="shared" si="8"/>
        <v>95</v>
      </c>
      <c r="C290" s="32">
        <f t="shared" si="9"/>
        <v>3</v>
      </c>
      <c r="D290" s="31" t="e" cm="1">
        <f t="array" ref="D290">INDEX('ChemioMap-1'!$H$8:$J$94,1+B290,C290)</f>
        <v>#REF!</v>
      </c>
    </row>
    <row r="291" spans="1:4" x14ac:dyDescent="0.75">
      <c r="A291" s="32">
        <v>289</v>
      </c>
      <c r="B291" s="32">
        <f t="shared" si="8"/>
        <v>96</v>
      </c>
      <c r="C291" s="32">
        <f t="shared" si="9"/>
        <v>1</v>
      </c>
      <c r="D291" s="31" t="e" cm="1">
        <f t="array" ref="D291">INDEX('ChemioMap-1'!$H$8:$J$94,1+B291,C291)</f>
        <v>#REF!</v>
      </c>
    </row>
    <row r="292" spans="1:4" x14ac:dyDescent="0.75">
      <c r="A292" s="32">
        <v>290</v>
      </c>
      <c r="B292" s="32">
        <f t="shared" si="8"/>
        <v>96</v>
      </c>
      <c r="C292" s="32">
        <f t="shared" si="9"/>
        <v>2</v>
      </c>
      <c r="D292" s="31" t="e" cm="1">
        <f t="array" ref="D292">INDEX('ChemioMap-1'!$H$8:$J$94,1+B292,C292)</f>
        <v>#REF!</v>
      </c>
    </row>
    <row r="293" spans="1:4" x14ac:dyDescent="0.75">
      <c r="A293" s="32">
        <v>291</v>
      </c>
      <c r="B293" s="32">
        <f t="shared" si="8"/>
        <v>96</v>
      </c>
      <c r="C293" s="32">
        <f t="shared" si="9"/>
        <v>3</v>
      </c>
      <c r="D293" s="31" t="e" cm="1">
        <f t="array" ref="D293">INDEX('ChemioMap-1'!$H$8:$J$94,1+B293,C293)</f>
        <v>#REF!</v>
      </c>
    </row>
    <row r="294" spans="1:4" x14ac:dyDescent="0.75">
      <c r="A294" s="32">
        <v>292</v>
      </c>
      <c r="B294" s="32">
        <f t="shared" si="8"/>
        <v>97</v>
      </c>
      <c r="C294" s="32">
        <f t="shared" si="9"/>
        <v>1</v>
      </c>
      <c r="D294" s="31" t="e" cm="1">
        <f t="array" ref="D294">INDEX('ChemioMap-1'!$H$8:$J$94,1+B294,C294)</f>
        <v>#REF!</v>
      </c>
    </row>
    <row r="295" spans="1:4" x14ac:dyDescent="0.75">
      <c r="A295" s="32">
        <v>293</v>
      </c>
      <c r="B295" s="32">
        <f t="shared" si="8"/>
        <v>97</v>
      </c>
      <c r="C295" s="32">
        <f t="shared" si="9"/>
        <v>2</v>
      </c>
      <c r="D295" s="31" t="e" cm="1">
        <f t="array" ref="D295">INDEX('ChemioMap-1'!$H$8:$J$94,1+B295,C295)</f>
        <v>#REF!</v>
      </c>
    </row>
    <row r="296" spans="1:4" x14ac:dyDescent="0.75">
      <c r="A296" s="32">
        <v>294</v>
      </c>
      <c r="B296" s="32">
        <f t="shared" si="8"/>
        <v>97</v>
      </c>
      <c r="C296" s="32">
        <f t="shared" si="9"/>
        <v>3</v>
      </c>
      <c r="D296" s="31" t="e" cm="1">
        <f t="array" ref="D296">INDEX('ChemioMap-1'!$H$8:$J$94,1+B296,C296)</f>
        <v>#REF!</v>
      </c>
    </row>
    <row r="297" spans="1:4" x14ac:dyDescent="0.75">
      <c r="A297" s="32">
        <v>295</v>
      </c>
      <c r="B297" s="32">
        <f t="shared" si="8"/>
        <v>98</v>
      </c>
      <c r="C297" s="32">
        <f t="shared" si="9"/>
        <v>1</v>
      </c>
      <c r="D297" s="31" t="e" cm="1">
        <f t="array" ref="D297">INDEX('ChemioMap-1'!$H$8:$J$94,1+B297,C297)</f>
        <v>#REF!</v>
      </c>
    </row>
    <row r="298" spans="1:4" x14ac:dyDescent="0.75">
      <c r="A298" s="32">
        <v>296</v>
      </c>
      <c r="B298" s="32">
        <f t="shared" si="8"/>
        <v>98</v>
      </c>
      <c r="C298" s="32">
        <f t="shared" si="9"/>
        <v>2</v>
      </c>
      <c r="D298" s="31" t="e" cm="1">
        <f t="array" ref="D298">INDEX('ChemioMap-1'!$H$8:$J$94,1+B298,C298)</f>
        <v>#REF!</v>
      </c>
    </row>
    <row r="299" spans="1:4" x14ac:dyDescent="0.75">
      <c r="A299" s="32">
        <v>297</v>
      </c>
      <c r="B299" s="32">
        <f t="shared" si="8"/>
        <v>98</v>
      </c>
      <c r="C299" s="32">
        <f t="shared" si="9"/>
        <v>3</v>
      </c>
      <c r="D299" s="31" t="e" cm="1">
        <f t="array" ref="D299">INDEX('ChemioMap-1'!$H$8:$J$94,1+B299,C299)</f>
        <v>#REF!</v>
      </c>
    </row>
    <row r="300" spans="1:4" x14ac:dyDescent="0.75">
      <c r="A300" s="32">
        <v>298</v>
      </c>
      <c r="B300" s="32">
        <f t="shared" si="8"/>
        <v>99</v>
      </c>
      <c r="C300" s="32">
        <f t="shared" si="9"/>
        <v>1</v>
      </c>
      <c r="D300" s="31" t="e" cm="1">
        <f t="array" ref="D300">INDEX('ChemioMap-1'!$H$8:$J$94,1+B300,C300)</f>
        <v>#REF!</v>
      </c>
    </row>
    <row r="301" spans="1:4" x14ac:dyDescent="0.75">
      <c r="A301" s="32">
        <v>299</v>
      </c>
      <c r="B301" s="32">
        <f t="shared" si="8"/>
        <v>99</v>
      </c>
      <c r="C301" s="32">
        <f t="shared" si="9"/>
        <v>2</v>
      </c>
      <c r="D301" s="31" t="e" cm="1">
        <f t="array" ref="D301">INDEX('ChemioMap-1'!$H$8:$J$94,1+B301,C301)</f>
        <v>#REF!</v>
      </c>
    </row>
    <row r="302" spans="1:4" x14ac:dyDescent="0.75">
      <c r="A302" s="32">
        <v>300</v>
      </c>
      <c r="B302" s="32">
        <f t="shared" si="8"/>
        <v>99</v>
      </c>
      <c r="C302" s="32">
        <f t="shared" si="9"/>
        <v>3</v>
      </c>
      <c r="D302" s="31" t="e" cm="1">
        <f t="array" ref="D302">INDEX('ChemioMap-1'!$H$8:$J$94,1+B302,C302)</f>
        <v>#REF!</v>
      </c>
    </row>
    <row r="303" spans="1:4" x14ac:dyDescent="0.75">
      <c r="A303" s="32">
        <v>301</v>
      </c>
      <c r="B303" s="32">
        <f t="shared" si="8"/>
        <v>100</v>
      </c>
      <c r="C303" s="32">
        <f t="shared" si="9"/>
        <v>1</v>
      </c>
      <c r="D303" s="31" t="e" cm="1">
        <f t="array" ref="D303">INDEX('ChemioMap-1'!$H$8:$J$94,1+B303,C303)</f>
        <v>#REF!</v>
      </c>
    </row>
    <row r="304" spans="1:4" x14ac:dyDescent="0.75">
      <c r="A304" s="32">
        <v>302</v>
      </c>
      <c r="B304" s="32">
        <f t="shared" si="8"/>
        <v>100</v>
      </c>
      <c r="C304" s="32">
        <f t="shared" si="9"/>
        <v>2</v>
      </c>
      <c r="D304" s="31" t="e" cm="1">
        <f t="array" ref="D304">INDEX('ChemioMap-1'!$H$8:$J$94,1+B304,C304)</f>
        <v>#REF!</v>
      </c>
    </row>
    <row r="305" spans="1:4" x14ac:dyDescent="0.75">
      <c r="A305" s="32">
        <v>303</v>
      </c>
      <c r="B305" s="32">
        <f t="shared" si="8"/>
        <v>100</v>
      </c>
      <c r="C305" s="32">
        <f t="shared" si="9"/>
        <v>3</v>
      </c>
      <c r="D305" s="31" t="e" cm="1">
        <f t="array" ref="D305">INDEX('ChemioMap-1'!$H$8:$J$94,1+B305,C305)</f>
        <v>#REF!</v>
      </c>
    </row>
    <row r="306" spans="1:4" x14ac:dyDescent="0.75">
      <c r="A306" s="32">
        <v>304</v>
      </c>
      <c r="B306" s="32">
        <f t="shared" si="8"/>
        <v>101</v>
      </c>
      <c r="C306" s="32">
        <f t="shared" si="9"/>
        <v>1</v>
      </c>
      <c r="D306" s="31" t="e" cm="1">
        <f t="array" ref="D306">INDEX('ChemioMap-1'!$H$8:$J$94,1+B306,C306)</f>
        <v>#REF!</v>
      </c>
    </row>
    <row r="307" spans="1:4" x14ac:dyDescent="0.75">
      <c r="A307" s="32">
        <v>305</v>
      </c>
      <c r="B307" s="32">
        <f t="shared" si="8"/>
        <v>101</v>
      </c>
      <c r="C307" s="32">
        <f t="shared" si="9"/>
        <v>2</v>
      </c>
      <c r="D307" s="31" t="e" cm="1">
        <f t="array" ref="D307">INDEX('ChemioMap-1'!$H$8:$J$94,1+B307,C307)</f>
        <v>#REF!</v>
      </c>
    </row>
    <row r="308" spans="1:4" x14ac:dyDescent="0.75">
      <c r="A308" s="32">
        <v>306</v>
      </c>
      <c r="B308" s="32">
        <f t="shared" si="8"/>
        <v>101</v>
      </c>
      <c r="C308" s="32">
        <f t="shared" si="9"/>
        <v>3</v>
      </c>
      <c r="D308" s="31" t="e" cm="1">
        <f t="array" ref="D308">INDEX('ChemioMap-1'!$H$8:$J$94,1+B308,C308)</f>
        <v>#REF!</v>
      </c>
    </row>
    <row r="309" spans="1:4" x14ac:dyDescent="0.75">
      <c r="A309" s="32">
        <v>307</v>
      </c>
      <c r="B309" s="32">
        <f t="shared" si="8"/>
        <v>102</v>
      </c>
      <c r="C309" s="32">
        <f t="shared" si="9"/>
        <v>1</v>
      </c>
      <c r="D309" s="31" t="e" cm="1">
        <f t="array" ref="D309">INDEX('ChemioMap-1'!$H$8:$J$94,1+B309,C309)</f>
        <v>#REF!</v>
      </c>
    </row>
    <row r="310" spans="1:4" x14ac:dyDescent="0.75">
      <c r="A310" s="32">
        <v>308</v>
      </c>
      <c r="B310" s="32">
        <f t="shared" si="8"/>
        <v>102</v>
      </c>
      <c r="C310" s="32">
        <f t="shared" si="9"/>
        <v>2</v>
      </c>
      <c r="D310" s="31" t="e" cm="1">
        <f t="array" ref="D310">INDEX('ChemioMap-1'!$H$8:$J$94,1+B310,C310)</f>
        <v>#REF!</v>
      </c>
    </row>
    <row r="311" spans="1:4" x14ac:dyDescent="0.75">
      <c r="A311" s="32">
        <v>309</v>
      </c>
      <c r="B311" s="32">
        <f t="shared" si="8"/>
        <v>102</v>
      </c>
      <c r="C311" s="32">
        <f t="shared" si="9"/>
        <v>3</v>
      </c>
      <c r="D311" s="31" t="e" cm="1">
        <f t="array" ref="D311">INDEX('ChemioMap-1'!$H$8:$J$94,1+B311,C311)</f>
        <v>#REF!</v>
      </c>
    </row>
    <row r="312" spans="1:4" x14ac:dyDescent="0.75">
      <c r="A312" s="32">
        <v>310</v>
      </c>
      <c r="B312" s="32">
        <f t="shared" si="8"/>
        <v>103</v>
      </c>
      <c r="C312" s="32">
        <f t="shared" si="9"/>
        <v>1</v>
      </c>
      <c r="D312" s="31" t="e" cm="1">
        <f t="array" ref="D312">INDEX('ChemioMap-1'!$H$8:$J$94,1+B312,C312)</f>
        <v>#REF!</v>
      </c>
    </row>
    <row r="313" spans="1:4" x14ac:dyDescent="0.75">
      <c r="A313" s="32">
        <v>311</v>
      </c>
      <c r="B313" s="32">
        <f t="shared" si="8"/>
        <v>103</v>
      </c>
      <c r="C313" s="32">
        <f t="shared" si="9"/>
        <v>2</v>
      </c>
      <c r="D313" s="31" t="e" cm="1">
        <f t="array" ref="D313">INDEX('ChemioMap-1'!$H$8:$J$94,1+B313,C313)</f>
        <v>#REF!</v>
      </c>
    </row>
    <row r="314" spans="1:4" x14ac:dyDescent="0.75">
      <c r="A314" s="32">
        <v>312</v>
      </c>
      <c r="B314" s="32">
        <f t="shared" si="8"/>
        <v>103</v>
      </c>
      <c r="C314" s="32">
        <f t="shared" si="9"/>
        <v>3</v>
      </c>
      <c r="D314" s="31" t="e" cm="1">
        <f t="array" ref="D314">INDEX('ChemioMap-1'!$H$8:$J$94,1+B314,C314)</f>
        <v>#REF!</v>
      </c>
    </row>
    <row r="315" spans="1:4" x14ac:dyDescent="0.75">
      <c r="A315" s="32">
        <v>313</v>
      </c>
      <c r="B315" s="32">
        <f t="shared" si="8"/>
        <v>104</v>
      </c>
      <c r="C315" s="32">
        <f t="shared" si="9"/>
        <v>1</v>
      </c>
      <c r="D315" s="31" t="e" cm="1">
        <f t="array" ref="D315">INDEX('ChemioMap-1'!$H$8:$J$94,1+B315,C315)</f>
        <v>#REF!</v>
      </c>
    </row>
    <row r="316" spans="1:4" x14ac:dyDescent="0.75">
      <c r="A316" s="32">
        <v>314</v>
      </c>
      <c r="B316" s="32">
        <f t="shared" si="8"/>
        <v>104</v>
      </c>
      <c r="C316" s="32">
        <f t="shared" si="9"/>
        <v>2</v>
      </c>
      <c r="D316" s="31" t="e" cm="1">
        <f t="array" ref="D316">INDEX('ChemioMap-1'!$H$8:$J$94,1+B316,C316)</f>
        <v>#REF!</v>
      </c>
    </row>
    <row r="317" spans="1:4" x14ac:dyDescent="0.75">
      <c r="A317" s="32">
        <v>315</v>
      </c>
      <c r="B317" s="32">
        <f t="shared" si="8"/>
        <v>104</v>
      </c>
      <c r="C317" s="32">
        <f t="shared" si="9"/>
        <v>3</v>
      </c>
      <c r="D317" s="31" t="e" cm="1">
        <f t="array" ref="D317">INDEX('ChemioMap-1'!$H$8:$J$94,1+B317,C317)</f>
        <v>#REF!</v>
      </c>
    </row>
    <row r="318" spans="1:4" x14ac:dyDescent="0.75">
      <c r="A318" s="32">
        <v>316</v>
      </c>
      <c r="B318" s="32">
        <f t="shared" si="8"/>
        <v>105</v>
      </c>
      <c r="C318" s="32">
        <f t="shared" si="9"/>
        <v>1</v>
      </c>
      <c r="D318" s="31" t="e" cm="1">
        <f t="array" ref="D318">INDEX('ChemioMap-1'!$H$8:$J$94,1+B318,C318)</f>
        <v>#REF!</v>
      </c>
    </row>
    <row r="319" spans="1:4" x14ac:dyDescent="0.75">
      <c r="A319" s="32">
        <v>317</v>
      </c>
      <c r="B319" s="32">
        <f t="shared" si="8"/>
        <v>105</v>
      </c>
      <c r="C319" s="32">
        <f t="shared" si="9"/>
        <v>2</v>
      </c>
      <c r="D319" s="31" t="e" cm="1">
        <f t="array" ref="D319">INDEX('ChemioMap-1'!$H$8:$J$94,1+B319,C319)</f>
        <v>#REF!</v>
      </c>
    </row>
    <row r="320" spans="1:4" x14ac:dyDescent="0.75">
      <c r="A320" s="32">
        <v>318</v>
      </c>
      <c r="B320" s="32">
        <f t="shared" si="8"/>
        <v>105</v>
      </c>
      <c r="C320" s="32">
        <f t="shared" si="9"/>
        <v>3</v>
      </c>
      <c r="D320" s="31" t="e" cm="1">
        <f t="array" ref="D320">INDEX('ChemioMap-1'!$H$8:$J$94,1+B320,C320)</f>
        <v>#REF!</v>
      </c>
    </row>
    <row r="321" spans="1:4" x14ac:dyDescent="0.75">
      <c r="A321" s="32">
        <v>319</v>
      </c>
      <c r="B321" s="32">
        <f t="shared" si="8"/>
        <v>106</v>
      </c>
      <c r="C321" s="32">
        <f t="shared" si="9"/>
        <v>1</v>
      </c>
      <c r="D321" s="31" t="e" cm="1">
        <f t="array" ref="D321">INDEX('ChemioMap-1'!$H$8:$J$94,1+B321,C321)</f>
        <v>#REF!</v>
      </c>
    </row>
    <row r="322" spans="1:4" x14ac:dyDescent="0.75">
      <c r="A322" s="32">
        <v>320</v>
      </c>
      <c r="B322" s="32">
        <f t="shared" si="8"/>
        <v>106</v>
      </c>
      <c r="C322" s="32">
        <f t="shared" si="9"/>
        <v>2</v>
      </c>
      <c r="D322" s="31" t="e" cm="1">
        <f t="array" ref="D322">INDEX('ChemioMap-1'!$H$8:$J$94,1+B322,C322)</f>
        <v>#REF!</v>
      </c>
    </row>
    <row r="323" spans="1:4" x14ac:dyDescent="0.75">
      <c r="A323" s="32">
        <v>321</v>
      </c>
      <c r="B323" s="32">
        <f t="shared" si="8"/>
        <v>106</v>
      </c>
      <c r="C323" s="32">
        <f t="shared" si="9"/>
        <v>3</v>
      </c>
      <c r="D323" s="31" t="e" cm="1">
        <f t="array" ref="D323">INDEX('ChemioMap-1'!$H$8:$J$94,1+B323,C323)</f>
        <v>#REF!</v>
      </c>
    </row>
    <row r="324" spans="1:4" x14ac:dyDescent="0.75">
      <c r="A324" s="32">
        <v>322</v>
      </c>
      <c r="B324" s="32">
        <f t="shared" ref="B324:B387" si="10">IF(MOD(A324,3)=0,A324/3-1,INT(A324/3))</f>
        <v>107</v>
      </c>
      <c r="C324" s="32">
        <f t="shared" ref="C324:C387" si="11">IF(MOD(A324,3)=0,3,MOD(A324,3))</f>
        <v>1</v>
      </c>
      <c r="D324" s="31" t="e" cm="1">
        <f t="array" ref="D324">INDEX('ChemioMap-1'!$H$8:$J$94,1+B324,C324)</f>
        <v>#REF!</v>
      </c>
    </row>
    <row r="325" spans="1:4" x14ac:dyDescent="0.75">
      <c r="A325" s="32">
        <v>323</v>
      </c>
      <c r="B325" s="32">
        <f t="shared" si="10"/>
        <v>107</v>
      </c>
      <c r="C325" s="32">
        <f t="shared" si="11"/>
        <v>2</v>
      </c>
      <c r="D325" s="31" t="e" cm="1">
        <f t="array" ref="D325">INDEX('ChemioMap-1'!$H$8:$J$94,1+B325,C325)</f>
        <v>#REF!</v>
      </c>
    </row>
    <row r="326" spans="1:4" x14ac:dyDescent="0.75">
      <c r="A326" s="32">
        <v>324</v>
      </c>
      <c r="B326" s="32">
        <f t="shared" si="10"/>
        <v>107</v>
      </c>
      <c r="C326" s="32">
        <f t="shared" si="11"/>
        <v>3</v>
      </c>
      <c r="D326" s="31" t="e" cm="1">
        <f t="array" ref="D326">INDEX('ChemioMap-1'!$H$8:$J$94,1+B326,C326)</f>
        <v>#REF!</v>
      </c>
    </row>
    <row r="327" spans="1:4" x14ac:dyDescent="0.75">
      <c r="A327" s="32">
        <v>325</v>
      </c>
      <c r="B327" s="32">
        <f t="shared" si="10"/>
        <v>108</v>
      </c>
      <c r="C327" s="32">
        <f t="shared" si="11"/>
        <v>1</v>
      </c>
      <c r="D327" s="31" t="e" cm="1">
        <f t="array" ref="D327">INDEX('ChemioMap-1'!$H$8:$J$94,1+B327,C327)</f>
        <v>#REF!</v>
      </c>
    </row>
    <row r="328" spans="1:4" x14ac:dyDescent="0.75">
      <c r="A328" s="32">
        <v>326</v>
      </c>
      <c r="B328" s="32">
        <f t="shared" si="10"/>
        <v>108</v>
      </c>
      <c r="C328" s="32">
        <f t="shared" si="11"/>
        <v>2</v>
      </c>
      <c r="D328" s="31" t="e" cm="1">
        <f t="array" ref="D328">INDEX('ChemioMap-1'!$H$8:$J$94,1+B328,C328)</f>
        <v>#REF!</v>
      </c>
    </row>
    <row r="329" spans="1:4" x14ac:dyDescent="0.75">
      <c r="A329" s="32">
        <v>327</v>
      </c>
      <c r="B329" s="32">
        <f t="shared" si="10"/>
        <v>108</v>
      </c>
      <c r="C329" s="32">
        <f t="shared" si="11"/>
        <v>3</v>
      </c>
      <c r="D329" s="31" t="e" cm="1">
        <f t="array" ref="D329">INDEX('ChemioMap-1'!$H$8:$J$94,1+B329,C329)</f>
        <v>#REF!</v>
      </c>
    </row>
    <row r="330" spans="1:4" x14ac:dyDescent="0.75">
      <c r="A330" s="32">
        <v>328</v>
      </c>
      <c r="B330" s="32">
        <f t="shared" si="10"/>
        <v>109</v>
      </c>
      <c r="C330" s="32">
        <f t="shared" si="11"/>
        <v>1</v>
      </c>
      <c r="D330" s="31" t="e" cm="1">
        <f t="array" ref="D330">INDEX('ChemioMap-1'!$H$8:$J$94,1+B330,C330)</f>
        <v>#REF!</v>
      </c>
    </row>
    <row r="331" spans="1:4" x14ac:dyDescent="0.75">
      <c r="A331" s="32">
        <v>329</v>
      </c>
      <c r="B331" s="32">
        <f t="shared" si="10"/>
        <v>109</v>
      </c>
      <c r="C331" s="32">
        <f t="shared" si="11"/>
        <v>2</v>
      </c>
      <c r="D331" s="31" t="e" cm="1">
        <f t="array" ref="D331">INDEX('ChemioMap-1'!$H$8:$J$94,1+B331,C331)</f>
        <v>#REF!</v>
      </c>
    </row>
    <row r="332" spans="1:4" x14ac:dyDescent="0.75">
      <c r="A332" s="32">
        <v>330</v>
      </c>
      <c r="B332" s="32">
        <f t="shared" si="10"/>
        <v>109</v>
      </c>
      <c r="C332" s="32">
        <f t="shared" si="11"/>
        <v>3</v>
      </c>
      <c r="D332" s="31" t="e" cm="1">
        <f t="array" ref="D332">INDEX('ChemioMap-1'!$H$8:$J$94,1+B332,C332)</f>
        <v>#REF!</v>
      </c>
    </row>
    <row r="333" spans="1:4" x14ac:dyDescent="0.75">
      <c r="A333" s="32">
        <v>331</v>
      </c>
      <c r="B333" s="32">
        <f t="shared" si="10"/>
        <v>110</v>
      </c>
      <c r="C333" s="32">
        <f t="shared" si="11"/>
        <v>1</v>
      </c>
      <c r="D333" s="31" t="e" cm="1">
        <f t="array" ref="D333">INDEX('ChemioMap-1'!$H$8:$J$94,1+B333,C333)</f>
        <v>#REF!</v>
      </c>
    </row>
    <row r="334" spans="1:4" x14ac:dyDescent="0.75">
      <c r="A334" s="32">
        <v>332</v>
      </c>
      <c r="B334" s="32">
        <f t="shared" si="10"/>
        <v>110</v>
      </c>
      <c r="C334" s="32">
        <f t="shared" si="11"/>
        <v>2</v>
      </c>
      <c r="D334" s="31" t="e" cm="1">
        <f t="array" ref="D334">INDEX('ChemioMap-1'!$H$8:$J$94,1+B334,C334)</f>
        <v>#REF!</v>
      </c>
    </row>
    <row r="335" spans="1:4" x14ac:dyDescent="0.75">
      <c r="A335" s="32">
        <v>333</v>
      </c>
      <c r="B335" s="32">
        <f t="shared" si="10"/>
        <v>110</v>
      </c>
      <c r="C335" s="32">
        <f t="shared" si="11"/>
        <v>3</v>
      </c>
      <c r="D335" s="31" t="e" cm="1">
        <f t="array" ref="D335">INDEX('ChemioMap-1'!$H$8:$J$94,1+B335,C335)</f>
        <v>#REF!</v>
      </c>
    </row>
    <row r="336" spans="1:4" x14ac:dyDescent="0.75">
      <c r="A336" s="32">
        <v>334</v>
      </c>
      <c r="B336" s="32">
        <f t="shared" si="10"/>
        <v>111</v>
      </c>
      <c r="C336" s="32">
        <f t="shared" si="11"/>
        <v>1</v>
      </c>
      <c r="D336" s="31" t="e" cm="1">
        <f t="array" ref="D336">INDEX('ChemioMap-1'!$H$8:$J$94,1+B336,C336)</f>
        <v>#REF!</v>
      </c>
    </row>
    <row r="337" spans="1:4" x14ac:dyDescent="0.75">
      <c r="A337" s="32">
        <v>335</v>
      </c>
      <c r="B337" s="32">
        <f t="shared" si="10"/>
        <v>111</v>
      </c>
      <c r="C337" s="32">
        <f t="shared" si="11"/>
        <v>2</v>
      </c>
      <c r="D337" s="31" t="e" cm="1">
        <f t="array" ref="D337">INDEX('ChemioMap-1'!$H$8:$J$94,1+B337,C337)</f>
        <v>#REF!</v>
      </c>
    </row>
    <row r="338" spans="1:4" x14ac:dyDescent="0.75">
      <c r="A338" s="32">
        <v>336</v>
      </c>
      <c r="B338" s="32">
        <f t="shared" si="10"/>
        <v>111</v>
      </c>
      <c r="C338" s="32">
        <f t="shared" si="11"/>
        <v>3</v>
      </c>
      <c r="D338" s="31" t="e" cm="1">
        <f t="array" ref="D338">INDEX('ChemioMap-1'!$H$8:$J$94,1+B338,C338)</f>
        <v>#REF!</v>
      </c>
    </row>
    <row r="339" spans="1:4" x14ac:dyDescent="0.75">
      <c r="A339" s="32">
        <v>337</v>
      </c>
      <c r="B339" s="32">
        <f t="shared" si="10"/>
        <v>112</v>
      </c>
      <c r="C339" s="32">
        <f t="shared" si="11"/>
        <v>1</v>
      </c>
      <c r="D339" s="31" t="e" cm="1">
        <f t="array" ref="D339">INDEX('ChemioMap-1'!$H$8:$J$94,1+B339,C339)</f>
        <v>#REF!</v>
      </c>
    </row>
    <row r="340" spans="1:4" x14ac:dyDescent="0.75">
      <c r="A340" s="32">
        <v>338</v>
      </c>
      <c r="B340" s="32">
        <f t="shared" si="10"/>
        <v>112</v>
      </c>
      <c r="C340" s="32">
        <f t="shared" si="11"/>
        <v>2</v>
      </c>
      <c r="D340" s="31" t="e" cm="1">
        <f t="array" ref="D340">INDEX('ChemioMap-1'!$H$8:$J$94,1+B340,C340)</f>
        <v>#REF!</v>
      </c>
    </row>
    <row r="341" spans="1:4" x14ac:dyDescent="0.75">
      <c r="A341" s="32">
        <v>339</v>
      </c>
      <c r="B341" s="32">
        <f t="shared" si="10"/>
        <v>112</v>
      </c>
      <c r="C341" s="32">
        <f t="shared" si="11"/>
        <v>3</v>
      </c>
      <c r="D341" s="31" t="e" cm="1">
        <f t="array" ref="D341">INDEX('ChemioMap-1'!$H$8:$J$94,1+B341,C341)</f>
        <v>#REF!</v>
      </c>
    </row>
    <row r="342" spans="1:4" x14ac:dyDescent="0.75">
      <c r="A342" s="32">
        <v>340</v>
      </c>
      <c r="B342" s="32">
        <f t="shared" si="10"/>
        <v>113</v>
      </c>
      <c r="C342" s="32">
        <f t="shared" si="11"/>
        <v>1</v>
      </c>
      <c r="D342" s="31" t="e" cm="1">
        <f t="array" ref="D342">INDEX('ChemioMap-1'!$H$8:$J$94,1+B342,C342)</f>
        <v>#REF!</v>
      </c>
    </row>
    <row r="343" spans="1:4" x14ac:dyDescent="0.75">
      <c r="A343" s="32">
        <v>341</v>
      </c>
      <c r="B343" s="32">
        <f t="shared" si="10"/>
        <v>113</v>
      </c>
      <c r="C343" s="32">
        <f t="shared" si="11"/>
        <v>2</v>
      </c>
      <c r="D343" s="31" t="e" cm="1">
        <f t="array" ref="D343">INDEX('ChemioMap-1'!$H$8:$J$94,1+B343,C343)</f>
        <v>#REF!</v>
      </c>
    </row>
    <row r="344" spans="1:4" x14ac:dyDescent="0.75">
      <c r="A344" s="32">
        <v>342</v>
      </c>
      <c r="B344" s="32">
        <f t="shared" si="10"/>
        <v>113</v>
      </c>
      <c r="C344" s="32">
        <f t="shared" si="11"/>
        <v>3</v>
      </c>
      <c r="D344" s="31" t="e" cm="1">
        <f t="array" ref="D344">INDEX('ChemioMap-1'!$H$8:$J$94,1+B344,C344)</f>
        <v>#REF!</v>
      </c>
    </row>
    <row r="345" spans="1:4" x14ac:dyDescent="0.75">
      <c r="A345" s="32">
        <v>343</v>
      </c>
      <c r="B345" s="32">
        <f t="shared" si="10"/>
        <v>114</v>
      </c>
      <c r="C345" s="32">
        <f t="shared" si="11"/>
        <v>1</v>
      </c>
      <c r="D345" s="31" t="e" cm="1">
        <f t="array" ref="D345">INDEX('ChemioMap-1'!$H$8:$J$94,1+B345,C345)</f>
        <v>#REF!</v>
      </c>
    </row>
    <row r="346" spans="1:4" x14ac:dyDescent="0.75">
      <c r="A346" s="32">
        <v>344</v>
      </c>
      <c r="B346" s="32">
        <f t="shared" si="10"/>
        <v>114</v>
      </c>
      <c r="C346" s="32">
        <f t="shared" si="11"/>
        <v>2</v>
      </c>
    </row>
    <row r="347" spans="1:4" x14ac:dyDescent="0.75">
      <c r="A347" s="32">
        <v>345</v>
      </c>
      <c r="B347" s="32">
        <f t="shared" si="10"/>
        <v>114</v>
      </c>
      <c r="C347" s="32">
        <f t="shared" si="11"/>
        <v>3</v>
      </c>
    </row>
    <row r="348" spans="1:4" x14ac:dyDescent="0.75">
      <c r="A348" s="32">
        <v>346</v>
      </c>
      <c r="B348" s="32">
        <f t="shared" si="10"/>
        <v>115</v>
      </c>
      <c r="C348" s="32">
        <f t="shared" si="11"/>
        <v>1</v>
      </c>
    </row>
    <row r="349" spans="1:4" x14ac:dyDescent="0.75">
      <c r="A349" s="32">
        <v>347</v>
      </c>
      <c r="B349" s="32">
        <f t="shared" si="10"/>
        <v>115</v>
      </c>
      <c r="C349" s="32">
        <f t="shared" si="11"/>
        <v>2</v>
      </c>
    </row>
    <row r="350" spans="1:4" x14ac:dyDescent="0.75">
      <c r="A350" s="32">
        <v>348</v>
      </c>
      <c r="B350" s="32">
        <f t="shared" si="10"/>
        <v>115</v>
      </c>
      <c r="C350" s="32">
        <f t="shared" si="11"/>
        <v>3</v>
      </c>
    </row>
    <row r="351" spans="1:4" x14ac:dyDescent="0.75">
      <c r="A351" s="32">
        <v>349</v>
      </c>
      <c r="B351" s="32">
        <f t="shared" si="10"/>
        <v>116</v>
      </c>
      <c r="C351" s="32">
        <f t="shared" si="11"/>
        <v>1</v>
      </c>
    </row>
    <row r="352" spans="1:4" x14ac:dyDescent="0.75">
      <c r="A352" s="32">
        <v>350</v>
      </c>
      <c r="B352" s="32">
        <f t="shared" si="10"/>
        <v>116</v>
      </c>
      <c r="C352" s="32">
        <f t="shared" si="11"/>
        <v>2</v>
      </c>
    </row>
    <row r="353" spans="1:3" x14ac:dyDescent="0.75">
      <c r="A353" s="32">
        <v>351</v>
      </c>
      <c r="B353" s="32">
        <f t="shared" si="10"/>
        <v>116</v>
      </c>
      <c r="C353" s="32">
        <f t="shared" si="11"/>
        <v>3</v>
      </c>
    </row>
    <row r="354" spans="1:3" x14ac:dyDescent="0.75">
      <c r="A354" s="32">
        <v>352</v>
      </c>
      <c r="B354" s="32">
        <f t="shared" si="10"/>
        <v>117</v>
      </c>
      <c r="C354" s="32">
        <f t="shared" si="11"/>
        <v>1</v>
      </c>
    </row>
    <row r="355" spans="1:3" x14ac:dyDescent="0.75">
      <c r="A355" s="32">
        <v>353</v>
      </c>
      <c r="B355" s="32">
        <f t="shared" si="10"/>
        <v>117</v>
      </c>
      <c r="C355" s="32">
        <f t="shared" si="11"/>
        <v>2</v>
      </c>
    </row>
    <row r="356" spans="1:3" x14ac:dyDescent="0.75">
      <c r="A356" s="32">
        <v>354</v>
      </c>
      <c r="B356" s="32">
        <f t="shared" si="10"/>
        <v>117</v>
      </c>
      <c r="C356" s="32">
        <f t="shared" si="11"/>
        <v>3</v>
      </c>
    </row>
    <row r="357" spans="1:3" x14ac:dyDescent="0.75">
      <c r="A357" s="32">
        <v>355</v>
      </c>
      <c r="B357" s="32">
        <f t="shared" si="10"/>
        <v>118</v>
      </c>
      <c r="C357" s="32">
        <f t="shared" si="11"/>
        <v>1</v>
      </c>
    </row>
    <row r="358" spans="1:3" x14ac:dyDescent="0.75">
      <c r="A358" s="32">
        <v>356</v>
      </c>
      <c r="B358" s="32">
        <f t="shared" si="10"/>
        <v>118</v>
      </c>
      <c r="C358" s="32">
        <f t="shared" si="11"/>
        <v>2</v>
      </c>
    </row>
    <row r="359" spans="1:3" x14ac:dyDescent="0.75">
      <c r="A359" s="32">
        <v>357</v>
      </c>
      <c r="B359" s="32">
        <f t="shared" si="10"/>
        <v>118</v>
      </c>
      <c r="C359" s="32">
        <f t="shared" si="11"/>
        <v>3</v>
      </c>
    </row>
    <row r="360" spans="1:3" x14ac:dyDescent="0.75">
      <c r="A360" s="32">
        <v>358</v>
      </c>
      <c r="B360" s="32">
        <f t="shared" si="10"/>
        <v>119</v>
      </c>
      <c r="C360" s="32">
        <f t="shared" si="11"/>
        <v>1</v>
      </c>
    </row>
    <row r="361" spans="1:3" x14ac:dyDescent="0.75">
      <c r="A361" s="32">
        <v>359</v>
      </c>
      <c r="B361" s="32">
        <f t="shared" si="10"/>
        <v>119</v>
      </c>
      <c r="C361" s="32">
        <f t="shared" si="11"/>
        <v>2</v>
      </c>
    </row>
    <row r="362" spans="1:3" x14ac:dyDescent="0.75">
      <c r="A362" s="32">
        <v>360</v>
      </c>
      <c r="B362" s="32">
        <f t="shared" si="10"/>
        <v>119</v>
      </c>
      <c r="C362" s="32">
        <f t="shared" si="11"/>
        <v>3</v>
      </c>
    </row>
    <row r="363" spans="1:3" x14ac:dyDescent="0.75">
      <c r="A363" s="32">
        <v>361</v>
      </c>
      <c r="B363" s="32">
        <f t="shared" si="10"/>
        <v>120</v>
      </c>
      <c r="C363" s="32">
        <f t="shared" si="11"/>
        <v>1</v>
      </c>
    </row>
    <row r="364" spans="1:3" x14ac:dyDescent="0.75">
      <c r="A364" s="32">
        <v>362</v>
      </c>
      <c r="B364" s="32">
        <f t="shared" si="10"/>
        <v>120</v>
      </c>
      <c r="C364" s="32">
        <f t="shared" si="11"/>
        <v>2</v>
      </c>
    </row>
    <row r="365" spans="1:3" x14ac:dyDescent="0.75">
      <c r="A365" s="32">
        <v>363</v>
      </c>
      <c r="B365" s="32">
        <f t="shared" si="10"/>
        <v>120</v>
      </c>
      <c r="C365" s="32">
        <f t="shared" si="11"/>
        <v>3</v>
      </c>
    </row>
    <row r="366" spans="1:3" x14ac:dyDescent="0.75">
      <c r="A366" s="32">
        <v>364</v>
      </c>
      <c r="B366" s="32">
        <f t="shared" si="10"/>
        <v>121</v>
      </c>
      <c r="C366" s="32">
        <f t="shared" si="11"/>
        <v>1</v>
      </c>
    </row>
    <row r="367" spans="1:3" x14ac:dyDescent="0.75">
      <c r="A367" s="32">
        <v>365</v>
      </c>
      <c r="B367" s="32">
        <f t="shared" si="10"/>
        <v>121</v>
      </c>
      <c r="C367" s="32">
        <f t="shared" si="11"/>
        <v>2</v>
      </c>
    </row>
    <row r="368" spans="1:3" x14ac:dyDescent="0.75">
      <c r="A368" s="32">
        <v>366</v>
      </c>
      <c r="B368" s="32">
        <f t="shared" si="10"/>
        <v>121</v>
      </c>
      <c r="C368" s="32">
        <f t="shared" si="11"/>
        <v>3</v>
      </c>
    </row>
    <row r="369" spans="1:3" x14ac:dyDescent="0.75">
      <c r="A369" s="32">
        <v>367</v>
      </c>
      <c r="B369" s="32">
        <f t="shared" si="10"/>
        <v>122</v>
      </c>
      <c r="C369" s="32">
        <f t="shared" si="11"/>
        <v>1</v>
      </c>
    </row>
    <row r="370" spans="1:3" x14ac:dyDescent="0.75">
      <c r="A370" s="32">
        <v>368</v>
      </c>
      <c r="B370" s="32">
        <f t="shared" si="10"/>
        <v>122</v>
      </c>
      <c r="C370" s="32">
        <f t="shared" si="11"/>
        <v>2</v>
      </c>
    </row>
    <row r="371" spans="1:3" x14ac:dyDescent="0.75">
      <c r="A371" s="32">
        <v>369</v>
      </c>
      <c r="B371" s="32">
        <f t="shared" si="10"/>
        <v>122</v>
      </c>
      <c r="C371" s="32">
        <f t="shared" si="11"/>
        <v>3</v>
      </c>
    </row>
    <row r="372" spans="1:3" x14ac:dyDescent="0.75">
      <c r="A372" s="32">
        <v>370</v>
      </c>
      <c r="B372" s="32">
        <f t="shared" si="10"/>
        <v>123</v>
      </c>
      <c r="C372" s="32">
        <f t="shared" si="11"/>
        <v>1</v>
      </c>
    </row>
    <row r="373" spans="1:3" x14ac:dyDescent="0.75">
      <c r="A373" s="32">
        <v>371</v>
      </c>
      <c r="B373" s="32">
        <f t="shared" si="10"/>
        <v>123</v>
      </c>
      <c r="C373" s="32">
        <f t="shared" si="11"/>
        <v>2</v>
      </c>
    </row>
    <row r="374" spans="1:3" x14ac:dyDescent="0.75">
      <c r="A374" s="32">
        <v>372</v>
      </c>
      <c r="B374" s="32">
        <f t="shared" si="10"/>
        <v>123</v>
      </c>
      <c r="C374" s="32">
        <f t="shared" si="11"/>
        <v>3</v>
      </c>
    </row>
    <row r="375" spans="1:3" x14ac:dyDescent="0.75">
      <c r="A375" s="32">
        <v>373</v>
      </c>
      <c r="B375" s="32">
        <f t="shared" si="10"/>
        <v>124</v>
      </c>
      <c r="C375" s="32">
        <f t="shared" si="11"/>
        <v>1</v>
      </c>
    </row>
    <row r="376" spans="1:3" x14ac:dyDescent="0.75">
      <c r="A376" s="32">
        <v>374</v>
      </c>
      <c r="B376" s="32">
        <f t="shared" si="10"/>
        <v>124</v>
      </c>
      <c r="C376" s="32">
        <f t="shared" si="11"/>
        <v>2</v>
      </c>
    </row>
    <row r="377" spans="1:3" x14ac:dyDescent="0.75">
      <c r="A377" s="32">
        <v>375</v>
      </c>
      <c r="B377" s="32">
        <f t="shared" si="10"/>
        <v>124</v>
      </c>
      <c r="C377" s="32">
        <f t="shared" si="11"/>
        <v>3</v>
      </c>
    </row>
    <row r="378" spans="1:3" x14ac:dyDescent="0.75">
      <c r="A378" s="32">
        <v>376</v>
      </c>
      <c r="B378" s="32">
        <f t="shared" si="10"/>
        <v>125</v>
      </c>
      <c r="C378" s="32">
        <f t="shared" si="11"/>
        <v>1</v>
      </c>
    </row>
    <row r="379" spans="1:3" x14ac:dyDescent="0.75">
      <c r="A379" s="32">
        <v>377</v>
      </c>
      <c r="B379" s="32">
        <f t="shared" si="10"/>
        <v>125</v>
      </c>
      <c r="C379" s="32">
        <f t="shared" si="11"/>
        <v>2</v>
      </c>
    </row>
    <row r="380" spans="1:3" x14ac:dyDescent="0.75">
      <c r="A380" s="32">
        <v>378</v>
      </c>
      <c r="B380" s="32">
        <f t="shared" si="10"/>
        <v>125</v>
      </c>
      <c r="C380" s="32">
        <f t="shared" si="11"/>
        <v>3</v>
      </c>
    </row>
    <row r="381" spans="1:3" x14ac:dyDescent="0.75">
      <c r="A381" s="32">
        <v>379</v>
      </c>
      <c r="B381" s="32">
        <f t="shared" si="10"/>
        <v>126</v>
      </c>
      <c r="C381" s="32">
        <f t="shared" si="11"/>
        <v>1</v>
      </c>
    </row>
    <row r="382" spans="1:3" x14ac:dyDescent="0.75">
      <c r="A382" s="32">
        <v>380</v>
      </c>
      <c r="B382" s="32">
        <f t="shared" si="10"/>
        <v>126</v>
      </c>
      <c r="C382" s="32">
        <f t="shared" si="11"/>
        <v>2</v>
      </c>
    </row>
    <row r="383" spans="1:3" x14ac:dyDescent="0.75">
      <c r="A383" s="32">
        <v>381</v>
      </c>
      <c r="B383" s="32">
        <f t="shared" si="10"/>
        <v>126</v>
      </c>
      <c r="C383" s="32">
        <f t="shared" si="11"/>
        <v>3</v>
      </c>
    </row>
    <row r="384" spans="1:3" x14ac:dyDescent="0.75">
      <c r="A384" s="32">
        <v>382</v>
      </c>
      <c r="B384" s="32">
        <f t="shared" si="10"/>
        <v>127</v>
      </c>
      <c r="C384" s="32">
        <f t="shared" si="11"/>
        <v>1</v>
      </c>
    </row>
    <row r="385" spans="1:3" x14ac:dyDescent="0.75">
      <c r="A385" s="32">
        <v>383</v>
      </c>
      <c r="B385" s="32">
        <f t="shared" si="10"/>
        <v>127</v>
      </c>
      <c r="C385" s="32">
        <f t="shared" si="11"/>
        <v>2</v>
      </c>
    </row>
    <row r="386" spans="1:3" x14ac:dyDescent="0.75">
      <c r="A386" s="32">
        <v>384</v>
      </c>
      <c r="B386" s="32">
        <f t="shared" si="10"/>
        <v>127</v>
      </c>
      <c r="C386" s="32">
        <f t="shared" si="11"/>
        <v>3</v>
      </c>
    </row>
    <row r="387" spans="1:3" x14ac:dyDescent="0.75">
      <c r="A387" s="32">
        <v>385</v>
      </c>
      <c r="B387" s="32">
        <f t="shared" si="10"/>
        <v>128</v>
      </c>
      <c r="C387" s="32">
        <f t="shared" si="11"/>
        <v>1</v>
      </c>
    </row>
    <row r="388" spans="1:3" x14ac:dyDescent="0.75">
      <c r="A388" s="32">
        <v>386</v>
      </c>
      <c r="B388" s="32">
        <f t="shared" ref="B388:B393" si="12">IF(MOD(A388,7)=0,A388/7-1,INT(A388/7))</f>
        <v>55</v>
      </c>
      <c r="C388" s="32">
        <f t="shared" ref="C388:C393" si="13">IF(MOD(A388,3)=0,3,MOD(A388,3))</f>
        <v>2</v>
      </c>
    </row>
    <row r="389" spans="1:3" x14ac:dyDescent="0.75">
      <c r="A389" s="32">
        <v>387</v>
      </c>
      <c r="B389" s="32">
        <f t="shared" si="12"/>
        <v>55</v>
      </c>
      <c r="C389" s="32">
        <f t="shared" si="13"/>
        <v>3</v>
      </c>
    </row>
    <row r="390" spans="1:3" x14ac:dyDescent="0.75">
      <c r="A390" s="32">
        <v>388</v>
      </c>
      <c r="B390" s="32">
        <f t="shared" si="12"/>
        <v>55</v>
      </c>
      <c r="C390" s="32">
        <f t="shared" si="13"/>
        <v>1</v>
      </c>
    </row>
    <row r="391" spans="1:3" x14ac:dyDescent="0.75">
      <c r="A391" s="32">
        <v>389</v>
      </c>
      <c r="B391" s="32">
        <f t="shared" si="12"/>
        <v>55</v>
      </c>
      <c r="C391" s="32">
        <f t="shared" si="13"/>
        <v>2</v>
      </c>
    </row>
    <row r="392" spans="1:3" x14ac:dyDescent="0.75">
      <c r="A392" s="32">
        <v>390</v>
      </c>
      <c r="B392" s="32">
        <f t="shared" si="12"/>
        <v>55</v>
      </c>
      <c r="C392" s="32">
        <f t="shared" si="13"/>
        <v>3</v>
      </c>
    </row>
    <row r="393" spans="1:3" x14ac:dyDescent="0.75">
      <c r="A393" s="32">
        <v>391</v>
      </c>
      <c r="B393" s="32">
        <f t="shared" si="12"/>
        <v>55</v>
      </c>
      <c r="C393" s="32">
        <f t="shared" si="13"/>
        <v>1</v>
      </c>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topLeftCell="A7" workbookViewId="0">
      <selection activeCell="D12" sqref="D12"/>
    </sheetView>
  </sheetViews>
  <sheetFormatPr defaultRowHeight="14.75" x14ac:dyDescent="0.75"/>
  <cols>
    <col min="1" max="2" width="8.7265625" style="31"/>
    <col min="3" max="3" width="31.6796875" style="31" bestFit="1" customWidth="1"/>
    <col min="4" max="4" width="72.1328125" style="31" customWidth="1"/>
    <col min="5" max="5" width="24.81640625" style="31" customWidth="1"/>
    <col min="6" max="6" width="15.5" style="31" customWidth="1"/>
    <col min="7" max="7" width="16.1328125" style="31" customWidth="1"/>
    <col min="8" max="8" width="10.76953125" style="31" customWidth="1"/>
    <col min="9" max="9" width="45.26953125" style="31" customWidth="1"/>
    <col min="10" max="10" width="40.1328125" style="1" customWidth="1"/>
    <col min="11" max="11" width="26.6328125" style="1" customWidth="1"/>
    <col min="12" max="12" width="48.54296875" style="1" customWidth="1"/>
    <col min="13" max="13" width="53.36328125" style="31" customWidth="1"/>
    <col min="14" max="14" width="51.5" style="31" customWidth="1"/>
    <col min="15" max="16384" width="8.7265625" style="31"/>
  </cols>
  <sheetData>
    <row r="1" spans="1:14" x14ac:dyDescent="0.75">
      <c r="C1" s="145" t="e">
        <f>#REF!</f>
        <v>#REF!</v>
      </c>
      <c r="D1" s="20" t="s">
        <v>31</v>
      </c>
      <c r="E1" s="21"/>
      <c r="G1" s="59" t="s">
        <v>89</v>
      </c>
      <c r="N1" s="31" t="s">
        <v>87</v>
      </c>
    </row>
    <row r="2" spans="1:14" ht="15.5" thickBot="1" x14ac:dyDescent="0.9">
      <c r="C2" s="147" t="e">
        <f>#REF!</f>
        <v>#REF!</v>
      </c>
      <c r="D2" s="18" t="s">
        <v>95</v>
      </c>
      <c r="E2" s="44"/>
      <c r="G2" s="31" t="s">
        <v>71</v>
      </c>
      <c r="M2" s="62"/>
      <c r="N2" s="31" t="str">
        <f>CONCATENATE("Mapping: ",E2)</f>
        <v xml:space="preserve">Mapping: </v>
      </c>
    </row>
    <row r="3" spans="1:14" x14ac:dyDescent="0.75">
      <c r="C3" s="145" t="e">
        <f>#REF!</f>
        <v>#REF!</v>
      </c>
      <c r="D3" s="52"/>
      <c r="E3" s="45"/>
      <c r="M3" s="62"/>
      <c r="N3" s="31" t="str">
        <f>CONCATENATE("Id: ",E2)</f>
        <v xml:space="preserve">Id: </v>
      </c>
    </row>
    <row r="4" spans="1:14" ht="15.5" thickBot="1" x14ac:dyDescent="0.9">
      <c r="C4" s="147" t="e">
        <f>#REF!</f>
        <v>#REF!</v>
      </c>
      <c r="D4" s="61"/>
      <c r="E4" s="46"/>
      <c r="M4" s="62"/>
      <c r="N4" s="31" t="str">
        <f>CONCATENATE("Title: """,D2,"""")</f>
        <v>Title: "FHIR"</v>
      </c>
    </row>
    <row r="5" spans="1:14" x14ac:dyDescent="0.75">
      <c r="M5" s="62"/>
      <c r="N5" s="31" t="e">
        <f>CONCATENATE("Source: ",C2,"/",C7)</f>
        <v>#REF!</v>
      </c>
    </row>
    <row r="6" spans="1:14" x14ac:dyDescent="0.75">
      <c r="D6" s="31" t="s">
        <v>70</v>
      </c>
      <c r="M6" s="62"/>
      <c r="N6" s="31" t="str">
        <f>CONCATENATE("Target: """,D4,"""")</f>
        <v>Target: ""</v>
      </c>
    </row>
    <row r="7" spans="1:14" ht="44.25" x14ac:dyDescent="0.75">
      <c r="A7" s="32">
        <v>0</v>
      </c>
      <c r="B7" s="32" t="e">
        <f>#REF!</f>
        <v>#REF!</v>
      </c>
      <c r="C7" s="32" t="e">
        <f>#REF!</f>
        <v>#REF!</v>
      </c>
      <c r="D7" s="28" t="s">
        <v>96</v>
      </c>
      <c r="H7" s="31" t="b">
        <f>IF(D7&gt;"",TRUE,FALSE)</f>
        <v>1</v>
      </c>
      <c r="I7" s="1" t="e">
        <f>IF(H7,CONCATENATE("* differential.element[",$B7,"].mapping[",$A7,"].identity = """,$G$1,""""),"")</f>
        <v>#REF!</v>
      </c>
      <c r="J7" s="1" t="e">
        <f>IF(H7,CONCATENATE("* differential.element[",$B7,"].mapping[",$A7,"].map = """,D7,""""),"")</f>
        <v>#REF!</v>
      </c>
      <c r="K7" s="1" t="str">
        <f>IF(E7&gt;"",CONCATENATE("* differential.element[",$B7,"].mapping[",$A7,"].comment = """,E7,""""),"")</f>
        <v/>
      </c>
      <c r="M7" s="31" t="s">
        <v>88</v>
      </c>
      <c r="N7" s="31" t="s">
        <v>87</v>
      </c>
    </row>
    <row r="8" spans="1:14" ht="29.5" x14ac:dyDescent="0.75">
      <c r="A8" s="32">
        <v>0</v>
      </c>
      <c r="B8" s="32" t="e">
        <f>#REF!</f>
        <v>#REF!</v>
      </c>
      <c r="C8" s="32" t="e">
        <f>#REF!</f>
        <v>#REF!</v>
      </c>
      <c r="D8" s="66" t="s">
        <v>97</v>
      </c>
      <c r="H8" s="31" t="b">
        <f>IF(D8&gt;"",TRUE,FALSE)</f>
        <v>1</v>
      </c>
      <c r="I8" s="1" t="e">
        <f>IF(H8,CONCATENATE("* differential.element[",$B8,"].mapping[",$A8,"].identity = """,$G$1,""""),"")</f>
        <v>#REF!</v>
      </c>
      <c r="J8" s="1" t="e">
        <f>IF(H8,CONCATENATE("* differential.element[",$B8,"].mapping[",$A8,"].map = """,D8,""""),"")</f>
        <v>#REF!</v>
      </c>
      <c r="K8" s="1" t="str">
        <f>IF(E8&gt;"",CONCATENATE("* differential.element[",$B8,"].mapping[",$A8,"].comment = """,E8,""""),"")</f>
        <v/>
      </c>
      <c r="M8" s="62"/>
      <c r="N8" s="31" t="e">
        <f t="shared" ref="N8:N41" si="0">CONCATENATE("* ",C8," -&gt; """,D8,"""")</f>
        <v>#REF!</v>
      </c>
    </row>
    <row r="9" spans="1:14" ht="29.5" x14ac:dyDescent="0.75">
      <c r="A9" s="32">
        <v>0</v>
      </c>
      <c r="B9" s="32" t="e">
        <f>#REF!</f>
        <v>#REF!</v>
      </c>
      <c r="C9" s="32" t="e">
        <f>#REF!</f>
        <v>#REF!</v>
      </c>
      <c r="D9" s="66" t="s">
        <v>98</v>
      </c>
      <c r="H9" s="31" t="b">
        <f t="shared" ref="H9:H50" si="1">IF(D9&gt;"",TRUE,FALSE)</f>
        <v>1</v>
      </c>
      <c r="I9" s="1" t="e">
        <f t="shared" ref="I9:I50" si="2">IF(H9,CONCATENATE("* differential.element[",$B9,"].mapping[",$A9,"].identity = """,$G$1,""""),"")</f>
        <v>#REF!</v>
      </c>
      <c r="J9" s="1" t="e">
        <f t="shared" ref="J9:J50" si="3">IF(H9,CONCATENATE("* differential.element[",$B9,"].mapping[",$A9,"].map = """,D9,""""),"")</f>
        <v>#REF!</v>
      </c>
      <c r="K9" s="1" t="str">
        <f t="shared" ref="K9:K50" si="4">IF(E9&gt;"",CONCATENATE("* differential.element[",$B9,"].mapping[",$A9,"].comment = """,E9,""""),"")</f>
        <v/>
      </c>
      <c r="M9" s="62"/>
      <c r="N9" s="31" t="e">
        <f t="shared" si="0"/>
        <v>#REF!</v>
      </c>
    </row>
    <row r="10" spans="1:14" x14ac:dyDescent="0.75">
      <c r="A10" s="32">
        <v>0</v>
      </c>
      <c r="B10" s="32" t="e">
        <f>#REF!</f>
        <v>#REF!</v>
      </c>
      <c r="C10" s="32" t="e">
        <f>#REF!</f>
        <v>#REF!</v>
      </c>
      <c r="D10" s="66" t="s">
        <v>99</v>
      </c>
      <c r="H10" s="31" t="b">
        <f t="shared" si="1"/>
        <v>1</v>
      </c>
      <c r="I10" s="1" t="e">
        <f t="shared" si="2"/>
        <v>#REF!</v>
      </c>
      <c r="J10" s="1" t="e">
        <f t="shared" si="3"/>
        <v>#REF!</v>
      </c>
      <c r="K10" s="1" t="str">
        <f t="shared" si="4"/>
        <v/>
      </c>
      <c r="M10" s="62"/>
      <c r="N10" s="31" t="e">
        <f t="shared" si="0"/>
        <v>#REF!</v>
      </c>
    </row>
    <row r="11" spans="1:14" x14ac:dyDescent="0.75">
      <c r="A11" s="32">
        <v>0</v>
      </c>
      <c r="B11" s="32" t="e">
        <f>#REF!</f>
        <v>#REF!</v>
      </c>
      <c r="C11" s="32" t="e">
        <f>#REF!</f>
        <v>#REF!</v>
      </c>
      <c r="D11" s="66"/>
      <c r="H11" s="31" t="b">
        <f t="shared" si="1"/>
        <v>0</v>
      </c>
      <c r="I11" s="1" t="str">
        <f t="shared" si="2"/>
        <v/>
      </c>
      <c r="J11" s="1" t="str">
        <f t="shared" si="3"/>
        <v/>
      </c>
      <c r="K11" s="1" t="str">
        <f t="shared" si="4"/>
        <v/>
      </c>
      <c r="M11" s="62"/>
      <c r="N11" s="31" t="e">
        <f t="shared" si="0"/>
        <v>#REF!</v>
      </c>
    </row>
    <row r="12" spans="1:14" x14ac:dyDescent="0.75">
      <c r="A12" s="32">
        <v>0</v>
      </c>
      <c r="B12" s="32" t="e">
        <f>#REF!</f>
        <v>#REF!</v>
      </c>
      <c r="C12" s="32" t="e">
        <f>#REF!</f>
        <v>#REF!</v>
      </c>
      <c r="D12" s="66" t="s">
        <v>100</v>
      </c>
      <c r="H12" s="31" t="b">
        <f t="shared" si="1"/>
        <v>1</v>
      </c>
      <c r="I12" s="1" t="e">
        <f t="shared" si="2"/>
        <v>#REF!</v>
      </c>
      <c r="J12" s="1" t="e">
        <f t="shared" si="3"/>
        <v>#REF!</v>
      </c>
      <c r="K12" s="1" t="str">
        <f t="shared" si="4"/>
        <v/>
      </c>
      <c r="M12" s="62"/>
      <c r="N12" s="31" t="e">
        <f t="shared" si="0"/>
        <v>#REF!</v>
      </c>
    </row>
    <row r="13" spans="1:14" x14ac:dyDescent="0.75">
      <c r="A13" s="32">
        <v>0</v>
      </c>
      <c r="B13" s="32" t="e">
        <f>#REF!</f>
        <v>#REF!</v>
      </c>
      <c r="C13" s="32" t="e">
        <f>#REF!</f>
        <v>#REF!</v>
      </c>
      <c r="D13" s="32" t="s">
        <v>964</v>
      </c>
      <c r="H13" s="31" t="b">
        <f t="shared" si="1"/>
        <v>1</v>
      </c>
      <c r="I13" s="1" t="e">
        <f t="shared" si="2"/>
        <v>#REF!</v>
      </c>
      <c r="J13" s="1" t="e">
        <f t="shared" si="3"/>
        <v>#REF!</v>
      </c>
      <c r="K13" s="1" t="str">
        <f t="shared" si="4"/>
        <v/>
      </c>
      <c r="M13" s="62"/>
      <c r="N13" s="31" t="e">
        <f t="shared" si="0"/>
        <v>#REF!</v>
      </c>
    </row>
    <row r="14" spans="1:14" x14ac:dyDescent="0.75">
      <c r="A14" s="32">
        <v>0</v>
      </c>
      <c r="B14" s="32" t="e">
        <f>#REF!</f>
        <v>#REF!</v>
      </c>
      <c r="C14" s="32" t="e">
        <f>#REF!</f>
        <v>#REF!</v>
      </c>
      <c r="D14" s="32" t="s">
        <v>101</v>
      </c>
      <c r="H14" s="31" t="b">
        <f t="shared" si="1"/>
        <v>1</v>
      </c>
      <c r="I14" s="1" t="e">
        <f t="shared" si="2"/>
        <v>#REF!</v>
      </c>
      <c r="J14" s="1" t="e">
        <f t="shared" si="3"/>
        <v>#REF!</v>
      </c>
      <c r="K14" s="1" t="str">
        <f t="shared" si="4"/>
        <v/>
      </c>
      <c r="M14" s="62"/>
      <c r="N14" s="31" t="e">
        <f t="shared" si="0"/>
        <v>#REF!</v>
      </c>
    </row>
    <row r="15" spans="1:14" x14ac:dyDescent="0.75">
      <c r="A15" s="32">
        <v>0</v>
      </c>
      <c r="B15" s="32" t="e">
        <f>#REF!</f>
        <v>#REF!</v>
      </c>
      <c r="C15" s="32" t="e">
        <f>#REF!</f>
        <v>#REF!</v>
      </c>
      <c r="D15" s="32" t="s">
        <v>102</v>
      </c>
      <c r="H15" s="31" t="b">
        <f t="shared" si="1"/>
        <v>1</v>
      </c>
      <c r="I15" s="1" t="e">
        <f t="shared" si="2"/>
        <v>#REF!</v>
      </c>
      <c r="J15" s="1" t="e">
        <f t="shared" si="3"/>
        <v>#REF!</v>
      </c>
      <c r="K15" s="1" t="str">
        <f t="shared" si="4"/>
        <v/>
      </c>
      <c r="N15" s="31" t="e">
        <f t="shared" si="0"/>
        <v>#REF!</v>
      </c>
    </row>
    <row r="16" spans="1:14" x14ac:dyDescent="0.75">
      <c r="A16" s="32">
        <v>0</v>
      </c>
      <c r="B16" s="32" t="e">
        <f>#REF!</f>
        <v>#REF!</v>
      </c>
      <c r="C16" s="32" t="e">
        <f>#REF!</f>
        <v>#REF!</v>
      </c>
      <c r="D16" s="32" t="s">
        <v>965</v>
      </c>
      <c r="H16" s="31" t="b">
        <f t="shared" si="1"/>
        <v>1</v>
      </c>
      <c r="I16" s="1" t="e">
        <f t="shared" si="2"/>
        <v>#REF!</v>
      </c>
      <c r="J16" s="1" t="e">
        <f t="shared" si="3"/>
        <v>#REF!</v>
      </c>
      <c r="K16" s="1" t="str">
        <f t="shared" si="4"/>
        <v/>
      </c>
      <c r="N16" s="31" t="e">
        <f t="shared" si="0"/>
        <v>#REF!</v>
      </c>
    </row>
    <row r="17" spans="1:14" x14ac:dyDescent="0.75">
      <c r="A17" s="32">
        <v>0</v>
      </c>
      <c r="B17" s="32" t="e">
        <f>#REF!</f>
        <v>#REF!</v>
      </c>
      <c r="C17" s="32" t="e">
        <f>#REF!</f>
        <v>#REF!</v>
      </c>
      <c r="D17" s="32" t="s">
        <v>967</v>
      </c>
      <c r="H17" s="31" t="b">
        <f t="shared" si="1"/>
        <v>1</v>
      </c>
      <c r="I17" s="1" t="e">
        <f t="shared" si="2"/>
        <v>#REF!</v>
      </c>
      <c r="J17" s="1" t="e">
        <f t="shared" si="3"/>
        <v>#REF!</v>
      </c>
      <c r="K17" s="1" t="str">
        <f t="shared" si="4"/>
        <v/>
      </c>
      <c r="N17" s="31" t="e">
        <f t="shared" si="0"/>
        <v>#REF!</v>
      </c>
    </row>
    <row r="18" spans="1:14" x14ac:dyDescent="0.75">
      <c r="A18" s="32">
        <v>0</v>
      </c>
      <c r="B18" s="32" t="e">
        <f>#REF!</f>
        <v>#REF!</v>
      </c>
      <c r="C18" s="32" t="e">
        <f>#REF!</f>
        <v>#REF!</v>
      </c>
      <c r="D18" s="32" t="s">
        <v>966</v>
      </c>
      <c r="H18" s="31" t="b">
        <f t="shared" si="1"/>
        <v>1</v>
      </c>
      <c r="I18" s="1" t="e">
        <f t="shared" si="2"/>
        <v>#REF!</v>
      </c>
      <c r="J18" s="1" t="e">
        <f t="shared" si="3"/>
        <v>#REF!</v>
      </c>
      <c r="K18" s="1" t="str">
        <f t="shared" si="4"/>
        <v/>
      </c>
      <c r="N18" s="31" t="e">
        <f t="shared" si="0"/>
        <v>#REF!</v>
      </c>
    </row>
    <row r="19" spans="1:14" x14ac:dyDescent="0.75">
      <c r="A19" s="32">
        <v>0</v>
      </c>
      <c r="B19" s="32" t="e">
        <f>#REF!</f>
        <v>#REF!</v>
      </c>
      <c r="C19" s="32" t="e">
        <f>#REF!</f>
        <v>#REF!</v>
      </c>
      <c r="D19" s="32" t="s">
        <v>966</v>
      </c>
      <c r="H19" s="31" t="b">
        <f t="shared" si="1"/>
        <v>1</v>
      </c>
      <c r="I19" s="1" t="e">
        <f t="shared" si="2"/>
        <v>#REF!</v>
      </c>
      <c r="J19" s="1" t="e">
        <f t="shared" si="3"/>
        <v>#REF!</v>
      </c>
      <c r="K19" s="1" t="str">
        <f t="shared" si="4"/>
        <v/>
      </c>
      <c r="N19" s="31" t="e">
        <f t="shared" si="0"/>
        <v>#REF!</v>
      </c>
    </row>
    <row r="20" spans="1:14" x14ac:dyDescent="0.75">
      <c r="A20" s="32">
        <v>0</v>
      </c>
      <c r="B20" s="32" t="e">
        <f>#REF!</f>
        <v>#REF!</v>
      </c>
      <c r="C20" s="32" t="e">
        <f>#REF!</f>
        <v>#REF!</v>
      </c>
      <c r="D20" s="28"/>
      <c r="H20" s="31" t="b">
        <f t="shared" si="1"/>
        <v>0</v>
      </c>
      <c r="I20" s="1" t="str">
        <f t="shared" si="2"/>
        <v/>
      </c>
      <c r="J20" s="1" t="str">
        <f t="shared" si="3"/>
        <v/>
      </c>
      <c r="K20" s="1" t="str">
        <f t="shared" si="4"/>
        <v/>
      </c>
      <c r="N20" s="31" t="e">
        <f t="shared" si="0"/>
        <v>#REF!</v>
      </c>
    </row>
    <row r="21" spans="1:14" x14ac:dyDescent="0.75">
      <c r="A21" s="32">
        <v>0</v>
      </c>
      <c r="B21" s="32" t="e">
        <f>#REF!</f>
        <v>#REF!</v>
      </c>
      <c r="C21" s="32" t="e">
        <f>#REF!</f>
        <v>#REF!</v>
      </c>
      <c r="D21" s="32" t="s">
        <v>967</v>
      </c>
      <c r="H21" s="31" t="b">
        <f t="shared" si="1"/>
        <v>1</v>
      </c>
      <c r="I21" s="1" t="e">
        <f t="shared" si="2"/>
        <v>#REF!</v>
      </c>
      <c r="J21" s="1" t="e">
        <f t="shared" si="3"/>
        <v>#REF!</v>
      </c>
      <c r="K21" s="1" t="str">
        <f t="shared" si="4"/>
        <v/>
      </c>
      <c r="N21" s="31" t="e">
        <f t="shared" si="0"/>
        <v>#REF!</v>
      </c>
    </row>
    <row r="22" spans="1:14" x14ac:dyDescent="0.75">
      <c r="A22" s="32">
        <v>0</v>
      </c>
      <c r="B22" s="32" t="e">
        <f>#REF!</f>
        <v>#REF!</v>
      </c>
      <c r="C22" s="32" t="e">
        <f>#REF!</f>
        <v>#REF!</v>
      </c>
      <c r="D22" s="32" t="s">
        <v>966</v>
      </c>
      <c r="H22" s="31" t="b">
        <f t="shared" si="1"/>
        <v>1</v>
      </c>
      <c r="I22" s="1" t="e">
        <f t="shared" si="2"/>
        <v>#REF!</v>
      </c>
      <c r="J22" s="1" t="e">
        <f t="shared" si="3"/>
        <v>#REF!</v>
      </c>
      <c r="K22" s="1" t="str">
        <f t="shared" si="4"/>
        <v/>
      </c>
      <c r="N22" s="31" t="e">
        <f t="shared" si="0"/>
        <v>#REF!</v>
      </c>
    </row>
    <row r="23" spans="1:14" x14ac:dyDescent="0.75">
      <c r="A23" s="32">
        <v>0</v>
      </c>
      <c r="B23" s="32" t="e">
        <f>#REF!</f>
        <v>#REF!</v>
      </c>
      <c r="C23" s="32" t="e">
        <f>#REF!</f>
        <v>#REF!</v>
      </c>
      <c r="D23" s="32" t="s">
        <v>966</v>
      </c>
      <c r="H23" s="31" t="b">
        <f t="shared" si="1"/>
        <v>1</v>
      </c>
      <c r="I23" s="1" t="e">
        <f t="shared" si="2"/>
        <v>#REF!</v>
      </c>
      <c r="J23" s="1" t="e">
        <f t="shared" si="3"/>
        <v>#REF!</v>
      </c>
      <c r="K23" s="1" t="str">
        <f t="shared" si="4"/>
        <v/>
      </c>
      <c r="N23" s="31" t="e">
        <f t="shared" si="0"/>
        <v>#REF!</v>
      </c>
    </row>
    <row r="24" spans="1:14" x14ac:dyDescent="0.75">
      <c r="A24" s="32">
        <v>0</v>
      </c>
      <c r="B24" s="32" t="e">
        <f>#REF!</f>
        <v>#REF!</v>
      </c>
      <c r="C24" s="32" t="e">
        <f>#REF!</f>
        <v>#REF!</v>
      </c>
      <c r="D24" s="32"/>
      <c r="H24" s="31" t="b">
        <f t="shared" si="1"/>
        <v>0</v>
      </c>
      <c r="I24" s="1" t="str">
        <f t="shared" si="2"/>
        <v/>
      </c>
      <c r="J24" s="1" t="str">
        <f t="shared" si="3"/>
        <v/>
      </c>
      <c r="K24" s="1" t="str">
        <f t="shared" si="4"/>
        <v/>
      </c>
      <c r="N24" s="31" t="e">
        <f t="shared" si="0"/>
        <v>#REF!</v>
      </c>
    </row>
    <row r="25" spans="1:14" x14ac:dyDescent="0.75">
      <c r="A25" s="32">
        <v>0</v>
      </c>
      <c r="B25" s="32" t="e">
        <f>#REF!</f>
        <v>#REF!</v>
      </c>
      <c r="C25" s="32" t="e">
        <f>#REF!</f>
        <v>#REF!</v>
      </c>
      <c r="D25" s="32"/>
      <c r="H25" s="31" t="b">
        <f t="shared" si="1"/>
        <v>0</v>
      </c>
      <c r="I25" s="1" t="str">
        <f t="shared" si="2"/>
        <v/>
      </c>
      <c r="J25" s="1" t="str">
        <f t="shared" si="3"/>
        <v/>
      </c>
      <c r="K25" s="1" t="str">
        <f t="shared" si="4"/>
        <v/>
      </c>
      <c r="N25" s="31" t="e">
        <f t="shared" si="0"/>
        <v>#REF!</v>
      </c>
    </row>
    <row r="26" spans="1:14" x14ac:dyDescent="0.75">
      <c r="A26" s="32">
        <v>0</v>
      </c>
      <c r="B26" s="32" t="e">
        <f>#REF!</f>
        <v>#REF!</v>
      </c>
      <c r="C26" s="32" t="e">
        <f>#REF!</f>
        <v>#REF!</v>
      </c>
      <c r="D26" s="32"/>
      <c r="H26" s="31" t="b">
        <f t="shared" si="1"/>
        <v>0</v>
      </c>
      <c r="I26" s="1" t="str">
        <f t="shared" si="2"/>
        <v/>
      </c>
      <c r="J26" s="1" t="str">
        <f t="shared" si="3"/>
        <v/>
      </c>
      <c r="K26" s="1" t="str">
        <f t="shared" si="4"/>
        <v/>
      </c>
      <c r="N26" s="31" t="e">
        <f t="shared" si="0"/>
        <v>#REF!</v>
      </c>
    </row>
    <row r="27" spans="1:14" x14ac:dyDescent="0.75">
      <c r="A27" s="32">
        <v>0</v>
      </c>
      <c r="B27" s="32" t="e">
        <f>#REF!</f>
        <v>#REF!</v>
      </c>
      <c r="C27" s="32" t="e">
        <f>#REF!</f>
        <v>#REF!</v>
      </c>
      <c r="D27" s="32"/>
      <c r="H27" s="31" t="b">
        <f t="shared" si="1"/>
        <v>0</v>
      </c>
      <c r="I27" s="1" t="str">
        <f t="shared" si="2"/>
        <v/>
      </c>
      <c r="J27" s="1" t="str">
        <f t="shared" si="3"/>
        <v/>
      </c>
      <c r="K27" s="1" t="str">
        <f t="shared" si="4"/>
        <v/>
      </c>
      <c r="N27" s="31" t="e">
        <f t="shared" si="0"/>
        <v>#REF!</v>
      </c>
    </row>
    <row r="28" spans="1:14" x14ac:dyDescent="0.75">
      <c r="A28" s="32">
        <v>0</v>
      </c>
      <c r="B28" s="32" t="e">
        <f>#REF!</f>
        <v>#REF!</v>
      </c>
      <c r="C28" s="32" t="e">
        <f>#REF!</f>
        <v>#REF!</v>
      </c>
      <c r="D28" s="32"/>
      <c r="H28" s="31" t="b">
        <f t="shared" si="1"/>
        <v>0</v>
      </c>
      <c r="I28" s="1" t="str">
        <f t="shared" si="2"/>
        <v/>
      </c>
      <c r="J28" s="1" t="str">
        <f t="shared" si="3"/>
        <v/>
      </c>
      <c r="K28" s="1" t="str">
        <f t="shared" si="4"/>
        <v/>
      </c>
      <c r="N28" s="31" t="e">
        <f t="shared" si="0"/>
        <v>#REF!</v>
      </c>
    </row>
    <row r="29" spans="1:14" x14ac:dyDescent="0.75">
      <c r="A29" s="32">
        <v>0</v>
      </c>
      <c r="B29" s="32" t="e">
        <f>#REF!</f>
        <v>#REF!</v>
      </c>
      <c r="C29" s="32" t="e">
        <f>#REF!</f>
        <v>#REF!</v>
      </c>
      <c r="D29" s="32"/>
      <c r="H29" s="31" t="b">
        <f t="shared" si="1"/>
        <v>0</v>
      </c>
      <c r="I29" s="1" t="str">
        <f t="shared" si="2"/>
        <v/>
      </c>
      <c r="J29" s="1" t="str">
        <f t="shared" si="3"/>
        <v/>
      </c>
      <c r="K29" s="1" t="str">
        <f t="shared" si="4"/>
        <v/>
      </c>
      <c r="N29" s="31" t="e">
        <f t="shared" si="0"/>
        <v>#REF!</v>
      </c>
    </row>
    <row r="30" spans="1:14" x14ac:dyDescent="0.75">
      <c r="A30" s="32">
        <v>0</v>
      </c>
      <c r="B30" s="32" t="e">
        <f>#REF!</f>
        <v>#REF!</v>
      </c>
      <c r="C30" s="32" t="e">
        <f>#REF!</f>
        <v>#REF!</v>
      </c>
      <c r="D30" s="28"/>
      <c r="H30" s="31" t="b">
        <f t="shared" si="1"/>
        <v>0</v>
      </c>
      <c r="I30" s="1" t="str">
        <f t="shared" si="2"/>
        <v/>
      </c>
      <c r="J30" s="1" t="str">
        <f t="shared" si="3"/>
        <v/>
      </c>
      <c r="K30" s="1" t="str">
        <f t="shared" si="4"/>
        <v/>
      </c>
      <c r="N30" s="31" t="e">
        <f t="shared" si="0"/>
        <v>#REF!</v>
      </c>
    </row>
    <row r="31" spans="1:14" x14ac:dyDescent="0.75">
      <c r="A31" s="32">
        <v>0</v>
      </c>
      <c r="B31" s="32" t="e">
        <f>#REF!</f>
        <v>#REF!</v>
      </c>
      <c r="C31" s="32" t="e">
        <f>#REF!</f>
        <v>#REF!</v>
      </c>
      <c r="D31" s="32"/>
      <c r="H31" s="31" t="b">
        <f t="shared" si="1"/>
        <v>0</v>
      </c>
      <c r="I31" s="1" t="str">
        <f t="shared" si="2"/>
        <v/>
      </c>
      <c r="J31" s="1" t="str">
        <f t="shared" si="3"/>
        <v/>
      </c>
      <c r="K31" s="1" t="str">
        <f t="shared" si="4"/>
        <v/>
      </c>
      <c r="N31" s="31" t="e">
        <f t="shared" si="0"/>
        <v>#REF!</v>
      </c>
    </row>
    <row r="32" spans="1:14" x14ac:dyDescent="0.75">
      <c r="A32" s="32">
        <v>0</v>
      </c>
      <c r="B32" s="32" t="e">
        <f>#REF!</f>
        <v>#REF!</v>
      </c>
      <c r="C32" s="32" t="e">
        <f>#REF!</f>
        <v>#REF!</v>
      </c>
      <c r="D32" s="32"/>
      <c r="H32" s="31" t="b">
        <f t="shared" si="1"/>
        <v>0</v>
      </c>
      <c r="I32" s="1" t="str">
        <f t="shared" si="2"/>
        <v/>
      </c>
      <c r="J32" s="1" t="str">
        <f t="shared" si="3"/>
        <v/>
      </c>
      <c r="K32" s="1" t="str">
        <f t="shared" si="4"/>
        <v/>
      </c>
      <c r="N32" s="31" t="e">
        <f t="shared" si="0"/>
        <v>#REF!</v>
      </c>
    </row>
    <row r="33" spans="1:14" x14ac:dyDescent="0.75">
      <c r="A33" s="32">
        <v>0</v>
      </c>
      <c r="B33" s="32"/>
      <c r="C33" s="32"/>
      <c r="D33" s="32"/>
      <c r="H33" s="31" t="b">
        <f t="shared" si="1"/>
        <v>0</v>
      </c>
      <c r="I33" s="1" t="str">
        <f t="shared" si="2"/>
        <v/>
      </c>
      <c r="J33" s="1" t="str">
        <f t="shared" si="3"/>
        <v/>
      </c>
      <c r="K33" s="1" t="str">
        <f t="shared" si="4"/>
        <v/>
      </c>
      <c r="N33" s="31" t="str">
        <f t="shared" si="0"/>
        <v>*  -&gt; ""</v>
      </c>
    </row>
    <row r="34" spans="1:14" x14ac:dyDescent="0.75">
      <c r="A34" s="32">
        <v>0</v>
      </c>
      <c r="B34" s="32"/>
      <c r="C34" s="32"/>
      <c r="D34" s="32"/>
      <c r="H34" s="31" t="b">
        <f t="shared" si="1"/>
        <v>0</v>
      </c>
      <c r="I34" s="1" t="str">
        <f t="shared" si="2"/>
        <v/>
      </c>
      <c r="J34" s="1" t="str">
        <f t="shared" si="3"/>
        <v/>
      </c>
      <c r="K34" s="1" t="str">
        <f t="shared" si="4"/>
        <v/>
      </c>
      <c r="N34" s="31" t="str">
        <f t="shared" si="0"/>
        <v>*  -&gt; ""</v>
      </c>
    </row>
    <row r="35" spans="1:14" x14ac:dyDescent="0.75">
      <c r="A35" s="32">
        <v>0</v>
      </c>
      <c r="B35" s="32"/>
      <c r="C35" s="32"/>
      <c r="D35" s="28"/>
      <c r="H35" s="31" t="b">
        <f t="shared" si="1"/>
        <v>0</v>
      </c>
      <c r="I35" s="1" t="str">
        <f t="shared" si="2"/>
        <v/>
      </c>
      <c r="J35" s="1" t="str">
        <f t="shared" si="3"/>
        <v/>
      </c>
      <c r="K35" s="1" t="str">
        <f t="shared" si="4"/>
        <v/>
      </c>
      <c r="N35" s="31" t="str">
        <f t="shared" si="0"/>
        <v>*  -&gt; ""</v>
      </c>
    </row>
    <row r="36" spans="1:14" x14ac:dyDescent="0.75">
      <c r="A36" s="32">
        <v>0</v>
      </c>
      <c r="B36" s="32"/>
      <c r="C36" s="32"/>
      <c r="D36" s="32"/>
      <c r="H36" s="31" t="b">
        <f t="shared" si="1"/>
        <v>0</v>
      </c>
      <c r="I36" s="1" t="str">
        <f t="shared" si="2"/>
        <v/>
      </c>
      <c r="J36" s="1" t="str">
        <f t="shared" si="3"/>
        <v/>
      </c>
      <c r="K36" s="1" t="str">
        <f t="shared" si="4"/>
        <v/>
      </c>
      <c r="N36" s="31" t="str">
        <f t="shared" si="0"/>
        <v>*  -&gt; ""</v>
      </c>
    </row>
    <row r="37" spans="1:14" x14ac:dyDescent="0.75">
      <c r="A37" s="32">
        <v>0</v>
      </c>
      <c r="B37" s="32"/>
      <c r="C37" s="32"/>
      <c r="D37" s="32"/>
      <c r="H37" s="31" t="b">
        <f t="shared" si="1"/>
        <v>0</v>
      </c>
      <c r="I37" s="1" t="str">
        <f t="shared" si="2"/>
        <v/>
      </c>
      <c r="J37" s="1" t="str">
        <f t="shared" si="3"/>
        <v/>
      </c>
      <c r="K37" s="1" t="str">
        <f t="shared" si="4"/>
        <v/>
      </c>
      <c r="N37" s="31" t="str">
        <f t="shared" si="0"/>
        <v>*  -&gt; ""</v>
      </c>
    </row>
    <row r="38" spans="1:14" x14ac:dyDescent="0.75">
      <c r="A38" s="32">
        <v>0</v>
      </c>
      <c r="B38" s="32"/>
      <c r="C38" s="32"/>
      <c r="D38" s="32"/>
      <c r="H38" s="31" t="b">
        <f t="shared" si="1"/>
        <v>0</v>
      </c>
      <c r="I38" s="1" t="str">
        <f t="shared" si="2"/>
        <v/>
      </c>
      <c r="J38" s="1" t="str">
        <f t="shared" si="3"/>
        <v/>
      </c>
      <c r="K38" s="1" t="str">
        <f t="shared" si="4"/>
        <v/>
      </c>
      <c r="N38" s="31" t="str">
        <f t="shared" si="0"/>
        <v>*  -&gt; ""</v>
      </c>
    </row>
    <row r="39" spans="1:14" x14ac:dyDescent="0.75">
      <c r="A39" s="32">
        <v>0</v>
      </c>
      <c r="B39" s="32"/>
      <c r="C39" s="32"/>
      <c r="D39" s="32"/>
      <c r="H39" s="31" t="b">
        <f t="shared" si="1"/>
        <v>0</v>
      </c>
      <c r="I39" s="1" t="str">
        <f t="shared" si="2"/>
        <v/>
      </c>
      <c r="J39" s="1" t="str">
        <f t="shared" si="3"/>
        <v/>
      </c>
      <c r="K39" s="1" t="str">
        <f t="shared" si="4"/>
        <v/>
      </c>
      <c r="N39" s="31" t="str">
        <f t="shared" si="0"/>
        <v>*  -&gt; ""</v>
      </c>
    </row>
    <row r="40" spans="1:14" x14ac:dyDescent="0.75">
      <c r="A40" s="32">
        <v>0</v>
      </c>
      <c r="B40" s="32"/>
      <c r="C40" s="32"/>
      <c r="D40" s="32"/>
      <c r="H40" s="31" t="b">
        <f t="shared" si="1"/>
        <v>0</v>
      </c>
      <c r="I40" s="1" t="str">
        <f t="shared" si="2"/>
        <v/>
      </c>
      <c r="J40" s="1" t="str">
        <f t="shared" si="3"/>
        <v/>
      </c>
      <c r="K40" s="1" t="str">
        <f t="shared" si="4"/>
        <v/>
      </c>
      <c r="N40" s="31" t="str">
        <f t="shared" si="0"/>
        <v>*  -&gt; ""</v>
      </c>
    </row>
    <row r="41" spans="1:14" x14ac:dyDescent="0.75">
      <c r="A41" s="32">
        <v>0</v>
      </c>
      <c r="B41" s="32"/>
      <c r="C41" s="32"/>
      <c r="D41" s="63"/>
      <c r="H41" s="31" t="b">
        <f t="shared" si="1"/>
        <v>0</v>
      </c>
      <c r="I41" s="1" t="str">
        <f t="shared" si="2"/>
        <v/>
      </c>
      <c r="J41" s="1" t="str">
        <f t="shared" si="3"/>
        <v/>
      </c>
      <c r="K41" s="1" t="str">
        <f t="shared" si="4"/>
        <v/>
      </c>
      <c r="N41" s="31" t="str">
        <f t="shared" si="0"/>
        <v>*  -&gt; ""</v>
      </c>
    </row>
    <row r="42" spans="1:14" x14ac:dyDescent="0.75">
      <c r="A42" s="32"/>
      <c r="B42" s="32"/>
      <c r="C42" s="32"/>
      <c r="D42" s="32"/>
      <c r="H42" s="31" t="b">
        <f>IF(D42&gt;"",TRUE,FALSE)</f>
        <v>0</v>
      </c>
      <c r="I42" s="1" t="str">
        <f t="shared" si="2"/>
        <v/>
      </c>
      <c r="J42" s="1" t="str">
        <f t="shared" si="3"/>
        <v/>
      </c>
      <c r="K42" s="1" t="str">
        <f t="shared" si="4"/>
        <v/>
      </c>
    </row>
    <row r="43" spans="1:14" x14ac:dyDescent="0.75">
      <c r="A43" s="32"/>
      <c r="B43" s="32"/>
      <c r="C43" s="32"/>
      <c r="D43" s="32"/>
      <c r="H43" s="31" t="b">
        <f t="shared" si="1"/>
        <v>0</v>
      </c>
      <c r="I43" s="1" t="str">
        <f t="shared" si="2"/>
        <v/>
      </c>
      <c r="J43" s="1" t="str">
        <f t="shared" si="3"/>
        <v/>
      </c>
      <c r="K43" s="1" t="str">
        <f t="shared" si="4"/>
        <v/>
      </c>
    </row>
    <row r="44" spans="1:14" x14ac:dyDescent="0.75">
      <c r="A44" s="32"/>
      <c r="B44" s="32"/>
      <c r="C44" s="32"/>
      <c r="D44" s="32"/>
      <c r="H44" s="31" t="b">
        <f t="shared" si="1"/>
        <v>0</v>
      </c>
      <c r="I44" s="1" t="str">
        <f t="shared" si="2"/>
        <v/>
      </c>
      <c r="J44" s="1" t="str">
        <f t="shared" si="3"/>
        <v/>
      </c>
      <c r="K44" s="1" t="str">
        <f t="shared" si="4"/>
        <v/>
      </c>
    </row>
    <row r="45" spans="1:14" x14ac:dyDescent="0.75">
      <c r="A45" s="32"/>
      <c r="B45" s="32"/>
      <c r="C45" s="32"/>
      <c r="D45" s="32"/>
      <c r="H45" s="31" t="b">
        <f t="shared" si="1"/>
        <v>0</v>
      </c>
      <c r="I45" s="1" t="str">
        <f t="shared" si="2"/>
        <v/>
      </c>
      <c r="J45" s="1" t="str">
        <f t="shared" si="3"/>
        <v/>
      </c>
      <c r="K45" s="1" t="str">
        <f t="shared" si="4"/>
        <v/>
      </c>
    </row>
    <row r="46" spans="1:14" x14ac:dyDescent="0.75">
      <c r="B46" s="31" t="e">
        <f>'Base-1'!#REF!</f>
        <v>#REF!</v>
      </c>
      <c r="H46" s="31" t="b">
        <f t="shared" si="1"/>
        <v>0</v>
      </c>
      <c r="I46" s="1" t="str">
        <f t="shared" si="2"/>
        <v/>
      </c>
      <c r="J46" s="1" t="str">
        <f t="shared" si="3"/>
        <v/>
      </c>
      <c r="K46" s="1" t="str">
        <f t="shared" si="4"/>
        <v/>
      </c>
    </row>
    <row r="47" spans="1:14" x14ac:dyDescent="0.75">
      <c r="B47" s="31" t="e">
        <f>'Base-1'!#REF!</f>
        <v>#REF!</v>
      </c>
      <c r="C47" s="31" t="e">
        <f>'Base-1'!#REF!</f>
        <v>#REF!</v>
      </c>
      <c r="H47" s="31" t="b">
        <f t="shared" si="1"/>
        <v>0</v>
      </c>
      <c r="I47" s="1" t="str">
        <f t="shared" si="2"/>
        <v/>
      </c>
      <c r="J47" s="1" t="str">
        <f t="shared" si="3"/>
        <v/>
      </c>
      <c r="K47" s="1" t="str">
        <f t="shared" si="4"/>
        <v/>
      </c>
    </row>
    <row r="48" spans="1:14" x14ac:dyDescent="0.75">
      <c r="B48" s="31" t="e">
        <f>'Base-1'!#REF!</f>
        <v>#REF!</v>
      </c>
      <c r="C48" s="31" t="e">
        <f>'Base-1'!#REF!</f>
        <v>#REF!</v>
      </c>
      <c r="H48" s="31" t="b">
        <f t="shared" si="1"/>
        <v>0</v>
      </c>
      <c r="I48" s="1" t="str">
        <f t="shared" si="2"/>
        <v/>
      </c>
      <c r="J48" s="1" t="str">
        <f t="shared" si="3"/>
        <v/>
      </c>
      <c r="K48" s="1" t="str">
        <f t="shared" si="4"/>
        <v/>
      </c>
    </row>
    <row r="49" spans="2:11" x14ac:dyDescent="0.75">
      <c r="B49" s="31" t="e">
        <f>'Base-1'!#REF!</f>
        <v>#REF!</v>
      </c>
      <c r="C49" s="31" t="e">
        <f>'Base-1'!#REF!</f>
        <v>#REF!</v>
      </c>
      <c r="H49" s="31" t="b">
        <f t="shared" si="1"/>
        <v>0</v>
      </c>
      <c r="I49" s="1" t="str">
        <f t="shared" si="2"/>
        <v/>
      </c>
      <c r="J49" s="1" t="str">
        <f t="shared" si="3"/>
        <v/>
      </c>
      <c r="K49" s="1" t="str">
        <f t="shared" si="4"/>
        <v/>
      </c>
    </row>
    <row r="50" spans="2:11" x14ac:dyDescent="0.75">
      <c r="B50" s="31" t="e">
        <f>'Base-1'!#REF!</f>
        <v>#REF!</v>
      </c>
      <c r="C50" s="31" t="e">
        <f>'Base-1'!#REF!</f>
        <v>#REF!</v>
      </c>
      <c r="H50" s="31" t="b">
        <f t="shared" si="1"/>
        <v>0</v>
      </c>
      <c r="I50" s="1" t="str">
        <f t="shared" si="2"/>
        <v/>
      </c>
      <c r="J50" s="1" t="str">
        <f t="shared" si="3"/>
        <v/>
      </c>
      <c r="K50" s="1" t="str">
        <f t="shared" si="4"/>
        <v/>
      </c>
    </row>
    <row r="51" spans="2:11" x14ac:dyDescent="0.75">
      <c r="B51" s="31" t="e">
        <f>'Base-1'!#REF!</f>
        <v>#REF!</v>
      </c>
      <c r="C51" s="31" t="e">
        <f>'Base-1'!#REF!</f>
        <v>#REF!</v>
      </c>
    </row>
    <row r="52" spans="2:11" x14ac:dyDescent="0.75">
      <c r="B52" s="31" t="e">
        <f>'Base-1'!#REF!</f>
        <v>#REF!</v>
      </c>
      <c r="C52" s="31" t="e">
        <f>'Base-1'!#REF!</f>
        <v>#REF!</v>
      </c>
    </row>
    <row r="53" spans="2:11" x14ac:dyDescent="0.75">
      <c r="B53" s="31" t="e">
        <f>'Base-1'!#REF!</f>
        <v>#REF!</v>
      </c>
      <c r="C53" s="31" t="e">
        <f>'Base-1'!#REF!</f>
        <v>#REF!</v>
      </c>
    </row>
    <row r="54" spans="2:11" x14ac:dyDescent="0.75">
      <c r="B54" s="31" t="e">
        <f>'Base-1'!#REF!</f>
        <v>#REF!</v>
      </c>
      <c r="C54" s="31" t="e">
        <f>'Base-1'!#REF!</f>
        <v>#REF!</v>
      </c>
    </row>
    <row r="55" spans="2:11" x14ac:dyDescent="0.75">
      <c r="B55" s="31" t="e">
        <f>'Base-1'!#REF!</f>
        <v>#REF!</v>
      </c>
      <c r="C55" s="31" t="e">
        <f>'Base-1'!#REF!</f>
        <v>#REF!</v>
      </c>
    </row>
    <row r="56" spans="2:11" x14ac:dyDescent="0.75">
      <c r="B56" s="31" t="e">
        <f>'Base-1'!#REF!</f>
        <v>#REF!</v>
      </c>
      <c r="C56" s="31" t="e">
        <f>'Base-1'!#REF!</f>
        <v>#REF!</v>
      </c>
    </row>
    <row r="57" spans="2:11" x14ac:dyDescent="0.75">
      <c r="B57" s="31" t="e">
        <f>'Base-1'!#REF!</f>
        <v>#REF!</v>
      </c>
      <c r="C57" s="31" t="e">
        <f>'Base-1'!#REF!</f>
        <v>#REF!</v>
      </c>
    </row>
    <row r="58" spans="2:11" x14ac:dyDescent="0.75">
      <c r="B58" s="31" t="e">
        <f>'Base-1'!#REF!</f>
        <v>#REF!</v>
      </c>
      <c r="C58" s="31" t="e">
        <f>'Base-1'!#REF!</f>
        <v>#REF!</v>
      </c>
    </row>
    <row r="59" spans="2:11" x14ac:dyDescent="0.75">
      <c r="B59" s="31" t="e">
        <f>'Base-1'!#REF!</f>
        <v>#REF!</v>
      </c>
      <c r="C59" s="31" t="e">
        <f>'Base-1'!#REF!</f>
        <v>#REF!</v>
      </c>
    </row>
    <row r="60" spans="2:11" x14ac:dyDescent="0.75">
      <c r="B60" s="31">
        <f>'Base-1'!A64</f>
        <v>0</v>
      </c>
      <c r="C60" s="31">
        <f>'Base-1'!B64</f>
        <v>0</v>
      </c>
    </row>
    <row r="61" spans="2:11" x14ac:dyDescent="0.75">
      <c r="B61" s="31">
        <f>'Base-1'!A65</f>
        <v>0</v>
      </c>
      <c r="C61" s="31">
        <f>'Base-1'!B65</f>
        <v>0</v>
      </c>
    </row>
    <row r="62" spans="2:11" x14ac:dyDescent="0.75">
      <c r="B62" s="31">
        <f>'Base-1'!A66</f>
        <v>0</v>
      </c>
      <c r="C62" s="31">
        <f>'Base-1'!B66</f>
        <v>0</v>
      </c>
    </row>
    <row r="63" spans="2:11" x14ac:dyDescent="0.75">
      <c r="B63" s="31">
        <f>'Base-1'!A67</f>
        <v>0</v>
      </c>
      <c r="C63" s="31">
        <f>'Base-1'!B67</f>
        <v>0</v>
      </c>
    </row>
    <row r="64" spans="2:11" x14ac:dyDescent="0.75">
      <c r="B64" s="31">
        <f>'Base-1'!A68</f>
        <v>0</v>
      </c>
      <c r="C64" s="31">
        <f>'Base-1'!B68</f>
        <v>0</v>
      </c>
    </row>
    <row r="65" spans="2:3" x14ac:dyDescent="0.75">
      <c r="B65" s="31">
        <f>'Base-1'!A69</f>
        <v>0</v>
      </c>
      <c r="C65" s="31">
        <f>'Base-1'!B69</f>
        <v>0</v>
      </c>
    </row>
    <row r="66" spans="2:3" x14ac:dyDescent="0.75">
      <c r="B66" s="31">
        <f>'Base-1'!A70</f>
        <v>0</v>
      </c>
      <c r="C66" s="31">
        <f>'Base-1'!B70</f>
        <v>0</v>
      </c>
    </row>
    <row r="67" spans="2:3" x14ac:dyDescent="0.75">
      <c r="B67" s="31">
        <f>'Base-1'!A71</f>
        <v>0</v>
      </c>
      <c r="C67" s="31">
        <f>'Base-1'!B71</f>
        <v>0</v>
      </c>
    </row>
    <row r="68" spans="2:3" x14ac:dyDescent="0.75">
      <c r="B68" s="31">
        <f>'Base-1'!A72</f>
        <v>0</v>
      </c>
      <c r="C68" s="31">
        <f>'Base-1'!B72</f>
        <v>0</v>
      </c>
    </row>
    <row r="69" spans="2:3" x14ac:dyDescent="0.75">
      <c r="B69" s="31">
        <f>'Base-1'!A73</f>
        <v>0</v>
      </c>
      <c r="C69" s="31">
        <f>'Base-1'!B73</f>
        <v>0</v>
      </c>
    </row>
    <row r="70" spans="2:3" x14ac:dyDescent="0.75">
      <c r="B70" s="31">
        <f>'Base-1'!A74</f>
        <v>0</v>
      </c>
      <c r="C70" s="31">
        <f>'Base-1'!B74</f>
        <v>0</v>
      </c>
    </row>
    <row r="71" spans="2:3" x14ac:dyDescent="0.75">
      <c r="B71" s="31">
        <f>'Base-1'!A75</f>
        <v>0</v>
      </c>
      <c r="C71" s="31">
        <f>'Base-1'!B75</f>
        <v>0</v>
      </c>
    </row>
    <row r="72" spans="2:3" x14ac:dyDescent="0.75">
      <c r="B72" s="31">
        <f>'Base-1'!A76</f>
        <v>0</v>
      </c>
      <c r="C72" s="31">
        <f>'Base-1'!B76</f>
        <v>0</v>
      </c>
    </row>
    <row r="73" spans="2:3" x14ac:dyDescent="0.75">
      <c r="B73" s="31">
        <f>'Base-1'!A77</f>
        <v>0</v>
      </c>
      <c r="C73" s="31">
        <f>'Base-1'!B77</f>
        <v>0</v>
      </c>
    </row>
    <row r="74" spans="2:3" x14ac:dyDescent="0.75">
      <c r="B74" s="31">
        <f>'Base-1'!A78</f>
        <v>0</v>
      </c>
      <c r="C74" s="31">
        <f>'Base-1'!B78</f>
        <v>0</v>
      </c>
    </row>
    <row r="75" spans="2:3" x14ac:dyDescent="0.75">
      <c r="B75" s="31">
        <f>'Base-1'!A79</f>
        <v>0</v>
      </c>
      <c r="C75" s="31">
        <f>'Base-1'!B79</f>
        <v>0</v>
      </c>
    </row>
    <row r="76" spans="2:3" x14ac:dyDescent="0.75">
      <c r="B76" s="31">
        <f>'Base-1'!A80</f>
        <v>0</v>
      </c>
      <c r="C76" s="31">
        <f>'Base-1'!B80</f>
        <v>0</v>
      </c>
    </row>
    <row r="77" spans="2:3" x14ac:dyDescent="0.75">
      <c r="B77" s="31">
        <f>'Base-1'!A81</f>
        <v>0</v>
      </c>
      <c r="C77" s="31">
        <f>'Base-1'!B81</f>
        <v>0</v>
      </c>
    </row>
    <row r="78" spans="2:3" x14ac:dyDescent="0.75">
      <c r="B78" s="31">
        <f>'Base-1'!A82</f>
        <v>0</v>
      </c>
      <c r="C78" s="31">
        <f>'Base-1'!B82</f>
        <v>0</v>
      </c>
    </row>
    <row r="79" spans="2:3" x14ac:dyDescent="0.75">
      <c r="B79" s="31">
        <f>'Base-1'!A83</f>
        <v>0</v>
      </c>
      <c r="C79" s="31">
        <f>'Base-1'!B83</f>
        <v>0</v>
      </c>
    </row>
    <row r="80" spans="2:3" x14ac:dyDescent="0.75">
      <c r="B80" s="31">
        <f>'Base-1'!A84</f>
        <v>0</v>
      </c>
      <c r="C80" s="31">
        <f>'Base-1'!B84</f>
        <v>0</v>
      </c>
    </row>
    <row r="81" spans="2:3" x14ac:dyDescent="0.75">
      <c r="B81" s="31">
        <f>'Base-1'!A85</f>
        <v>0</v>
      </c>
      <c r="C81" s="31">
        <f>'Base-1'!B85</f>
        <v>0</v>
      </c>
    </row>
    <row r="82" spans="2:3" x14ac:dyDescent="0.75">
      <c r="B82" s="31">
        <f>'Base-1'!A86</f>
        <v>0</v>
      </c>
      <c r="C82" s="31">
        <f>'Base-1'!B86</f>
        <v>0</v>
      </c>
    </row>
    <row r="83" spans="2:3" x14ac:dyDescent="0.75">
      <c r="B83" s="31">
        <f>'Base-1'!A87</f>
        <v>0</v>
      </c>
      <c r="C83" s="31">
        <f>'Base-1'!B87</f>
        <v>0</v>
      </c>
    </row>
    <row r="84" spans="2:3" x14ac:dyDescent="0.75">
      <c r="B84" s="31">
        <f>'Base-1'!A88</f>
        <v>0</v>
      </c>
      <c r="C84" s="31">
        <f>'Base-1'!B88</f>
        <v>0</v>
      </c>
    </row>
    <row r="85" spans="2:3" x14ac:dyDescent="0.75">
      <c r="B85" s="31">
        <f>'Base-1'!A89</f>
        <v>0</v>
      </c>
      <c r="C85" s="31">
        <f>'Base-1'!B89</f>
        <v>0</v>
      </c>
    </row>
    <row r="86" spans="2:3" x14ac:dyDescent="0.75">
      <c r="B86" s="31">
        <f>'Base-1'!A90</f>
        <v>0</v>
      </c>
      <c r="C86" s="31">
        <f>'Base-1'!B90</f>
        <v>0</v>
      </c>
    </row>
    <row r="87" spans="2:3" x14ac:dyDescent="0.75">
      <c r="B87" s="31">
        <f>'Base-1'!A91</f>
        <v>0</v>
      </c>
      <c r="C87" s="31">
        <f>'Base-1'!B91</f>
        <v>0</v>
      </c>
    </row>
    <row r="88" spans="2:3" x14ac:dyDescent="0.75">
      <c r="B88" s="31">
        <f>'Base-1'!A92</f>
        <v>0</v>
      </c>
      <c r="C88" s="31">
        <f>'Base-1'!B92</f>
        <v>0</v>
      </c>
    </row>
    <row r="89" spans="2:3" x14ac:dyDescent="0.75">
      <c r="B89" s="31">
        <f>'Base-1'!A93</f>
        <v>0</v>
      </c>
      <c r="C89" s="31">
        <f>'Base-1'!B93</f>
        <v>0</v>
      </c>
    </row>
    <row r="90" spans="2:3" x14ac:dyDescent="0.75">
      <c r="B90" s="31">
        <f>'Base-1'!A94</f>
        <v>0</v>
      </c>
      <c r="C90" s="31">
        <f>'Base-1'!B94</f>
        <v>0</v>
      </c>
    </row>
    <row r="91" spans="2:3" x14ac:dyDescent="0.75">
      <c r="B91" s="31">
        <f>'Base-1'!A95</f>
        <v>0</v>
      </c>
      <c r="C91" s="31">
        <f>'Base-1'!B95</f>
        <v>0</v>
      </c>
    </row>
    <row r="92" spans="2:3" x14ac:dyDescent="0.75">
      <c r="B92" s="31">
        <f>'Base-1'!A96</f>
        <v>0</v>
      </c>
      <c r="C92" s="31">
        <f>'Base-1'!B96</f>
        <v>0</v>
      </c>
    </row>
    <row r="93" spans="2:3" x14ac:dyDescent="0.75">
      <c r="B93" s="31">
        <f>'Base-1'!A97</f>
        <v>0</v>
      </c>
      <c r="C93" s="31">
        <f>'Base-1'!B97</f>
        <v>0</v>
      </c>
    </row>
    <row r="94" spans="2:3" x14ac:dyDescent="0.75">
      <c r="B94" s="31">
        <f>'Base-1'!A98</f>
        <v>0</v>
      </c>
      <c r="C94" s="31">
        <f>'Base-1'!B98</f>
        <v>0</v>
      </c>
    </row>
    <row r="95" spans="2:3" x14ac:dyDescent="0.75">
      <c r="B95" s="31">
        <f>'Base-1'!A99</f>
        <v>0</v>
      </c>
      <c r="C95" s="31">
        <f>'Base-1'!B99</f>
        <v>0</v>
      </c>
    </row>
    <row r="96" spans="2:3" x14ac:dyDescent="0.75">
      <c r="B96" s="31">
        <f>'Base-1'!A100</f>
        <v>0</v>
      </c>
      <c r="C96" s="31">
        <f>'Base-1'!B100</f>
        <v>0</v>
      </c>
    </row>
    <row r="97" spans="2:3" x14ac:dyDescent="0.75">
      <c r="B97" s="31">
        <f>'Base-1'!A101</f>
        <v>0</v>
      </c>
      <c r="C97" s="31">
        <f>'Base-1'!B101</f>
        <v>0</v>
      </c>
    </row>
    <row r="98" spans="2:3" x14ac:dyDescent="0.75">
      <c r="B98" s="31">
        <f>'Base-1'!A102</f>
        <v>0</v>
      </c>
      <c r="C98" s="31">
        <f>'Base-1'!B102</f>
        <v>0</v>
      </c>
    </row>
    <row r="99" spans="2:3" x14ac:dyDescent="0.75">
      <c r="B99" s="31">
        <f>'Base-1'!A103</f>
        <v>0</v>
      </c>
      <c r="C99" s="31">
        <f>'Base-1'!B103</f>
        <v>0</v>
      </c>
    </row>
    <row r="100" spans="2:3" x14ac:dyDescent="0.75">
      <c r="B100" s="31">
        <f>'Base-1'!A104</f>
        <v>0</v>
      </c>
      <c r="C100" s="31">
        <f>'Base-1'!B104</f>
        <v>0</v>
      </c>
    </row>
    <row r="101" spans="2:3" x14ac:dyDescent="0.75">
      <c r="B101" s="31">
        <f>'Base-1'!A105</f>
        <v>0</v>
      </c>
      <c r="C101" s="31">
        <f>'Base-1'!B105</f>
        <v>0</v>
      </c>
    </row>
    <row r="102" spans="2:3" x14ac:dyDescent="0.75">
      <c r="B102" s="31">
        <f>'Base-1'!A106</f>
        <v>0</v>
      </c>
      <c r="C102" s="31">
        <f>'Base-1'!B106</f>
        <v>0</v>
      </c>
    </row>
    <row r="103" spans="2:3" x14ac:dyDescent="0.75">
      <c r="B103" s="31">
        <f>'Base-1'!A107</f>
        <v>0</v>
      </c>
      <c r="C103" s="31">
        <f>'Base-1'!B107</f>
        <v>0</v>
      </c>
    </row>
    <row r="104" spans="2:3" x14ac:dyDescent="0.75">
      <c r="B104" s="31">
        <f>'Base-1'!A108</f>
        <v>0</v>
      </c>
      <c r="C104" s="31">
        <f>'Base-1'!B108</f>
        <v>0</v>
      </c>
    </row>
    <row r="105" spans="2:3" x14ac:dyDescent="0.75">
      <c r="B105" s="31">
        <f>'Base-1'!A109</f>
        <v>0</v>
      </c>
      <c r="C105" s="31">
        <f>'Base-1'!B109</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12" sqref="D12"/>
    </sheetView>
  </sheetViews>
  <sheetFormatPr defaultRowHeight="14.75" x14ac:dyDescent="0.75"/>
  <cols>
    <col min="1" max="3" width="8.7265625" style="31"/>
    <col min="4" max="4" width="130.81640625" style="31" customWidth="1"/>
    <col min="5" max="5" width="19.86328125" style="31" customWidth="1"/>
    <col min="6" max="6" width="8.7265625" style="31"/>
    <col min="7" max="7" width="69.36328125" style="31" customWidth="1"/>
    <col min="8" max="16384" width="8.7265625" style="31"/>
  </cols>
  <sheetData>
    <row r="2" spans="1:5" x14ac:dyDescent="0.75">
      <c r="D2" s="8"/>
    </row>
    <row r="3" spans="1:5" x14ac:dyDescent="0.75">
      <c r="A3" s="32">
        <v>1</v>
      </c>
      <c r="B3" s="32">
        <f>IF(MOD(A3,3)=0,A3/3-1,INT(A3/3))</f>
        <v>0</v>
      </c>
      <c r="C3" s="32">
        <f>IF(MOD(A3,3)=0,3,MOD(A3,3))</f>
        <v>1</v>
      </c>
      <c r="D3" s="31" t="e" cm="1">
        <f t="array" ref="D3">INDEX('Subj-Map-1'!$I$7:$K$100,1+B3,C3)</f>
        <v>#REF!</v>
      </c>
      <c r="E3" s="31" t="e">
        <f>INDEX('Subj-Map-1'!$I$8:$K$17,1,1)</f>
        <v>#REF!</v>
      </c>
    </row>
    <row r="4" spans="1:5" x14ac:dyDescent="0.75">
      <c r="A4" s="32">
        <v>2</v>
      </c>
      <c r="B4" s="32">
        <f t="shared" ref="B4:B67" si="0">IF(MOD(A4,3)=0,A4/3-1,INT(A4/3))</f>
        <v>0</v>
      </c>
      <c r="C4" s="32">
        <f t="shared" ref="C4:C40" si="1">IF(MOD(A4,3)=0,3,MOD(A4,3))</f>
        <v>2</v>
      </c>
      <c r="D4" s="31" t="e" cm="1">
        <f t="array" ref="D4">INDEX('Subj-Map-1'!$I$7:$K$100,1+B4,C4)</f>
        <v>#REF!</v>
      </c>
    </row>
    <row r="5" spans="1:5" x14ac:dyDescent="0.75">
      <c r="A5" s="32">
        <v>3</v>
      </c>
      <c r="B5" s="32">
        <f t="shared" si="0"/>
        <v>0</v>
      </c>
      <c r="C5" s="32">
        <f t="shared" si="1"/>
        <v>3</v>
      </c>
      <c r="D5" s="31" t="str" cm="1">
        <f t="array" ref="D5">INDEX('Subj-Map-1'!$I$7:$K$100,1+B5,C5)</f>
        <v/>
      </c>
    </row>
    <row r="6" spans="1:5" x14ac:dyDescent="0.75">
      <c r="A6" s="32">
        <v>4</v>
      </c>
      <c r="B6" s="32">
        <f t="shared" si="0"/>
        <v>1</v>
      </c>
      <c r="C6" s="32">
        <f t="shared" si="1"/>
        <v>1</v>
      </c>
      <c r="D6" s="31" t="e" cm="1">
        <f t="array" ref="D6">INDEX('Subj-Map-1'!$I$7:$K$100,1+B6,C6)</f>
        <v>#REF!</v>
      </c>
    </row>
    <row r="7" spans="1:5" x14ac:dyDescent="0.75">
      <c r="A7" s="32">
        <v>5</v>
      </c>
      <c r="B7" s="32">
        <f t="shared" si="0"/>
        <v>1</v>
      </c>
      <c r="C7" s="32">
        <f t="shared" si="1"/>
        <v>2</v>
      </c>
      <c r="D7" s="31" t="e" cm="1">
        <f t="array" ref="D7">INDEX('Subj-Map-1'!$I$7:$K$100,1+B7,C7)</f>
        <v>#REF!</v>
      </c>
    </row>
    <row r="8" spans="1:5" x14ac:dyDescent="0.75">
      <c r="A8" s="32">
        <v>6</v>
      </c>
      <c r="B8" s="32">
        <f t="shared" si="0"/>
        <v>1</v>
      </c>
      <c r="C8" s="32">
        <f t="shared" si="1"/>
        <v>3</v>
      </c>
      <c r="D8" s="31" t="str" cm="1">
        <f t="array" ref="D8">INDEX('Subj-Map-1'!$I$7:$K$100,1+B8,C8)</f>
        <v/>
      </c>
    </row>
    <row r="9" spans="1:5" x14ac:dyDescent="0.75">
      <c r="A9" s="32">
        <v>7</v>
      </c>
      <c r="B9" s="32">
        <f t="shared" si="0"/>
        <v>2</v>
      </c>
      <c r="C9" s="32">
        <f t="shared" si="1"/>
        <v>1</v>
      </c>
      <c r="D9" s="31" t="e" cm="1">
        <f t="array" ref="D9">INDEX('Subj-Map-1'!$I$7:$K$100,1+B9,C9)</f>
        <v>#REF!</v>
      </c>
    </row>
    <row r="10" spans="1:5" x14ac:dyDescent="0.75">
      <c r="A10" s="32">
        <v>8</v>
      </c>
      <c r="B10" s="32">
        <f t="shared" si="0"/>
        <v>2</v>
      </c>
      <c r="C10" s="32">
        <f t="shared" si="1"/>
        <v>2</v>
      </c>
      <c r="D10" s="31" t="e" cm="1">
        <f t="array" ref="D10">INDEX('Subj-Map-1'!$I$7:$K$100,1+B10,C10)</f>
        <v>#REF!</v>
      </c>
    </row>
    <row r="11" spans="1:5" x14ac:dyDescent="0.75">
      <c r="A11" s="32">
        <v>9</v>
      </c>
      <c r="B11" s="32">
        <f t="shared" si="0"/>
        <v>2</v>
      </c>
      <c r="C11" s="32">
        <f t="shared" si="1"/>
        <v>3</v>
      </c>
      <c r="D11" s="31" t="str" cm="1">
        <f t="array" ref="D11">INDEX('Subj-Map-1'!$I$7:$K$100,1+B11,C11)</f>
        <v/>
      </c>
    </row>
    <row r="12" spans="1:5" x14ac:dyDescent="0.75">
      <c r="A12" s="32">
        <v>10</v>
      </c>
      <c r="B12" s="32">
        <f t="shared" si="0"/>
        <v>3</v>
      </c>
      <c r="C12" s="32">
        <f t="shared" si="1"/>
        <v>1</v>
      </c>
      <c r="D12" s="31" t="e" cm="1">
        <f t="array" ref="D12">INDEX('Subj-Map-1'!$I$7:$K$100,1+B12,C12)</f>
        <v>#REF!</v>
      </c>
    </row>
    <row r="13" spans="1:5" x14ac:dyDescent="0.75">
      <c r="A13" s="32">
        <v>11</v>
      </c>
      <c r="B13" s="32">
        <f t="shared" si="0"/>
        <v>3</v>
      </c>
      <c r="C13" s="32">
        <f t="shared" si="1"/>
        <v>2</v>
      </c>
      <c r="D13" s="31" t="e" cm="1">
        <f t="array" ref="D13">INDEX('Subj-Map-1'!$I$7:$K$100,1+B13,C13)</f>
        <v>#REF!</v>
      </c>
    </row>
    <row r="14" spans="1:5" x14ac:dyDescent="0.75">
      <c r="A14" s="32">
        <v>12</v>
      </c>
      <c r="B14" s="32">
        <f t="shared" si="0"/>
        <v>3</v>
      </c>
      <c r="C14" s="32">
        <f t="shared" si="1"/>
        <v>3</v>
      </c>
      <c r="D14" s="31" t="str" cm="1">
        <f t="array" ref="D14">INDEX('Subj-Map-1'!$I$7:$K$100,1+B14,C14)</f>
        <v/>
      </c>
    </row>
    <row r="15" spans="1:5" x14ac:dyDescent="0.75">
      <c r="A15" s="32">
        <v>13</v>
      </c>
      <c r="B15" s="32">
        <f t="shared" si="0"/>
        <v>4</v>
      </c>
      <c r="C15" s="32">
        <f t="shared" si="1"/>
        <v>1</v>
      </c>
      <c r="D15" s="31" t="str" cm="1">
        <f t="array" ref="D15">INDEX('Subj-Map-1'!$I$7:$K$100,1+B15,C15)</f>
        <v/>
      </c>
    </row>
    <row r="16" spans="1:5" x14ac:dyDescent="0.75">
      <c r="A16" s="32">
        <v>14</v>
      </c>
      <c r="B16" s="32">
        <f t="shared" si="0"/>
        <v>4</v>
      </c>
      <c r="C16" s="32">
        <f t="shared" si="1"/>
        <v>2</v>
      </c>
      <c r="D16" s="31" t="str" cm="1">
        <f t="array" ref="D16">INDEX('Subj-Map-1'!$I$7:$K$100,1+B16,C16)</f>
        <v/>
      </c>
    </row>
    <row r="17" spans="1:4" x14ac:dyDescent="0.75">
      <c r="A17" s="32">
        <v>15</v>
      </c>
      <c r="B17" s="32">
        <f t="shared" si="0"/>
        <v>4</v>
      </c>
      <c r="C17" s="32">
        <f t="shared" si="1"/>
        <v>3</v>
      </c>
      <c r="D17" s="31" t="str" cm="1">
        <f t="array" ref="D17">INDEX('Subj-Map-1'!$I$7:$K$100,1+B17,C17)</f>
        <v/>
      </c>
    </row>
    <row r="18" spans="1:4" x14ac:dyDescent="0.75">
      <c r="A18" s="32">
        <v>16</v>
      </c>
      <c r="B18" s="32">
        <f t="shared" si="0"/>
        <v>5</v>
      </c>
      <c r="C18" s="32">
        <f t="shared" si="1"/>
        <v>1</v>
      </c>
      <c r="D18" s="31" t="e" cm="1">
        <f t="array" ref="D18">INDEX('Subj-Map-1'!$I$7:$K$100,1+B18,C18)</f>
        <v>#REF!</v>
      </c>
    </row>
    <row r="19" spans="1:4" x14ac:dyDescent="0.75">
      <c r="A19" s="32">
        <v>17</v>
      </c>
      <c r="B19" s="32">
        <f t="shared" si="0"/>
        <v>5</v>
      </c>
      <c r="C19" s="32">
        <f t="shared" si="1"/>
        <v>2</v>
      </c>
      <c r="D19" s="31" t="e" cm="1">
        <f t="array" ref="D19">INDEX('Subj-Map-1'!$I$7:$K$100,1+B19,C19)</f>
        <v>#REF!</v>
      </c>
    </row>
    <row r="20" spans="1:4" x14ac:dyDescent="0.75">
      <c r="A20" s="32">
        <v>18</v>
      </c>
      <c r="B20" s="32">
        <f t="shared" si="0"/>
        <v>5</v>
      </c>
      <c r="C20" s="32">
        <f t="shared" si="1"/>
        <v>3</v>
      </c>
      <c r="D20" s="31" t="str" cm="1">
        <f t="array" ref="D20">INDEX('Subj-Map-1'!$I$7:$K$100,1+B20,C20)</f>
        <v/>
      </c>
    </row>
    <row r="21" spans="1:4" x14ac:dyDescent="0.75">
      <c r="A21" s="32">
        <v>19</v>
      </c>
      <c r="B21" s="32">
        <f t="shared" si="0"/>
        <v>6</v>
      </c>
      <c r="C21" s="32">
        <f t="shared" si="1"/>
        <v>1</v>
      </c>
      <c r="D21" s="31" t="e" cm="1">
        <f t="array" ref="D21">INDEX('Subj-Map-1'!$I$7:$K$100,1+B21,C21)</f>
        <v>#REF!</v>
      </c>
    </row>
    <row r="22" spans="1:4" x14ac:dyDescent="0.75">
      <c r="A22" s="32">
        <v>20</v>
      </c>
      <c r="B22" s="32">
        <f t="shared" si="0"/>
        <v>6</v>
      </c>
      <c r="C22" s="32">
        <f t="shared" si="1"/>
        <v>2</v>
      </c>
      <c r="D22" s="31" t="e" cm="1">
        <f t="array" ref="D22">INDEX('Subj-Map-1'!$I$7:$K$100,1+B22,C22)</f>
        <v>#REF!</v>
      </c>
    </row>
    <row r="23" spans="1:4" x14ac:dyDescent="0.75">
      <c r="A23" s="32">
        <v>21</v>
      </c>
      <c r="B23" s="32">
        <f t="shared" si="0"/>
        <v>6</v>
      </c>
      <c r="C23" s="32">
        <f t="shared" si="1"/>
        <v>3</v>
      </c>
      <c r="D23" s="31" t="str" cm="1">
        <f t="array" ref="D23">INDEX('Subj-Map-1'!$I$7:$K$100,1+B23,C23)</f>
        <v/>
      </c>
    </row>
    <row r="24" spans="1:4" x14ac:dyDescent="0.75">
      <c r="A24" s="32">
        <v>22</v>
      </c>
      <c r="B24" s="32">
        <f t="shared" si="0"/>
        <v>7</v>
      </c>
      <c r="C24" s="32">
        <f t="shared" si="1"/>
        <v>1</v>
      </c>
      <c r="D24" s="31" t="e" cm="1">
        <f t="array" ref="D24">INDEX('Subj-Map-1'!$I$7:$K$100,1+B24,C24)</f>
        <v>#REF!</v>
      </c>
    </row>
    <row r="25" spans="1:4" x14ac:dyDescent="0.75">
      <c r="A25" s="32">
        <v>23</v>
      </c>
      <c r="B25" s="32">
        <f t="shared" si="0"/>
        <v>7</v>
      </c>
      <c r="C25" s="32">
        <f t="shared" si="1"/>
        <v>2</v>
      </c>
      <c r="D25" s="31" t="e" cm="1">
        <f t="array" ref="D25">INDEX('Subj-Map-1'!$I$7:$K$100,1+B25,C25)</f>
        <v>#REF!</v>
      </c>
    </row>
    <row r="26" spans="1:4" x14ac:dyDescent="0.75">
      <c r="A26" s="32">
        <v>24</v>
      </c>
      <c r="B26" s="32">
        <f t="shared" si="0"/>
        <v>7</v>
      </c>
      <c r="C26" s="32">
        <f t="shared" si="1"/>
        <v>3</v>
      </c>
      <c r="D26" s="31" t="str" cm="1">
        <f t="array" ref="D26">INDEX('Subj-Map-1'!$I$7:$K$100,1+B26,C26)</f>
        <v/>
      </c>
    </row>
    <row r="27" spans="1:4" x14ac:dyDescent="0.75">
      <c r="A27" s="32">
        <v>25</v>
      </c>
      <c r="B27" s="32">
        <f t="shared" si="0"/>
        <v>8</v>
      </c>
      <c r="C27" s="32">
        <f t="shared" si="1"/>
        <v>1</v>
      </c>
      <c r="D27" s="31" t="e" cm="1">
        <f t="array" ref="D27">INDEX('Subj-Map-1'!$I$7:$K$100,1+B27,C27)</f>
        <v>#REF!</v>
      </c>
    </row>
    <row r="28" spans="1:4" x14ac:dyDescent="0.75">
      <c r="A28" s="32">
        <v>26</v>
      </c>
      <c r="B28" s="32">
        <f t="shared" si="0"/>
        <v>8</v>
      </c>
      <c r="C28" s="32">
        <f t="shared" si="1"/>
        <v>2</v>
      </c>
      <c r="D28" s="31" t="e" cm="1">
        <f t="array" ref="D28">INDEX('Subj-Map-1'!$I$7:$K$100,1+B28,C28)</f>
        <v>#REF!</v>
      </c>
    </row>
    <row r="29" spans="1:4" x14ac:dyDescent="0.75">
      <c r="A29" s="32">
        <v>27</v>
      </c>
      <c r="B29" s="32">
        <f t="shared" si="0"/>
        <v>8</v>
      </c>
      <c r="C29" s="32">
        <f t="shared" si="1"/>
        <v>3</v>
      </c>
      <c r="D29" s="31" t="str" cm="1">
        <f t="array" ref="D29">INDEX('Subj-Map-1'!$I$7:$K$100,1+B29,C29)</f>
        <v/>
      </c>
    </row>
    <row r="30" spans="1:4" x14ac:dyDescent="0.75">
      <c r="A30" s="32">
        <v>28</v>
      </c>
      <c r="B30" s="32">
        <f t="shared" si="0"/>
        <v>9</v>
      </c>
      <c r="C30" s="32">
        <f t="shared" si="1"/>
        <v>1</v>
      </c>
      <c r="D30" s="31" t="e" cm="1">
        <f t="array" ref="D30">INDEX('Subj-Map-1'!$I$7:$K$100,1+B30,C30)</f>
        <v>#REF!</v>
      </c>
    </row>
    <row r="31" spans="1:4" x14ac:dyDescent="0.75">
      <c r="A31" s="32">
        <v>29</v>
      </c>
      <c r="B31" s="32">
        <f t="shared" si="0"/>
        <v>9</v>
      </c>
      <c r="C31" s="32">
        <f t="shared" si="1"/>
        <v>2</v>
      </c>
      <c r="D31" s="31" t="e" cm="1">
        <f t="array" ref="D31">INDEX('Subj-Map-1'!$I$7:$K$100,1+B31,C31)</f>
        <v>#REF!</v>
      </c>
    </row>
    <row r="32" spans="1:4" x14ac:dyDescent="0.75">
      <c r="A32" s="32">
        <v>30</v>
      </c>
      <c r="B32" s="32">
        <f t="shared" si="0"/>
        <v>9</v>
      </c>
      <c r="C32" s="32">
        <f t="shared" si="1"/>
        <v>3</v>
      </c>
      <c r="D32" s="31" t="str" cm="1">
        <f t="array" ref="D32">INDEX('Subj-Map-1'!$I$7:$K$100,1+B32,C32)</f>
        <v/>
      </c>
    </row>
    <row r="33" spans="1:4" x14ac:dyDescent="0.75">
      <c r="A33" s="32">
        <v>31</v>
      </c>
      <c r="B33" s="32">
        <f t="shared" si="0"/>
        <v>10</v>
      </c>
      <c r="C33" s="32">
        <f t="shared" si="1"/>
        <v>1</v>
      </c>
      <c r="D33" s="31" t="e" cm="1">
        <f t="array" ref="D33">INDEX('Subj-Map-1'!$I$7:$K$100,1+B33,C33)</f>
        <v>#REF!</v>
      </c>
    </row>
    <row r="34" spans="1:4" x14ac:dyDescent="0.75">
      <c r="A34" s="32">
        <v>32</v>
      </c>
      <c r="B34" s="32">
        <f t="shared" si="0"/>
        <v>10</v>
      </c>
      <c r="C34" s="32">
        <f t="shared" si="1"/>
        <v>2</v>
      </c>
      <c r="D34" s="31" t="e" cm="1">
        <f t="array" ref="D34">INDEX('Subj-Map-1'!$I$7:$K$100,1+B34,C34)</f>
        <v>#REF!</v>
      </c>
    </row>
    <row r="35" spans="1:4" x14ac:dyDescent="0.75">
      <c r="A35" s="32">
        <v>33</v>
      </c>
      <c r="B35" s="32">
        <f t="shared" si="0"/>
        <v>10</v>
      </c>
      <c r="C35" s="32">
        <f t="shared" si="1"/>
        <v>3</v>
      </c>
      <c r="D35" s="31" t="str" cm="1">
        <f t="array" ref="D35">INDEX('Subj-Map-1'!$I$7:$K$100,1+B35,C35)</f>
        <v/>
      </c>
    </row>
    <row r="36" spans="1:4" x14ac:dyDescent="0.75">
      <c r="A36" s="32">
        <v>34</v>
      </c>
      <c r="B36" s="32">
        <f t="shared" si="0"/>
        <v>11</v>
      </c>
      <c r="C36" s="32">
        <f t="shared" si="1"/>
        <v>1</v>
      </c>
      <c r="D36" s="31" t="e" cm="1">
        <f t="array" ref="D36">INDEX('Subj-Map-1'!$I$7:$K$100,1+B36,C36)</f>
        <v>#REF!</v>
      </c>
    </row>
    <row r="37" spans="1:4" x14ac:dyDescent="0.75">
      <c r="A37" s="32">
        <v>35</v>
      </c>
      <c r="B37" s="32">
        <f t="shared" si="0"/>
        <v>11</v>
      </c>
      <c r="C37" s="32">
        <f t="shared" si="1"/>
        <v>2</v>
      </c>
      <c r="D37" s="31" t="e" cm="1">
        <f t="array" ref="D37">INDEX('Subj-Map-1'!$I$7:$K$100,1+B37,C37)</f>
        <v>#REF!</v>
      </c>
    </row>
    <row r="38" spans="1:4" x14ac:dyDescent="0.75">
      <c r="A38" s="32">
        <v>36</v>
      </c>
      <c r="B38" s="32">
        <f t="shared" si="0"/>
        <v>11</v>
      </c>
      <c r="C38" s="32">
        <f t="shared" si="1"/>
        <v>3</v>
      </c>
      <c r="D38" s="31" t="str" cm="1">
        <f t="array" ref="D38">INDEX('Subj-Map-1'!$I$7:$K$100,1+B38,C38)</f>
        <v/>
      </c>
    </row>
    <row r="39" spans="1:4" x14ac:dyDescent="0.75">
      <c r="A39" s="32">
        <v>37</v>
      </c>
      <c r="B39" s="32">
        <f t="shared" si="0"/>
        <v>12</v>
      </c>
      <c r="C39" s="32">
        <f t="shared" si="1"/>
        <v>1</v>
      </c>
      <c r="D39" s="31" t="e" cm="1">
        <f t="array" ref="D39">INDEX('Subj-Map-1'!$I$7:$K$100,1+B39,C39)</f>
        <v>#REF!</v>
      </c>
    </row>
    <row r="40" spans="1:4" x14ac:dyDescent="0.75">
      <c r="A40" s="32">
        <v>38</v>
      </c>
      <c r="B40" s="32">
        <f t="shared" si="0"/>
        <v>12</v>
      </c>
      <c r="C40" s="32">
        <f t="shared" si="1"/>
        <v>2</v>
      </c>
      <c r="D40" s="31" t="e" cm="1">
        <f t="array" ref="D40">INDEX('Subj-Map-1'!$I$7:$K$100,1+B40,C40)</f>
        <v>#REF!</v>
      </c>
    </row>
    <row r="41" spans="1:4" x14ac:dyDescent="0.75">
      <c r="A41" s="32">
        <v>39</v>
      </c>
      <c r="B41" s="32">
        <f t="shared" si="0"/>
        <v>12</v>
      </c>
      <c r="C41" s="32">
        <f t="shared" ref="C41:C104" si="2">IF(MOD(A41,3)=0,3,MOD(A41,3))</f>
        <v>3</v>
      </c>
      <c r="D41" s="31" t="str" cm="1">
        <f t="array" ref="D41">INDEX('Subj-Map-1'!$I$7:$K$100,1+B41,C41)</f>
        <v/>
      </c>
    </row>
    <row r="42" spans="1:4" x14ac:dyDescent="0.75">
      <c r="A42" s="32">
        <v>40</v>
      </c>
      <c r="B42" s="32">
        <f t="shared" si="0"/>
        <v>13</v>
      </c>
      <c r="C42" s="32">
        <f t="shared" si="2"/>
        <v>1</v>
      </c>
      <c r="D42" s="31" t="str" cm="1">
        <f t="array" ref="D42">INDEX('Subj-Map-1'!$I$7:$K$100,1+B42,C42)</f>
        <v/>
      </c>
    </row>
    <row r="43" spans="1:4" x14ac:dyDescent="0.75">
      <c r="A43" s="32">
        <v>41</v>
      </c>
      <c r="B43" s="32">
        <f t="shared" si="0"/>
        <v>13</v>
      </c>
      <c r="C43" s="32">
        <f t="shared" si="2"/>
        <v>2</v>
      </c>
      <c r="D43" s="31" t="str" cm="1">
        <f t="array" ref="D43">INDEX('Subj-Map-1'!$I$7:$K$100,1+B43,C43)</f>
        <v/>
      </c>
    </row>
    <row r="44" spans="1:4" x14ac:dyDescent="0.75">
      <c r="A44" s="32">
        <v>42</v>
      </c>
      <c r="B44" s="32">
        <f t="shared" si="0"/>
        <v>13</v>
      </c>
      <c r="C44" s="32">
        <f t="shared" si="2"/>
        <v>3</v>
      </c>
      <c r="D44" s="31" t="str" cm="1">
        <f t="array" ref="D44">INDEX('Subj-Map-1'!$I$7:$K$100,1+B44,C44)</f>
        <v/>
      </c>
    </row>
    <row r="45" spans="1:4" x14ac:dyDescent="0.75">
      <c r="A45" s="32">
        <v>43</v>
      </c>
      <c r="B45" s="32">
        <f t="shared" si="0"/>
        <v>14</v>
      </c>
      <c r="C45" s="32">
        <f t="shared" si="2"/>
        <v>1</v>
      </c>
      <c r="D45" s="31" t="e" cm="1">
        <f t="array" ref="D45">INDEX('Subj-Map-1'!$I$7:$K$100,1+B45,C45)</f>
        <v>#REF!</v>
      </c>
    </row>
    <row r="46" spans="1:4" x14ac:dyDescent="0.75">
      <c r="A46" s="32">
        <v>44</v>
      </c>
      <c r="B46" s="32">
        <f t="shared" si="0"/>
        <v>14</v>
      </c>
      <c r="C46" s="32">
        <f t="shared" si="2"/>
        <v>2</v>
      </c>
      <c r="D46" s="31" t="e" cm="1">
        <f t="array" ref="D46">INDEX('Subj-Map-1'!$I$7:$K$100,1+B46,C46)</f>
        <v>#REF!</v>
      </c>
    </row>
    <row r="47" spans="1:4" x14ac:dyDescent="0.75">
      <c r="A47" s="32">
        <v>45</v>
      </c>
      <c r="B47" s="32">
        <f t="shared" si="0"/>
        <v>14</v>
      </c>
      <c r="C47" s="32">
        <f t="shared" si="2"/>
        <v>3</v>
      </c>
      <c r="D47" s="31" t="str" cm="1">
        <f t="array" ref="D47">INDEX('Subj-Map-1'!$I$7:$K$100,1+B47,C47)</f>
        <v/>
      </c>
    </row>
    <row r="48" spans="1:4" x14ac:dyDescent="0.75">
      <c r="A48" s="32">
        <v>46</v>
      </c>
      <c r="B48" s="32">
        <f t="shared" si="0"/>
        <v>15</v>
      </c>
      <c r="C48" s="32">
        <f t="shared" si="2"/>
        <v>1</v>
      </c>
      <c r="D48" s="31" t="e" cm="1">
        <f t="array" ref="D48">INDEX('Subj-Map-1'!$I$7:$K$100,1+B48,C48)</f>
        <v>#REF!</v>
      </c>
    </row>
    <row r="49" spans="1:7" x14ac:dyDescent="0.75">
      <c r="A49" s="32">
        <v>47</v>
      </c>
      <c r="B49" s="32">
        <f t="shared" si="0"/>
        <v>15</v>
      </c>
      <c r="C49" s="32">
        <f t="shared" si="2"/>
        <v>2</v>
      </c>
      <c r="D49" s="31" t="e" cm="1">
        <f t="array" ref="D49">INDEX('Subj-Map-1'!$I$7:$K$100,1+B49,C49)</f>
        <v>#REF!</v>
      </c>
    </row>
    <row r="50" spans="1:7" x14ac:dyDescent="0.75">
      <c r="A50" s="32">
        <v>48</v>
      </c>
      <c r="B50" s="32">
        <f t="shared" si="0"/>
        <v>15</v>
      </c>
      <c r="C50" s="32">
        <f t="shared" si="2"/>
        <v>3</v>
      </c>
      <c r="D50" s="31" t="str" cm="1">
        <f t="array" ref="D50">INDEX('Subj-Map-1'!$I$7:$K$100,1+B50,C50)</f>
        <v/>
      </c>
    </row>
    <row r="51" spans="1:7" x14ac:dyDescent="0.75">
      <c r="A51" s="32">
        <v>49</v>
      </c>
      <c r="B51" s="32">
        <f t="shared" si="0"/>
        <v>16</v>
      </c>
      <c r="C51" s="32">
        <f t="shared" si="2"/>
        <v>1</v>
      </c>
      <c r="D51" s="31" t="e" cm="1">
        <f t="array" ref="D51">INDEX('Subj-Map-1'!$I$7:$K$100,1+B51,C51)</f>
        <v>#REF!</v>
      </c>
    </row>
    <row r="52" spans="1:7" x14ac:dyDescent="0.75">
      <c r="A52" s="32">
        <v>50</v>
      </c>
      <c r="B52" s="32">
        <f t="shared" si="0"/>
        <v>16</v>
      </c>
      <c r="C52" s="32">
        <f t="shared" si="2"/>
        <v>2</v>
      </c>
      <c r="D52" s="31" t="e" cm="1">
        <f t="array" ref="D52">INDEX('Subj-Map-1'!$I$7:$K$100,1+B52,C52)</f>
        <v>#REF!</v>
      </c>
    </row>
    <row r="53" spans="1:7" x14ac:dyDescent="0.75">
      <c r="A53" s="32">
        <v>51</v>
      </c>
      <c r="B53" s="32">
        <f t="shared" si="0"/>
        <v>16</v>
      </c>
      <c r="C53" s="32">
        <f t="shared" si="2"/>
        <v>3</v>
      </c>
      <c r="D53" s="31" t="str" cm="1">
        <f t="array" ref="D53">INDEX('Subj-Map-1'!$I$7:$K$100,1+B53,C53)</f>
        <v/>
      </c>
    </row>
    <row r="54" spans="1:7" x14ac:dyDescent="0.75">
      <c r="A54" s="32">
        <v>52</v>
      </c>
      <c r="B54" s="32">
        <f t="shared" si="0"/>
        <v>17</v>
      </c>
      <c r="C54" s="32">
        <f t="shared" si="2"/>
        <v>1</v>
      </c>
      <c r="D54" s="31" t="str" cm="1">
        <f t="array" ref="D54">INDEX('Subj-Map-1'!$I$7:$K$100,1+B54,C54)</f>
        <v/>
      </c>
    </row>
    <row r="55" spans="1:7" x14ac:dyDescent="0.75">
      <c r="A55" s="32">
        <v>53</v>
      </c>
      <c r="B55" s="32">
        <f t="shared" si="0"/>
        <v>17</v>
      </c>
      <c r="C55" s="32">
        <f t="shared" si="2"/>
        <v>2</v>
      </c>
      <c r="D55" s="31" t="str" cm="1">
        <f t="array" ref="D55">INDEX('Subj-Map-1'!$I$7:$K$100,1+B55,C55)</f>
        <v/>
      </c>
      <c r="G55" s="16"/>
    </row>
    <row r="56" spans="1:7" x14ac:dyDescent="0.75">
      <c r="A56" s="32">
        <v>54</v>
      </c>
      <c r="B56" s="32">
        <f t="shared" si="0"/>
        <v>17</v>
      </c>
      <c r="C56" s="32">
        <f t="shared" si="2"/>
        <v>3</v>
      </c>
      <c r="D56" s="31" t="str" cm="1">
        <f t="array" ref="D56">INDEX('Subj-Map-1'!$I$7:$K$100,1+B56,C56)</f>
        <v/>
      </c>
    </row>
    <row r="57" spans="1:7" x14ac:dyDescent="0.75">
      <c r="A57" s="32">
        <v>55</v>
      </c>
      <c r="B57" s="32">
        <f t="shared" si="0"/>
        <v>18</v>
      </c>
      <c r="C57" s="32">
        <f t="shared" si="2"/>
        <v>1</v>
      </c>
      <c r="D57" s="31" t="str" cm="1">
        <f t="array" ref="D57">INDEX('Subj-Map-1'!$I$7:$K$100,1+B57,C57)</f>
        <v/>
      </c>
    </row>
    <row r="58" spans="1:7" x14ac:dyDescent="0.75">
      <c r="A58" s="32">
        <v>56</v>
      </c>
      <c r="B58" s="32">
        <f t="shared" si="0"/>
        <v>18</v>
      </c>
      <c r="C58" s="32">
        <f t="shared" si="2"/>
        <v>2</v>
      </c>
      <c r="D58" s="31" t="str" cm="1">
        <f t="array" ref="D58">INDEX('Subj-Map-1'!$I$7:$K$100,1+B58,C58)</f>
        <v/>
      </c>
    </row>
    <row r="59" spans="1:7" x14ac:dyDescent="0.75">
      <c r="A59" s="32">
        <v>57</v>
      </c>
      <c r="B59" s="32">
        <f t="shared" si="0"/>
        <v>18</v>
      </c>
      <c r="C59" s="32">
        <f t="shared" si="2"/>
        <v>3</v>
      </c>
      <c r="D59" s="31" t="str" cm="1">
        <f t="array" ref="D59">INDEX('Subj-Map-1'!$I$7:$K$100,1+B59,C59)</f>
        <v/>
      </c>
    </row>
    <row r="60" spans="1:7" x14ac:dyDescent="0.75">
      <c r="A60" s="32">
        <v>58</v>
      </c>
      <c r="B60" s="32">
        <f t="shared" si="0"/>
        <v>19</v>
      </c>
      <c r="C60" s="32">
        <f t="shared" si="2"/>
        <v>1</v>
      </c>
      <c r="D60" s="31" t="str" cm="1">
        <f t="array" ref="D60">INDEX('Subj-Map-1'!$I$7:$K$100,1+B60,C60)</f>
        <v/>
      </c>
    </row>
    <row r="61" spans="1:7" x14ac:dyDescent="0.75">
      <c r="A61" s="32">
        <v>59</v>
      </c>
      <c r="B61" s="32">
        <f t="shared" si="0"/>
        <v>19</v>
      </c>
      <c r="C61" s="32">
        <f t="shared" si="2"/>
        <v>2</v>
      </c>
      <c r="D61" s="31" t="str" cm="1">
        <f t="array" ref="D61">INDEX('Subj-Map-1'!$I$7:$K$100,1+B61,C61)</f>
        <v/>
      </c>
    </row>
    <row r="62" spans="1:7" x14ac:dyDescent="0.75">
      <c r="A62" s="32">
        <v>60</v>
      </c>
      <c r="B62" s="32">
        <f t="shared" si="0"/>
        <v>19</v>
      </c>
      <c r="C62" s="32">
        <f t="shared" si="2"/>
        <v>3</v>
      </c>
      <c r="D62" s="31" t="str" cm="1">
        <f t="array" ref="D62">INDEX('Subj-Map-1'!$I$7:$K$100,1+B62,C62)</f>
        <v/>
      </c>
    </row>
    <row r="63" spans="1:7" x14ac:dyDescent="0.75">
      <c r="A63" s="32">
        <v>61</v>
      </c>
      <c r="B63" s="32">
        <f t="shared" si="0"/>
        <v>20</v>
      </c>
      <c r="C63" s="32">
        <f t="shared" si="2"/>
        <v>1</v>
      </c>
      <c r="D63" s="31" t="str" cm="1">
        <f t="array" ref="D63">INDEX('Subj-Map-1'!$I$7:$K$100,1+B63,C63)</f>
        <v/>
      </c>
    </row>
    <row r="64" spans="1:7" x14ac:dyDescent="0.75">
      <c r="A64" s="32">
        <v>62</v>
      </c>
      <c r="B64" s="32">
        <f t="shared" si="0"/>
        <v>20</v>
      </c>
      <c r="C64" s="32">
        <f t="shared" si="2"/>
        <v>2</v>
      </c>
      <c r="D64" s="31" t="str" cm="1">
        <f t="array" ref="D64">INDEX('Subj-Map-1'!$I$7:$K$100,1+B64,C64)</f>
        <v/>
      </c>
    </row>
    <row r="65" spans="1:4" x14ac:dyDescent="0.75">
      <c r="A65" s="32">
        <v>63</v>
      </c>
      <c r="B65" s="32">
        <f t="shared" si="0"/>
        <v>20</v>
      </c>
      <c r="C65" s="32">
        <f t="shared" si="2"/>
        <v>3</v>
      </c>
      <c r="D65" s="31" t="str" cm="1">
        <f t="array" ref="D65">INDEX('Subj-Map-1'!$I$7:$K$100,1+B65,C65)</f>
        <v/>
      </c>
    </row>
    <row r="66" spans="1:4" x14ac:dyDescent="0.75">
      <c r="A66" s="32">
        <v>64</v>
      </c>
      <c r="B66" s="32">
        <f t="shared" si="0"/>
        <v>21</v>
      </c>
      <c r="C66" s="32">
        <f t="shared" si="2"/>
        <v>1</v>
      </c>
      <c r="D66" s="31" t="str" cm="1">
        <f t="array" ref="D66">INDEX('Subj-Map-1'!$I$7:$K$100,1+B66,C66)</f>
        <v/>
      </c>
    </row>
    <row r="67" spans="1:4" x14ac:dyDescent="0.75">
      <c r="A67" s="32">
        <v>65</v>
      </c>
      <c r="B67" s="32">
        <f t="shared" si="0"/>
        <v>21</v>
      </c>
      <c r="C67" s="32">
        <f t="shared" si="2"/>
        <v>2</v>
      </c>
      <c r="D67" s="31" t="str" cm="1">
        <f t="array" ref="D67">INDEX('Subj-Map-1'!$I$7:$K$100,1+B67,C67)</f>
        <v/>
      </c>
    </row>
    <row r="68" spans="1:4" x14ac:dyDescent="0.75">
      <c r="A68" s="32">
        <v>66</v>
      </c>
      <c r="B68" s="32">
        <f t="shared" ref="B68:B131" si="3">IF(MOD(A68,3)=0,A68/3-1,INT(A68/3))</f>
        <v>21</v>
      </c>
      <c r="C68" s="32">
        <f t="shared" si="2"/>
        <v>3</v>
      </c>
      <c r="D68" s="31" t="str" cm="1">
        <f t="array" ref="D68">INDEX('Subj-Map-1'!$I$7:$K$100,1+B68,C68)</f>
        <v/>
      </c>
    </row>
    <row r="69" spans="1:4" x14ac:dyDescent="0.75">
      <c r="A69" s="32">
        <v>67</v>
      </c>
      <c r="B69" s="32">
        <f t="shared" si="3"/>
        <v>22</v>
      </c>
      <c r="C69" s="32">
        <f t="shared" si="2"/>
        <v>1</v>
      </c>
      <c r="D69" s="31" t="str" cm="1">
        <f t="array" ref="D69">INDEX('Subj-Map-1'!$I$7:$K$100,1+B69,C69)</f>
        <v/>
      </c>
    </row>
    <row r="70" spans="1:4" x14ac:dyDescent="0.75">
      <c r="A70" s="32">
        <v>68</v>
      </c>
      <c r="B70" s="32">
        <f t="shared" si="3"/>
        <v>22</v>
      </c>
      <c r="C70" s="32">
        <f t="shared" si="2"/>
        <v>2</v>
      </c>
      <c r="D70" s="31" t="str" cm="1">
        <f t="array" ref="D70">INDEX('Subj-Map-1'!$I$7:$K$100,1+B70,C70)</f>
        <v/>
      </c>
    </row>
    <row r="71" spans="1:4" x14ac:dyDescent="0.75">
      <c r="A71" s="32">
        <v>69</v>
      </c>
      <c r="B71" s="32">
        <f t="shared" si="3"/>
        <v>22</v>
      </c>
      <c r="C71" s="32">
        <f t="shared" si="2"/>
        <v>3</v>
      </c>
      <c r="D71" s="31" t="str" cm="1">
        <f t="array" ref="D71">INDEX('Subj-Map-1'!$I$7:$K$100,1+B71,C71)</f>
        <v/>
      </c>
    </row>
    <row r="72" spans="1:4" x14ac:dyDescent="0.75">
      <c r="A72" s="32">
        <v>70</v>
      </c>
      <c r="B72" s="32">
        <f t="shared" si="3"/>
        <v>23</v>
      </c>
      <c r="C72" s="32">
        <f t="shared" si="2"/>
        <v>1</v>
      </c>
      <c r="D72" s="31" t="str" cm="1">
        <f t="array" ref="D72">INDEX('Subj-Map-1'!$I$7:$K$100,1+B72,C72)</f>
        <v/>
      </c>
    </row>
    <row r="73" spans="1:4" x14ac:dyDescent="0.75">
      <c r="A73" s="32">
        <v>71</v>
      </c>
      <c r="B73" s="32">
        <f t="shared" si="3"/>
        <v>23</v>
      </c>
      <c r="C73" s="32">
        <f t="shared" si="2"/>
        <v>2</v>
      </c>
      <c r="D73" s="31" t="str" cm="1">
        <f t="array" ref="D73">INDEX('Subj-Map-1'!$I$7:$K$100,1+B73,C73)</f>
        <v/>
      </c>
    </row>
    <row r="74" spans="1:4" x14ac:dyDescent="0.75">
      <c r="A74" s="32">
        <v>72</v>
      </c>
      <c r="B74" s="32">
        <f t="shared" si="3"/>
        <v>23</v>
      </c>
      <c r="C74" s="32">
        <f t="shared" si="2"/>
        <v>3</v>
      </c>
      <c r="D74" s="31" t="str" cm="1">
        <f t="array" ref="D74">INDEX('Subj-Map-1'!$I$7:$K$100,1+B74,C74)</f>
        <v/>
      </c>
    </row>
    <row r="75" spans="1:4" x14ac:dyDescent="0.75">
      <c r="A75" s="32">
        <v>73</v>
      </c>
      <c r="B75" s="32">
        <f t="shared" si="3"/>
        <v>24</v>
      </c>
      <c r="C75" s="32">
        <f t="shared" si="2"/>
        <v>1</v>
      </c>
      <c r="D75" s="31" t="str" cm="1">
        <f t="array" ref="D75">INDEX('Subj-Map-1'!$I$7:$K$100,1+B75,C75)</f>
        <v/>
      </c>
    </row>
    <row r="76" spans="1:4" x14ac:dyDescent="0.75">
      <c r="A76" s="32">
        <v>74</v>
      </c>
      <c r="B76" s="32">
        <f t="shared" si="3"/>
        <v>24</v>
      </c>
      <c r="C76" s="32">
        <f t="shared" si="2"/>
        <v>2</v>
      </c>
      <c r="D76" s="31" t="str" cm="1">
        <f t="array" ref="D76">INDEX('Subj-Map-1'!$I$7:$K$100,1+B76,C76)</f>
        <v/>
      </c>
    </row>
    <row r="77" spans="1:4" x14ac:dyDescent="0.75">
      <c r="A77" s="32">
        <v>75</v>
      </c>
      <c r="B77" s="32">
        <f t="shared" si="3"/>
        <v>24</v>
      </c>
      <c r="C77" s="32">
        <f t="shared" si="2"/>
        <v>3</v>
      </c>
      <c r="D77" s="31" t="str" cm="1">
        <f t="array" ref="D77">INDEX('Subj-Map-1'!$I$7:$K$100,1+B77,C77)</f>
        <v/>
      </c>
    </row>
    <row r="78" spans="1:4" x14ac:dyDescent="0.75">
      <c r="A78" s="32">
        <v>76</v>
      </c>
      <c r="B78" s="32">
        <f t="shared" si="3"/>
        <v>25</v>
      </c>
      <c r="C78" s="32">
        <f t="shared" si="2"/>
        <v>1</v>
      </c>
      <c r="D78" s="31" t="str" cm="1">
        <f t="array" ref="D78">INDEX('Subj-Map-1'!$I$7:$K$100,1+B78,C78)</f>
        <v/>
      </c>
    </row>
    <row r="79" spans="1:4" x14ac:dyDescent="0.75">
      <c r="A79" s="32">
        <v>77</v>
      </c>
      <c r="B79" s="32">
        <f t="shared" si="3"/>
        <v>25</v>
      </c>
      <c r="C79" s="32">
        <f t="shared" si="2"/>
        <v>2</v>
      </c>
      <c r="D79" s="31" t="str" cm="1">
        <f t="array" ref="D79">INDEX('Subj-Map-1'!$I$7:$K$100,1+B79,C79)</f>
        <v/>
      </c>
    </row>
    <row r="80" spans="1:4" x14ac:dyDescent="0.75">
      <c r="A80" s="32">
        <v>78</v>
      </c>
      <c r="B80" s="32">
        <f t="shared" si="3"/>
        <v>25</v>
      </c>
      <c r="C80" s="32">
        <f t="shared" si="2"/>
        <v>3</v>
      </c>
      <c r="D80" s="31" t="str" cm="1">
        <f t="array" ref="D80">INDEX('Subj-Map-1'!$I$7:$K$100,1+B80,C80)</f>
        <v/>
      </c>
    </row>
    <row r="81" spans="1:4" x14ac:dyDescent="0.75">
      <c r="A81" s="32">
        <v>79</v>
      </c>
      <c r="B81" s="32">
        <f t="shared" si="3"/>
        <v>26</v>
      </c>
      <c r="C81" s="32">
        <f t="shared" si="2"/>
        <v>1</v>
      </c>
      <c r="D81" s="31" t="str" cm="1">
        <f t="array" ref="D81">INDEX('Subj-Map-1'!$I$7:$K$100,1+B81,C81)</f>
        <v/>
      </c>
    </row>
    <row r="82" spans="1:4" x14ac:dyDescent="0.75">
      <c r="A82" s="32">
        <v>80</v>
      </c>
      <c r="B82" s="32">
        <f t="shared" si="3"/>
        <v>26</v>
      </c>
      <c r="C82" s="32">
        <f t="shared" si="2"/>
        <v>2</v>
      </c>
      <c r="D82" s="31" t="str" cm="1">
        <f t="array" ref="D82">INDEX('Subj-Map-1'!$I$7:$K$100,1+B82,C82)</f>
        <v/>
      </c>
    </row>
    <row r="83" spans="1:4" x14ac:dyDescent="0.75">
      <c r="A83" s="32">
        <v>81</v>
      </c>
      <c r="B83" s="32">
        <f t="shared" si="3"/>
        <v>26</v>
      </c>
      <c r="C83" s="32">
        <f t="shared" si="2"/>
        <v>3</v>
      </c>
      <c r="D83" s="31" t="str" cm="1">
        <f t="array" ref="D83">INDEX('Subj-Map-1'!$I$7:$K$100,1+B83,C83)</f>
        <v/>
      </c>
    </row>
    <row r="84" spans="1:4" x14ac:dyDescent="0.75">
      <c r="A84" s="32">
        <v>82</v>
      </c>
      <c r="B84" s="32">
        <f t="shared" si="3"/>
        <v>27</v>
      </c>
      <c r="C84" s="32">
        <f t="shared" si="2"/>
        <v>1</v>
      </c>
      <c r="D84" s="31" t="str" cm="1">
        <f t="array" ref="D84">INDEX('Subj-Map-1'!$I$7:$K$100,1+B84,C84)</f>
        <v/>
      </c>
    </row>
    <row r="85" spans="1:4" x14ac:dyDescent="0.75">
      <c r="A85" s="32">
        <v>83</v>
      </c>
      <c r="B85" s="32">
        <f t="shared" si="3"/>
        <v>27</v>
      </c>
      <c r="C85" s="32">
        <f t="shared" si="2"/>
        <v>2</v>
      </c>
      <c r="D85" s="31" t="str" cm="1">
        <f t="array" ref="D85">INDEX('Subj-Map-1'!$I$7:$K$100,1+B85,C85)</f>
        <v/>
      </c>
    </row>
    <row r="86" spans="1:4" x14ac:dyDescent="0.75">
      <c r="A86" s="32">
        <v>84</v>
      </c>
      <c r="B86" s="32">
        <f t="shared" si="3"/>
        <v>27</v>
      </c>
      <c r="C86" s="32">
        <f t="shared" si="2"/>
        <v>3</v>
      </c>
      <c r="D86" s="31" t="str" cm="1">
        <f t="array" ref="D86">INDEX('Subj-Map-1'!$I$7:$K$100,1+B86,C86)</f>
        <v/>
      </c>
    </row>
    <row r="87" spans="1:4" x14ac:dyDescent="0.75">
      <c r="A87" s="32">
        <v>85</v>
      </c>
      <c r="B87" s="32">
        <f t="shared" si="3"/>
        <v>28</v>
      </c>
      <c r="C87" s="32">
        <f t="shared" si="2"/>
        <v>1</v>
      </c>
      <c r="D87" s="31" t="str" cm="1">
        <f t="array" ref="D87">INDEX('Subj-Map-1'!$I$7:$K$100,1+B87,C87)</f>
        <v/>
      </c>
    </row>
    <row r="88" spans="1:4" x14ac:dyDescent="0.75">
      <c r="A88" s="32">
        <v>86</v>
      </c>
      <c r="B88" s="32">
        <f t="shared" si="3"/>
        <v>28</v>
      </c>
      <c r="C88" s="32">
        <f t="shared" si="2"/>
        <v>2</v>
      </c>
      <c r="D88" s="31" t="str" cm="1">
        <f t="array" ref="D88">INDEX('Subj-Map-1'!$I$7:$K$100,1+B88,C88)</f>
        <v/>
      </c>
    </row>
    <row r="89" spans="1:4" x14ac:dyDescent="0.75">
      <c r="A89" s="32">
        <v>87</v>
      </c>
      <c r="B89" s="32">
        <f t="shared" si="3"/>
        <v>28</v>
      </c>
      <c r="C89" s="32">
        <f t="shared" si="2"/>
        <v>3</v>
      </c>
      <c r="D89" s="31" t="str" cm="1">
        <f t="array" ref="D89">INDEX('Subj-Map-1'!$I$7:$K$100,1+B89,C89)</f>
        <v/>
      </c>
    </row>
    <row r="90" spans="1:4" x14ac:dyDescent="0.75">
      <c r="A90" s="32">
        <v>88</v>
      </c>
      <c r="B90" s="32">
        <f t="shared" si="3"/>
        <v>29</v>
      </c>
      <c r="C90" s="32">
        <f t="shared" si="2"/>
        <v>1</v>
      </c>
      <c r="D90" s="31" t="str" cm="1">
        <f t="array" ref="D90">INDEX('Subj-Map-1'!$I$7:$K$100,1+B90,C90)</f>
        <v/>
      </c>
    </row>
    <row r="91" spans="1:4" x14ac:dyDescent="0.75">
      <c r="A91" s="32">
        <v>89</v>
      </c>
      <c r="B91" s="32">
        <f t="shared" si="3"/>
        <v>29</v>
      </c>
      <c r="C91" s="32">
        <f t="shared" si="2"/>
        <v>2</v>
      </c>
      <c r="D91" s="31" t="str" cm="1">
        <f t="array" ref="D91">INDEX('Subj-Map-1'!$I$7:$K$100,1+B91,C91)</f>
        <v/>
      </c>
    </row>
    <row r="92" spans="1:4" x14ac:dyDescent="0.75">
      <c r="A92" s="32">
        <v>90</v>
      </c>
      <c r="B92" s="32">
        <f t="shared" si="3"/>
        <v>29</v>
      </c>
      <c r="C92" s="32">
        <f t="shared" si="2"/>
        <v>3</v>
      </c>
      <c r="D92" s="31" t="str" cm="1">
        <f t="array" ref="D92">INDEX('Subj-Map-1'!$I$7:$K$100,1+B92,C92)</f>
        <v/>
      </c>
    </row>
    <row r="93" spans="1:4" x14ac:dyDescent="0.75">
      <c r="A93" s="32">
        <v>91</v>
      </c>
      <c r="B93" s="32">
        <f t="shared" si="3"/>
        <v>30</v>
      </c>
      <c r="C93" s="32">
        <f t="shared" si="2"/>
        <v>1</v>
      </c>
      <c r="D93" s="31" t="str" cm="1">
        <f t="array" ref="D93">INDEX('Subj-Map-1'!$I$7:$K$100,1+B93,C93)</f>
        <v/>
      </c>
    </row>
    <row r="94" spans="1:4" x14ac:dyDescent="0.75">
      <c r="A94" s="32">
        <v>92</v>
      </c>
      <c r="B94" s="32">
        <f t="shared" si="3"/>
        <v>30</v>
      </c>
      <c r="C94" s="32">
        <f t="shared" si="2"/>
        <v>2</v>
      </c>
      <c r="D94" s="31" t="str" cm="1">
        <f t="array" ref="D94">INDEX('Subj-Map-1'!$I$7:$K$100,1+B94,C94)</f>
        <v/>
      </c>
    </row>
    <row r="95" spans="1:4" x14ac:dyDescent="0.75">
      <c r="A95" s="32">
        <v>93</v>
      </c>
      <c r="B95" s="32">
        <f t="shared" si="3"/>
        <v>30</v>
      </c>
      <c r="C95" s="32">
        <f t="shared" si="2"/>
        <v>3</v>
      </c>
      <c r="D95" s="31" t="str" cm="1">
        <f t="array" ref="D95">INDEX('Subj-Map-1'!$I$7:$K$100,1+B95,C95)</f>
        <v/>
      </c>
    </row>
    <row r="96" spans="1:4" x14ac:dyDescent="0.75">
      <c r="A96" s="32">
        <v>94</v>
      </c>
      <c r="B96" s="32">
        <f t="shared" si="3"/>
        <v>31</v>
      </c>
      <c r="C96" s="32">
        <f t="shared" si="2"/>
        <v>1</v>
      </c>
      <c r="D96" s="31" t="str" cm="1">
        <f t="array" ref="D96">INDEX('Subj-Map-1'!$I$7:$K$100,1+B96,C96)</f>
        <v/>
      </c>
    </row>
    <row r="97" spans="1:4" x14ac:dyDescent="0.75">
      <c r="A97" s="32">
        <v>95</v>
      </c>
      <c r="B97" s="32">
        <f t="shared" si="3"/>
        <v>31</v>
      </c>
      <c r="C97" s="32">
        <f t="shared" si="2"/>
        <v>2</v>
      </c>
      <c r="D97" s="31" t="str" cm="1">
        <f t="array" ref="D97">INDEX('Subj-Map-1'!$I$7:$K$100,1+B97,C97)</f>
        <v/>
      </c>
    </row>
    <row r="98" spans="1:4" x14ac:dyDescent="0.75">
      <c r="A98" s="32">
        <v>96</v>
      </c>
      <c r="B98" s="32">
        <f t="shared" si="3"/>
        <v>31</v>
      </c>
      <c r="C98" s="32">
        <f t="shared" si="2"/>
        <v>3</v>
      </c>
      <c r="D98" s="31" t="str" cm="1">
        <f t="array" ref="D98">INDEX('Subj-Map-1'!$I$7:$K$100,1+B98,C98)</f>
        <v/>
      </c>
    </row>
    <row r="99" spans="1:4" x14ac:dyDescent="0.75">
      <c r="A99" s="32">
        <v>97</v>
      </c>
      <c r="B99" s="32">
        <f t="shared" si="3"/>
        <v>32</v>
      </c>
      <c r="C99" s="32">
        <f t="shared" si="2"/>
        <v>1</v>
      </c>
      <c r="D99" s="31" t="str" cm="1">
        <f t="array" ref="D99">INDEX('Subj-Map-1'!$I$7:$K$100,1+B99,C99)</f>
        <v/>
      </c>
    </row>
    <row r="100" spans="1:4" x14ac:dyDescent="0.75">
      <c r="A100" s="32">
        <v>98</v>
      </c>
      <c r="B100" s="32">
        <f t="shared" si="3"/>
        <v>32</v>
      </c>
      <c r="C100" s="32">
        <f t="shared" si="2"/>
        <v>2</v>
      </c>
      <c r="D100" s="31" t="str" cm="1">
        <f t="array" ref="D100">INDEX('Subj-Map-1'!$I$7:$K$100,1+B100,C100)</f>
        <v/>
      </c>
    </row>
    <row r="101" spans="1:4" x14ac:dyDescent="0.75">
      <c r="A101" s="32">
        <v>99</v>
      </c>
      <c r="B101" s="32">
        <f t="shared" si="3"/>
        <v>32</v>
      </c>
      <c r="C101" s="32">
        <f t="shared" si="2"/>
        <v>3</v>
      </c>
      <c r="D101" s="31" t="str" cm="1">
        <f t="array" ref="D101">INDEX('Subj-Map-1'!$I$7:$K$100,1+B101,C101)</f>
        <v/>
      </c>
    </row>
    <row r="102" spans="1:4" x14ac:dyDescent="0.75">
      <c r="A102" s="32">
        <v>100</v>
      </c>
      <c r="B102" s="32">
        <f t="shared" si="3"/>
        <v>33</v>
      </c>
      <c r="C102" s="32">
        <f t="shared" si="2"/>
        <v>1</v>
      </c>
      <c r="D102" s="31" t="str" cm="1">
        <f t="array" ref="D102">INDEX('Subj-Map-1'!$I$7:$K$100,1+B102,C102)</f>
        <v/>
      </c>
    </row>
    <row r="103" spans="1:4" x14ac:dyDescent="0.75">
      <c r="A103" s="32">
        <v>101</v>
      </c>
      <c r="B103" s="32">
        <f t="shared" si="3"/>
        <v>33</v>
      </c>
      <c r="C103" s="32">
        <f t="shared" si="2"/>
        <v>2</v>
      </c>
      <c r="D103" s="31" t="str" cm="1">
        <f t="array" ref="D103">INDEX('Subj-Map-1'!$I$7:$K$100,1+B103,C103)</f>
        <v/>
      </c>
    </row>
    <row r="104" spans="1:4" x14ac:dyDescent="0.75">
      <c r="A104" s="32">
        <v>102</v>
      </c>
      <c r="B104" s="32">
        <f t="shared" si="3"/>
        <v>33</v>
      </c>
      <c r="C104" s="32">
        <f t="shared" si="2"/>
        <v>3</v>
      </c>
      <c r="D104" s="31" t="str" cm="1">
        <f t="array" ref="D104">INDEX('Subj-Map-1'!$I$7:$K$100,1+B104,C104)</f>
        <v/>
      </c>
    </row>
    <row r="105" spans="1:4" x14ac:dyDescent="0.75">
      <c r="A105" s="32">
        <v>103</v>
      </c>
      <c r="B105" s="32">
        <f t="shared" si="3"/>
        <v>34</v>
      </c>
      <c r="C105" s="32">
        <f t="shared" ref="C105:C168" si="4">IF(MOD(A105,3)=0,3,MOD(A105,3))</f>
        <v>1</v>
      </c>
      <c r="D105" s="31" t="str" cm="1">
        <f t="array" ref="D105">INDEX('Subj-Map-1'!$I$7:$K$100,1+B105,C105)</f>
        <v/>
      </c>
    </row>
    <row r="106" spans="1:4" x14ac:dyDescent="0.75">
      <c r="A106" s="32">
        <v>104</v>
      </c>
      <c r="B106" s="32">
        <f t="shared" si="3"/>
        <v>34</v>
      </c>
      <c r="C106" s="32">
        <f t="shared" si="4"/>
        <v>2</v>
      </c>
      <c r="D106" s="31" t="str" cm="1">
        <f t="array" ref="D106">INDEX('Subj-Map-1'!$I$7:$K$100,1+B106,C106)</f>
        <v/>
      </c>
    </row>
    <row r="107" spans="1:4" x14ac:dyDescent="0.75">
      <c r="A107" s="32">
        <v>105</v>
      </c>
      <c r="B107" s="32">
        <f t="shared" si="3"/>
        <v>34</v>
      </c>
      <c r="C107" s="32">
        <f t="shared" si="4"/>
        <v>3</v>
      </c>
      <c r="D107" s="31" t="str" cm="1">
        <f t="array" ref="D107">INDEX('Subj-Map-1'!$I$7:$K$100,1+B107,C107)</f>
        <v/>
      </c>
    </row>
    <row r="108" spans="1:4" x14ac:dyDescent="0.75">
      <c r="A108" s="32">
        <v>106</v>
      </c>
      <c r="B108" s="32">
        <f t="shared" si="3"/>
        <v>35</v>
      </c>
      <c r="C108" s="32">
        <f t="shared" si="4"/>
        <v>1</v>
      </c>
      <c r="D108" s="31" t="str" cm="1">
        <f t="array" ref="D108">INDEX('Subj-Map-1'!$I$7:$K$100,1+B108,C108)</f>
        <v/>
      </c>
    </row>
    <row r="109" spans="1:4" x14ac:dyDescent="0.75">
      <c r="A109" s="32">
        <v>107</v>
      </c>
      <c r="B109" s="32">
        <f t="shared" si="3"/>
        <v>35</v>
      </c>
      <c r="C109" s="32">
        <f t="shared" si="4"/>
        <v>2</v>
      </c>
      <c r="D109" s="31" t="str" cm="1">
        <f t="array" ref="D109">INDEX('Subj-Map-1'!$I$7:$K$100,1+B109,C109)</f>
        <v/>
      </c>
    </row>
    <row r="110" spans="1:4" x14ac:dyDescent="0.75">
      <c r="A110" s="32">
        <v>108</v>
      </c>
      <c r="B110" s="32">
        <f t="shared" si="3"/>
        <v>35</v>
      </c>
      <c r="C110" s="32">
        <f t="shared" si="4"/>
        <v>3</v>
      </c>
      <c r="D110" s="31" t="str" cm="1">
        <f t="array" ref="D110">INDEX('Subj-Map-1'!$I$7:$K$100,1+B110,C110)</f>
        <v/>
      </c>
    </row>
    <row r="111" spans="1:4" x14ac:dyDescent="0.75">
      <c r="A111" s="32">
        <v>109</v>
      </c>
      <c r="B111" s="32">
        <f t="shared" si="3"/>
        <v>36</v>
      </c>
      <c r="C111" s="32">
        <f t="shared" si="4"/>
        <v>1</v>
      </c>
      <c r="D111" s="31" t="str" cm="1">
        <f t="array" ref="D111">INDEX('Subj-Map-1'!$I$7:$K$100,1+B111,C111)</f>
        <v/>
      </c>
    </row>
    <row r="112" spans="1:4" x14ac:dyDescent="0.75">
      <c r="A112" s="32">
        <v>110</v>
      </c>
      <c r="B112" s="32">
        <f t="shared" si="3"/>
        <v>36</v>
      </c>
      <c r="C112" s="32">
        <f t="shared" si="4"/>
        <v>2</v>
      </c>
      <c r="D112" s="31" t="str" cm="1">
        <f t="array" ref="D112">INDEX('Subj-Map-1'!$I$7:$K$100,1+B112,C112)</f>
        <v/>
      </c>
    </row>
    <row r="113" spans="1:4" x14ac:dyDescent="0.75">
      <c r="A113" s="32">
        <v>111</v>
      </c>
      <c r="B113" s="32">
        <f t="shared" si="3"/>
        <v>36</v>
      </c>
      <c r="C113" s="32">
        <f t="shared" si="4"/>
        <v>3</v>
      </c>
      <c r="D113" s="31" t="str" cm="1">
        <f t="array" ref="D113">INDEX('Subj-Map-1'!$I$7:$K$100,1+B113,C113)</f>
        <v/>
      </c>
    </row>
    <row r="114" spans="1:4" x14ac:dyDescent="0.75">
      <c r="A114" s="32">
        <v>112</v>
      </c>
      <c r="B114" s="32">
        <f t="shared" si="3"/>
        <v>37</v>
      </c>
      <c r="C114" s="32">
        <f t="shared" si="4"/>
        <v>1</v>
      </c>
      <c r="D114" s="31" t="str" cm="1">
        <f t="array" ref="D114">INDEX('Subj-Map-1'!$I$7:$K$100,1+B114,C114)</f>
        <v/>
      </c>
    </row>
    <row r="115" spans="1:4" x14ac:dyDescent="0.75">
      <c r="A115" s="32">
        <v>113</v>
      </c>
      <c r="B115" s="32">
        <f t="shared" si="3"/>
        <v>37</v>
      </c>
      <c r="C115" s="32">
        <f t="shared" si="4"/>
        <v>2</v>
      </c>
      <c r="D115" s="31" t="str" cm="1">
        <f t="array" ref="D115">INDEX('Subj-Map-1'!$I$7:$K$100,1+B115,C115)</f>
        <v/>
      </c>
    </row>
    <row r="116" spans="1:4" x14ac:dyDescent="0.75">
      <c r="A116" s="32">
        <v>114</v>
      </c>
      <c r="B116" s="32">
        <f t="shared" si="3"/>
        <v>37</v>
      </c>
      <c r="C116" s="32">
        <f t="shared" si="4"/>
        <v>3</v>
      </c>
      <c r="D116" s="31" t="str" cm="1">
        <f t="array" ref="D116">INDEX('Subj-Map-1'!$I$7:$K$100,1+B116,C116)</f>
        <v/>
      </c>
    </row>
    <row r="117" spans="1:4" x14ac:dyDescent="0.75">
      <c r="A117" s="32">
        <v>115</v>
      </c>
      <c r="B117" s="32">
        <f t="shared" si="3"/>
        <v>38</v>
      </c>
      <c r="C117" s="32">
        <f t="shared" si="4"/>
        <v>1</v>
      </c>
      <c r="D117" s="31" t="str" cm="1">
        <f t="array" ref="D117">INDEX('Subj-Map-1'!$I$7:$K$100,1+B117,C117)</f>
        <v/>
      </c>
    </row>
    <row r="118" spans="1:4" x14ac:dyDescent="0.75">
      <c r="A118" s="32">
        <v>116</v>
      </c>
      <c r="B118" s="32">
        <f t="shared" si="3"/>
        <v>38</v>
      </c>
      <c r="C118" s="32">
        <f t="shared" si="4"/>
        <v>2</v>
      </c>
      <c r="D118" s="31" t="str" cm="1">
        <f t="array" ref="D118">INDEX('Subj-Map-1'!$I$7:$K$100,1+B118,C118)</f>
        <v/>
      </c>
    </row>
    <row r="119" spans="1:4" x14ac:dyDescent="0.75">
      <c r="A119" s="32">
        <v>117</v>
      </c>
      <c r="B119" s="32">
        <f t="shared" si="3"/>
        <v>38</v>
      </c>
      <c r="C119" s="32">
        <f t="shared" si="4"/>
        <v>3</v>
      </c>
      <c r="D119" s="31" t="str" cm="1">
        <f t="array" ref="D119">INDEX('Subj-Map-1'!$I$7:$K$100,1+B119,C119)</f>
        <v/>
      </c>
    </row>
    <row r="120" spans="1:4" x14ac:dyDescent="0.75">
      <c r="A120" s="32">
        <v>118</v>
      </c>
      <c r="B120" s="32">
        <f t="shared" si="3"/>
        <v>39</v>
      </c>
      <c r="C120" s="32">
        <f t="shared" si="4"/>
        <v>1</v>
      </c>
      <c r="D120" s="31" t="str" cm="1">
        <f t="array" ref="D120">INDEX('Subj-Map-1'!$I$7:$K$100,1+B120,C120)</f>
        <v/>
      </c>
    </row>
    <row r="121" spans="1:4" x14ac:dyDescent="0.75">
      <c r="A121" s="32">
        <v>119</v>
      </c>
      <c r="B121" s="32">
        <f t="shared" si="3"/>
        <v>39</v>
      </c>
      <c r="C121" s="32">
        <f t="shared" si="4"/>
        <v>2</v>
      </c>
      <c r="D121" s="31" t="str" cm="1">
        <f t="array" ref="D121">INDEX('Subj-Map-1'!$I$7:$K$100,1+B121,C121)</f>
        <v/>
      </c>
    </row>
    <row r="122" spans="1:4" x14ac:dyDescent="0.75">
      <c r="A122" s="32">
        <v>120</v>
      </c>
      <c r="B122" s="32">
        <f t="shared" si="3"/>
        <v>39</v>
      </c>
      <c r="C122" s="32">
        <f t="shared" si="4"/>
        <v>3</v>
      </c>
      <c r="D122" s="31" t="str" cm="1">
        <f t="array" ref="D122">INDEX('Subj-Map-1'!$I$7:$K$100,1+B122,C122)</f>
        <v/>
      </c>
    </row>
    <row r="123" spans="1:4" x14ac:dyDescent="0.75">
      <c r="A123" s="32">
        <v>121</v>
      </c>
      <c r="B123" s="32">
        <f t="shared" si="3"/>
        <v>40</v>
      </c>
      <c r="C123" s="32">
        <f t="shared" si="4"/>
        <v>1</v>
      </c>
      <c r="D123" s="31" t="str" cm="1">
        <f t="array" ref="D123">INDEX('Subj-Map-1'!$I$7:$K$100,1+B123,C123)</f>
        <v/>
      </c>
    </row>
    <row r="124" spans="1:4" x14ac:dyDescent="0.75">
      <c r="A124" s="32">
        <v>122</v>
      </c>
      <c r="B124" s="32">
        <f t="shared" si="3"/>
        <v>40</v>
      </c>
      <c r="C124" s="32">
        <f t="shared" si="4"/>
        <v>2</v>
      </c>
      <c r="D124" s="31" t="str" cm="1">
        <f t="array" ref="D124">INDEX('Subj-Map-1'!$I$7:$K$100,1+B124,C124)</f>
        <v/>
      </c>
    </row>
    <row r="125" spans="1:4" x14ac:dyDescent="0.75">
      <c r="A125" s="32">
        <v>123</v>
      </c>
      <c r="B125" s="32">
        <f t="shared" si="3"/>
        <v>40</v>
      </c>
      <c r="C125" s="32">
        <f t="shared" si="4"/>
        <v>3</v>
      </c>
      <c r="D125" s="31" t="str" cm="1">
        <f t="array" ref="D125">INDEX('Subj-Map-1'!$I$7:$K$100,1+B125,C125)</f>
        <v/>
      </c>
    </row>
    <row r="126" spans="1:4" x14ac:dyDescent="0.75">
      <c r="A126" s="32">
        <v>124</v>
      </c>
      <c r="B126" s="32">
        <f t="shared" si="3"/>
        <v>41</v>
      </c>
      <c r="C126" s="32">
        <f t="shared" si="4"/>
        <v>1</v>
      </c>
      <c r="D126" s="31" t="str" cm="1">
        <f t="array" ref="D126">INDEX('Subj-Map-1'!$I$7:$K$100,1+B126,C126)</f>
        <v/>
      </c>
    </row>
    <row r="127" spans="1:4" x14ac:dyDescent="0.75">
      <c r="A127" s="32">
        <v>125</v>
      </c>
      <c r="B127" s="32">
        <f t="shared" si="3"/>
        <v>41</v>
      </c>
      <c r="C127" s="32">
        <f t="shared" si="4"/>
        <v>2</v>
      </c>
      <c r="D127" s="31" t="str" cm="1">
        <f t="array" ref="D127">INDEX('Subj-Map-1'!$I$7:$K$100,1+B127,C127)</f>
        <v/>
      </c>
    </row>
    <row r="128" spans="1:4" x14ac:dyDescent="0.75">
      <c r="A128" s="32">
        <v>126</v>
      </c>
      <c r="B128" s="32">
        <f t="shared" si="3"/>
        <v>41</v>
      </c>
      <c r="C128" s="32">
        <f t="shared" si="4"/>
        <v>3</v>
      </c>
      <c r="D128" s="31" t="str" cm="1">
        <f t="array" ref="D128">INDEX('Subj-Map-1'!$I$7:$K$100,1+B128,C128)</f>
        <v/>
      </c>
    </row>
    <row r="129" spans="1:4" x14ac:dyDescent="0.75">
      <c r="A129" s="32">
        <v>127</v>
      </c>
      <c r="B129" s="32">
        <f t="shared" si="3"/>
        <v>42</v>
      </c>
      <c r="C129" s="32">
        <f t="shared" si="4"/>
        <v>1</v>
      </c>
      <c r="D129" s="31" t="str" cm="1">
        <f t="array" ref="D129">INDEX('Subj-Map-1'!$I$7:$K$100,1+B129,C129)</f>
        <v/>
      </c>
    </row>
    <row r="130" spans="1:4" x14ac:dyDescent="0.75">
      <c r="A130" s="32">
        <v>128</v>
      </c>
      <c r="B130" s="32">
        <f t="shared" si="3"/>
        <v>42</v>
      </c>
      <c r="C130" s="32">
        <f t="shared" si="4"/>
        <v>2</v>
      </c>
      <c r="D130" s="31" t="str" cm="1">
        <f t="array" ref="D130">INDEX('Subj-Map-1'!$I$7:$K$100,1+B130,C130)</f>
        <v/>
      </c>
    </row>
    <row r="131" spans="1:4" x14ac:dyDescent="0.75">
      <c r="A131" s="32">
        <v>129</v>
      </c>
      <c r="B131" s="32">
        <f t="shared" si="3"/>
        <v>42</v>
      </c>
      <c r="C131" s="32">
        <f t="shared" si="4"/>
        <v>3</v>
      </c>
      <c r="D131" s="31" t="str" cm="1">
        <f t="array" ref="D131">INDEX('Subj-Map-1'!$I$7:$K$100,1+B131,C131)</f>
        <v/>
      </c>
    </row>
    <row r="132" spans="1:4" x14ac:dyDescent="0.75">
      <c r="A132" s="32">
        <v>130</v>
      </c>
      <c r="B132" s="32">
        <f t="shared" ref="B132:B195" si="5">IF(MOD(A132,3)=0,A132/3-1,INT(A132/3))</f>
        <v>43</v>
      </c>
      <c r="C132" s="32">
        <f t="shared" si="4"/>
        <v>1</v>
      </c>
      <c r="D132" s="31" t="str" cm="1">
        <f t="array" ref="D132">INDEX('Subj-Map-1'!$I$7:$K$100,1+B132,C132)</f>
        <v/>
      </c>
    </row>
    <row r="133" spans="1:4" x14ac:dyDescent="0.75">
      <c r="A133" s="32">
        <v>131</v>
      </c>
      <c r="B133" s="32">
        <f t="shared" si="5"/>
        <v>43</v>
      </c>
      <c r="C133" s="32">
        <f t="shared" si="4"/>
        <v>2</v>
      </c>
      <c r="D133" s="31" t="str" cm="1">
        <f t="array" ref="D133">INDEX('Subj-Map-1'!$I$7:$K$100,1+B133,C133)</f>
        <v/>
      </c>
    </row>
    <row r="134" spans="1:4" x14ac:dyDescent="0.75">
      <c r="A134" s="32">
        <v>132</v>
      </c>
      <c r="B134" s="32">
        <f t="shared" si="5"/>
        <v>43</v>
      </c>
      <c r="C134" s="32">
        <f t="shared" si="4"/>
        <v>3</v>
      </c>
      <c r="D134" s="31" t="str" cm="1">
        <f t="array" ref="D134">INDEX('Subj-Map-1'!$I$7:$K$100,1+B134,C134)</f>
        <v/>
      </c>
    </row>
    <row r="135" spans="1:4" x14ac:dyDescent="0.75">
      <c r="A135" s="32">
        <v>133</v>
      </c>
      <c r="B135" s="32">
        <f t="shared" si="5"/>
        <v>44</v>
      </c>
      <c r="C135" s="32">
        <f t="shared" si="4"/>
        <v>1</v>
      </c>
      <c r="D135" s="31" cm="1">
        <f t="array" ref="D135">INDEX('Subj-Map-1'!$I$7:$K$100,1+B135,C135)</f>
        <v>0</v>
      </c>
    </row>
    <row r="136" spans="1:4" x14ac:dyDescent="0.75">
      <c r="A136" s="32">
        <v>134</v>
      </c>
      <c r="B136" s="32">
        <f t="shared" si="5"/>
        <v>44</v>
      </c>
      <c r="C136" s="32">
        <f t="shared" si="4"/>
        <v>2</v>
      </c>
      <c r="D136" s="31" cm="1">
        <f t="array" ref="D136">INDEX('Subj-Map-1'!$I$7:$K$100,1+B136,C136)</f>
        <v>0</v>
      </c>
    </row>
    <row r="137" spans="1:4" x14ac:dyDescent="0.75">
      <c r="A137" s="32">
        <v>135</v>
      </c>
      <c r="B137" s="32">
        <f t="shared" si="5"/>
        <v>44</v>
      </c>
      <c r="C137" s="32">
        <f t="shared" si="4"/>
        <v>3</v>
      </c>
      <c r="D137" s="31" cm="1">
        <f t="array" ref="D137">INDEX('Subj-Map-1'!$I$7:$K$100,1+B137,C137)</f>
        <v>0</v>
      </c>
    </row>
    <row r="138" spans="1:4" x14ac:dyDescent="0.75">
      <c r="A138" s="32">
        <v>136</v>
      </c>
      <c r="B138" s="32">
        <f t="shared" si="5"/>
        <v>45</v>
      </c>
      <c r="C138" s="32">
        <f t="shared" si="4"/>
        <v>1</v>
      </c>
      <c r="D138" s="31" cm="1">
        <f t="array" ref="D138">INDEX('Subj-Map-1'!$I$7:$K$100,1+B138,C138)</f>
        <v>0</v>
      </c>
    </row>
    <row r="139" spans="1:4" x14ac:dyDescent="0.75">
      <c r="A139" s="32">
        <v>137</v>
      </c>
      <c r="B139" s="32">
        <f t="shared" si="5"/>
        <v>45</v>
      </c>
      <c r="C139" s="32">
        <f t="shared" si="4"/>
        <v>2</v>
      </c>
      <c r="D139" s="31" cm="1">
        <f t="array" ref="D139">INDEX('Subj-Map-1'!$I$7:$K$100,1+B139,C139)</f>
        <v>0</v>
      </c>
    </row>
    <row r="140" spans="1:4" x14ac:dyDescent="0.75">
      <c r="A140" s="32">
        <v>138</v>
      </c>
      <c r="B140" s="32">
        <f t="shared" si="5"/>
        <v>45</v>
      </c>
      <c r="C140" s="32">
        <f t="shared" si="4"/>
        <v>3</v>
      </c>
      <c r="D140" s="31" cm="1">
        <f t="array" ref="D140">INDEX('Subj-Map-1'!$I$7:$K$100,1+B140,C140)</f>
        <v>0</v>
      </c>
    </row>
    <row r="141" spans="1:4" x14ac:dyDescent="0.75">
      <c r="A141" s="32">
        <v>139</v>
      </c>
      <c r="B141" s="32">
        <f t="shared" si="5"/>
        <v>46</v>
      </c>
      <c r="C141" s="32">
        <f t="shared" si="4"/>
        <v>1</v>
      </c>
      <c r="D141" s="31" cm="1">
        <f t="array" ref="D141">INDEX('Subj-Map-1'!$I$7:$K$100,1+B141,C141)</f>
        <v>0</v>
      </c>
    </row>
    <row r="142" spans="1:4" x14ac:dyDescent="0.75">
      <c r="A142" s="32">
        <v>140</v>
      </c>
      <c r="B142" s="32">
        <f t="shared" si="5"/>
        <v>46</v>
      </c>
      <c r="C142" s="32">
        <f t="shared" si="4"/>
        <v>2</v>
      </c>
      <c r="D142" s="31" cm="1">
        <f t="array" ref="D142">INDEX('Subj-Map-1'!$I$7:$K$100,1+B142,C142)</f>
        <v>0</v>
      </c>
    </row>
    <row r="143" spans="1:4" x14ac:dyDescent="0.75">
      <c r="A143" s="32">
        <v>141</v>
      </c>
      <c r="B143" s="32">
        <f t="shared" si="5"/>
        <v>46</v>
      </c>
      <c r="C143" s="32">
        <f t="shared" si="4"/>
        <v>3</v>
      </c>
      <c r="D143" s="31" cm="1">
        <f t="array" ref="D143">INDEX('Subj-Map-1'!$I$7:$K$100,1+B143,C143)</f>
        <v>0</v>
      </c>
    </row>
    <row r="144" spans="1:4" x14ac:dyDescent="0.75">
      <c r="A144" s="32">
        <v>142</v>
      </c>
      <c r="B144" s="32">
        <f t="shared" si="5"/>
        <v>47</v>
      </c>
      <c r="C144" s="32">
        <f t="shared" si="4"/>
        <v>1</v>
      </c>
      <c r="D144" s="31" cm="1">
        <f t="array" ref="D144">INDEX('Subj-Map-1'!$I$7:$K$100,1+B144,C144)</f>
        <v>0</v>
      </c>
    </row>
    <row r="145" spans="1:4" x14ac:dyDescent="0.75">
      <c r="A145" s="32">
        <v>143</v>
      </c>
      <c r="B145" s="32">
        <f t="shared" si="5"/>
        <v>47</v>
      </c>
      <c r="C145" s="32">
        <f t="shared" si="4"/>
        <v>2</v>
      </c>
      <c r="D145" s="31" cm="1">
        <f t="array" ref="D145">INDEX('Subj-Map-1'!$I$7:$K$100,1+B145,C145)</f>
        <v>0</v>
      </c>
    </row>
    <row r="146" spans="1:4" x14ac:dyDescent="0.75">
      <c r="A146" s="32">
        <v>144</v>
      </c>
      <c r="B146" s="32">
        <f t="shared" si="5"/>
        <v>47</v>
      </c>
      <c r="C146" s="32">
        <f t="shared" si="4"/>
        <v>3</v>
      </c>
      <c r="D146" s="31" cm="1">
        <f t="array" ref="D146">INDEX('Subj-Map-1'!$I$7:$K$100,1+B146,C146)</f>
        <v>0</v>
      </c>
    </row>
    <row r="147" spans="1:4" x14ac:dyDescent="0.75">
      <c r="A147" s="32">
        <v>145</v>
      </c>
      <c r="B147" s="32">
        <f t="shared" si="5"/>
        <v>48</v>
      </c>
      <c r="C147" s="32">
        <f t="shared" si="4"/>
        <v>1</v>
      </c>
      <c r="D147" s="31" cm="1">
        <f t="array" ref="D147">INDEX('Subj-Map-1'!$I$7:$K$100,1+B147,C147)</f>
        <v>0</v>
      </c>
    </row>
    <row r="148" spans="1:4" x14ac:dyDescent="0.75">
      <c r="A148" s="32">
        <v>146</v>
      </c>
      <c r="B148" s="32">
        <f t="shared" si="5"/>
        <v>48</v>
      </c>
      <c r="C148" s="32">
        <f t="shared" si="4"/>
        <v>2</v>
      </c>
      <c r="D148" s="31" cm="1">
        <f t="array" ref="D148">INDEX('Subj-Map-1'!$I$7:$K$100,1+B148,C148)</f>
        <v>0</v>
      </c>
    </row>
    <row r="149" spans="1:4" x14ac:dyDescent="0.75">
      <c r="A149" s="32">
        <v>147</v>
      </c>
      <c r="B149" s="32">
        <f t="shared" si="5"/>
        <v>48</v>
      </c>
      <c r="C149" s="32">
        <f t="shared" si="4"/>
        <v>3</v>
      </c>
      <c r="D149" s="31" cm="1">
        <f t="array" ref="D149">INDEX('Subj-Map-1'!$I$7:$K$100,1+B149,C149)</f>
        <v>0</v>
      </c>
    </row>
    <row r="150" spans="1:4" x14ac:dyDescent="0.75">
      <c r="A150" s="32">
        <v>148</v>
      </c>
      <c r="B150" s="32">
        <f t="shared" si="5"/>
        <v>49</v>
      </c>
      <c r="C150" s="32">
        <f t="shared" si="4"/>
        <v>1</v>
      </c>
      <c r="D150" s="31" cm="1">
        <f t="array" ref="D150">INDEX('Subj-Map-1'!$I$7:$K$100,1+B150,C150)</f>
        <v>0</v>
      </c>
    </row>
    <row r="151" spans="1:4" x14ac:dyDescent="0.75">
      <c r="A151" s="32">
        <v>149</v>
      </c>
      <c r="B151" s="32">
        <f t="shared" si="5"/>
        <v>49</v>
      </c>
      <c r="C151" s="32">
        <f t="shared" si="4"/>
        <v>2</v>
      </c>
      <c r="D151" s="31" cm="1">
        <f t="array" ref="D151">INDEX('Subj-Map-1'!$I$7:$K$100,1+B151,C151)</f>
        <v>0</v>
      </c>
    </row>
    <row r="152" spans="1:4" x14ac:dyDescent="0.75">
      <c r="A152" s="32">
        <v>150</v>
      </c>
      <c r="B152" s="32">
        <f t="shared" si="5"/>
        <v>49</v>
      </c>
      <c r="C152" s="32">
        <f t="shared" si="4"/>
        <v>3</v>
      </c>
      <c r="D152" s="31" cm="1">
        <f t="array" ref="D152">INDEX('Subj-Map-1'!$I$7:$K$100,1+B152,C152)</f>
        <v>0</v>
      </c>
    </row>
    <row r="153" spans="1:4" x14ac:dyDescent="0.75">
      <c r="A153" s="32">
        <v>151</v>
      </c>
      <c r="B153" s="32">
        <f t="shared" si="5"/>
        <v>50</v>
      </c>
      <c r="C153" s="32">
        <f t="shared" si="4"/>
        <v>1</v>
      </c>
      <c r="D153" s="31" cm="1">
        <f t="array" ref="D153">INDEX('Subj-Map-1'!$I$7:$K$100,1+B153,C153)</f>
        <v>0</v>
      </c>
    </row>
    <row r="154" spans="1:4" x14ac:dyDescent="0.75">
      <c r="A154" s="32">
        <v>152</v>
      </c>
      <c r="B154" s="32">
        <f t="shared" si="5"/>
        <v>50</v>
      </c>
      <c r="C154" s="32">
        <f t="shared" si="4"/>
        <v>2</v>
      </c>
      <c r="D154" s="31" cm="1">
        <f t="array" ref="D154">INDEX('Subj-Map-1'!$I$7:$K$100,1+B154,C154)</f>
        <v>0</v>
      </c>
    </row>
    <row r="155" spans="1:4" x14ac:dyDescent="0.75">
      <c r="A155" s="32">
        <v>153</v>
      </c>
      <c r="B155" s="32">
        <f t="shared" si="5"/>
        <v>50</v>
      </c>
      <c r="C155" s="32">
        <f t="shared" si="4"/>
        <v>3</v>
      </c>
      <c r="D155" s="31" cm="1">
        <f t="array" ref="D155">INDEX('Subj-Map-1'!$I$7:$K$100,1+B155,C155)</f>
        <v>0</v>
      </c>
    </row>
    <row r="156" spans="1:4" x14ac:dyDescent="0.75">
      <c r="A156" s="32">
        <v>154</v>
      </c>
      <c r="B156" s="32">
        <f t="shared" si="5"/>
        <v>51</v>
      </c>
      <c r="C156" s="32">
        <f t="shared" si="4"/>
        <v>1</v>
      </c>
      <c r="D156" s="31" cm="1">
        <f t="array" ref="D156">INDEX('Subj-Map-1'!$I$7:$K$100,1+B156,C156)</f>
        <v>0</v>
      </c>
    </row>
    <row r="157" spans="1:4" x14ac:dyDescent="0.75">
      <c r="A157" s="32">
        <v>155</v>
      </c>
      <c r="B157" s="32">
        <f t="shared" si="5"/>
        <v>51</v>
      </c>
      <c r="C157" s="32">
        <f t="shared" si="4"/>
        <v>2</v>
      </c>
      <c r="D157" s="31" cm="1">
        <f t="array" ref="D157">INDEX('Subj-Map-1'!$I$7:$K$100,1+B157,C157)</f>
        <v>0</v>
      </c>
    </row>
    <row r="158" spans="1:4" x14ac:dyDescent="0.75">
      <c r="A158" s="32">
        <v>156</v>
      </c>
      <c r="B158" s="32">
        <f t="shared" si="5"/>
        <v>51</v>
      </c>
      <c r="C158" s="32">
        <f t="shared" si="4"/>
        <v>3</v>
      </c>
      <c r="D158" s="31" cm="1">
        <f t="array" ref="D158">INDEX('Subj-Map-1'!$I$7:$K$100,1+B158,C158)</f>
        <v>0</v>
      </c>
    </row>
    <row r="159" spans="1:4" x14ac:dyDescent="0.75">
      <c r="A159" s="32">
        <v>157</v>
      </c>
      <c r="B159" s="32">
        <f t="shared" si="5"/>
        <v>52</v>
      </c>
      <c r="C159" s="32">
        <f t="shared" si="4"/>
        <v>1</v>
      </c>
      <c r="D159" s="31" cm="1">
        <f t="array" ref="D159">INDEX('Subj-Map-1'!$I$7:$K$100,1+B159,C159)</f>
        <v>0</v>
      </c>
    </row>
    <row r="160" spans="1:4" x14ac:dyDescent="0.75">
      <c r="A160" s="32">
        <v>158</v>
      </c>
      <c r="B160" s="32">
        <f t="shared" si="5"/>
        <v>52</v>
      </c>
      <c r="C160" s="32">
        <f t="shared" si="4"/>
        <v>2</v>
      </c>
      <c r="D160" s="31" cm="1">
        <f t="array" ref="D160">INDEX('Subj-Map-1'!$I$7:$K$100,1+B160,C160)</f>
        <v>0</v>
      </c>
    </row>
    <row r="161" spans="1:4" x14ac:dyDescent="0.75">
      <c r="A161" s="32">
        <v>159</v>
      </c>
      <c r="B161" s="32">
        <f t="shared" si="5"/>
        <v>52</v>
      </c>
      <c r="C161" s="32">
        <f t="shared" si="4"/>
        <v>3</v>
      </c>
      <c r="D161" s="31" cm="1">
        <f t="array" ref="D161">INDEX('Subj-Map-1'!$I$7:$K$100,1+B161,C161)</f>
        <v>0</v>
      </c>
    </row>
    <row r="162" spans="1:4" x14ac:dyDescent="0.75">
      <c r="A162" s="32">
        <v>160</v>
      </c>
      <c r="B162" s="32">
        <f t="shared" si="5"/>
        <v>53</v>
      </c>
      <c r="C162" s="32">
        <f t="shared" si="4"/>
        <v>1</v>
      </c>
      <c r="D162" s="31" cm="1">
        <f t="array" ref="D162">INDEX('Subj-Map-1'!$I$7:$K$100,1+B162,C162)</f>
        <v>0</v>
      </c>
    </row>
    <row r="163" spans="1:4" x14ac:dyDescent="0.75">
      <c r="A163" s="32">
        <v>161</v>
      </c>
      <c r="B163" s="32">
        <f t="shared" si="5"/>
        <v>53</v>
      </c>
      <c r="C163" s="32">
        <f t="shared" si="4"/>
        <v>2</v>
      </c>
      <c r="D163" s="31" cm="1">
        <f t="array" ref="D163">INDEX('Subj-Map-1'!$I$7:$K$100,1+B163,C163)</f>
        <v>0</v>
      </c>
    </row>
    <row r="164" spans="1:4" x14ac:dyDescent="0.75">
      <c r="A164" s="32">
        <v>162</v>
      </c>
      <c r="B164" s="32">
        <f t="shared" si="5"/>
        <v>53</v>
      </c>
      <c r="C164" s="32">
        <f t="shared" si="4"/>
        <v>3</v>
      </c>
      <c r="D164" s="31" cm="1">
        <f t="array" ref="D164">INDEX('Subj-Map-1'!$I$7:$K$100,1+B164,C164)</f>
        <v>0</v>
      </c>
    </row>
    <row r="165" spans="1:4" x14ac:dyDescent="0.75">
      <c r="A165" s="32">
        <v>163</v>
      </c>
      <c r="B165" s="32">
        <f t="shared" si="5"/>
        <v>54</v>
      </c>
      <c r="C165" s="32">
        <f t="shared" si="4"/>
        <v>1</v>
      </c>
      <c r="D165" s="31" cm="1">
        <f t="array" ref="D165">INDEX('Subj-Map-1'!$I$7:$K$100,1+B165,C165)</f>
        <v>0</v>
      </c>
    </row>
    <row r="166" spans="1:4" x14ac:dyDescent="0.75">
      <c r="A166" s="32">
        <v>164</v>
      </c>
      <c r="B166" s="32">
        <f t="shared" si="5"/>
        <v>54</v>
      </c>
      <c r="C166" s="32">
        <f t="shared" si="4"/>
        <v>2</v>
      </c>
      <c r="D166" s="31" cm="1">
        <f t="array" ref="D166">INDEX('Subj-Map-1'!$I$7:$K$100,1+B166,C166)</f>
        <v>0</v>
      </c>
    </row>
    <row r="167" spans="1:4" x14ac:dyDescent="0.75">
      <c r="A167" s="32">
        <v>165</v>
      </c>
      <c r="B167" s="32">
        <f t="shared" si="5"/>
        <v>54</v>
      </c>
      <c r="C167" s="32">
        <f t="shared" si="4"/>
        <v>3</v>
      </c>
      <c r="D167" s="31" cm="1">
        <f t="array" ref="D167">INDEX('Subj-Map-1'!$I$7:$K$100,1+B167,C167)</f>
        <v>0</v>
      </c>
    </row>
    <row r="168" spans="1:4" x14ac:dyDescent="0.75">
      <c r="A168" s="32">
        <v>166</v>
      </c>
      <c r="B168" s="32">
        <f t="shared" si="5"/>
        <v>55</v>
      </c>
      <c r="C168" s="32">
        <f t="shared" si="4"/>
        <v>1</v>
      </c>
      <c r="D168" s="31" cm="1">
        <f t="array" ref="D168">INDEX('Subj-Map-1'!$I$7:$K$100,1+B168,C168)</f>
        <v>0</v>
      </c>
    </row>
    <row r="169" spans="1:4" x14ac:dyDescent="0.75">
      <c r="A169" s="32">
        <v>167</v>
      </c>
      <c r="B169" s="32">
        <f t="shared" si="5"/>
        <v>55</v>
      </c>
      <c r="C169" s="32">
        <f t="shared" ref="C169:C206" si="6">IF(MOD(A169,3)=0,3,MOD(A169,3))</f>
        <v>2</v>
      </c>
      <c r="D169" s="31" cm="1">
        <f t="array" ref="D169">INDEX('Subj-Map-1'!$I$7:$K$100,1+B169,C169)</f>
        <v>0</v>
      </c>
    </row>
    <row r="170" spans="1:4" x14ac:dyDescent="0.75">
      <c r="A170" s="32">
        <v>168</v>
      </c>
      <c r="B170" s="32">
        <f t="shared" si="5"/>
        <v>55</v>
      </c>
      <c r="C170" s="32">
        <f t="shared" si="6"/>
        <v>3</v>
      </c>
      <c r="D170" s="31" cm="1">
        <f t="array" ref="D170">INDEX('Subj-Map-1'!$I$7:$K$100,1+B170,C170)</f>
        <v>0</v>
      </c>
    </row>
    <row r="171" spans="1:4" x14ac:dyDescent="0.75">
      <c r="A171" s="32">
        <v>169</v>
      </c>
      <c r="B171" s="32">
        <f t="shared" si="5"/>
        <v>56</v>
      </c>
      <c r="C171" s="32">
        <f t="shared" si="6"/>
        <v>1</v>
      </c>
      <c r="D171" s="31" cm="1">
        <f t="array" ref="D171">INDEX('Subj-Map-1'!$I$7:$K$100,1+B171,C171)</f>
        <v>0</v>
      </c>
    </row>
    <row r="172" spans="1:4" x14ac:dyDescent="0.75">
      <c r="A172" s="32">
        <v>170</v>
      </c>
      <c r="B172" s="32">
        <f t="shared" si="5"/>
        <v>56</v>
      </c>
      <c r="C172" s="32">
        <f t="shared" si="6"/>
        <v>2</v>
      </c>
      <c r="D172" s="31" cm="1">
        <f t="array" ref="D172">INDEX('Subj-Map-1'!$I$7:$K$100,1+B172,C172)</f>
        <v>0</v>
      </c>
    </row>
    <row r="173" spans="1:4" x14ac:dyDescent="0.75">
      <c r="A173" s="32">
        <v>171</v>
      </c>
      <c r="B173" s="32">
        <f t="shared" si="5"/>
        <v>56</v>
      </c>
      <c r="C173" s="32">
        <f t="shared" si="6"/>
        <v>3</v>
      </c>
      <c r="D173" s="31" cm="1">
        <f t="array" ref="D173">INDEX('Subj-Map-1'!$I$7:$K$100,1+B173,C173)</f>
        <v>0</v>
      </c>
    </row>
    <row r="174" spans="1:4" x14ac:dyDescent="0.75">
      <c r="A174" s="32">
        <v>172</v>
      </c>
      <c r="B174" s="32">
        <f t="shared" si="5"/>
        <v>57</v>
      </c>
      <c r="C174" s="32">
        <f t="shared" si="6"/>
        <v>1</v>
      </c>
      <c r="D174" s="31" cm="1">
        <f t="array" ref="D174">INDEX('Subj-Map-1'!$I$7:$K$100,1+B174,C174)</f>
        <v>0</v>
      </c>
    </row>
    <row r="175" spans="1:4" x14ac:dyDescent="0.75">
      <c r="A175" s="32">
        <v>173</v>
      </c>
      <c r="B175" s="32">
        <f t="shared" si="5"/>
        <v>57</v>
      </c>
      <c r="C175" s="32">
        <f t="shared" si="6"/>
        <v>2</v>
      </c>
      <c r="D175" s="31" cm="1">
        <f t="array" ref="D175">INDEX('Subj-Map-1'!$I$7:$K$100,1+B175,C175)</f>
        <v>0</v>
      </c>
    </row>
    <row r="176" spans="1:4" x14ac:dyDescent="0.75">
      <c r="A176" s="32">
        <v>174</v>
      </c>
      <c r="B176" s="32">
        <f t="shared" si="5"/>
        <v>57</v>
      </c>
      <c r="C176" s="32">
        <f t="shared" si="6"/>
        <v>3</v>
      </c>
      <c r="D176" s="31" cm="1">
        <f t="array" ref="D176">INDEX('Subj-Map-1'!$I$7:$K$100,1+B176,C176)</f>
        <v>0</v>
      </c>
    </row>
    <row r="177" spans="1:4" x14ac:dyDescent="0.75">
      <c r="A177" s="32">
        <v>175</v>
      </c>
      <c r="B177" s="32">
        <f t="shared" si="5"/>
        <v>58</v>
      </c>
      <c r="C177" s="32">
        <f t="shared" si="6"/>
        <v>1</v>
      </c>
      <c r="D177" s="31" cm="1">
        <f t="array" ref="D177">INDEX('Subj-Map-1'!$I$7:$K$100,1+B177,C177)</f>
        <v>0</v>
      </c>
    </row>
    <row r="178" spans="1:4" x14ac:dyDescent="0.75">
      <c r="A178" s="32">
        <v>176</v>
      </c>
      <c r="B178" s="32">
        <f t="shared" si="5"/>
        <v>58</v>
      </c>
      <c r="C178" s="32">
        <f t="shared" si="6"/>
        <v>2</v>
      </c>
      <c r="D178" s="31" cm="1">
        <f t="array" ref="D178">INDEX('Subj-Map-1'!$I$7:$K$100,1+B178,C178)</f>
        <v>0</v>
      </c>
    </row>
    <row r="179" spans="1:4" x14ac:dyDescent="0.75">
      <c r="A179" s="32">
        <v>177</v>
      </c>
      <c r="B179" s="32">
        <f t="shared" si="5"/>
        <v>58</v>
      </c>
      <c r="C179" s="32">
        <f t="shared" si="6"/>
        <v>3</v>
      </c>
      <c r="D179" s="31" cm="1">
        <f t="array" ref="D179">INDEX('Subj-Map-1'!$I$7:$K$100,1+B179,C179)</f>
        <v>0</v>
      </c>
    </row>
    <row r="180" spans="1:4" x14ac:dyDescent="0.75">
      <c r="A180" s="32">
        <v>178</v>
      </c>
      <c r="B180" s="32">
        <f t="shared" si="5"/>
        <v>59</v>
      </c>
      <c r="C180" s="32">
        <f t="shared" si="6"/>
        <v>1</v>
      </c>
      <c r="D180" s="31" cm="1">
        <f t="array" ref="D180">INDEX('Subj-Map-1'!$I$7:$K$100,1+B180,C180)</f>
        <v>0</v>
      </c>
    </row>
    <row r="181" spans="1:4" x14ac:dyDescent="0.75">
      <c r="A181" s="32">
        <v>179</v>
      </c>
      <c r="B181" s="32">
        <f t="shared" si="5"/>
        <v>59</v>
      </c>
      <c r="C181" s="32">
        <f t="shared" si="6"/>
        <v>2</v>
      </c>
      <c r="D181" s="31" cm="1">
        <f t="array" ref="D181">INDEX('Subj-Map-1'!$I$7:$K$100,1+B181,C181)</f>
        <v>0</v>
      </c>
    </row>
    <row r="182" spans="1:4" x14ac:dyDescent="0.75">
      <c r="A182" s="32">
        <v>180</v>
      </c>
      <c r="B182" s="32">
        <f t="shared" si="5"/>
        <v>59</v>
      </c>
      <c r="C182" s="32">
        <f t="shared" si="6"/>
        <v>3</v>
      </c>
      <c r="D182" s="31" cm="1">
        <f t="array" ref="D182">INDEX('Subj-Map-1'!$I$7:$K$100,1+B182,C182)</f>
        <v>0</v>
      </c>
    </row>
    <row r="183" spans="1:4" x14ac:dyDescent="0.75">
      <c r="A183" s="32">
        <v>181</v>
      </c>
      <c r="B183" s="32">
        <f t="shared" si="5"/>
        <v>60</v>
      </c>
      <c r="C183" s="32">
        <f t="shared" si="6"/>
        <v>1</v>
      </c>
      <c r="D183" s="31" cm="1">
        <f t="array" ref="D183">INDEX('Subj-Map-1'!$I$7:$K$100,1+B183,C183)</f>
        <v>0</v>
      </c>
    </row>
    <row r="184" spans="1:4" x14ac:dyDescent="0.75">
      <c r="A184" s="32">
        <v>182</v>
      </c>
      <c r="B184" s="32">
        <f t="shared" si="5"/>
        <v>60</v>
      </c>
      <c r="C184" s="32">
        <f t="shared" si="6"/>
        <v>2</v>
      </c>
      <c r="D184" s="31" cm="1">
        <f t="array" ref="D184">INDEX('Subj-Map-1'!$I$7:$K$100,1+B184,C184)</f>
        <v>0</v>
      </c>
    </row>
    <row r="185" spans="1:4" x14ac:dyDescent="0.75">
      <c r="A185" s="32">
        <v>183</v>
      </c>
      <c r="B185" s="32">
        <f t="shared" si="5"/>
        <v>60</v>
      </c>
      <c r="C185" s="32">
        <f t="shared" si="6"/>
        <v>3</v>
      </c>
      <c r="D185" s="31" cm="1">
        <f t="array" ref="D185">INDEX('Subj-Map-1'!$I$7:$K$100,1+B185,C185)</f>
        <v>0</v>
      </c>
    </row>
    <row r="186" spans="1:4" x14ac:dyDescent="0.75">
      <c r="A186" s="32">
        <v>184</v>
      </c>
      <c r="B186" s="32">
        <f t="shared" si="5"/>
        <v>61</v>
      </c>
      <c r="C186" s="32">
        <f t="shared" si="6"/>
        <v>1</v>
      </c>
      <c r="D186" s="31" cm="1">
        <f t="array" ref="D186">INDEX('Subj-Map-1'!$I$7:$K$100,1+B186,C186)</f>
        <v>0</v>
      </c>
    </row>
    <row r="187" spans="1:4" x14ac:dyDescent="0.75">
      <c r="A187" s="32">
        <v>185</v>
      </c>
      <c r="B187" s="32">
        <f t="shared" si="5"/>
        <v>61</v>
      </c>
      <c r="C187" s="32">
        <f t="shared" si="6"/>
        <v>2</v>
      </c>
      <c r="D187" s="31" cm="1">
        <f t="array" ref="D187">INDEX('Subj-Map-1'!$I$7:$K$100,1+B187,C187)</f>
        <v>0</v>
      </c>
    </row>
    <row r="188" spans="1:4" x14ac:dyDescent="0.75">
      <c r="A188" s="32">
        <v>186</v>
      </c>
      <c r="B188" s="32">
        <f t="shared" si="5"/>
        <v>61</v>
      </c>
      <c r="C188" s="32">
        <f t="shared" si="6"/>
        <v>3</v>
      </c>
      <c r="D188" s="31" cm="1">
        <f t="array" ref="D188">INDEX('Subj-Map-1'!$I$7:$K$100,1+B188,C188)</f>
        <v>0</v>
      </c>
    </row>
    <row r="189" spans="1:4" x14ac:dyDescent="0.75">
      <c r="A189" s="32">
        <v>187</v>
      </c>
      <c r="B189" s="32">
        <f t="shared" si="5"/>
        <v>62</v>
      </c>
      <c r="C189" s="32">
        <f t="shared" si="6"/>
        <v>1</v>
      </c>
      <c r="D189" s="31" cm="1">
        <f t="array" ref="D189">INDEX('Subj-Map-1'!$I$7:$K$100,1+B189,C189)</f>
        <v>0</v>
      </c>
    </row>
    <row r="190" spans="1:4" x14ac:dyDescent="0.75">
      <c r="A190" s="32">
        <v>188</v>
      </c>
      <c r="B190" s="32">
        <f t="shared" si="5"/>
        <v>62</v>
      </c>
      <c r="C190" s="32">
        <f t="shared" si="6"/>
        <v>2</v>
      </c>
      <c r="D190" s="31" cm="1">
        <f t="array" ref="D190">INDEX('Subj-Map-1'!$I$7:$K$100,1+B190,C190)</f>
        <v>0</v>
      </c>
    </row>
    <row r="191" spans="1:4" x14ac:dyDescent="0.75">
      <c r="A191" s="32">
        <v>189</v>
      </c>
      <c r="B191" s="32">
        <f t="shared" si="5"/>
        <v>62</v>
      </c>
      <c r="C191" s="32">
        <f t="shared" si="6"/>
        <v>3</v>
      </c>
      <c r="D191" s="31" cm="1">
        <f t="array" ref="D191">INDEX('Subj-Map-1'!$I$7:$K$100,1+B191,C191)</f>
        <v>0</v>
      </c>
    </row>
    <row r="192" spans="1:4" x14ac:dyDescent="0.75">
      <c r="A192" s="32">
        <v>190</v>
      </c>
      <c r="B192" s="32">
        <f t="shared" si="5"/>
        <v>63</v>
      </c>
      <c r="C192" s="32">
        <f t="shared" si="6"/>
        <v>1</v>
      </c>
      <c r="D192" s="31" cm="1">
        <f t="array" ref="D192">INDEX('Subj-Map-1'!$I$7:$K$100,1+B192,C192)</f>
        <v>0</v>
      </c>
    </row>
    <row r="193" spans="1:4" x14ac:dyDescent="0.75">
      <c r="A193" s="32">
        <v>191</v>
      </c>
      <c r="B193" s="32">
        <f t="shared" si="5"/>
        <v>63</v>
      </c>
      <c r="C193" s="32">
        <f t="shared" si="6"/>
        <v>2</v>
      </c>
      <c r="D193" s="31" cm="1">
        <f t="array" ref="D193">INDEX('Subj-Map-1'!$I$7:$K$100,1+B193,C193)</f>
        <v>0</v>
      </c>
    </row>
    <row r="194" spans="1:4" x14ac:dyDescent="0.75">
      <c r="A194" s="32">
        <v>192</v>
      </c>
      <c r="B194" s="32">
        <f t="shared" si="5"/>
        <v>63</v>
      </c>
      <c r="C194" s="32">
        <f t="shared" si="6"/>
        <v>3</v>
      </c>
      <c r="D194" s="31" cm="1">
        <f t="array" ref="D194">INDEX('Subj-Map-1'!$I$7:$K$100,1+B194,C194)</f>
        <v>0</v>
      </c>
    </row>
    <row r="195" spans="1:4" x14ac:dyDescent="0.75">
      <c r="A195" s="32">
        <v>193</v>
      </c>
      <c r="B195" s="32">
        <f t="shared" si="5"/>
        <v>64</v>
      </c>
      <c r="C195" s="32">
        <f t="shared" si="6"/>
        <v>1</v>
      </c>
      <c r="D195" s="31" cm="1">
        <f t="array" ref="D195">INDEX('Subj-Map-1'!$I$7:$K$100,1+B195,C195)</f>
        <v>0</v>
      </c>
    </row>
    <row r="196" spans="1:4" x14ac:dyDescent="0.75">
      <c r="A196" s="32">
        <v>194</v>
      </c>
      <c r="B196" s="32">
        <f t="shared" ref="B196:B206" si="7">IF(MOD(A196,3)=0,A196/3-1,INT(A196/3))</f>
        <v>64</v>
      </c>
      <c r="C196" s="32">
        <f t="shared" si="6"/>
        <v>2</v>
      </c>
      <c r="D196" s="31" cm="1">
        <f t="array" ref="D196">INDEX('Subj-Map-1'!$I$7:$K$100,1+B196,C196)</f>
        <v>0</v>
      </c>
    </row>
    <row r="197" spans="1:4" x14ac:dyDescent="0.75">
      <c r="A197" s="32">
        <v>195</v>
      </c>
      <c r="B197" s="32">
        <f t="shared" si="7"/>
        <v>64</v>
      </c>
      <c r="C197" s="32">
        <f t="shared" si="6"/>
        <v>3</v>
      </c>
      <c r="D197" s="31" cm="1">
        <f t="array" ref="D197">INDEX('Subj-Map-1'!$I$7:$K$100,1+B197,C197)</f>
        <v>0</v>
      </c>
    </row>
    <row r="198" spans="1:4" x14ac:dyDescent="0.75">
      <c r="A198" s="32">
        <v>196</v>
      </c>
      <c r="B198" s="32">
        <f t="shared" si="7"/>
        <v>65</v>
      </c>
      <c r="C198" s="32">
        <f t="shared" si="6"/>
        <v>1</v>
      </c>
      <c r="D198" s="31" cm="1">
        <f t="array" ref="D198">INDEX('Subj-Map-1'!$I$7:$K$100,1+B198,C198)</f>
        <v>0</v>
      </c>
    </row>
    <row r="199" spans="1:4" x14ac:dyDescent="0.75">
      <c r="A199" s="32">
        <v>197</v>
      </c>
      <c r="B199" s="32">
        <f t="shared" si="7"/>
        <v>65</v>
      </c>
      <c r="C199" s="32">
        <f t="shared" si="6"/>
        <v>2</v>
      </c>
      <c r="D199" s="31" cm="1">
        <f t="array" ref="D199">INDEX('Subj-Map-1'!$I$7:$K$100,1+B199,C199)</f>
        <v>0</v>
      </c>
    </row>
    <row r="200" spans="1:4" x14ac:dyDescent="0.75">
      <c r="A200" s="32">
        <v>198</v>
      </c>
      <c r="B200" s="32">
        <f t="shared" si="7"/>
        <v>65</v>
      </c>
      <c r="C200" s="32">
        <f t="shared" si="6"/>
        <v>3</v>
      </c>
      <c r="D200" s="31" cm="1">
        <f t="array" ref="D200">INDEX('Subj-Map-1'!$I$7:$K$100,1+B200,C200)</f>
        <v>0</v>
      </c>
    </row>
    <row r="201" spans="1:4" x14ac:dyDescent="0.75">
      <c r="A201" s="32">
        <v>199</v>
      </c>
      <c r="B201" s="32">
        <f t="shared" si="7"/>
        <v>66</v>
      </c>
      <c r="C201" s="32">
        <f t="shared" si="6"/>
        <v>1</v>
      </c>
      <c r="D201" s="31" cm="1">
        <f t="array" ref="D201">INDEX('Subj-Map-1'!$I$7:$K$100,1+B201,C201)</f>
        <v>0</v>
      </c>
    </row>
    <row r="202" spans="1:4" x14ac:dyDescent="0.75">
      <c r="A202" s="32">
        <v>200</v>
      </c>
      <c r="B202" s="32">
        <f t="shared" si="7"/>
        <v>66</v>
      </c>
      <c r="C202" s="32">
        <f t="shared" si="6"/>
        <v>2</v>
      </c>
      <c r="D202" s="31" cm="1">
        <f t="array" ref="D202">INDEX('Subj-Map-1'!$I$7:$K$100,1+B202,C202)</f>
        <v>0</v>
      </c>
    </row>
    <row r="203" spans="1:4" x14ac:dyDescent="0.75">
      <c r="A203" s="32">
        <v>201</v>
      </c>
      <c r="B203" s="32">
        <f t="shared" si="7"/>
        <v>66</v>
      </c>
      <c r="C203" s="32">
        <f t="shared" si="6"/>
        <v>3</v>
      </c>
      <c r="D203" s="31" cm="1">
        <f t="array" ref="D203">INDEX('Subj-Map-1'!$I$7:$K$100,1+B203,C203)</f>
        <v>0</v>
      </c>
    </row>
    <row r="204" spans="1:4" x14ac:dyDescent="0.75">
      <c r="A204" s="32">
        <v>202</v>
      </c>
      <c r="B204" s="32">
        <f t="shared" si="7"/>
        <v>67</v>
      </c>
      <c r="C204" s="32">
        <f t="shared" si="6"/>
        <v>1</v>
      </c>
      <c r="D204" s="31" cm="1">
        <f t="array" ref="D204">INDEX('Subj-Map-1'!$I$7:$K$100,1+B204,C204)</f>
        <v>0</v>
      </c>
    </row>
    <row r="205" spans="1:4" x14ac:dyDescent="0.75">
      <c r="A205" s="32">
        <v>203</v>
      </c>
      <c r="B205" s="32">
        <f t="shared" si="7"/>
        <v>67</v>
      </c>
      <c r="C205" s="32">
        <f t="shared" si="6"/>
        <v>2</v>
      </c>
      <c r="D205" s="31" cm="1">
        <f t="array" ref="D205">INDEX('Subj-Map-1'!$I$7:$K$100,1+B205,C205)</f>
        <v>0</v>
      </c>
    </row>
    <row r="206" spans="1:4" x14ac:dyDescent="0.75">
      <c r="A206" s="32">
        <v>204</v>
      </c>
      <c r="B206" s="32">
        <f t="shared" si="7"/>
        <v>67</v>
      </c>
      <c r="C206" s="32">
        <f t="shared" si="6"/>
        <v>3</v>
      </c>
      <c r="D206" s="31" cm="1">
        <f t="array" ref="D206">INDEX('Subj-Map-1'!$I$7:$K$100,1+B206,C206)</f>
        <v>0</v>
      </c>
    </row>
    <row r="207" spans="1:4" x14ac:dyDescent="0.75">
      <c r="A207" s="32"/>
      <c r="B207" s="32"/>
      <c r="C207" s="32"/>
    </row>
    <row r="208" spans="1:4" x14ac:dyDescent="0.75">
      <c r="A208" s="32"/>
      <c r="B208" s="32"/>
      <c r="C208" s="32"/>
    </row>
    <row r="209" spans="1:3" x14ac:dyDescent="0.75">
      <c r="A209" s="32"/>
      <c r="B209" s="32"/>
      <c r="C209" s="32"/>
    </row>
    <row r="210" spans="1:3" x14ac:dyDescent="0.75">
      <c r="A210" s="32"/>
      <c r="B210" s="32"/>
      <c r="C210" s="32"/>
    </row>
    <row r="211" spans="1:3" x14ac:dyDescent="0.75">
      <c r="A211" s="32"/>
      <c r="B211" s="32"/>
      <c r="C211" s="32"/>
    </row>
    <row r="212" spans="1:3" x14ac:dyDescent="0.75">
      <c r="A212" s="32"/>
      <c r="B212" s="32"/>
      <c r="C212" s="32"/>
    </row>
    <row r="213" spans="1:3" x14ac:dyDescent="0.75">
      <c r="A213" s="32"/>
      <c r="B213" s="32"/>
      <c r="C213" s="32"/>
    </row>
    <row r="214" spans="1:3" x14ac:dyDescent="0.75">
      <c r="A214" s="32"/>
      <c r="B214" s="32"/>
      <c r="C214" s="32"/>
    </row>
    <row r="215" spans="1:3" x14ac:dyDescent="0.75">
      <c r="A215" s="32"/>
      <c r="B215" s="32"/>
      <c r="C215" s="32"/>
    </row>
    <row r="216" spans="1:3" x14ac:dyDescent="0.75">
      <c r="A216" s="32"/>
      <c r="B216" s="32"/>
      <c r="C216" s="32"/>
    </row>
    <row r="217" spans="1:3" x14ac:dyDescent="0.75">
      <c r="A217" s="32"/>
      <c r="B217" s="32"/>
      <c r="C217" s="32"/>
    </row>
    <row r="218" spans="1:3" x14ac:dyDescent="0.75">
      <c r="A218" s="32"/>
      <c r="B218" s="32"/>
      <c r="C218" s="32"/>
    </row>
    <row r="219" spans="1:3" x14ac:dyDescent="0.75">
      <c r="A219" s="32"/>
      <c r="B219" s="32"/>
      <c r="C219" s="32"/>
    </row>
    <row r="220" spans="1:3" x14ac:dyDescent="0.75">
      <c r="A220" s="32"/>
      <c r="B220" s="32"/>
      <c r="C220" s="32"/>
    </row>
    <row r="221" spans="1:3" x14ac:dyDescent="0.75">
      <c r="A221" s="32"/>
      <c r="B221" s="32"/>
      <c r="C221" s="32"/>
    </row>
    <row r="222" spans="1:3" x14ac:dyDescent="0.75">
      <c r="A222" s="32"/>
      <c r="B222" s="32"/>
      <c r="C222" s="32"/>
    </row>
    <row r="223" spans="1:3" x14ac:dyDescent="0.75">
      <c r="A223" s="32"/>
      <c r="B223" s="32"/>
      <c r="C223" s="32"/>
    </row>
    <row r="224" spans="1:3" x14ac:dyDescent="0.75">
      <c r="A224" s="32"/>
      <c r="B224" s="32"/>
      <c r="C224" s="32"/>
    </row>
    <row r="225" spans="1:3" x14ac:dyDescent="0.75">
      <c r="A225" s="32"/>
      <c r="B225" s="32"/>
      <c r="C225" s="32"/>
    </row>
    <row r="226" spans="1:3" x14ac:dyDescent="0.75">
      <c r="A226" s="32"/>
      <c r="B226" s="32"/>
      <c r="C226" s="32"/>
    </row>
    <row r="227" spans="1:3" x14ac:dyDescent="0.75">
      <c r="A227" s="32"/>
      <c r="B227" s="32"/>
      <c r="C227" s="32"/>
    </row>
    <row r="228" spans="1:3" x14ac:dyDescent="0.75">
      <c r="A228" s="32"/>
      <c r="B228" s="32"/>
      <c r="C228" s="32"/>
    </row>
    <row r="229" spans="1:3" x14ac:dyDescent="0.75">
      <c r="A229" s="32"/>
      <c r="B229" s="32"/>
      <c r="C229" s="32"/>
    </row>
    <row r="230" spans="1:3" x14ac:dyDescent="0.75">
      <c r="A230" s="32"/>
      <c r="B230" s="32"/>
      <c r="C230" s="32"/>
    </row>
    <row r="231" spans="1:3" x14ac:dyDescent="0.75">
      <c r="A231" s="32"/>
      <c r="B231" s="32"/>
      <c r="C231" s="32"/>
    </row>
    <row r="232" spans="1:3" x14ac:dyDescent="0.75">
      <c r="A232" s="32"/>
      <c r="B232" s="32"/>
      <c r="C232" s="32"/>
    </row>
    <row r="233" spans="1:3" x14ac:dyDescent="0.75">
      <c r="A233" s="32"/>
      <c r="B233" s="32"/>
      <c r="C233" s="32"/>
    </row>
    <row r="234" spans="1:3" x14ac:dyDescent="0.75">
      <c r="A234" s="32"/>
      <c r="B234" s="32"/>
      <c r="C234" s="32"/>
    </row>
    <row r="235" spans="1:3" x14ac:dyDescent="0.75">
      <c r="A235" s="32"/>
      <c r="B235" s="32"/>
      <c r="C235" s="32"/>
    </row>
    <row r="236" spans="1:3" x14ac:dyDescent="0.75">
      <c r="A236" s="32"/>
      <c r="B236" s="32"/>
      <c r="C236" s="32"/>
    </row>
    <row r="237" spans="1:3" x14ac:dyDescent="0.75">
      <c r="A237" s="32"/>
      <c r="B237" s="32"/>
      <c r="C237" s="32"/>
    </row>
    <row r="238" spans="1:3" x14ac:dyDescent="0.75">
      <c r="A238" s="32"/>
      <c r="B238" s="32"/>
      <c r="C238" s="32"/>
    </row>
    <row r="239" spans="1:3" x14ac:dyDescent="0.75">
      <c r="A239" s="32"/>
      <c r="B239" s="32"/>
      <c r="C239" s="32"/>
    </row>
    <row r="240" spans="1:3" x14ac:dyDescent="0.75">
      <c r="A240" s="32"/>
      <c r="B240" s="32"/>
      <c r="C240" s="32"/>
    </row>
    <row r="241" spans="1:3" x14ac:dyDescent="0.75">
      <c r="A241" s="32"/>
      <c r="B241" s="32"/>
      <c r="C241" s="32"/>
    </row>
    <row r="242" spans="1:3" x14ac:dyDescent="0.75">
      <c r="A242" s="32"/>
      <c r="B242" s="32"/>
      <c r="C242" s="32"/>
    </row>
    <row r="243" spans="1:3" x14ac:dyDescent="0.75">
      <c r="A243" s="32"/>
      <c r="B243" s="32"/>
      <c r="C243" s="32"/>
    </row>
    <row r="244" spans="1:3" x14ac:dyDescent="0.75">
      <c r="A244" s="32"/>
      <c r="B244" s="32"/>
      <c r="C244" s="32"/>
    </row>
    <row r="245" spans="1:3" x14ac:dyDescent="0.75">
      <c r="A245" s="32"/>
      <c r="B245" s="32"/>
      <c r="C245" s="32"/>
    </row>
    <row r="246" spans="1:3" x14ac:dyDescent="0.75">
      <c r="A246" s="32"/>
      <c r="B246" s="32"/>
      <c r="C246" s="32"/>
    </row>
    <row r="247" spans="1:3" x14ac:dyDescent="0.75">
      <c r="A247" s="32"/>
      <c r="B247" s="32"/>
      <c r="C247" s="32"/>
    </row>
    <row r="248" spans="1:3" x14ac:dyDescent="0.75">
      <c r="A248" s="32"/>
      <c r="B248" s="32"/>
      <c r="C248" s="32"/>
    </row>
    <row r="249" spans="1:3" x14ac:dyDescent="0.75">
      <c r="A249" s="32"/>
      <c r="B249" s="32"/>
      <c r="C249" s="32"/>
    </row>
    <row r="250" spans="1:3" x14ac:dyDescent="0.75">
      <c r="A250" s="32"/>
      <c r="B250" s="32"/>
      <c r="C250" s="32"/>
    </row>
    <row r="251" spans="1:3" x14ac:dyDescent="0.75">
      <c r="A251" s="32"/>
      <c r="B251" s="32"/>
      <c r="C251" s="32"/>
    </row>
    <row r="252" spans="1:3" x14ac:dyDescent="0.75">
      <c r="A252" s="32"/>
      <c r="B252" s="32"/>
      <c r="C252" s="32"/>
    </row>
    <row r="253" spans="1:3" x14ac:dyDescent="0.75">
      <c r="A253" s="32"/>
      <c r="B253" s="32"/>
      <c r="C253" s="32"/>
    </row>
    <row r="254" spans="1:3" x14ac:dyDescent="0.75">
      <c r="A254" s="32"/>
      <c r="B254" s="32"/>
      <c r="C254" s="32"/>
    </row>
    <row r="255" spans="1:3" x14ac:dyDescent="0.75">
      <c r="A255" s="32"/>
      <c r="B255" s="32"/>
      <c r="C255" s="32"/>
    </row>
    <row r="256" spans="1:3" x14ac:dyDescent="0.75">
      <c r="A256" s="32"/>
      <c r="B256" s="32"/>
      <c r="C256" s="32"/>
    </row>
    <row r="257" spans="1:3" x14ac:dyDescent="0.75">
      <c r="A257" s="32"/>
      <c r="B257" s="32"/>
      <c r="C257" s="32"/>
    </row>
    <row r="258" spans="1:3" x14ac:dyDescent="0.75">
      <c r="A258" s="32"/>
      <c r="B258" s="32"/>
      <c r="C258" s="32"/>
    </row>
    <row r="259" spans="1:3" x14ac:dyDescent="0.75">
      <c r="A259" s="32"/>
      <c r="B259" s="32"/>
      <c r="C259" s="32"/>
    </row>
    <row r="260" spans="1:3" x14ac:dyDescent="0.75">
      <c r="A260" s="32"/>
      <c r="B260" s="32"/>
      <c r="C260" s="32"/>
    </row>
    <row r="261" spans="1:3" x14ac:dyDescent="0.75">
      <c r="A261" s="32"/>
      <c r="B261" s="32"/>
      <c r="C261" s="32"/>
    </row>
    <row r="262" spans="1:3" x14ac:dyDescent="0.75">
      <c r="A262" s="32"/>
      <c r="B262" s="32"/>
      <c r="C262" s="32"/>
    </row>
    <row r="263" spans="1:3" x14ac:dyDescent="0.75">
      <c r="A263" s="32"/>
      <c r="B263" s="32"/>
      <c r="C263" s="32"/>
    </row>
    <row r="264" spans="1:3" x14ac:dyDescent="0.75">
      <c r="A264" s="32"/>
      <c r="B264" s="32"/>
      <c r="C264" s="32"/>
    </row>
    <row r="265" spans="1:3" x14ac:dyDescent="0.75">
      <c r="A265" s="32"/>
      <c r="B265" s="32"/>
      <c r="C265" s="32"/>
    </row>
    <row r="266" spans="1:3" x14ac:dyDescent="0.75">
      <c r="A266" s="32"/>
      <c r="B266" s="32"/>
      <c r="C266" s="32"/>
    </row>
    <row r="267" spans="1:3" x14ac:dyDescent="0.75">
      <c r="A267" s="32"/>
      <c r="B267" s="32"/>
      <c r="C267" s="32"/>
    </row>
    <row r="268" spans="1:3" x14ac:dyDescent="0.75">
      <c r="A268" s="32"/>
      <c r="B268" s="32"/>
      <c r="C268" s="32"/>
    </row>
    <row r="269" spans="1:3" x14ac:dyDescent="0.75">
      <c r="A269" s="32"/>
      <c r="B269" s="32"/>
      <c r="C269" s="32"/>
    </row>
    <row r="270" spans="1:3" x14ac:dyDescent="0.75">
      <c r="A270" s="32"/>
      <c r="B270" s="32"/>
      <c r="C270" s="32"/>
    </row>
    <row r="271" spans="1:3" x14ac:dyDescent="0.75">
      <c r="A271" s="32"/>
      <c r="B271" s="32"/>
      <c r="C271" s="32"/>
    </row>
    <row r="272" spans="1:3" x14ac:dyDescent="0.75">
      <c r="A272" s="32"/>
      <c r="B272" s="32"/>
      <c r="C272" s="32"/>
    </row>
    <row r="273" spans="1:3" x14ac:dyDescent="0.75">
      <c r="A273" s="32"/>
      <c r="B273" s="32"/>
      <c r="C273" s="32"/>
    </row>
    <row r="274" spans="1:3" x14ac:dyDescent="0.75">
      <c r="A274" s="32"/>
      <c r="B274" s="32"/>
      <c r="C274" s="32"/>
    </row>
    <row r="275" spans="1:3" x14ac:dyDescent="0.75">
      <c r="A275" s="32"/>
      <c r="B275" s="32"/>
      <c r="C275" s="32"/>
    </row>
    <row r="276" spans="1:3" x14ac:dyDescent="0.75">
      <c r="A276" s="32"/>
      <c r="B276" s="32"/>
      <c r="C276" s="32"/>
    </row>
    <row r="277" spans="1:3" x14ac:dyDescent="0.75">
      <c r="A277" s="32"/>
      <c r="B277" s="32"/>
      <c r="C277" s="32"/>
    </row>
    <row r="278" spans="1:3" x14ac:dyDescent="0.75">
      <c r="A278" s="32"/>
      <c r="B278" s="32"/>
      <c r="C278" s="32"/>
    </row>
    <row r="279" spans="1:3" x14ac:dyDescent="0.75">
      <c r="A279" s="32"/>
      <c r="B279" s="32"/>
      <c r="C279" s="32"/>
    </row>
    <row r="280" spans="1:3" x14ac:dyDescent="0.75">
      <c r="A280" s="32"/>
      <c r="B280" s="32"/>
      <c r="C280" s="32"/>
    </row>
    <row r="281" spans="1:3" x14ac:dyDescent="0.75">
      <c r="A281" s="32"/>
      <c r="B281" s="32"/>
      <c r="C281" s="32"/>
    </row>
    <row r="282" spans="1:3" x14ac:dyDescent="0.75">
      <c r="A282" s="32"/>
      <c r="B282" s="32"/>
      <c r="C282" s="32"/>
    </row>
    <row r="283" spans="1:3" x14ac:dyDescent="0.75">
      <c r="A283" s="32"/>
      <c r="B283" s="32"/>
      <c r="C283" s="32"/>
    </row>
    <row r="284" spans="1:3" x14ac:dyDescent="0.75">
      <c r="A284" s="32"/>
      <c r="B284" s="32"/>
      <c r="C284" s="32"/>
    </row>
    <row r="285" spans="1:3" x14ac:dyDescent="0.75">
      <c r="A285" s="32"/>
      <c r="B285" s="32"/>
      <c r="C285" s="32"/>
    </row>
    <row r="286" spans="1:3" x14ac:dyDescent="0.75">
      <c r="A286" s="32"/>
      <c r="B286" s="32"/>
      <c r="C286" s="32"/>
    </row>
    <row r="287" spans="1:3" x14ac:dyDescent="0.75">
      <c r="A287" s="32"/>
      <c r="B287" s="32"/>
      <c r="C287" s="32"/>
    </row>
    <row r="288" spans="1:3" x14ac:dyDescent="0.75">
      <c r="A288" s="32"/>
      <c r="B288" s="32"/>
      <c r="C288" s="32"/>
    </row>
    <row r="289" spans="1:3" x14ac:dyDescent="0.75">
      <c r="A289" s="32"/>
      <c r="B289" s="32"/>
      <c r="C289" s="32"/>
    </row>
    <row r="290" spans="1:3" x14ac:dyDescent="0.75">
      <c r="A290" s="32"/>
      <c r="B290" s="32"/>
      <c r="C290" s="32"/>
    </row>
    <row r="291" spans="1:3" x14ac:dyDescent="0.75">
      <c r="A291" s="32"/>
      <c r="B291" s="32"/>
      <c r="C291" s="32"/>
    </row>
    <row r="292" spans="1:3" x14ac:dyDescent="0.75">
      <c r="A292" s="32"/>
      <c r="B292" s="32"/>
      <c r="C292" s="32"/>
    </row>
    <row r="293" spans="1:3" x14ac:dyDescent="0.75">
      <c r="A293" s="32"/>
      <c r="B293" s="32"/>
      <c r="C293" s="32"/>
    </row>
    <row r="294" spans="1:3" x14ac:dyDescent="0.75">
      <c r="A294" s="32"/>
      <c r="B294" s="32"/>
      <c r="C294" s="32"/>
    </row>
    <row r="295" spans="1:3" x14ac:dyDescent="0.75">
      <c r="A295" s="32"/>
      <c r="B295" s="32"/>
      <c r="C295" s="32"/>
    </row>
    <row r="296" spans="1:3" x14ac:dyDescent="0.75">
      <c r="A296" s="32"/>
      <c r="B296" s="32"/>
      <c r="C296" s="32"/>
    </row>
    <row r="297" spans="1:3" x14ac:dyDescent="0.75">
      <c r="A297" s="32"/>
      <c r="B297" s="32"/>
      <c r="C297" s="32"/>
    </row>
    <row r="298" spans="1:3" x14ac:dyDescent="0.75">
      <c r="A298" s="32"/>
      <c r="B298" s="32"/>
      <c r="C298" s="32"/>
    </row>
    <row r="299" spans="1:3" x14ac:dyDescent="0.75">
      <c r="A299" s="32"/>
      <c r="B299" s="32"/>
      <c r="C299" s="32"/>
    </row>
    <row r="300" spans="1:3" x14ac:dyDescent="0.75">
      <c r="A300" s="32"/>
      <c r="B300" s="32"/>
      <c r="C300" s="32"/>
    </row>
    <row r="301" spans="1:3" x14ac:dyDescent="0.75">
      <c r="A301" s="32"/>
      <c r="B301" s="32"/>
      <c r="C301" s="32"/>
    </row>
    <row r="302" spans="1:3" x14ac:dyDescent="0.75">
      <c r="A302" s="32"/>
      <c r="B302" s="32"/>
      <c r="C302" s="32"/>
    </row>
    <row r="303" spans="1:3" x14ac:dyDescent="0.75">
      <c r="A303" s="32"/>
      <c r="B303" s="32"/>
      <c r="C303" s="32"/>
    </row>
    <row r="304" spans="1:3" x14ac:dyDescent="0.75">
      <c r="A304" s="32"/>
      <c r="B304" s="32"/>
      <c r="C304" s="32"/>
    </row>
    <row r="305" spans="1:3" x14ac:dyDescent="0.75">
      <c r="A305" s="32"/>
      <c r="B305" s="32"/>
      <c r="C305" s="32"/>
    </row>
    <row r="306" spans="1:3" x14ac:dyDescent="0.75">
      <c r="A306" s="32"/>
      <c r="B306" s="32"/>
      <c r="C306" s="32"/>
    </row>
    <row r="307" spans="1:3" x14ac:dyDescent="0.75">
      <c r="A307" s="32"/>
      <c r="B307" s="32"/>
      <c r="C307" s="32"/>
    </row>
    <row r="308" spans="1:3" x14ac:dyDescent="0.75">
      <c r="A308" s="32"/>
      <c r="B308" s="32"/>
      <c r="C308" s="32"/>
    </row>
    <row r="309" spans="1:3" x14ac:dyDescent="0.75">
      <c r="A309" s="32"/>
      <c r="B309" s="32"/>
      <c r="C309" s="32"/>
    </row>
    <row r="310" spans="1:3" x14ac:dyDescent="0.75">
      <c r="A310" s="32"/>
      <c r="B310" s="32"/>
      <c r="C310" s="32"/>
    </row>
    <row r="311" spans="1:3" x14ac:dyDescent="0.75">
      <c r="A311" s="32"/>
      <c r="B311" s="32"/>
      <c r="C311" s="32"/>
    </row>
    <row r="312" spans="1:3" x14ac:dyDescent="0.75">
      <c r="A312" s="32"/>
      <c r="B312" s="32"/>
      <c r="C312" s="32"/>
    </row>
    <row r="313" spans="1:3" x14ac:dyDescent="0.75">
      <c r="A313" s="32"/>
      <c r="B313" s="32"/>
      <c r="C313" s="32"/>
    </row>
    <row r="314" spans="1:3" x14ac:dyDescent="0.75">
      <c r="A314" s="32"/>
      <c r="B314" s="32"/>
      <c r="C314" s="32"/>
    </row>
    <row r="315" spans="1:3" x14ac:dyDescent="0.75">
      <c r="A315" s="32"/>
      <c r="B315" s="32"/>
      <c r="C315" s="32"/>
    </row>
    <row r="316" spans="1:3" x14ac:dyDescent="0.75">
      <c r="A316" s="32"/>
      <c r="B316" s="32"/>
      <c r="C316" s="32"/>
    </row>
    <row r="317" spans="1:3" x14ac:dyDescent="0.75">
      <c r="A317" s="32"/>
      <c r="B317" s="32"/>
      <c r="C317" s="32"/>
    </row>
    <row r="318" spans="1:3" x14ac:dyDescent="0.75">
      <c r="A318" s="32"/>
      <c r="B318" s="32"/>
      <c r="C318" s="32"/>
    </row>
    <row r="319" spans="1:3" x14ac:dyDescent="0.75">
      <c r="A319" s="32"/>
      <c r="B319" s="32"/>
      <c r="C319" s="32"/>
    </row>
    <row r="320" spans="1:3" x14ac:dyDescent="0.75">
      <c r="A320" s="32"/>
      <c r="B320" s="32"/>
      <c r="C320" s="32"/>
    </row>
    <row r="321" spans="1:3" x14ac:dyDescent="0.75">
      <c r="A321" s="32"/>
      <c r="B321" s="32"/>
      <c r="C321" s="32"/>
    </row>
    <row r="322" spans="1:3" x14ac:dyDescent="0.75">
      <c r="A322" s="32"/>
      <c r="B322" s="32"/>
      <c r="C322" s="32"/>
    </row>
    <row r="323" spans="1:3" x14ac:dyDescent="0.75">
      <c r="A323" s="32"/>
      <c r="B323" s="32"/>
      <c r="C323" s="32"/>
    </row>
    <row r="324" spans="1:3" x14ac:dyDescent="0.75">
      <c r="A324" s="32"/>
      <c r="B324" s="32"/>
      <c r="C324" s="32"/>
    </row>
    <row r="325" spans="1:3" x14ac:dyDescent="0.75">
      <c r="A325" s="32"/>
      <c r="B325" s="32"/>
      <c r="C325" s="32"/>
    </row>
    <row r="326" spans="1:3" x14ac:dyDescent="0.75">
      <c r="A326" s="32"/>
      <c r="B326" s="32"/>
      <c r="C326" s="32"/>
    </row>
    <row r="327" spans="1:3" x14ac:dyDescent="0.75">
      <c r="A327" s="32"/>
      <c r="B327" s="32"/>
      <c r="C327" s="32"/>
    </row>
    <row r="328" spans="1:3" x14ac:dyDescent="0.75">
      <c r="A328" s="32"/>
      <c r="B328" s="32"/>
      <c r="C328" s="32"/>
    </row>
    <row r="329" spans="1:3" x14ac:dyDescent="0.75">
      <c r="A329" s="32"/>
      <c r="B329" s="32"/>
      <c r="C329" s="32"/>
    </row>
    <row r="330" spans="1:3" x14ac:dyDescent="0.75">
      <c r="A330" s="32"/>
      <c r="B330" s="32"/>
      <c r="C330" s="32"/>
    </row>
    <row r="331" spans="1:3" x14ac:dyDescent="0.75">
      <c r="A331" s="32"/>
      <c r="B331" s="32"/>
      <c r="C331" s="32"/>
    </row>
    <row r="332" spans="1:3" x14ac:dyDescent="0.75">
      <c r="A332" s="32"/>
      <c r="B332" s="32"/>
      <c r="C332" s="32"/>
    </row>
    <row r="333" spans="1:3" x14ac:dyDescent="0.75">
      <c r="A333" s="32"/>
      <c r="B333" s="32"/>
      <c r="C333" s="32"/>
    </row>
    <row r="334" spans="1:3" x14ac:dyDescent="0.75">
      <c r="A334" s="32"/>
      <c r="B334" s="32"/>
      <c r="C334" s="32"/>
    </row>
    <row r="335" spans="1:3" x14ac:dyDescent="0.75">
      <c r="A335" s="32"/>
      <c r="B335" s="32"/>
      <c r="C335" s="32"/>
    </row>
    <row r="336" spans="1:3" x14ac:dyDescent="0.75">
      <c r="A336" s="32"/>
      <c r="B336" s="32"/>
      <c r="C336" s="32"/>
    </row>
    <row r="337" spans="1:3" x14ac:dyDescent="0.75">
      <c r="A337" s="32"/>
      <c r="B337" s="32"/>
      <c r="C337" s="32"/>
    </row>
    <row r="338" spans="1:3" x14ac:dyDescent="0.75">
      <c r="A338" s="32"/>
      <c r="B338" s="32"/>
      <c r="C338" s="32"/>
    </row>
    <row r="339" spans="1:3" x14ac:dyDescent="0.75">
      <c r="A339" s="32"/>
      <c r="B339" s="32"/>
      <c r="C339" s="32"/>
    </row>
    <row r="340" spans="1:3" x14ac:dyDescent="0.75">
      <c r="A340" s="32"/>
      <c r="B340" s="32"/>
      <c r="C340" s="32"/>
    </row>
    <row r="341" spans="1:3" x14ac:dyDescent="0.75">
      <c r="A341" s="32"/>
      <c r="B341" s="32"/>
      <c r="C341" s="32"/>
    </row>
    <row r="342" spans="1:3" x14ac:dyDescent="0.75">
      <c r="A342" s="32"/>
      <c r="B342" s="32"/>
      <c r="C342" s="32"/>
    </row>
    <row r="343" spans="1:3" x14ac:dyDescent="0.75">
      <c r="A343" s="32"/>
      <c r="B343" s="32"/>
      <c r="C343" s="32"/>
    </row>
    <row r="344" spans="1:3" x14ac:dyDescent="0.75">
      <c r="A344" s="32"/>
      <c r="B344" s="32"/>
      <c r="C344" s="32"/>
    </row>
    <row r="345" spans="1:3" x14ac:dyDescent="0.75">
      <c r="A345" s="32"/>
      <c r="B345" s="32"/>
      <c r="C345" s="32"/>
    </row>
    <row r="346" spans="1:3" x14ac:dyDescent="0.75">
      <c r="A346" s="32"/>
      <c r="B346" s="32"/>
      <c r="C346" s="32"/>
    </row>
    <row r="347" spans="1:3" x14ac:dyDescent="0.75">
      <c r="A347" s="32"/>
      <c r="B347" s="32"/>
      <c r="C347" s="32"/>
    </row>
    <row r="348" spans="1:3" x14ac:dyDescent="0.75">
      <c r="A348" s="32"/>
      <c r="B348" s="32"/>
      <c r="C348" s="32"/>
    </row>
    <row r="349" spans="1:3" x14ac:dyDescent="0.75">
      <c r="A349" s="32"/>
      <c r="B349" s="32"/>
      <c r="C349" s="32"/>
    </row>
    <row r="350" spans="1:3" x14ac:dyDescent="0.75">
      <c r="A350" s="32"/>
      <c r="B350" s="32"/>
      <c r="C350" s="32"/>
    </row>
    <row r="351" spans="1:3" x14ac:dyDescent="0.75">
      <c r="A351" s="32"/>
      <c r="B351" s="32"/>
      <c r="C351" s="32"/>
    </row>
    <row r="352" spans="1:3" x14ac:dyDescent="0.75">
      <c r="A352" s="32"/>
      <c r="B352" s="32"/>
      <c r="C352" s="32"/>
    </row>
    <row r="353" spans="1:3" x14ac:dyDescent="0.75">
      <c r="A353" s="32"/>
      <c r="B353" s="32"/>
      <c r="C353" s="32"/>
    </row>
    <row r="354" spans="1:3" x14ac:dyDescent="0.75">
      <c r="A354" s="32"/>
      <c r="B354" s="32"/>
      <c r="C354" s="32"/>
    </row>
    <row r="355" spans="1:3" x14ac:dyDescent="0.75">
      <c r="A355" s="32"/>
      <c r="B355" s="32"/>
      <c r="C355" s="32"/>
    </row>
    <row r="356" spans="1:3" x14ac:dyDescent="0.75">
      <c r="A356" s="32"/>
      <c r="B356" s="32"/>
      <c r="C356" s="32"/>
    </row>
    <row r="357" spans="1:3" x14ac:dyDescent="0.75">
      <c r="A357" s="32"/>
      <c r="B357" s="32"/>
      <c r="C357" s="32"/>
    </row>
    <row r="358" spans="1:3" x14ac:dyDescent="0.75">
      <c r="A358" s="32"/>
      <c r="B358" s="32"/>
      <c r="C358" s="32"/>
    </row>
    <row r="359" spans="1:3" x14ac:dyDescent="0.75">
      <c r="A359" s="32"/>
      <c r="B359" s="32"/>
      <c r="C359" s="32"/>
    </row>
    <row r="360" spans="1:3" x14ac:dyDescent="0.75">
      <c r="A360" s="32"/>
      <c r="B360" s="32"/>
      <c r="C360" s="32"/>
    </row>
    <row r="361" spans="1:3" x14ac:dyDescent="0.75">
      <c r="A361" s="32"/>
      <c r="B361" s="32"/>
      <c r="C361" s="32"/>
    </row>
    <row r="362" spans="1:3" x14ac:dyDescent="0.75">
      <c r="A362" s="32"/>
      <c r="B362" s="32"/>
      <c r="C362" s="32"/>
    </row>
    <row r="363" spans="1:3" x14ac:dyDescent="0.75">
      <c r="A363" s="32"/>
      <c r="B363" s="32"/>
      <c r="C363" s="32"/>
    </row>
    <row r="364" spans="1:3" x14ac:dyDescent="0.75">
      <c r="A364" s="32"/>
      <c r="B364" s="32"/>
      <c r="C364" s="32"/>
    </row>
    <row r="365" spans="1:3" x14ac:dyDescent="0.75">
      <c r="A365" s="32"/>
      <c r="B365" s="32"/>
      <c r="C365" s="32"/>
    </row>
    <row r="366" spans="1:3" x14ac:dyDescent="0.75">
      <c r="A366" s="32"/>
      <c r="B366" s="32"/>
      <c r="C366" s="32"/>
    </row>
    <row r="367" spans="1:3" x14ac:dyDescent="0.75">
      <c r="A367" s="32"/>
      <c r="B367" s="32"/>
      <c r="C367" s="32"/>
    </row>
    <row r="368" spans="1:3" x14ac:dyDescent="0.75">
      <c r="A368" s="32"/>
      <c r="B368" s="32"/>
      <c r="C368" s="32"/>
    </row>
    <row r="369" spans="1:3" x14ac:dyDescent="0.75">
      <c r="A369" s="32"/>
      <c r="B369" s="32"/>
      <c r="C369" s="32"/>
    </row>
    <row r="370" spans="1:3" x14ac:dyDescent="0.75">
      <c r="A370" s="32"/>
      <c r="B370" s="32"/>
      <c r="C370" s="32"/>
    </row>
    <row r="371" spans="1:3" x14ac:dyDescent="0.75">
      <c r="A371" s="32"/>
      <c r="B371" s="32"/>
      <c r="C371" s="32"/>
    </row>
    <row r="372" spans="1:3" x14ac:dyDescent="0.75">
      <c r="A372" s="32"/>
      <c r="B372" s="32"/>
      <c r="C372" s="32"/>
    </row>
    <row r="373" spans="1:3" x14ac:dyDescent="0.75">
      <c r="A373" s="32"/>
      <c r="B373" s="32"/>
      <c r="C373" s="32"/>
    </row>
    <row r="374" spans="1:3" x14ac:dyDescent="0.75">
      <c r="A374" s="32"/>
      <c r="B374" s="32"/>
      <c r="C374" s="32"/>
    </row>
    <row r="375" spans="1:3" x14ac:dyDescent="0.75">
      <c r="A375" s="32"/>
      <c r="B375" s="32"/>
      <c r="C375" s="32"/>
    </row>
    <row r="376" spans="1:3" x14ac:dyDescent="0.75">
      <c r="A376" s="32"/>
      <c r="B376" s="32"/>
      <c r="C376" s="32"/>
    </row>
    <row r="377" spans="1:3" x14ac:dyDescent="0.75">
      <c r="A377" s="32"/>
      <c r="B377" s="32"/>
      <c r="C377" s="32"/>
    </row>
    <row r="378" spans="1:3" x14ac:dyDescent="0.75">
      <c r="A378" s="32"/>
      <c r="B378" s="32"/>
      <c r="C378" s="32"/>
    </row>
    <row r="379" spans="1:3" x14ac:dyDescent="0.75">
      <c r="A379" s="32"/>
      <c r="B379" s="32"/>
      <c r="C379" s="32"/>
    </row>
    <row r="380" spans="1:3" x14ac:dyDescent="0.75">
      <c r="A380" s="32"/>
      <c r="B380" s="32"/>
      <c r="C380" s="32"/>
    </row>
    <row r="381" spans="1:3" x14ac:dyDescent="0.75">
      <c r="A381" s="32"/>
      <c r="B381" s="32"/>
      <c r="C381" s="32"/>
    </row>
    <row r="382" spans="1:3" x14ac:dyDescent="0.75">
      <c r="A382" s="32"/>
      <c r="B382" s="32"/>
      <c r="C382" s="32"/>
    </row>
    <row r="383" spans="1:3" x14ac:dyDescent="0.75">
      <c r="A383" s="32"/>
      <c r="B383" s="32"/>
      <c r="C383" s="32"/>
    </row>
    <row r="384" spans="1:3" x14ac:dyDescent="0.75">
      <c r="A384" s="32"/>
      <c r="B384" s="32"/>
      <c r="C384" s="32"/>
    </row>
    <row r="385" spans="1:3" x14ac:dyDescent="0.75">
      <c r="A385" s="32"/>
      <c r="B385" s="32"/>
      <c r="C385" s="32"/>
    </row>
    <row r="386" spans="1:3" x14ac:dyDescent="0.75">
      <c r="A386" s="32"/>
      <c r="B386" s="32"/>
      <c r="C386" s="32"/>
    </row>
    <row r="387" spans="1:3" x14ac:dyDescent="0.75">
      <c r="A387" s="32"/>
      <c r="B387" s="32"/>
      <c r="C387" s="32"/>
    </row>
    <row r="388" spans="1:3" x14ac:dyDescent="0.75">
      <c r="A388" s="32"/>
      <c r="B388" s="32"/>
      <c r="C388" s="32"/>
    </row>
    <row r="389" spans="1:3" x14ac:dyDescent="0.75">
      <c r="A389" s="32"/>
      <c r="B389" s="32"/>
      <c r="C389" s="32"/>
    </row>
    <row r="390" spans="1:3" x14ac:dyDescent="0.75">
      <c r="A390" s="32"/>
      <c r="B390" s="32"/>
      <c r="C390" s="32"/>
    </row>
    <row r="391" spans="1:3" x14ac:dyDescent="0.75">
      <c r="A391" s="32"/>
      <c r="B391" s="32"/>
      <c r="C391" s="32"/>
    </row>
    <row r="392" spans="1:3" x14ac:dyDescent="0.75">
      <c r="A392" s="32"/>
      <c r="B392" s="32"/>
      <c r="C392" s="32"/>
    </row>
    <row r="393" spans="1:3" x14ac:dyDescent="0.75">
      <c r="A393" s="32"/>
      <c r="B393" s="32"/>
      <c r="C393" s="32"/>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31"/>
    <col min="3" max="3" width="31.6796875" style="31" bestFit="1" customWidth="1"/>
    <col min="4" max="4" width="72.1328125" style="31" customWidth="1"/>
    <col min="5" max="5" width="24.81640625" style="31" customWidth="1"/>
    <col min="6" max="6" width="15.5" style="31" customWidth="1"/>
    <col min="7" max="7" width="16.1328125" style="31" customWidth="1"/>
    <col min="8" max="8" width="10.76953125" style="31" customWidth="1"/>
    <col min="9" max="9" width="45.26953125" style="31" customWidth="1"/>
    <col min="10" max="10" width="40.1328125" style="1" customWidth="1"/>
    <col min="11" max="11" width="26.6328125" style="1" customWidth="1"/>
    <col min="12" max="12" width="48.54296875" style="1" customWidth="1"/>
    <col min="13" max="13" width="53.36328125" style="31" customWidth="1"/>
    <col min="14" max="14" width="51.5" style="31" customWidth="1"/>
    <col min="15" max="16384" width="8.7265625" style="31"/>
  </cols>
  <sheetData>
    <row r="1" spans="1:14" x14ac:dyDescent="0.75">
      <c r="C1" s="145" t="e">
        <f>#REF!</f>
        <v>#REF!</v>
      </c>
      <c r="D1" s="20" t="s">
        <v>31</v>
      </c>
      <c r="E1" s="21"/>
      <c r="G1" s="59" t="s">
        <v>979</v>
      </c>
      <c r="N1" s="31" t="s">
        <v>87</v>
      </c>
    </row>
    <row r="2" spans="1:14" ht="15.5" thickBot="1" x14ac:dyDescent="0.9">
      <c r="C2" s="147" t="e">
        <f>#REF!</f>
        <v>#REF!</v>
      </c>
      <c r="D2" s="18" t="s">
        <v>968</v>
      </c>
      <c r="E2" s="44"/>
      <c r="G2" s="74" t="s">
        <v>980</v>
      </c>
      <c r="M2" s="62"/>
      <c r="N2" s="31" t="str">
        <f>CONCATENATE("Mapping: ",E2)</f>
        <v xml:space="preserve">Mapping: </v>
      </c>
    </row>
    <row r="3" spans="1:14" x14ac:dyDescent="0.75">
      <c r="C3" s="145" t="e">
        <f>#REF!</f>
        <v>#REF!</v>
      </c>
      <c r="D3" s="52"/>
      <c r="E3" s="45"/>
      <c r="M3" s="62"/>
      <c r="N3" s="31" t="str">
        <f>CONCATENATE("Id: ",E2)</f>
        <v xml:space="preserve">Id: </v>
      </c>
    </row>
    <row r="4" spans="1:14" ht="15.5" thickBot="1" x14ac:dyDescent="0.9">
      <c r="C4" s="147" t="e">
        <f>#REF!</f>
        <v>#REF!</v>
      </c>
      <c r="D4" s="61"/>
      <c r="E4" s="46"/>
      <c r="M4" s="62"/>
      <c r="N4" s="31" t="str">
        <f>CONCATENATE("Title: """,D2,"""")</f>
        <v>Title: "CDA"</v>
      </c>
    </row>
    <row r="5" spans="1:14" x14ac:dyDescent="0.75">
      <c r="M5" s="62"/>
      <c r="N5" s="31" t="e">
        <f>CONCATENATE("Source: ",C2,"/",C7)</f>
        <v>#REF!</v>
      </c>
    </row>
    <row r="6" spans="1:14" x14ac:dyDescent="0.75">
      <c r="D6" s="31" t="s">
        <v>70</v>
      </c>
      <c r="M6" s="62"/>
      <c r="N6" s="31" t="str">
        <f>CONCATENATE("Target: """,D4,"""")</f>
        <v>Target: ""</v>
      </c>
    </row>
    <row r="7" spans="1:14" ht="14.75" customHeight="1" x14ac:dyDescent="0.75">
      <c r="A7" s="32">
        <v>0</v>
      </c>
      <c r="B7" s="32" t="e">
        <f>#REF!</f>
        <v>#REF!</v>
      </c>
      <c r="C7" s="32" t="e">
        <f>#REF!</f>
        <v>#REF!</v>
      </c>
      <c r="D7" s="32" t="s">
        <v>969</v>
      </c>
      <c r="H7" s="31" t="b">
        <f>IF(D7&gt;"",TRUE,FALSE)</f>
        <v>1</v>
      </c>
      <c r="I7" s="1" t="e">
        <f>IF(H7,CONCATENATE("* differential.element[",$B7,"].mapping[",$A7,"].identity = """,$G$1,""""),"")</f>
        <v>#REF!</v>
      </c>
      <c r="J7" s="1" t="e">
        <f>IF(H7,CONCATENATE("* differential.element[",$B7,"].mapping[",$A7,"].map = """,D7,""""),"")</f>
        <v>#REF!</v>
      </c>
      <c r="K7" s="1" t="str">
        <f>IF(E7&gt;"",CONCATENATE("* differential.element[",$B7,"].mapping[",$A7,"].comment = """,E7,""""),"")</f>
        <v/>
      </c>
      <c r="M7" s="31" t="s">
        <v>88</v>
      </c>
      <c r="N7" s="31" t="s">
        <v>87</v>
      </c>
    </row>
    <row r="8" spans="1:14" x14ac:dyDescent="0.75">
      <c r="A8" s="32">
        <v>0</v>
      </c>
      <c r="B8" s="32" t="e">
        <f>#REF!</f>
        <v>#REF!</v>
      </c>
      <c r="C8" s="32" t="e">
        <f>#REF!</f>
        <v>#REF!</v>
      </c>
      <c r="D8" s="32" t="s">
        <v>970</v>
      </c>
      <c r="H8" s="31" t="b">
        <f>IF(D8&gt;"",TRUE,FALSE)</f>
        <v>1</v>
      </c>
      <c r="I8" s="1" t="e">
        <f>IF(H8,CONCATENATE("* differential.element[",$B8,"].mapping[",$A8,"].identity = """,$G$1,""""),"")</f>
        <v>#REF!</v>
      </c>
      <c r="J8" s="1" t="e">
        <f>IF(H8,CONCATENATE("* differential.element[",$B8,"].mapping[",$A8,"].map = """,D8,""""),"")</f>
        <v>#REF!</v>
      </c>
      <c r="K8" s="1" t="str">
        <f>IF(E8&gt;"",CONCATENATE("* differential.element[",$B8,"].mapping[",$A8,"].comment = """,E8,""""),"")</f>
        <v/>
      </c>
      <c r="M8" s="62"/>
      <c r="N8" s="31" t="e">
        <f t="shared" ref="N8:N41" si="0">CONCATENATE("* ",C8," -&gt; """,D8,"""")</f>
        <v>#REF!</v>
      </c>
    </row>
    <row r="9" spans="1:14" x14ac:dyDescent="0.75">
      <c r="A9" s="32">
        <v>0</v>
      </c>
      <c r="B9" s="32" t="e">
        <f>#REF!</f>
        <v>#REF!</v>
      </c>
      <c r="C9" s="32" t="e">
        <f>#REF!</f>
        <v>#REF!</v>
      </c>
      <c r="D9" s="39" t="s">
        <v>972</v>
      </c>
      <c r="H9" s="31" t="b">
        <f t="shared" ref="H9:H50" si="1">IF(D9&gt;"",TRUE,FALSE)</f>
        <v>1</v>
      </c>
      <c r="I9" s="1" t="e">
        <f t="shared" ref="I9:I50" si="2">IF(H9,CONCATENATE("* differential.element[",$B9,"].mapping[",$A9,"].identity = """,$G$1,""""),"")</f>
        <v>#REF!</v>
      </c>
      <c r="J9" s="1" t="e">
        <f t="shared" ref="J9:J50" si="3">IF(H9,CONCATENATE("* differential.element[",$B9,"].mapping[",$A9,"].map = """,D9,""""),"")</f>
        <v>#REF!</v>
      </c>
      <c r="K9" s="1" t="str">
        <f t="shared" ref="K9:K50" si="4">IF(E9&gt;"",CONCATENATE("* differential.element[",$B9,"].mapping[",$A9,"].comment = """,E9,""""),"")</f>
        <v/>
      </c>
      <c r="M9" s="62"/>
      <c r="N9" s="31" t="e">
        <f t="shared" si="0"/>
        <v>#REF!</v>
      </c>
    </row>
    <row r="10" spans="1:14" ht="29.5" customHeight="1" x14ac:dyDescent="0.75">
      <c r="A10" s="32">
        <v>0</v>
      </c>
      <c r="B10" s="32" t="e">
        <f>#REF!</f>
        <v>#REF!</v>
      </c>
      <c r="C10" s="32" t="e">
        <f>#REF!</f>
        <v>#REF!</v>
      </c>
      <c r="D10" s="39" t="s">
        <v>973</v>
      </c>
      <c r="H10" s="31" t="b">
        <f t="shared" si="1"/>
        <v>1</v>
      </c>
      <c r="I10" s="1" t="e">
        <f t="shared" si="2"/>
        <v>#REF!</v>
      </c>
      <c r="J10" s="1" t="e">
        <f t="shared" si="3"/>
        <v>#REF!</v>
      </c>
      <c r="K10" s="1" t="str">
        <f t="shared" si="4"/>
        <v/>
      </c>
      <c r="M10" s="62"/>
      <c r="N10" s="31" t="e">
        <f t="shared" si="0"/>
        <v>#REF!</v>
      </c>
    </row>
    <row r="11" spans="1:14" x14ac:dyDescent="0.75">
      <c r="A11" s="32">
        <v>0</v>
      </c>
      <c r="B11" s="32" t="e">
        <f>#REF!</f>
        <v>#REF!</v>
      </c>
      <c r="C11" s="32" t="e">
        <f>#REF!</f>
        <v>#REF!</v>
      </c>
      <c r="D11" s="39" t="s">
        <v>973</v>
      </c>
      <c r="H11" s="31" t="b">
        <f t="shared" si="1"/>
        <v>1</v>
      </c>
      <c r="I11" s="1" t="e">
        <f t="shared" si="2"/>
        <v>#REF!</v>
      </c>
      <c r="J11" s="1" t="e">
        <f t="shared" si="3"/>
        <v>#REF!</v>
      </c>
      <c r="K11" s="1" t="str">
        <f t="shared" si="4"/>
        <v/>
      </c>
      <c r="M11" s="62"/>
      <c r="N11" s="31" t="e">
        <f t="shared" si="0"/>
        <v>#REF!</v>
      </c>
    </row>
    <row r="12" spans="1:14" x14ac:dyDescent="0.75">
      <c r="A12" s="32">
        <v>0</v>
      </c>
      <c r="B12" s="32" t="e">
        <f>#REF!</f>
        <v>#REF!</v>
      </c>
      <c r="C12" s="32" t="e">
        <f>#REF!</f>
        <v>#REF!</v>
      </c>
      <c r="D12" s="39" t="s">
        <v>974</v>
      </c>
      <c r="H12" s="31" t="b">
        <f t="shared" si="1"/>
        <v>1</v>
      </c>
      <c r="I12" s="1" t="e">
        <f t="shared" si="2"/>
        <v>#REF!</v>
      </c>
      <c r="J12" s="1" t="e">
        <f t="shared" si="3"/>
        <v>#REF!</v>
      </c>
      <c r="K12" s="1" t="str">
        <f t="shared" si="4"/>
        <v/>
      </c>
      <c r="M12" s="62"/>
      <c r="N12" s="31" t="e">
        <f t="shared" si="0"/>
        <v>#REF!</v>
      </c>
    </row>
    <row r="13" spans="1:14" x14ac:dyDescent="0.75">
      <c r="A13" s="32">
        <v>0</v>
      </c>
      <c r="B13" s="32" t="e">
        <f>#REF!</f>
        <v>#REF!</v>
      </c>
      <c r="C13" s="32" t="e">
        <f>#REF!</f>
        <v>#REF!</v>
      </c>
      <c r="D13" s="39"/>
      <c r="H13" s="31" t="b">
        <f t="shared" si="1"/>
        <v>0</v>
      </c>
      <c r="I13" s="1" t="str">
        <f t="shared" si="2"/>
        <v/>
      </c>
      <c r="J13" s="1" t="str">
        <f t="shared" si="3"/>
        <v/>
      </c>
      <c r="K13" s="1" t="str">
        <f t="shared" si="4"/>
        <v/>
      </c>
      <c r="M13" s="62"/>
      <c r="N13" s="31" t="e">
        <f t="shared" si="0"/>
        <v>#REF!</v>
      </c>
    </row>
    <row r="14" spans="1:14" x14ac:dyDescent="0.75">
      <c r="A14" s="32">
        <v>0</v>
      </c>
      <c r="B14" s="32" t="e">
        <f>#REF!</f>
        <v>#REF!</v>
      </c>
      <c r="C14" s="32" t="e">
        <f>#REF!</f>
        <v>#REF!</v>
      </c>
      <c r="D14" s="32" t="s">
        <v>971</v>
      </c>
      <c r="H14" s="31" t="b">
        <f t="shared" si="1"/>
        <v>1</v>
      </c>
      <c r="I14" s="1" t="e">
        <f t="shared" si="2"/>
        <v>#REF!</v>
      </c>
      <c r="J14" s="1" t="e">
        <f t="shared" si="3"/>
        <v>#REF!</v>
      </c>
      <c r="K14" s="1" t="str">
        <f t="shared" si="4"/>
        <v/>
      </c>
      <c r="M14" s="62"/>
      <c r="N14" s="31" t="e">
        <f t="shared" si="0"/>
        <v>#REF!</v>
      </c>
    </row>
    <row r="15" spans="1:14" x14ac:dyDescent="0.75">
      <c r="A15" s="32">
        <v>0</v>
      </c>
      <c r="B15" s="32" t="e">
        <f>#REF!</f>
        <v>#REF!</v>
      </c>
      <c r="C15" s="32" t="e">
        <f>#REF!</f>
        <v>#REF!</v>
      </c>
      <c r="D15" s="32" t="s">
        <v>975</v>
      </c>
      <c r="H15" s="31" t="b">
        <f t="shared" si="1"/>
        <v>1</v>
      </c>
      <c r="I15" s="1" t="e">
        <f t="shared" si="2"/>
        <v>#REF!</v>
      </c>
      <c r="J15" s="1" t="e">
        <f t="shared" si="3"/>
        <v>#REF!</v>
      </c>
      <c r="K15" s="1" t="str">
        <f t="shared" si="4"/>
        <v/>
      </c>
      <c r="N15" s="31" t="e">
        <f t="shared" si="0"/>
        <v>#REF!</v>
      </c>
    </row>
    <row r="16" spans="1:14" x14ac:dyDescent="0.75">
      <c r="A16" s="32">
        <v>0</v>
      </c>
      <c r="B16" s="32" t="e">
        <f>#REF!</f>
        <v>#REF!</v>
      </c>
      <c r="C16" s="32" t="e">
        <f>#REF!</f>
        <v>#REF!</v>
      </c>
      <c r="D16" s="32" t="s">
        <v>976</v>
      </c>
      <c r="H16" s="31" t="b">
        <f t="shared" si="1"/>
        <v>1</v>
      </c>
      <c r="I16" s="1" t="e">
        <f t="shared" si="2"/>
        <v>#REF!</v>
      </c>
      <c r="J16" s="1" t="e">
        <f t="shared" si="3"/>
        <v>#REF!</v>
      </c>
      <c r="K16" s="1" t="str">
        <f t="shared" si="4"/>
        <v/>
      </c>
      <c r="N16" s="31" t="e">
        <f t="shared" si="0"/>
        <v>#REF!</v>
      </c>
    </row>
    <row r="17" spans="1:14" x14ac:dyDescent="0.75">
      <c r="A17" s="32">
        <v>0</v>
      </c>
      <c r="B17" s="32" t="e">
        <f>#REF!</f>
        <v>#REF!</v>
      </c>
      <c r="C17" s="32" t="e">
        <f>#REF!</f>
        <v>#REF!</v>
      </c>
      <c r="D17" s="32" t="s">
        <v>981</v>
      </c>
      <c r="H17" s="31" t="b">
        <f t="shared" si="1"/>
        <v>1</v>
      </c>
      <c r="I17" s="1" t="e">
        <f t="shared" si="2"/>
        <v>#REF!</v>
      </c>
      <c r="J17" s="1" t="e">
        <f t="shared" si="3"/>
        <v>#REF!</v>
      </c>
      <c r="K17" s="1" t="str">
        <f t="shared" si="4"/>
        <v/>
      </c>
      <c r="N17" s="31" t="e">
        <f t="shared" si="0"/>
        <v>#REF!</v>
      </c>
    </row>
    <row r="18" spans="1:14" x14ac:dyDescent="0.75">
      <c r="A18" s="32">
        <v>0</v>
      </c>
      <c r="B18" s="32" t="e">
        <f>#REF!</f>
        <v>#REF!</v>
      </c>
      <c r="C18" s="32" t="e">
        <f>#REF!</f>
        <v>#REF!</v>
      </c>
      <c r="D18" s="32" t="s">
        <v>982</v>
      </c>
      <c r="H18" s="31" t="b">
        <f t="shared" si="1"/>
        <v>1</v>
      </c>
      <c r="I18" s="1" t="e">
        <f t="shared" si="2"/>
        <v>#REF!</v>
      </c>
      <c r="J18" s="1" t="e">
        <f t="shared" si="3"/>
        <v>#REF!</v>
      </c>
      <c r="K18" s="1" t="str">
        <f t="shared" si="4"/>
        <v/>
      </c>
      <c r="N18" s="31" t="e">
        <f t="shared" si="0"/>
        <v>#REF!</v>
      </c>
    </row>
    <row r="19" spans="1:14" x14ac:dyDescent="0.75">
      <c r="A19" s="32">
        <v>0</v>
      </c>
      <c r="B19" s="32" t="e">
        <f>#REF!</f>
        <v>#REF!</v>
      </c>
      <c r="C19" s="32" t="e">
        <f>#REF!</f>
        <v>#REF!</v>
      </c>
      <c r="D19" s="32" t="s">
        <v>982</v>
      </c>
      <c r="H19" s="31" t="b">
        <f t="shared" si="1"/>
        <v>1</v>
      </c>
      <c r="I19" s="1" t="e">
        <f t="shared" si="2"/>
        <v>#REF!</v>
      </c>
      <c r="J19" s="1" t="e">
        <f t="shared" si="3"/>
        <v>#REF!</v>
      </c>
      <c r="K19" s="1" t="str">
        <f t="shared" si="4"/>
        <v/>
      </c>
      <c r="N19" s="31" t="e">
        <f t="shared" si="0"/>
        <v>#REF!</v>
      </c>
    </row>
    <row r="20" spans="1:14" x14ac:dyDescent="0.75">
      <c r="A20" s="32">
        <v>0</v>
      </c>
      <c r="B20" s="32" t="e">
        <f>#REF!</f>
        <v>#REF!</v>
      </c>
      <c r="C20" s="32" t="e">
        <f>#REF!</f>
        <v>#REF!</v>
      </c>
      <c r="D20" s="32" t="s">
        <v>977</v>
      </c>
      <c r="H20" s="31" t="b">
        <f t="shared" si="1"/>
        <v>1</v>
      </c>
      <c r="I20" s="1" t="e">
        <f t="shared" si="2"/>
        <v>#REF!</v>
      </c>
      <c r="J20" s="1" t="e">
        <f t="shared" si="3"/>
        <v>#REF!</v>
      </c>
      <c r="K20" s="1" t="str">
        <f t="shared" si="4"/>
        <v/>
      </c>
      <c r="N20" s="31" t="e">
        <f t="shared" si="0"/>
        <v>#REF!</v>
      </c>
    </row>
    <row r="21" spans="1:14" x14ac:dyDescent="0.75">
      <c r="A21" s="32">
        <v>0</v>
      </c>
      <c r="B21" s="32" t="e">
        <f>#REF!</f>
        <v>#REF!</v>
      </c>
      <c r="C21" s="32" t="e">
        <f>#REF!</f>
        <v>#REF!</v>
      </c>
      <c r="D21" s="32"/>
      <c r="H21" s="31" t="b">
        <f t="shared" si="1"/>
        <v>0</v>
      </c>
      <c r="I21" s="1" t="str">
        <f t="shared" si="2"/>
        <v/>
      </c>
      <c r="J21" s="1" t="str">
        <f t="shared" si="3"/>
        <v/>
      </c>
      <c r="K21" s="1" t="str">
        <f t="shared" si="4"/>
        <v/>
      </c>
      <c r="N21" s="31" t="e">
        <f t="shared" si="0"/>
        <v>#REF!</v>
      </c>
    </row>
    <row r="22" spans="1:14" x14ac:dyDescent="0.75">
      <c r="A22" s="32">
        <v>0</v>
      </c>
      <c r="B22" s="32" t="e">
        <f>#REF!</f>
        <v>#REF!</v>
      </c>
      <c r="C22" s="32" t="e">
        <f>#REF!</f>
        <v>#REF!</v>
      </c>
      <c r="D22" s="32" t="s">
        <v>978</v>
      </c>
      <c r="H22" s="31" t="b">
        <f t="shared" si="1"/>
        <v>1</v>
      </c>
      <c r="I22" s="1" t="e">
        <f t="shared" si="2"/>
        <v>#REF!</v>
      </c>
      <c r="J22" s="1" t="e">
        <f t="shared" si="3"/>
        <v>#REF!</v>
      </c>
      <c r="K22" s="1" t="str">
        <f t="shared" si="4"/>
        <v/>
      </c>
      <c r="N22" s="31" t="e">
        <f t="shared" si="0"/>
        <v>#REF!</v>
      </c>
    </row>
    <row r="23" spans="1:14" x14ac:dyDescent="0.75">
      <c r="A23" s="32">
        <v>0</v>
      </c>
      <c r="B23" s="32" t="e">
        <f>#REF!</f>
        <v>#REF!</v>
      </c>
      <c r="C23" s="32" t="e">
        <f>#REF!</f>
        <v>#REF!</v>
      </c>
      <c r="D23" s="32" t="s">
        <v>978</v>
      </c>
      <c r="H23" s="31" t="b">
        <f t="shared" si="1"/>
        <v>1</v>
      </c>
      <c r="I23" s="1" t="e">
        <f t="shared" si="2"/>
        <v>#REF!</v>
      </c>
      <c r="J23" s="1" t="e">
        <f t="shared" si="3"/>
        <v>#REF!</v>
      </c>
      <c r="K23" s="1" t="str">
        <f t="shared" si="4"/>
        <v/>
      </c>
      <c r="N23" s="31" t="e">
        <f t="shared" si="0"/>
        <v>#REF!</v>
      </c>
    </row>
    <row r="24" spans="1:14" x14ac:dyDescent="0.75">
      <c r="A24" s="32">
        <v>0</v>
      </c>
      <c r="B24" s="32" t="e">
        <f>#REF!</f>
        <v>#REF!</v>
      </c>
      <c r="C24" s="32" t="e">
        <f>#REF!</f>
        <v>#REF!</v>
      </c>
      <c r="D24" s="32"/>
      <c r="H24" s="31" t="b">
        <f t="shared" si="1"/>
        <v>0</v>
      </c>
      <c r="I24" s="1" t="str">
        <f t="shared" si="2"/>
        <v/>
      </c>
      <c r="J24" s="1" t="str">
        <f t="shared" si="3"/>
        <v/>
      </c>
      <c r="K24" s="1" t="str">
        <f t="shared" si="4"/>
        <v/>
      </c>
      <c r="N24" s="31" t="e">
        <f t="shared" si="0"/>
        <v>#REF!</v>
      </c>
    </row>
    <row r="25" spans="1:14" x14ac:dyDescent="0.75">
      <c r="A25" s="32">
        <v>0</v>
      </c>
      <c r="B25" s="32" t="e">
        <f>#REF!</f>
        <v>#REF!</v>
      </c>
      <c r="C25" s="32" t="e">
        <f>#REF!</f>
        <v>#REF!</v>
      </c>
      <c r="D25" s="32"/>
      <c r="H25" s="31" t="b">
        <f t="shared" si="1"/>
        <v>0</v>
      </c>
      <c r="I25" s="1" t="str">
        <f t="shared" si="2"/>
        <v/>
      </c>
      <c r="J25" s="1" t="str">
        <f t="shared" si="3"/>
        <v/>
      </c>
      <c r="K25" s="1" t="str">
        <f t="shared" si="4"/>
        <v/>
      </c>
      <c r="N25" s="31" t="e">
        <f t="shared" si="0"/>
        <v>#REF!</v>
      </c>
    </row>
    <row r="26" spans="1:14" x14ac:dyDescent="0.75">
      <c r="A26" s="32">
        <v>0</v>
      </c>
      <c r="B26" s="32" t="e">
        <f>#REF!</f>
        <v>#REF!</v>
      </c>
      <c r="C26" s="32" t="e">
        <f>#REF!</f>
        <v>#REF!</v>
      </c>
      <c r="D26" s="32"/>
      <c r="H26" s="31" t="b">
        <f t="shared" si="1"/>
        <v>0</v>
      </c>
      <c r="I26" s="1" t="str">
        <f t="shared" si="2"/>
        <v/>
      </c>
      <c r="J26" s="1" t="str">
        <f t="shared" si="3"/>
        <v/>
      </c>
      <c r="K26" s="1" t="str">
        <f t="shared" si="4"/>
        <v/>
      </c>
      <c r="N26" s="31" t="e">
        <f t="shared" si="0"/>
        <v>#REF!</v>
      </c>
    </row>
    <row r="27" spans="1:14" x14ac:dyDescent="0.75">
      <c r="A27" s="32">
        <v>0</v>
      </c>
      <c r="B27" s="32" t="e">
        <f>#REF!</f>
        <v>#REF!</v>
      </c>
      <c r="C27" s="32" t="e">
        <f>#REF!</f>
        <v>#REF!</v>
      </c>
      <c r="D27" s="32"/>
      <c r="H27" s="31" t="b">
        <f t="shared" si="1"/>
        <v>0</v>
      </c>
      <c r="I27" s="1" t="str">
        <f t="shared" si="2"/>
        <v/>
      </c>
      <c r="J27" s="1" t="str">
        <f t="shared" si="3"/>
        <v/>
      </c>
      <c r="K27" s="1" t="str">
        <f t="shared" si="4"/>
        <v/>
      </c>
      <c r="N27" s="31" t="e">
        <f t="shared" si="0"/>
        <v>#REF!</v>
      </c>
    </row>
    <row r="28" spans="1:14" x14ac:dyDescent="0.75">
      <c r="A28" s="32">
        <v>0</v>
      </c>
      <c r="B28" s="32" t="e">
        <f>#REF!</f>
        <v>#REF!</v>
      </c>
      <c r="C28" s="32" t="e">
        <f>#REF!</f>
        <v>#REF!</v>
      </c>
      <c r="D28" s="32"/>
      <c r="H28" s="31" t="b">
        <f t="shared" si="1"/>
        <v>0</v>
      </c>
      <c r="I28" s="1" t="str">
        <f t="shared" si="2"/>
        <v/>
      </c>
      <c r="J28" s="1" t="str">
        <f t="shared" si="3"/>
        <v/>
      </c>
      <c r="K28" s="1" t="str">
        <f t="shared" si="4"/>
        <v/>
      </c>
      <c r="N28" s="31" t="e">
        <f t="shared" si="0"/>
        <v>#REF!</v>
      </c>
    </row>
    <row r="29" spans="1:14" x14ac:dyDescent="0.75">
      <c r="A29" s="32">
        <v>0</v>
      </c>
      <c r="B29" s="32" t="e">
        <f>#REF!</f>
        <v>#REF!</v>
      </c>
      <c r="C29" s="32" t="e">
        <f>#REF!</f>
        <v>#REF!</v>
      </c>
      <c r="D29" s="32"/>
      <c r="H29" s="31" t="b">
        <f t="shared" si="1"/>
        <v>0</v>
      </c>
      <c r="I29" s="1" t="str">
        <f t="shared" si="2"/>
        <v/>
      </c>
      <c r="J29" s="1" t="str">
        <f t="shared" si="3"/>
        <v/>
      </c>
      <c r="K29" s="1" t="str">
        <f t="shared" si="4"/>
        <v/>
      </c>
      <c r="N29" s="31" t="e">
        <f t="shared" si="0"/>
        <v>#REF!</v>
      </c>
    </row>
    <row r="30" spans="1:14" x14ac:dyDescent="0.75">
      <c r="A30" s="32">
        <v>0</v>
      </c>
      <c r="B30" s="32" t="e">
        <f>#REF!</f>
        <v>#REF!</v>
      </c>
      <c r="C30" s="32" t="e">
        <f>#REF!</f>
        <v>#REF!</v>
      </c>
      <c r="D30" s="28"/>
      <c r="H30" s="31" t="b">
        <f t="shared" si="1"/>
        <v>0</v>
      </c>
      <c r="I30" s="1" t="str">
        <f t="shared" si="2"/>
        <v/>
      </c>
      <c r="J30" s="1" t="str">
        <f t="shared" si="3"/>
        <v/>
      </c>
      <c r="K30" s="1" t="str">
        <f t="shared" si="4"/>
        <v/>
      </c>
      <c r="N30" s="31" t="e">
        <f t="shared" si="0"/>
        <v>#REF!</v>
      </c>
    </row>
    <row r="31" spans="1:14" x14ac:dyDescent="0.75">
      <c r="A31" s="32">
        <v>0</v>
      </c>
      <c r="B31" s="32" t="e">
        <f>#REF!</f>
        <v>#REF!</v>
      </c>
      <c r="C31" s="32" t="e">
        <f>#REF!</f>
        <v>#REF!</v>
      </c>
      <c r="D31" s="32"/>
      <c r="H31" s="31" t="b">
        <f t="shared" si="1"/>
        <v>0</v>
      </c>
      <c r="I31" s="1" t="str">
        <f t="shared" si="2"/>
        <v/>
      </c>
      <c r="J31" s="1" t="str">
        <f t="shared" si="3"/>
        <v/>
      </c>
      <c r="K31" s="1" t="str">
        <f t="shared" si="4"/>
        <v/>
      </c>
      <c r="N31" s="31" t="e">
        <f t="shared" si="0"/>
        <v>#REF!</v>
      </c>
    </row>
    <row r="32" spans="1:14" x14ac:dyDescent="0.75">
      <c r="A32" s="32">
        <v>0</v>
      </c>
      <c r="B32" s="32" t="e">
        <f>#REF!</f>
        <v>#REF!</v>
      </c>
      <c r="C32" s="32" t="e">
        <f>#REF!</f>
        <v>#REF!</v>
      </c>
      <c r="D32" s="32"/>
      <c r="H32" s="31" t="b">
        <f t="shared" si="1"/>
        <v>0</v>
      </c>
      <c r="I32" s="1" t="str">
        <f t="shared" si="2"/>
        <v/>
      </c>
      <c r="J32" s="1" t="str">
        <f t="shared" si="3"/>
        <v/>
      </c>
      <c r="K32" s="1" t="str">
        <f t="shared" si="4"/>
        <v/>
      </c>
      <c r="N32" s="31" t="e">
        <f t="shared" si="0"/>
        <v>#REF!</v>
      </c>
    </row>
    <row r="33" spans="1:14" x14ac:dyDescent="0.75">
      <c r="A33" s="32">
        <v>0</v>
      </c>
      <c r="B33" s="32"/>
      <c r="C33" s="32"/>
      <c r="D33" s="32"/>
      <c r="H33" s="31" t="b">
        <f t="shared" si="1"/>
        <v>0</v>
      </c>
      <c r="I33" s="1" t="str">
        <f t="shared" si="2"/>
        <v/>
      </c>
      <c r="J33" s="1" t="str">
        <f t="shared" si="3"/>
        <v/>
      </c>
      <c r="K33" s="1" t="str">
        <f t="shared" si="4"/>
        <v/>
      </c>
      <c r="N33" s="31" t="str">
        <f t="shared" si="0"/>
        <v>*  -&gt; ""</v>
      </c>
    </row>
    <row r="34" spans="1:14" x14ac:dyDescent="0.75">
      <c r="A34" s="32">
        <v>0</v>
      </c>
      <c r="B34" s="32"/>
      <c r="C34" s="32"/>
      <c r="D34" s="32"/>
      <c r="H34" s="31" t="b">
        <f t="shared" si="1"/>
        <v>0</v>
      </c>
      <c r="I34" s="1" t="str">
        <f t="shared" si="2"/>
        <v/>
      </c>
      <c r="J34" s="1" t="str">
        <f t="shared" si="3"/>
        <v/>
      </c>
      <c r="K34" s="1" t="str">
        <f t="shared" si="4"/>
        <v/>
      </c>
      <c r="N34" s="31" t="str">
        <f t="shared" si="0"/>
        <v>*  -&gt; ""</v>
      </c>
    </row>
    <row r="35" spans="1:14" x14ac:dyDescent="0.75">
      <c r="A35" s="32">
        <v>0</v>
      </c>
      <c r="B35" s="32"/>
      <c r="C35" s="32"/>
      <c r="D35" s="28"/>
      <c r="H35" s="31" t="b">
        <f t="shared" si="1"/>
        <v>0</v>
      </c>
      <c r="I35" s="1" t="str">
        <f t="shared" si="2"/>
        <v/>
      </c>
      <c r="J35" s="1" t="str">
        <f t="shared" si="3"/>
        <v/>
      </c>
      <c r="K35" s="1" t="str">
        <f t="shared" si="4"/>
        <v/>
      </c>
      <c r="N35" s="31" t="str">
        <f t="shared" si="0"/>
        <v>*  -&gt; ""</v>
      </c>
    </row>
    <row r="36" spans="1:14" x14ac:dyDescent="0.75">
      <c r="A36" s="32">
        <v>0</v>
      </c>
      <c r="B36" s="32"/>
      <c r="C36" s="32"/>
      <c r="D36" s="32"/>
      <c r="H36" s="31" t="b">
        <f t="shared" si="1"/>
        <v>0</v>
      </c>
      <c r="I36" s="1" t="str">
        <f t="shared" si="2"/>
        <v/>
      </c>
      <c r="J36" s="1" t="str">
        <f t="shared" si="3"/>
        <v/>
      </c>
      <c r="K36" s="1" t="str">
        <f t="shared" si="4"/>
        <v/>
      </c>
      <c r="N36" s="31" t="str">
        <f t="shared" si="0"/>
        <v>*  -&gt; ""</v>
      </c>
    </row>
    <row r="37" spans="1:14" x14ac:dyDescent="0.75">
      <c r="A37" s="32">
        <v>0</v>
      </c>
      <c r="B37" s="32"/>
      <c r="C37" s="32"/>
      <c r="D37" s="32"/>
      <c r="H37" s="31" t="b">
        <f t="shared" si="1"/>
        <v>0</v>
      </c>
      <c r="I37" s="1" t="str">
        <f t="shared" si="2"/>
        <v/>
      </c>
      <c r="J37" s="1" t="str">
        <f t="shared" si="3"/>
        <v/>
      </c>
      <c r="K37" s="1" t="str">
        <f t="shared" si="4"/>
        <v/>
      </c>
      <c r="N37" s="31" t="str">
        <f t="shared" si="0"/>
        <v>*  -&gt; ""</v>
      </c>
    </row>
    <row r="38" spans="1:14" x14ac:dyDescent="0.75">
      <c r="A38" s="32">
        <v>0</v>
      </c>
      <c r="B38" s="32"/>
      <c r="C38" s="32"/>
      <c r="D38" s="32"/>
      <c r="H38" s="31" t="b">
        <f t="shared" si="1"/>
        <v>0</v>
      </c>
      <c r="I38" s="1" t="str">
        <f t="shared" si="2"/>
        <v/>
      </c>
      <c r="J38" s="1" t="str">
        <f t="shared" si="3"/>
        <v/>
      </c>
      <c r="K38" s="1" t="str">
        <f t="shared" si="4"/>
        <v/>
      </c>
      <c r="N38" s="31" t="str">
        <f t="shared" si="0"/>
        <v>*  -&gt; ""</v>
      </c>
    </row>
    <row r="39" spans="1:14" x14ac:dyDescent="0.75">
      <c r="A39" s="32">
        <v>0</v>
      </c>
      <c r="B39" s="32"/>
      <c r="C39" s="32"/>
      <c r="D39" s="32"/>
      <c r="H39" s="31" t="b">
        <f t="shared" si="1"/>
        <v>0</v>
      </c>
      <c r="I39" s="1" t="str">
        <f t="shared" si="2"/>
        <v/>
      </c>
      <c r="J39" s="1" t="str">
        <f t="shared" si="3"/>
        <v/>
      </c>
      <c r="K39" s="1" t="str">
        <f t="shared" si="4"/>
        <v/>
      </c>
      <c r="N39" s="31" t="str">
        <f t="shared" si="0"/>
        <v>*  -&gt; ""</v>
      </c>
    </row>
    <row r="40" spans="1:14" x14ac:dyDescent="0.75">
      <c r="A40" s="32">
        <v>0</v>
      </c>
      <c r="B40" s="32"/>
      <c r="C40" s="32"/>
      <c r="D40" s="32"/>
      <c r="H40" s="31" t="b">
        <f t="shared" si="1"/>
        <v>0</v>
      </c>
      <c r="I40" s="1" t="str">
        <f t="shared" si="2"/>
        <v/>
      </c>
      <c r="J40" s="1" t="str">
        <f t="shared" si="3"/>
        <v/>
      </c>
      <c r="K40" s="1" t="str">
        <f t="shared" si="4"/>
        <v/>
      </c>
      <c r="N40" s="31" t="str">
        <f t="shared" si="0"/>
        <v>*  -&gt; ""</v>
      </c>
    </row>
    <row r="41" spans="1:14" x14ac:dyDescent="0.75">
      <c r="A41" s="32">
        <v>0</v>
      </c>
      <c r="B41" s="32"/>
      <c r="C41" s="32"/>
      <c r="D41" s="63"/>
      <c r="H41" s="31" t="b">
        <f t="shared" si="1"/>
        <v>0</v>
      </c>
      <c r="I41" s="1" t="str">
        <f t="shared" si="2"/>
        <v/>
      </c>
      <c r="J41" s="1" t="str">
        <f t="shared" si="3"/>
        <v/>
      </c>
      <c r="K41" s="1" t="str">
        <f t="shared" si="4"/>
        <v/>
      </c>
      <c r="N41" s="31" t="str">
        <f t="shared" si="0"/>
        <v>*  -&gt; ""</v>
      </c>
    </row>
    <row r="42" spans="1:14" x14ac:dyDescent="0.75">
      <c r="A42" s="32"/>
      <c r="B42" s="32"/>
      <c r="C42" s="32"/>
      <c r="D42" s="32"/>
      <c r="H42" s="31" t="b">
        <f>IF(D42&gt;"",TRUE,FALSE)</f>
        <v>0</v>
      </c>
      <c r="I42" s="1" t="str">
        <f t="shared" si="2"/>
        <v/>
      </c>
      <c r="J42" s="1" t="str">
        <f t="shared" si="3"/>
        <v/>
      </c>
      <c r="K42" s="1" t="str">
        <f t="shared" si="4"/>
        <v/>
      </c>
    </row>
    <row r="43" spans="1:14" x14ac:dyDescent="0.75">
      <c r="A43" s="32"/>
      <c r="B43" s="32"/>
      <c r="C43" s="32"/>
      <c r="D43" s="32"/>
      <c r="H43" s="31" t="b">
        <f t="shared" si="1"/>
        <v>0</v>
      </c>
      <c r="I43" s="1" t="str">
        <f t="shared" si="2"/>
        <v/>
      </c>
      <c r="J43" s="1" t="str">
        <f t="shared" si="3"/>
        <v/>
      </c>
      <c r="K43" s="1" t="str">
        <f t="shared" si="4"/>
        <v/>
      </c>
    </row>
    <row r="44" spans="1:14" x14ac:dyDescent="0.75">
      <c r="A44" s="32"/>
      <c r="B44" s="32"/>
      <c r="C44" s="32"/>
      <c r="D44" s="32"/>
      <c r="H44" s="31" t="b">
        <f t="shared" si="1"/>
        <v>0</v>
      </c>
      <c r="I44" s="1" t="str">
        <f t="shared" si="2"/>
        <v/>
      </c>
      <c r="J44" s="1" t="str">
        <f t="shared" si="3"/>
        <v/>
      </c>
      <c r="K44" s="1" t="str">
        <f t="shared" si="4"/>
        <v/>
      </c>
    </row>
    <row r="45" spans="1:14" x14ac:dyDescent="0.75">
      <c r="A45" s="32"/>
      <c r="B45" s="32"/>
      <c r="C45" s="32"/>
      <c r="D45" s="32"/>
      <c r="H45" s="31" t="b">
        <f t="shared" si="1"/>
        <v>0</v>
      </c>
      <c r="I45" s="1" t="str">
        <f t="shared" si="2"/>
        <v/>
      </c>
      <c r="J45" s="1" t="str">
        <f t="shared" si="3"/>
        <v/>
      </c>
      <c r="K45" s="1" t="str">
        <f t="shared" si="4"/>
        <v/>
      </c>
    </row>
    <row r="46" spans="1:14" x14ac:dyDescent="0.75">
      <c r="B46" s="31" t="e">
        <f>'Base-1'!#REF!</f>
        <v>#REF!</v>
      </c>
      <c r="H46" s="31" t="b">
        <f t="shared" si="1"/>
        <v>0</v>
      </c>
      <c r="I46" s="1" t="str">
        <f t="shared" si="2"/>
        <v/>
      </c>
      <c r="J46" s="1" t="str">
        <f t="shared" si="3"/>
        <v/>
      </c>
      <c r="K46" s="1" t="str">
        <f t="shared" si="4"/>
        <v/>
      </c>
    </row>
    <row r="47" spans="1:14" x14ac:dyDescent="0.75">
      <c r="B47" s="31" t="e">
        <f>'Base-1'!#REF!</f>
        <v>#REF!</v>
      </c>
      <c r="C47" s="31" t="e">
        <f>'Base-1'!#REF!</f>
        <v>#REF!</v>
      </c>
      <c r="H47" s="31" t="b">
        <f t="shared" si="1"/>
        <v>0</v>
      </c>
      <c r="I47" s="1" t="str">
        <f t="shared" si="2"/>
        <v/>
      </c>
      <c r="J47" s="1" t="str">
        <f t="shared" si="3"/>
        <v/>
      </c>
      <c r="K47" s="1" t="str">
        <f t="shared" si="4"/>
        <v/>
      </c>
    </row>
    <row r="48" spans="1:14" x14ac:dyDescent="0.75">
      <c r="B48" s="31" t="e">
        <f>'Base-1'!#REF!</f>
        <v>#REF!</v>
      </c>
      <c r="C48" s="31" t="e">
        <f>'Base-1'!#REF!</f>
        <v>#REF!</v>
      </c>
      <c r="H48" s="31" t="b">
        <f t="shared" si="1"/>
        <v>0</v>
      </c>
      <c r="I48" s="1" t="str">
        <f t="shared" si="2"/>
        <v/>
      </c>
      <c r="J48" s="1" t="str">
        <f t="shared" si="3"/>
        <v/>
      </c>
      <c r="K48" s="1" t="str">
        <f t="shared" si="4"/>
        <v/>
      </c>
    </row>
    <row r="49" spans="2:11" x14ac:dyDescent="0.75">
      <c r="B49" s="31" t="e">
        <f>'Base-1'!#REF!</f>
        <v>#REF!</v>
      </c>
      <c r="C49" s="31" t="e">
        <f>'Base-1'!#REF!</f>
        <v>#REF!</v>
      </c>
      <c r="H49" s="31" t="b">
        <f t="shared" si="1"/>
        <v>0</v>
      </c>
      <c r="I49" s="1" t="str">
        <f t="shared" si="2"/>
        <v/>
      </c>
      <c r="J49" s="1" t="str">
        <f t="shared" si="3"/>
        <v/>
      </c>
      <c r="K49" s="1" t="str">
        <f t="shared" si="4"/>
        <v/>
      </c>
    </row>
    <row r="50" spans="2:11" x14ac:dyDescent="0.75">
      <c r="B50" s="31" t="e">
        <f>'Base-1'!#REF!</f>
        <v>#REF!</v>
      </c>
      <c r="C50" s="31" t="e">
        <f>'Base-1'!#REF!</f>
        <v>#REF!</v>
      </c>
      <c r="H50" s="31" t="b">
        <f t="shared" si="1"/>
        <v>0</v>
      </c>
      <c r="I50" s="1" t="str">
        <f t="shared" si="2"/>
        <v/>
      </c>
      <c r="J50" s="1" t="str">
        <f t="shared" si="3"/>
        <v/>
      </c>
      <c r="K50" s="1" t="str">
        <f t="shared" si="4"/>
        <v/>
      </c>
    </row>
    <row r="51" spans="2:11" x14ac:dyDescent="0.75">
      <c r="B51" s="31" t="e">
        <f>'Base-1'!#REF!</f>
        <v>#REF!</v>
      </c>
      <c r="C51" s="31" t="e">
        <f>'Base-1'!#REF!</f>
        <v>#REF!</v>
      </c>
    </row>
    <row r="52" spans="2:11" x14ac:dyDescent="0.75">
      <c r="B52" s="31" t="e">
        <f>'Base-1'!#REF!</f>
        <v>#REF!</v>
      </c>
      <c r="C52" s="31" t="e">
        <f>'Base-1'!#REF!</f>
        <v>#REF!</v>
      </c>
    </row>
    <row r="53" spans="2:11" x14ac:dyDescent="0.75">
      <c r="B53" s="31" t="e">
        <f>'Base-1'!#REF!</f>
        <v>#REF!</v>
      </c>
      <c r="C53" s="31" t="e">
        <f>'Base-1'!#REF!</f>
        <v>#REF!</v>
      </c>
    </row>
    <row r="54" spans="2:11" x14ac:dyDescent="0.75">
      <c r="B54" s="31" t="e">
        <f>'Base-1'!#REF!</f>
        <v>#REF!</v>
      </c>
      <c r="C54" s="31" t="e">
        <f>'Base-1'!#REF!</f>
        <v>#REF!</v>
      </c>
    </row>
    <row r="55" spans="2:11" x14ac:dyDescent="0.75">
      <c r="B55" s="31" t="e">
        <f>'Base-1'!#REF!</f>
        <v>#REF!</v>
      </c>
      <c r="C55" s="31" t="e">
        <f>'Base-1'!#REF!</f>
        <v>#REF!</v>
      </c>
    </row>
    <row r="56" spans="2:11" x14ac:dyDescent="0.75">
      <c r="B56" s="31" t="e">
        <f>'Base-1'!#REF!</f>
        <v>#REF!</v>
      </c>
      <c r="C56" s="31" t="e">
        <f>'Base-1'!#REF!</f>
        <v>#REF!</v>
      </c>
    </row>
    <row r="57" spans="2:11" x14ac:dyDescent="0.75">
      <c r="B57" s="31" t="e">
        <f>'Base-1'!#REF!</f>
        <v>#REF!</v>
      </c>
      <c r="C57" s="31" t="e">
        <f>'Base-1'!#REF!</f>
        <v>#REF!</v>
      </c>
    </row>
    <row r="58" spans="2:11" x14ac:dyDescent="0.75">
      <c r="B58" s="31" t="e">
        <f>'Base-1'!#REF!</f>
        <v>#REF!</v>
      </c>
      <c r="C58" s="31" t="e">
        <f>'Base-1'!#REF!</f>
        <v>#REF!</v>
      </c>
    </row>
    <row r="59" spans="2:11" x14ac:dyDescent="0.75">
      <c r="B59" s="31" t="e">
        <f>'Base-1'!#REF!</f>
        <v>#REF!</v>
      </c>
      <c r="C59" s="31" t="e">
        <f>'Base-1'!#REF!</f>
        <v>#REF!</v>
      </c>
    </row>
    <row r="60" spans="2:11" x14ac:dyDescent="0.75">
      <c r="B60" s="31">
        <f>'Base-1'!A64</f>
        <v>0</v>
      </c>
      <c r="C60" s="31">
        <f>'Base-1'!B64</f>
        <v>0</v>
      </c>
    </row>
    <row r="61" spans="2:11" x14ac:dyDescent="0.75">
      <c r="B61" s="31">
        <f>'Base-1'!A65</f>
        <v>0</v>
      </c>
      <c r="C61" s="31">
        <f>'Base-1'!B65</f>
        <v>0</v>
      </c>
    </row>
    <row r="62" spans="2:11" x14ac:dyDescent="0.75">
      <c r="B62" s="31">
        <f>'Base-1'!A66</f>
        <v>0</v>
      </c>
      <c r="C62" s="31">
        <f>'Base-1'!B66</f>
        <v>0</v>
      </c>
    </row>
    <row r="63" spans="2:11" x14ac:dyDescent="0.75">
      <c r="B63" s="31">
        <f>'Base-1'!A67</f>
        <v>0</v>
      </c>
      <c r="C63" s="31">
        <f>'Base-1'!B67</f>
        <v>0</v>
      </c>
    </row>
    <row r="64" spans="2:11" x14ac:dyDescent="0.75">
      <c r="B64" s="31">
        <f>'Base-1'!A68</f>
        <v>0</v>
      </c>
      <c r="C64" s="31">
        <f>'Base-1'!B68</f>
        <v>0</v>
      </c>
    </row>
    <row r="65" spans="2:3" x14ac:dyDescent="0.75">
      <c r="B65" s="31">
        <f>'Base-1'!A69</f>
        <v>0</v>
      </c>
      <c r="C65" s="31">
        <f>'Base-1'!B69</f>
        <v>0</v>
      </c>
    </row>
    <row r="66" spans="2:3" x14ac:dyDescent="0.75">
      <c r="B66" s="31">
        <f>'Base-1'!A70</f>
        <v>0</v>
      </c>
      <c r="C66" s="31">
        <f>'Base-1'!B70</f>
        <v>0</v>
      </c>
    </row>
    <row r="67" spans="2:3" x14ac:dyDescent="0.75">
      <c r="B67" s="31">
        <f>'Base-1'!A71</f>
        <v>0</v>
      </c>
      <c r="C67" s="31">
        <f>'Base-1'!B71</f>
        <v>0</v>
      </c>
    </row>
    <row r="68" spans="2:3" x14ac:dyDescent="0.75">
      <c r="B68" s="31">
        <f>'Base-1'!A72</f>
        <v>0</v>
      </c>
      <c r="C68" s="31">
        <f>'Base-1'!B72</f>
        <v>0</v>
      </c>
    </row>
    <row r="69" spans="2:3" x14ac:dyDescent="0.75">
      <c r="B69" s="31">
        <f>'Base-1'!A73</f>
        <v>0</v>
      </c>
      <c r="C69" s="31">
        <f>'Base-1'!B73</f>
        <v>0</v>
      </c>
    </row>
    <row r="70" spans="2:3" x14ac:dyDescent="0.75">
      <c r="B70" s="31">
        <f>'Base-1'!A74</f>
        <v>0</v>
      </c>
      <c r="C70" s="31">
        <f>'Base-1'!B74</f>
        <v>0</v>
      </c>
    </row>
    <row r="71" spans="2:3" x14ac:dyDescent="0.75">
      <c r="B71" s="31">
        <f>'Base-1'!A75</f>
        <v>0</v>
      </c>
      <c r="C71" s="31">
        <f>'Base-1'!B75</f>
        <v>0</v>
      </c>
    </row>
    <row r="72" spans="2:3" x14ac:dyDescent="0.75">
      <c r="B72" s="31">
        <f>'Base-1'!A76</f>
        <v>0</v>
      </c>
      <c r="C72" s="31">
        <f>'Base-1'!B76</f>
        <v>0</v>
      </c>
    </row>
    <row r="73" spans="2:3" x14ac:dyDescent="0.75">
      <c r="B73" s="31">
        <f>'Base-1'!A77</f>
        <v>0</v>
      </c>
      <c r="C73" s="31">
        <f>'Base-1'!B77</f>
        <v>0</v>
      </c>
    </row>
    <row r="74" spans="2:3" x14ac:dyDescent="0.75">
      <c r="B74" s="31">
        <f>'Base-1'!A78</f>
        <v>0</v>
      </c>
      <c r="C74" s="31">
        <f>'Base-1'!B78</f>
        <v>0</v>
      </c>
    </row>
    <row r="75" spans="2:3" x14ac:dyDescent="0.75">
      <c r="B75" s="31">
        <f>'Base-1'!A79</f>
        <v>0</v>
      </c>
      <c r="C75" s="31">
        <f>'Base-1'!B79</f>
        <v>0</v>
      </c>
    </row>
    <row r="76" spans="2:3" x14ac:dyDescent="0.75">
      <c r="B76" s="31">
        <f>'Base-1'!A80</f>
        <v>0</v>
      </c>
      <c r="C76" s="31">
        <f>'Base-1'!B80</f>
        <v>0</v>
      </c>
    </row>
    <row r="77" spans="2:3" x14ac:dyDescent="0.75">
      <c r="B77" s="31">
        <f>'Base-1'!A81</f>
        <v>0</v>
      </c>
      <c r="C77" s="31">
        <f>'Base-1'!B81</f>
        <v>0</v>
      </c>
    </row>
    <row r="78" spans="2:3" x14ac:dyDescent="0.75">
      <c r="B78" s="31">
        <f>'Base-1'!A82</f>
        <v>0</v>
      </c>
      <c r="C78" s="31">
        <f>'Base-1'!B82</f>
        <v>0</v>
      </c>
    </row>
    <row r="79" spans="2:3" x14ac:dyDescent="0.75">
      <c r="B79" s="31">
        <f>'Base-1'!A83</f>
        <v>0</v>
      </c>
      <c r="C79" s="31">
        <f>'Base-1'!B83</f>
        <v>0</v>
      </c>
    </row>
    <row r="80" spans="2:3" x14ac:dyDescent="0.75">
      <c r="B80" s="31">
        <f>'Base-1'!A84</f>
        <v>0</v>
      </c>
      <c r="C80" s="31">
        <f>'Base-1'!B84</f>
        <v>0</v>
      </c>
    </row>
    <row r="81" spans="2:3" x14ac:dyDescent="0.75">
      <c r="B81" s="31">
        <f>'Base-1'!A85</f>
        <v>0</v>
      </c>
      <c r="C81" s="31">
        <f>'Base-1'!B85</f>
        <v>0</v>
      </c>
    </row>
    <row r="82" spans="2:3" x14ac:dyDescent="0.75">
      <c r="B82" s="31">
        <f>'Base-1'!A86</f>
        <v>0</v>
      </c>
      <c r="C82" s="31">
        <f>'Base-1'!B86</f>
        <v>0</v>
      </c>
    </row>
    <row r="83" spans="2:3" x14ac:dyDescent="0.75">
      <c r="B83" s="31">
        <f>'Base-1'!A87</f>
        <v>0</v>
      </c>
      <c r="C83" s="31">
        <f>'Base-1'!B87</f>
        <v>0</v>
      </c>
    </row>
    <row r="84" spans="2:3" x14ac:dyDescent="0.75">
      <c r="B84" s="31">
        <f>'Base-1'!A88</f>
        <v>0</v>
      </c>
      <c r="C84" s="31">
        <f>'Base-1'!B88</f>
        <v>0</v>
      </c>
    </row>
    <row r="85" spans="2:3" x14ac:dyDescent="0.75">
      <c r="B85" s="31">
        <f>'Base-1'!A89</f>
        <v>0</v>
      </c>
      <c r="C85" s="31">
        <f>'Base-1'!B89</f>
        <v>0</v>
      </c>
    </row>
    <row r="86" spans="2:3" x14ac:dyDescent="0.75">
      <c r="B86" s="31">
        <f>'Base-1'!A90</f>
        <v>0</v>
      </c>
      <c r="C86" s="31">
        <f>'Base-1'!B90</f>
        <v>0</v>
      </c>
    </row>
    <row r="87" spans="2:3" x14ac:dyDescent="0.75">
      <c r="B87" s="31">
        <f>'Base-1'!A91</f>
        <v>0</v>
      </c>
      <c r="C87" s="31">
        <f>'Base-1'!B91</f>
        <v>0</v>
      </c>
    </row>
    <row r="88" spans="2:3" x14ac:dyDescent="0.75">
      <c r="B88" s="31">
        <f>'Base-1'!A92</f>
        <v>0</v>
      </c>
      <c r="C88" s="31">
        <f>'Base-1'!B92</f>
        <v>0</v>
      </c>
    </row>
    <row r="89" spans="2:3" x14ac:dyDescent="0.75">
      <c r="B89" s="31">
        <f>'Base-1'!A93</f>
        <v>0</v>
      </c>
      <c r="C89" s="31">
        <f>'Base-1'!B93</f>
        <v>0</v>
      </c>
    </row>
    <row r="90" spans="2:3" x14ac:dyDescent="0.75">
      <c r="B90" s="31">
        <f>'Base-1'!A94</f>
        <v>0</v>
      </c>
      <c r="C90" s="31">
        <f>'Base-1'!B94</f>
        <v>0</v>
      </c>
    </row>
    <row r="91" spans="2:3" x14ac:dyDescent="0.75">
      <c r="B91" s="31">
        <f>'Base-1'!A95</f>
        <v>0</v>
      </c>
      <c r="C91" s="31">
        <f>'Base-1'!B95</f>
        <v>0</v>
      </c>
    </row>
    <row r="92" spans="2:3" x14ac:dyDescent="0.75">
      <c r="B92" s="31">
        <f>'Base-1'!A96</f>
        <v>0</v>
      </c>
      <c r="C92" s="31">
        <f>'Base-1'!B96</f>
        <v>0</v>
      </c>
    </row>
    <row r="93" spans="2:3" x14ac:dyDescent="0.75">
      <c r="B93" s="31">
        <f>'Base-1'!A97</f>
        <v>0</v>
      </c>
      <c r="C93" s="31">
        <f>'Base-1'!B97</f>
        <v>0</v>
      </c>
    </row>
    <row r="94" spans="2:3" x14ac:dyDescent="0.75">
      <c r="B94" s="31">
        <f>'Base-1'!A98</f>
        <v>0</v>
      </c>
      <c r="C94" s="31">
        <f>'Base-1'!B98</f>
        <v>0</v>
      </c>
    </row>
    <row r="95" spans="2:3" x14ac:dyDescent="0.75">
      <c r="B95" s="31">
        <f>'Base-1'!A99</f>
        <v>0</v>
      </c>
      <c r="C95" s="31">
        <f>'Base-1'!B99</f>
        <v>0</v>
      </c>
    </row>
    <row r="96" spans="2:3" x14ac:dyDescent="0.75">
      <c r="B96" s="31">
        <f>'Base-1'!A100</f>
        <v>0</v>
      </c>
      <c r="C96" s="31">
        <f>'Base-1'!B100</f>
        <v>0</v>
      </c>
    </row>
    <row r="97" spans="2:3" x14ac:dyDescent="0.75">
      <c r="B97" s="31">
        <f>'Base-1'!A101</f>
        <v>0</v>
      </c>
      <c r="C97" s="31">
        <f>'Base-1'!B101</f>
        <v>0</v>
      </c>
    </row>
    <row r="98" spans="2:3" x14ac:dyDescent="0.75">
      <c r="B98" s="31">
        <f>'Base-1'!A102</f>
        <v>0</v>
      </c>
      <c r="C98" s="31">
        <f>'Base-1'!B102</f>
        <v>0</v>
      </c>
    </row>
    <row r="99" spans="2:3" x14ac:dyDescent="0.75">
      <c r="B99" s="31">
        <f>'Base-1'!A103</f>
        <v>0</v>
      </c>
      <c r="C99" s="31">
        <f>'Base-1'!B103</f>
        <v>0</v>
      </c>
    </row>
    <row r="100" spans="2:3" x14ac:dyDescent="0.75">
      <c r="B100" s="31">
        <f>'Base-1'!A104</f>
        <v>0</v>
      </c>
      <c r="C100" s="31">
        <f>'Base-1'!B104</f>
        <v>0</v>
      </c>
    </row>
    <row r="101" spans="2:3" x14ac:dyDescent="0.75">
      <c r="B101" s="31">
        <f>'Base-1'!A105</f>
        <v>0</v>
      </c>
      <c r="C101" s="31">
        <f>'Base-1'!B105</f>
        <v>0</v>
      </c>
    </row>
    <row r="102" spans="2:3" x14ac:dyDescent="0.75">
      <c r="B102" s="31">
        <f>'Base-1'!A106</f>
        <v>0</v>
      </c>
      <c r="C102" s="31">
        <f>'Base-1'!B106</f>
        <v>0</v>
      </c>
    </row>
    <row r="103" spans="2:3" x14ac:dyDescent="0.75">
      <c r="B103" s="31">
        <f>'Base-1'!A107</f>
        <v>0</v>
      </c>
      <c r="C103" s="31">
        <f>'Base-1'!B107</f>
        <v>0</v>
      </c>
    </row>
    <row r="104" spans="2:3" x14ac:dyDescent="0.75">
      <c r="B104" s="31">
        <f>'Base-1'!A108</f>
        <v>0</v>
      </c>
      <c r="C104" s="31">
        <f>'Base-1'!B108</f>
        <v>0</v>
      </c>
    </row>
    <row r="105" spans="2:3" x14ac:dyDescent="0.75">
      <c r="B105" s="31">
        <f>'Base-1'!A109</f>
        <v>0</v>
      </c>
      <c r="C105" s="31">
        <f>'Base-1'!B109</f>
        <v>0</v>
      </c>
    </row>
  </sheetData>
  <hyperlinks>
    <hyperlink ref="C2" r:id="rId1" display="http://iso.org/fhir/ts-5384" xr:uid="{F6AFB0F4-4013-43D9-8C3B-8EF37B4DD881}"/>
    <hyperlink ref="C4" r:id="rId2" display="http://iso.org/fhir/ts-5384" xr:uid="{14A8357F-F277-47BA-A349-49E60599C85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1" sqref="D1:D1048576"/>
    </sheetView>
  </sheetViews>
  <sheetFormatPr defaultRowHeight="14.75" x14ac:dyDescent="0.75"/>
  <cols>
    <col min="1" max="3" width="8.7265625" style="31"/>
    <col min="4" max="4" width="130.81640625" style="31" customWidth="1"/>
    <col min="5" max="5" width="19.86328125" style="31" customWidth="1"/>
    <col min="6" max="6" width="8.7265625" style="31"/>
    <col min="7" max="7" width="69.36328125" style="31" customWidth="1"/>
    <col min="8" max="16384" width="8.7265625" style="31"/>
  </cols>
  <sheetData>
    <row r="2" spans="1:5" x14ac:dyDescent="0.75">
      <c r="D2" s="8"/>
    </row>
    <row r="3" spans="1:5" x14ac:dyDescent="0.75">
      <c r="A3" s="32">
        <v>1</v>
      </c>
      <c r="B3" s="32">
        <f>IF(MOD(A3,3)=0,A3/3-1,INT(A3/3))</f>
        <v>0</v>
      </c>
      <c r="C3" s="32">
        <f>IF(MOD(A3,3)=0,3,MOD(A3,3))</f>
        <v>1</v>
      </c>
      <c r="D3" s="31" t="e" cm="1">
        <f t="array" ref="D3">INDEX('Subj-Map2-1'!$I$7:$K$100,1+B3,C3)</f>
        <v>#REF!</v>
      </c>
      <c r="E3" s="31" t="e">
        <f>INDEX('Subj-Map2-1'!$I$8:$K$17,1,1)</f>
        <v>#REF!</v>
      </c>
    </row>
    <row r="4" spans="1:5" x14ac:dyDescent="0.75">
      <c r="A4" s="32">
        <v>2</v>
      </c>
      <c r="B4" s="32">
        <f t="shared" ref="B4:B67" si="0">IF(MOD(A4,3)=0,A4/3-1,INT(A4/3))</f>
        <v>0</v>
      </c>
      <c r="C4" s="32">
        <f t="shared" ref="C4:C67" si="1">IF(MOD(A4,3)=0,3,MOD(A4,3))</f>
        <v>2</v>
      </c>
      <c r="D4" s="31" t="e" cm="1">
        <f t="array" ref="D4">INDEX('Subj-Map2-1'!$I$7:$K$100,1+B4,C4)</f>
        <v>#REF!</v>
      </c>
    </row>
    <row r="5" spans="1:5" x14ac:dyDescent="0.75">
      <c r="A5" s="32">
        <v>3</v>
      </c>
      <c r="B5" s="32">
        <f t="shared" si="0"/>
        <v>0</v>
      </c>
      <c r="C5" s="32">
        <f t="shared" si="1"/>
        <v>3</v>
      </c>
      <c r="D5" s="31" t="str" cm="1">
        <f t="array" ref="D5">INDEX('Subj-Map2-1'!$I$7:$K$100,1+B5,C5)</f>
        <v/>
      </c>
    </row>
    <row r="6" spans="1:5" x14ac:dyDescent="0.75">
      <c r="A6" s="32">
        <v>4</v>
      </c>
      <c r="B6" s="32">
        <f t="shared" si="0"/>
        <v>1</v>
      </c>
      <c r="C6" s="32">
        <f t="shared" si="1"/>
        <v>1</v>
      </c>
      <c r="D6" s="31" t="e" cm="1">
        <f t="array" ref="D6">INDEX('Subj-Map2-1'!$I$7:$K$100,1+B6,C6)</f>
        <v>#REF!</v>
      </c>
    </row>
    <row r="7" spans="1:5" x14ac:dyDescent="0.75">
      <c r="A7" s="32">
        <v>5</v>
      </c>
      <c r="B7" s="32">
        <f t="shared" si="0"/>
        <v>1</v>
      </c>
      <c r="C7" s="32">
        <f t="shared" si="1"/>
        <v>2</v>
      </c>
      <c r="D7" s="31" t="e" cm="1">
        <f t="array" ref="D7">INDEX('Subj-Map2-1'!$I$7:$K$100,1+B7,C7)</f>
        <v>#REF!</v>
      </c>
    </row>
    <row r="8" spans="1:5" x14ac:dyDescent="0.75">
      <c r="A8" s="32">
        <v>6</v>
      </c>
      <c r="B8" s="32">
        <f t="shared" si="0"/>
        <v>1</v>
      </c>
      <c r="C8" s="32">
        <f t="shared" si="1"/>
        <v>3</v>
      </c>
      <c r="D8" s="31" t="str" cm="1">
        <f t="array" ref="D8">INDEX('Subj-Map2-1'!$I$7:$K$100,1+B8,C8)</f>
        <v/>
      </c>
    </row>
    <row r="9" spans="1:5" x14ac:dyDescent="0.75">
      <c r="A9" s="32">
        <v>7</v>
      </c>
      <c r="B9" s="32">
        <f t="shared" si="0"/>
        <v>2</v>
      </c>
      <c r="C9" s="32">
        <f t="shared" si="1"/>
        <v>1</v>
      </c>
      <c r="D9" s="31" t="e" cm="1">
        <f t="array" ref="D9">INDEX('Subj-Map2-1'!$I$7:$K$100,1+B9,C9)</f>
        <v>#REF!</v>
      </c>
    </row>
    <row r="10" spans="1:5" x14ac:dyDescent="0.75">
      <c r="A10" s="32">
        <v>8</v>
      </c>
      <c r="B10" s="32">
        <f t="shared" si="0"/>
        <v>2</v>
      </c>
      <c r="C10" s="32">
        <f t="shared" si="1"/>
        <v>2</v>
      </c>
      <c r="D10" s="31" t="e" cm="1">
        <f t="array" ref="D10">INDEX('Subj-Map2-1'!$I$7:$K$100,1+B10,C10)</f>
        <v>#REF!</v>
      </c>
    </row>
    <row r="11" spans="1:5" x14ac:dyDescent="0.75">
      <c r="A11" s="32">
        <v>9</v>
      </c>
      <c r="B11" s="32">
        <f t="shared" si="0"/>
        <v>2</v>
      </c>
      <c r="C11" s="32">
        <f t="shared" si="1"/>
        <v>3</v>
      </c>
      <c r="D11" s="31" t="str" cm="1">
        <f t="array" ref="D11">INDEX('Subj-Map2-1'!$I$7:$K$100,1+B11,C11)</f>
        <v/>
      </c>
    </row>
    <row r="12" spans="1:5" x14ac:dyDescent="0.75">
      <c r="A12" s="32">
        <v>10</v>
      </c>
      <c r="B12" s="32">
        <f t="shared" si="0"/>
        <v>3</v>
      </c>
      <c r="C12" s="32">
        <f t="shared" si="1"/>
        <v>1</v>
      </c>
      <c r="D12" s="31" t="e" cm="1">
        <f t="array" ref="D12">INDEX('Subj-Map2-1'!$I$7:$K$100,1+B12,C12)</f>
        <v>#REF!</v>
      </c>
    </row>
    <row r="13" spans="1:5" x14ac:dyDescent="0.75">
      <c r="A13" s="32">
        <v>11</v>
      </c>
      <c r="B13" s="32">
        <f t="shared" si="0"/>
        <v>3</v>
      </c>
      <c r="C13" s="32">
        <f t="shared" si="1"/>
        <v>2</v>
      </c>
      <c r="D13" s="31" t="e" cm="1">
        <f t="array" ref="D13">INDEX('Subj-Map2-1'!$I$7:$K$100,1+B13,C13)</f>
        <v>#REF!</v>
      </c>
    </row>
    <row r="14" spans="1:5" x14ac:dyDescent="0.75">
      <c r="A14" s="32">
        <v>12</v>
      </c>
      <c r="B14" s="32">
        <f t="shared" si="0"/>
        <v>3</v>
      </c>
      <c r="C14" s="32">
        <f t="shared" si="1"/>
        <v>3</v>
      </c>
      <c r="D14" s="31" t="str" cm="1">
        <f t="array" ref="D14">INDEX('Subj-Map2-1'!$I$7:$K$100,1+B14,C14)</f>
        <v/>
      </c>
    </row>
    <row r="15" spans="1:5" x14ac:dyDescent="0.75">
      <c r="A15" s="32">
        <v>13</v>
      </c>
      <c r="B15" s="32">
        <f t="shared" si="0"/>
        <v>4</v>
      </c>
      <c r="C15" s="32">
        <f t="shared" si="1"/>
        <v>1</v>
      </c>
      <c r="D15" s="31" t="e" cm="1">
        <f t="array" ref="D15">INDEX('Subj-Map2-1'!$I$7:$K$100,1+B15,C15)</f>
        <v>#REF!</v>
      </c>
    </row>
    <row r="16" spans="1:5" x14ac:dyDescent="0.75">
      <c r="A16" s="32">
        <v>14</v>
      </c>
      <c r="B16" s="32">
        <f t="shared" si="0"/>
        <v>4</v>
      </c>
      <c r="C16" s="32">
        <f t="shared" si="1"/>
        <v>2</v>
      </c>
      <c r="D16" s="31" t="e" cm="1">
        <f t="array" ref="D16">INDEX('Subj-Map2-1'!$I$7:$K$100,1+B16,C16)</f>
        <v>#REF!</v>
      </c>
    </row>
    <row r="17" spans="1:4" x14ac:dyDescent="0.75">
      <c r="A17" s="32">
        <v>15</v>
      </c>
      <c r="B17" s="32">
        <f t="shared" si="0"/>
        <v>4</v>
      </c>
      <c r="C17" s="32">
        <f t="shared" si="1"/>
        <v>3</v>
      </c>
      <c r="D17" s="31" t="str" cm="1">
        <f t="array" ref="D17">INDEX('Subj-Map2-1'!$I$7:$K$100,1+B17,C17)</f>
        <v/>
      </c>
    </row>
    <row r="18" spans="1:4" x14ac:dyDescent="0.75">
      <c r="A18" s="32">
        <v>16</v>
      </c>
      <c r="B18" s="32">
        <f t="shared" si="0"/>
        <v>5</v>
      </c>
      <c r="C18" s="32">
        <f t="shared" si="1"/>
        <v>1</v>
      </c>
      <c r="D18" s="31" t="e" cm="1">
        <f t="array" ref="D18">INDEX('Subj-Map2-1'!$I$7:$K$100,1+B18,C18)</f>
        <v>#REF!</v>
      </c>
    </row>
    <row r="19" spans="1:4" x14ac:dyDescent="0.75">
      <c r="A19" s="32">
        <v>17</v>
      </c>
      <c r="B19" s="32">
        <f t="shared" si="0"/>
        <v>5</v>
      </c>
      <c r="C19" s="32">
        <f t="shared" si="1"/>
        <v>2</v>
      </c>
      <c r="D19" s="31" t="e" cm="1">
        <f t="array" ref="D19">INDEX('Subj-Map2-1'!$I$7:$K$100,1+B19,C19)</f>
        <v>#REF!</v>
      </c>
    </row>
    <row r="20" spans="1:4" x14ac:dyDescent="0.75">
      <c r="A20" s="32">
        <v>18</v>
      </c>
      <c r="B20" s="32">
        <f t="shared" si="0"/>
        <v>5</v>
      </c>
      <c r="C20" s="32">
        <f t="shared" si="1"/>
        <v>3</v>
      </c>
      <c r="D20" s="31" t="str" cm="1">
        <f t="array" ref="D20">INDEX('Subj-Map2-1'!$I$7:$K$100,1+B20,C20)</f>
        <v/>
      </c>
    </row>
    <row r="21" spans="1:4" x14ac:dyDescent="0.75">
      <c r="A21" s="32">
        <v>19</v>
      </c>
      <c r="B21" s="32">
        <f t="shared" si="0"/>
        <v>6</v>
      </c>
      <c r="C21" s="32">
        <f t="shared" si="1"/>
        <v>1</v>
      </c>
      <c r="D21" s="31" t="str" cm="1">
        <f t="array" ref="D21">INDEX('Subj-Map2-1'!$I$7:$K$100,1+B21,C21)</f>
        <v/>
      </c>
    </row>
    <row r="22" spans="1:4" x14ac:dyDescent="0.75">
      <c r="A22" s="32">
        <v>20</v>
      </c>
      <c r="B22" s="32">
        <f t="shared" si="0"/>
        <v>6</v>
      </c>
      <c r="C22" s="32">
        <f t="shared" si="1"/>
        <v>2</v>
      </c>
      <c r="D22" s="31" t="str" cm="1">
        <f t="array" ref="D22">INDEX('Subj-Map2-1'!$I$7:$K$100,1+B22,C22)</f>
        <v/>
      </c>
    </row>
    <row r="23" spans="1:4" x14ac:dyDescent="0.75">
      <c r="A23" s="32">
        <v>21</v>
      </c>
      <c r="B23" s="32">
        <f t="shared" si="0"/>
        <v>6</v>
      </c>
      <c r="C23" s="32">
        <f t="shared" si="1"/>
        <v>3</v>
      </c>
      <c r="D23" s="31" t="str" cm="1">
        <f t="array" ref="D23">INDEX('Subj-Map2-1'!$I$7:$K$100,1+B23,C23)</f>
        <v/>
      </c>
    </row>
    <row r="24" spans="1:4" x14ac:dyDescent="0.75">
      <c r="A24" s="32">
        <v>22</v>
      </c>
      <c r="B24" s="32">
        <f t="shared" si="0"/>
        <v>7</v>
      </c>
      <c r="C24" s="32">
        <f t="shared" si="1"/>
        <v>1</v>
      </c>
      <c r="D24" s="31" t="e" cm="1">
        <f t="array" ref="D24">INDEX('Subj-Map2-1'!$I$7:$K$100,1+B24,C24)</f>
        <v>#REF!</v>
      </c>
    </row>
    <row r="25" spans="1:4" x14ac:dyDescent="0.75">
      <c r="A25" s="32">
        <v>23</v>
      </c>
      <c r="B25" s="32">
        <f t="shared" si="0"/>
        <v>7</v>
      </c>
      <c r="C25" s="32">
        <f t="shared" si="1"/>
        <v>2</v>
      </c>
      <c r="D25" s="31" t="e" cm="1">
        <f t="array" ref="D25">INDEX('Subj-Map2-1'!$I$7:$K$100,1+B25,C25)</f>
        <v>#REF!</v>
      </c>
    </row>
    <row r="26" spans="1:4" x14ac:dyDescent="0.75">
      <c r="A26" s="32">
        <v>24</v>
      </c>
      <c r="B26" s="32">
        <f t="shared" si="0"/>
        <v>7</v>
      </c>
      <c r="C26" s="32">
        <f t="shared" si="1"/>
        <v>3</v>
      </c>
      <c r="D26" s="31" t="str" cm="1">
        <f t="array" ref="D26">INDEX('Subj-Map2-1'!$I$7:$K$100,1+B26,C26)</f>
        <v/>
      </c>
    </row>
    <row r="27" spans="1:4" x14ac:dyDescent="0.75">
      <c r="A27" s="32">
        <v>25</v>
      </c>
      <c r="B27" s="32">
        <f t="shared" si="0"/>
        <v>8</v>
      </c>
      <c r="C27" s="32">
        <f t="shared" si="1"/>
        <v>1</v>
      </c>
      <c r="D27" s="31" t="e" cm="1">
        <f t="array" ref="D27">INDEX('Subj-Map2-1'!$I$7:$K$100,1+B27,C27)</f>
        <v>#REF!</v>
      </c>
    </row>
    <row r="28" spans="1:4" x14ac:dyDescent="0.75">
      <c r="A28" s="32">
        <v>26</v>
      </c>
      <c r="B28" s="32">
        <f t="shared" si="0"/>
        <v>8</v>
      </c>
      <c r="C28" s="32">
        <f t="shared" si="1"/>
        <v>2</v>
      </c>
      <c r="D28" s="31" t="e" cm="1">
        <f t="array" ref="D28">INDEX('Subj-Map2-1'!$I$7:$K$100,1+B28,C28)</f>
        <v>#REF!</v>
      </c>
    </row>
    <row r="29" spans="1:4" x14ac:dyDescent="0.75">
      <c r="A29" s="32">
        <v>27</v>
      </c>
      <c r="B29" s="32">
        <f t="shared" si="0"/>
        <v>8</v>
      </c>
      <c r="C29" s="32">
        <f t="shared" si="1"/>
        <v>3</v>
      </c>
      <c r="D29" s="31" t="str" cm="1">
        <f t="array" ref="D29">INDEX('Subj-Map2-1'!$I$7:$K$100,1+B29,C29)</f>
        <v/>
      </c>
    </row>
    <row r="30" spans="1:4" x14ac:dyDescent="0.75">
      <c r="A30" s="32">
        <v>28</v>
      </c>
      <c r="B30" s="32">
        <f t="shared" si="0"/>
        <v>9</v>
      </c>
      <c r="C30" s="32">
        <f t="shared" si="1"/>
        <v>1</v>
      </c>
      <c r="D30" s="31" t="e" cm="1">
        <f t="array" ref="D30">INDEX('Subj-Map2-1'!$I$7:$K$100,1+B30,C30)</f>
        <v>#REF!</v>
      </c>
    </row>
    <row r="31" spans="1:4" x14ac:dyDescent="0.75">
      <c r="A31" s="32">
        <v>29</v>
      </c>
      <c r="B31" s="32">
        <f t="shared" si="0"/>
        <v>9</v>
      </c>
      <c r="C31" s="32">
        <f t="shared" si="1"/>
        <v>2</v>
      </c>
      <c r="D31" s="31" t="e" cm="1">
        <f t="array" ref="D31">INDEX('Subj-Map2-1'!$I$7:$K$100,1+B31,C31)</f>
        <v>#REF!</v>
      </c>
    </row>
    <row r="32" spans="1:4" x14ac:dyDescent="0.75">
      <c r="A32" s="32">
        <v>30</v>
      </c>
      <c r="B32" s="32">
        <f t="shared" si="0"/>
        <v>9</v>
      </c>
      <c r="C32" s="32">
        <f t="shared" si="1"/>
        <v>3</v>
      </c>
      <c r="D32" s="31" t="str" cm="1">
        <f t="array" ref="D32">INDEX('Subj-Map2-1'!$I$7:$K$100,1+B32,C32)</f>
        <v/>
      </c>
    </row>
    <row r="33" spans="1:4" x14ac:dyDescent="0.75">
      <c r="A33" s="32">
        <v>31</v>
      </c>
      <c r="B33" s="32">
        <f t="shared" si="0"/>
        <v>10</v>
      </c>
      <c r="C33" s="32">
        <f t="shared" si="1"/>
        <v>1</v>
      </c>
      <c r="D33" s="31" t="e" cm="1">
        <f t="array" ref="D33">INDEX('Subj-Map2-1'!$I$7:$K$100,1+B33,C33)</f>
        <v>#REF!</v>
      </c>
    </row>
    <row r="34" spans="1:4" x14ac:dyDescent="0.75">
      <c r="A34" s="32">
        <v>32</v>
      </c>
      <c r="B34" s="32">
        <f t="shared" si="0"/>
        <v>10</v>
      </c>
      <c r="C34" s="32">
        <f t="shared" si="1"/>
        <v>2</v>
      </c>
      <c r="D34" s="31" t="e" cm="1">
        <f t="array" ref="D34">INDEX('Subj-Map2-1'!$I$7:$K$100,1+B34,C34)</f>
        <v>#REF!</v>
      </c>
    </row>
    <row r="35" spans="1:4" x14ac:dyDescent="0.75">
      <c r="A35" s="32">
        <v>33</v>
      </c>
      <c r="B35" s="32">
        <f t="shared" si="0"/>
        <v>10</v>
      </c>
      <c r="C35" s="32">
        <f t="shared" si="1"/>
        <v>3</v>
      </c>
      <c r="D35" s="31" t="str" cm="1">
        <f t="array" ref="D35">INDEX('Subj-Map2-1'!$I$7:$K$100,1+B35,C35)</f>
        <v/>
      </c>
    </row>
    <row r="36" spans="1:4" x14ac:dyDescent="0.75">
      <c r="A36" s="32">
        <v>34</v>
      </c>
      <c r="B36" s="32">
        <f t="shared" si="0"/>
        <v>11</v>
      </c>
      <c r="C36" s="32">
        <f t="shared" si="1"/>
        <v>1</v>
      </c>
      <c r="D36" s="31" t="e" cm="1">
        <f t="array" ref="D36">INDEX('Subj-Map2-1'!$I$7:$K$100,1+B36,C36)</f>
        <v>#REF!</v>
      </c>
    </row>
    <row r="37" spans="1:4" x14ac:dyDescent="0.75">
      <c r="A37" s="32">
        <v>35</v>
      </c>
      <c r="B37" s="32">
        <f t="shared" si="0"/>
        <v>11</v>
      </c>
      <c r="C37" s="32">
        <f t="shared" si="1"/>
        <v>2</v>
      </c>
      <c r="D37" s="31" t="e" cm="1">
        <f t="array" ref="D37">INDEX('Subj-Map2-1'!$I$7:$K$100,1+B37,C37)</f>
        <v>#REF!</v>
      </c>
    </row>
    <row r="38" spans="1:4" x14ac:dyDescent="0.75">
      <c r="A38" s="32">
        <v>36</v>
      </c>
      <c r="B38" s="32">
        <f t="shared" si="0"/>
        <v>11</v>
      </c>
      <c r="C38" s="32">
        <f t="shared" si="1"/>
        <v>3</v>
      </c>
      <c r="D38" s="31" t="str" cm="1">
        <f t="array" ref="D38">INDEX('Subj-Map2-1'!$I$7:$K$100,1+B38,C38)</f>
        <v/>
      </c>
    </row>
    <row r="39" spans="1:4" x14ac:dyDescent="0.75">
      <c r="A39" s="32">
        <v>37</v>
      </c>
      <c r="B39" s="32">
        <f t="shared" si="0"/>
        <v>12</v>
      </c>
      <c r="C39" s="32">
        <f t="shared" si="1"/>
        <v>1</v>
      </c>
      <c r="D39" s="31" t="e" cm="1">
        <f t="array" ref="D39">INDEX('Subj-Map2-1'!$I$7:$K$100,1+B39,C39)</f>
        <v>#REF!</v>
      </c>
    </row>
    <row r="40" spans="1:4" x14ac:dyDescent="0.75">
      <c r="A40" s="32">
        <v>38</v>
      </c>
      <c r="B40" s="32">
        <f t="shared" si="0"/>
        <v>12</v>
      </c>
      <c r="C40" s="32">
        <f t="shared" si="1"/>
        <v>2</v>
      </c>
      <c r="D40" s="31" t="e" cm="1">
        <f t="array" ref="D40">INDEX('Subj-Map2-1'!$I$7:$K$100,1+B40,C40)</f>
        <v>#REF!</v>
      </c>
    </row>
    <row r="41" spans="1:4" x14ac:dyDescent="0.75">
      <c r="A41" s="32">
        <v>39</v>
      </c>
      <c r="B41" s="32">
        <f t="shared" si="0"/>
        <v>12</v>
      </c>
      <c r="C41" s="32">
        <f t="shared" si="1"/>
        <v>3</v>
      </c>
      <c r="D41" s="31" t="str" cm="1">
        <f t="array" ref="D41">INDEX('Subj-Map2-1'!$I$7:$K$100,1+B41,C41)</f>
        <v/>
      </c>
    </row>
    <row r="42" spans="1:4" x14ac:dyDescent="0.75">
      <c r="A42" s="32">
        <v>40</v>
      </c>
      <c r="B42" s="32">
        <f t="shared" si="0"/>
        <v>13</v>
      </c>
      <c r="C42" s="32">
        <f t="shared" si="1"/>
        <v>1</v>
      </c>
      <c r="D42" s="31" t="e" cm="1">
        <f t="array" ref="D42">INDEX('Subj-Map2-1'!$I$7:$K$100,1+B42,C42)</f>
        <v>#REF!</v>
      </c>
    </row>
    <row r="43" spans="1:4" x14ac:dyDescent="0.75">
      <c r="A43" s="32">
        <v>41</v>
      </c>
      <c r="B43" s="32">
        <f t="shared" si="0"/>
        <v>13</v>
      </c>
      <c r="C43" s="32">
        <f t="shared" si="1"/>
        <v>2</v>
      </c>
      <c r="D43" s="31" t="e" cm="1">
        <f t="array" ref="D43">INDEX('Subj-Map2-1'!$I$7:$K$100,1+B43,C43)</f>
        <v>#REF!</v>
      </c>
    </row>
    <row r="44" spans="1:4" x14ac:dyDescent="0.75">
      <c r="A44" s="32">
        <v>42</v>
      </c>
      <c r="B44" s="32">
        <f t="shared" si="0"/>
        <v>13</v>
      </c>
      <c r="C44" s="32">
        <f t="shared" si="1"/>
        <v>3</v>
      </c>
      <c r="D44" s="31" t="str" cm="1">
        <f t="array" ref="D44">INDEX('Subj-Map2-1'!$I$7:$K$100,1+B44,C44)</f>
        <v/>
      </c>
    </row>
    <row r="45" spans="1:4" x14ac:dyDescent="0.75">
      <c r="A45" s="32">
        <v>43</v>
      </c>
      <c r="B45" s="32">
        <f t="shared" si="0"/>
        <v>14</v>
      </c>
      <c r="C45" s="32">
        <f t="shared" si="1"/>
        <v>1</v>
      </c>
      <c r="D45" s="31" t="str" cm="1">
        <f t="array" ref="D45">INDEX('Subj-Map2-1'!$I$7:$K$100,1+B45,C45)</f>
        <v/>
      </c>
    </row>
    <row r="46" spans="1:4" x14ac:dyDescent="0.75">
      <c r="A46" s="32">
        <v>44</v>
      </c>
      <c r="B46" s="32">
        <f t="shared" si="0"/>
        <v>14</v>
      </c>
      <c r="C46" s="32">
        <f t="shared" si="1"/>
        <v>2</v>
      </c>
      <c r="D46" s="31" t="str" cm="1">
        <f t="array" ref="D46">INDEX('Subj-Map2-1'!$I$7:$K$100,1+B46,C46)</f>
        <v/>
      </c>
    </row>
    <row r="47" spans="1:4" x14ac:dyDescent="0.75">
      <c r="A47" s="32">
        <v>45</v>
      </c>
      <c r="B47" s="32">
        <f t="shared" si="0"/>
        <v>14</v>
      </c>
      <c r="C47" s="32">
        <f t="shared" si="1"/>
        <v>3</v>
      </c>
      <c r="D47" s="31" t="str" cm="1">
        <f t="array" ref="D47">INDEX('Subj-Map2-1'!$I$7:$K$100,1+B47,C47)</f>
        <v/>
      </c>
    </row>
    <row r="48" spans="1:4" x14ac:dyDescent="0.75">
      <c r="A48" s="32">
        <v>46</v>
      </c>
      <c r="B48" s="32">
        <f t="shared" si="0"/>
        <v>15</v>
      </c>
      <c r="C48" s="32">
        <f t="shared" si="1"/>
        <v>1</v>
      </c>
      <c r="D48" s="31" t="e" cm="1">
        <f t="array" ref="D48">INDEX('Subj-Map2-1'!$I$7:$K$100,1+B48,C48)</f>
        <v>#REF!</v>
      </c>
    </row>
    <row r="49" spans="1:7" x14ac:dyDescent="0.75">
      <c r="A49" s="32">
        <v>47</v>
      </c>
      <c r="B49" s="32">
        <f t="shared" si="0"/>
        <v>15</v>
      </c>
      <c r="C49" s="32">
        <f t="shared" si="1"/>
        <v>2</v>
      </c>
      <c r="D49" s="31" t="e" cm="1">
        <f t="array" ref="D49">INDEX('Subj-Map2-1'!$I$7:$K$100,1+B49,C49)</f>
        <v>#REF!</v>
      </c>
    </row>
    <row r="50" spans="1:7" x14ac:dyDescent="0.75">
      <c r="A50" s="32">
        <v>48</v>
      </c>
      <c r="B50" s="32">
        <f t="shared" si="0"/>
        <v>15</v>
      </c>
      <c r="C50" s="32">
        <f t="shared" si="1"/>
        <v>3</v>
      </c>
      <c r="D50" s="31" t="str" cm="1">
        <f t="array" ref="D50">INDEX('Subj-Map2-1'!$I$7:$K$100,1+B50,C50)</f>
        <v/>
      </c>
    </row>
    <row r="51" spans="1:7" x14ac:dyDescent="0.75">
      <c r="A51" s="32">
        <v>49</v>
      </c>
      <c r="B51" s="32">
        <f t="shared" si="0"/>
        <v>16</v>
      </c>
      <c r="C51" s="32">
        <f t="shared" si="1"/>
        <v>1</v>
      </c>
      <c r="D51" s="31" t="e" cm="1">
        <f t="array" ref="D51">INDEX('Subj-Map2-1'!$I$7:$K$100,1+B51,C51)</f>
        <v>#REF!</v>
      </c>
    </row>
    <row r="52" spans="1:7" x14ac:dyDescent="0.75">
      <c r="A52" s="32">
        <v>50</v>
      </c>
      <c r="B52" s="32">
        <f t="shared" si="0"/>
        <v>16</v>
      </c>
      <c r="C52" s="32">
        <f t="shared" si="1"/>
        <v>2</v>
      </c>
      <c r="D52" s="31" t="e" cm="1">
        <f t="array" ref="D52">INDEX('Subj-Map2-1'!$I$7:$K$100,1+B52,C52)</f>
        <v>#REF!</v>
      </c>
    </row>
    <row r="53" spans="1:7" x14ac:dyDescent="0.75">
      <c r="A53" s="32">
        <v>51</v>
      </c>
      <c r="B53" s="32">
        <f t="shared" si="0"/>
        <v>16</v>
      </c>
      <c r="C53" s="32">
        <f t="shared" si="1"/>
        <v>3</v>
      </c>
      <c r="D53" s="31" t="str" cm="1">
        <f t="array" ref="D53">INDEX('Subj-Map2-1'!$I$7:$K$100,1+B53,C53)</f>
        <v/>
      </c>
    </row>
    <row r="54" spans="1:7" x14ac:dyDescent="0.75">
      <c r="A54" s="32">
        <v>52</v>
      </c>
      <c r="B54" s="32">
        <f t="shared" si="0"/>
        <v>17</v>
      </c>
      <c r="C54" s="32">
        <f t="shared" si="1"/>
        <v>1</v>
      </c>
      <c r="D54" s="31" t="str" cm="1">
        <f t="array" ref="D54">INDEX('Subj-Map2-1'!$I$7:$K$100,1+B54,C54)</f>
        <v/>
      </c>
    </row>
    <row r="55" spans="1:7" x14ac:dyDescent="0.75">
      <c r="A55" s="32">
        <v>53</v>
      </c>
      <c r="B55" s="32">
        <f t="shared" si="0"/>
        <v>17</v>
      </c>
      <c r="C55" s="32">
        <f t="shared" si="1"/>
        <v>2</v>
      </c>
      <c r="D55" s="31" t="str" cm="1">
        <f t="array" ref="D55">INDEX('Subj-Map2-1'!$I$7:$K$100,1+B55,C55)</f>
        <v/>
      </c>
      <c r="G55" s="16"/>
    </row>
    <row r="56" spans="1:7" x14ac:dyDescent="0.75">
      <c r="A56" s="32">
        <v>54</v>
      </c>
      <c r="B56" s="32">
        <f t="shared" si="0"/>
        <v>17</v>
      </c>
      <c r="C56" s="32">
        <f t="shared" si="1"/>
        <v>3</v>
      </c>
      <c r="D56" s="31" t="str" cm="1">
        <f t="array" ref="D56">INDEX('Subj-Map2-1'!$I$7:$K$100,1+B56,C56)</f>
        <v/>
      </c>
    </row>
    <row r="57" spans="1:7" x14ac:dyDescent="0.75">
      <c r="A57" s="32">
        <v>55</v>
      </c>
      <c r="B57" s="32">
        <f t="shared" si="0"/>
        <v>18</v>
      </c>
      <c r="C57" s="32">
        <f t="shared" si="1"/>
        <v>1</v>
      </c>
      <c r="D57" s="31" t="str" cm="1">
        <f t="array" ref="D57">INDEX('Subj-Map2-1'!$I$7:$K$100,1+B57,C57)</f>
        <v/>
      </c>
    </row>
    <row r="58" spans="1:7" x14ac:dyDescent="0.75">
      <c r="A58" s="32">
        <v>56</v>
      </c>
      <c r="B58" s="32">
        <f t="shared" si="0"/>
        <v>18</v>
      </c>
      <c r="C58" s="32">
        <f t="shared" si="1"/>
        <v>2</v>
      </c>
      <c r="D58" s="31" t="str" cm="1">
        <f t="array" ref="D58">INDEX('Subj-Map2-1'!$I$7:$K$100,1+B58,C58)</f>
        <v/>
      </c>
    </row>
    <row r="59" spans="1:7" x14ac:dyDescent="0.75">
      <c r="A59" s="32">
        <v>57</v>
      </c>
      <c r="B59" s="32">
        <f t="shared" si="0"/>
        <v>18</v>
      </c>
      <c r="C59" s="32">
        <f t="shared" si="1"/>
        <v>3</v>
      </c>
      <c r="D59" s="31" t="str" cm="1">
        <f t="array" ref="D59">INDEX('Subj-Map2-1'!$I$7:$K$100,1+B59,C59)</f>
        <v/>
      </c>
    </row>
    <row r="60" spans="1:7" x14ac:dyDescent="0.75">
      <c r="A60" s="32">
        <v>58</v>
      </c>
      <c r="B60" s="32">
        <f t="shared" si="0"/>
        <v>19</v>
      </c>
      <c r="C60" s="32">
        <f t="shared" si="1"/>
        <v>1</v>
      </c>
      <c r="D60" s="31" t="str" cm="1">
        <f t="array" ref="D60">INDEX('Subj-Map2-1'!$I$7:$K$100,1+B60,C60)</f>
        <v/>
      </c>
    </row>
    <row r="61" spans="1:7" x14ac:dyDescent="0.75">
      <c r="A61" s="32">
        <v>59</v>
      </c>
      <c r="B61" s="32">
        <f t="shared" si="0"/>
        <v>19</v>
      </c>
      <c r="C61" s="32">
        <f t="shared" si="1"/>
        <v>2</v>
      </c>
      <c r="D61" s="31" t="str" cm="1">
        <f t="array" ref="D61">INDEX('Subj-Map2-1'!$I$7:$K$100,1+B61,C61)</f>
        <v/>
      </c>
    </row>
    <row r="62" spans="1:7" x14ac:dyDescent="0.75">
      <c r="A62" s="32">
        <v>60</v>
      </c>
      <c r="B62" s="32">
        <f t="shared" si="0"/>
        <v>19</v>
      </c>
      <c r="C62" s="32">
        <f t="shared" si="1"/>
        <v>3</v>
      </c>
      <c r="D62" s="31" t="str" cm="1">
        <f t="array" ref="D62">INDEX('Subj-Map2-1'!$I$7:$K$100,1+B62,C62)</f>
        <v/>
      </c>
    </row>
    <row r="63" spans="1:7" x14ac:dyDescent="0.75">
      <c r="A63" s="32">
        <v>61</v>
      </c>
      <c r="B63" s="32">
        <f t="shared" si="0"/>
        <v>20</v>
      </c>
      <c r="C63" s="32">
        <f t="shared" si="1"/>
        <v>1</v>
      </c>
      <c r="D63" s="31" t="str" cm="1">
        <f t="array" ref="D63">INDEX('Subj-Map2-1'!$I$7:$K$100,1+B63,C63)</f>
        <v/>
      </c>
    </row>
    <row r="64" spans="1:7" x14ac:dyDescent="0.75">
      <c r="A64" s="32">
        <v>62</v>
      </c>
      <c r="B64" s="32">
        <f t="shared" si="0"/>
        <v>20</v>
      </c>
      <c r="C64" s="32">
        <f t="shared" si="1"/>
        <v>2</v>
      </c>
      <c r="D64" s="31" t="str" cm="1">
        <f t="array" ref="D64">INDEX('Subj-Map2-1'!$I$7:$K$100,1+B64,C64)</f>
        <v/>
      </c>
    </row>
    <row r="65" spans="1:4" x14ac:dyDescent="0.75">
      <c r="A65" s="32">
        <v>63</v>
      </c>
      <c r="B65" s="32">
        <f t="shared" si="0"/>
        <v>20</v>
      </c>
      <c r="C65" s="32">
        <f t="shared" si="1"/>
        <v>3</v>
      </c>
      <c r="D65" s="31" t="str" cm="1">
        <f t="array" ref="D65">INDEX('Subj-Map2-1'!$I$7:$K$100,1+B65,C65)</f>
        <v/>
      </c>
    </row>
    <row r="66" spans="1:4" x14ac:dyDescent="0.75">
      <c r="A66" s="32">
        <v>64</v>
      </c>
      <c r="B66" s="32">
        <f t="shared" si="0"/>
        <v>21</v>
      </c>
      <c r="C66" s="32">
        <f t="shared" si="1"/>
        <v>1</v>
      </c>
      <c r="D66" s="31" t="str" cm="1">
        <f t="array" ref="D66">INDEX('Subj-Map2-1'!$I$7:$K$100,1+B66,C66)</f>
        <v/>
      </c>
    </row>
    <row r="67" spans="1:4" x14ac:dyDescent="0.75">
      <c r="A67" s="32">
        <v>65</v>
      </c>
      <c r="B67" s="32">
        <f t="shared" si="0"/>
        <v>21</v>
      </c>
      <c r="C67" s="32">
        <f t="shared" si="1"/>
        <v>2</v>
      </c>
      <c r="D67" s="31" t="str" cm="1">
        <f t="array" ref="D67">INDEX('Subj-Map2-1'!$I$7:$K$100,1+B67,C67)</f>
        <v/>
      </c>
    </row>
    <row r="68" spans="1:4" x14ac:dyDescent="0.75">
      <c r="A68" s="32">
        <v>66</v>
      </c>
      <c r="B68" s="32">
        <f t="shared" ref="B68:B131" si="2">IF(MOD(A68,3)=0,A68/3-1,INT(A68/3))</f>
        <v>21</v>
      </c>
      <c r="C68" s="32">
        <f t="shared" ref="C68:C131" si="3">IF(MOD(A68,3)=0,3,MOD(A68,3))</f>
        <v>3</v>
      </c>
      <c r="D68" s="31" t="str" cm="1">
        <f t="array" ref="D68">INDEX('Subj-Map2-1'!$I$7:$K$100,1+B68,C68)</f>
        <v/>
      </c>
    </row>
    <row r="69" spans="1:4" x14ac:dyDescent="0.75">
      <c r="A69" s="32">
        <v>67</v>
      </c>
      <c r="B69" s="32">
        <f t="shared" si="2"/>
        <v>22</v>
      </c>
      <c r="C69" s="32">
        <f t="shared" si="3"/>
        <v>1</v>
      </c>
      <c r="D69" s="31" t="str" cm="1">
        <f t="array" ref="D69">INDEX('Subj-Map2-1'!$I$7:$K$100,1+B69,C69)</f>
        <v/>
      </c>
    </row>
    <row r="70" spans="1:4" x14ac:dyDescent="0.75">
      <c r="A70" s="32">
        <v>68</v>
      </c>
      <c r="B70" s="32">
        <f t="shared" si="2"/>
        <v>22</v>
      </c>
      <c r="C70" s="32">
        <f t="shared" si="3"/>
        <v>2</v>
      </c>
      <c r="D70" s="31" t="str" cm="1">
        <f t="array" ref="D70">INDEX('Subj-Map2-1'!$I$7:$K$100,1+B70,C70)</f>
        <v/>
      </c>
    </row>
    <row r="71" spans="1:4" x14ac:dyDescent="0.75">
      <c r="A71" s="32">
        <v>69</v>
      </c>
      <c r="B71" s="32">
        <f t="shared" si="2"/>
        <v>22</v>
      </c>
      <c r="C71" s="32">
        <f t="shared" si="3"/>
        <v>3</v>
      </c>
      <c r="D71" s="31" t="str" cm="1">
        <f t="array" ref="D71">INDEX('Subj-Map2-1'!$I$7:$K$100,1+B71,C71)</f>
        <v/>
      </c>
    </row>
    <row r="72" spans="1:4" x14ac:dyDescent="0.75">
      <c r="A72" s="32">
        <v>70</v>
      </c>
      <c r="B72" s="32">
        <f t="shared" si="2"/>
        <v>23</v>
      </c>
      <c r="C72" s="32">
        <f t="shared" si="3"/>
        <v>1</v>
      </c>
      <c r="D72" s="31" t="str" cm="1">
        <f t="array" ref="D72">INDEX('Subj-Map2-1'!$I$7:$K$100,1+B72,C72)</f>
        <v/>
      </c>
    </row>
    <row r="73" spans="1:4" x14ac:dyDescent="0.75">
      <c r="A73" s="32">
        <v>71</v>
      </c>
      <c r="B73" s="32">
        <f t="shared" si="2"/>
        <v>23</v>
      </c>
      <c r="C73" s="32">
        <f t="shared" si="3"/>
        <v>2</v>
      </c>
      <c r="D73" s="31" t="str" cm="1">
        <f t="array" ref="D73">INDEX('Subj-Map2-1'!$I$7:$K$100,1+B73,C73)</f>
        <v/>
      </c>
    </row>
    <row r="74" spans="1:4" x14ac:dyDescent="0.75">
      <c r="A74" s="32">
        <v>72</v>
      </c>
      <c r="B74" s="32">
        <f t="shared" si="2"/>
        <v>23</v>
      </c>
      <c r="C74" s="32">
        <f t="shared" si="3"/>
        <v>3</v>
      </c>
      <c r="D74" s="31" t="str" cm="1">
        <f t="array" ref="D74">INDEX('Subj-Map2-1'!$I$7:$K$100,1+B74,C74)</f>
        <v/>
      </c>
    </row>
    <row r="75" spans="1:4" x14ac:dyDescent="0.75">
      <c r="A75" s="32">
        <v>73</v>
      </c>
      <c r="B75" s="32">
        <f t="shared" si="2"/>
        <v>24</v>
      </c>
      <c r="C75" s="32">
        <f t="shared" si="3"/>
        <v>1</v>
      </c>
      <c r="D75" s="31" t="str" cm="1">
        <f t="array" ref="D75">INDEX('Subj-Map2-1'!$I$7:$K$100,1+B75,C75)</f>
        <v/>
      </c>
    </row>
    <row r="76" spans="1:4" x14ac:dyDescent="0.75">
      <c r="A76" s="32">
        <v>74</v>
      </c>
      <c r="B76" s="32">
        <f t="shared" si="2"/>
        <v>24</v>
      </c>
      <c r="C76" s="32">
        <f t="shared" si="3"/>
        <v>2</v>
      </c>
      <c r="D76" s="31" t="str" cm="1">
        <f t="array" ref="D76">INDEX('Subj-Map2-1'!$I$7:$K$100,1+B76,C76)</f>
        <v/>
      </c>
    </row>
    <row r="77" spans="1:4" x14ac:dyDescent="0.75">
      <c r="A77" s="32">
        <v>75</v>
      </c>
      <c r="B77" s="32">
        <f t="shared" si="2"/>
        <v>24</v>
      </c>
      <c r="C77" s="32">
        <f t="shared" si="3"/>
        <v>3</v>
      </c>
      <c r="D77" s="31" t="str" cm="1">
        <f t="array" ref="D77">INDEX('Subj-Map2-1'!$I$7:$K$100,1+B77,C77)</f>
        <v/>
      </c>
    </row>
    <row r="78" spans="1:4" x14ac:dyDescent="0.75">
      <c r="A78" s="32">
        <v>76</v>
      </c>
      <c r="B78" s="32">
        <f t="shared" si="2"/>
        <v>25</v>
      </c>
      <c r="C78" s="32">
        <f t="shared" si="3"/>
        <v>1</v>
      </c>
      <c r="D78" s="31" t="str" cm="1">
        <f t="array" ref="D78">INDEX('Subj-Map2-1'!$I$7:$K$100,1+B78,C78)</f>
        <v/>
      </c>
    </row>
    <row r="79" spans="1:4" x14ac:dyDescent="0.75">
      <c r="A79" s="32">
        <v>77</v>
      </c>
      <c r="B79" s="32">
        <f t="shared" si="2"/>
        <v>25</v>
      </c>
      <c r="C79" s="32">
        <f t="shared" si="3"/>
        <v>2</v>
      </c>
      <c r="D79" s="31" t="str" cm="1">
        <f t="array" ref="D79">INDEX('Subj-Map2-1'!$I$7:$K$100,1+B79,C79)</f>
        <v/>
      </c>
    </row>
    <row r="80" spans="1:4" x14ac:dyDescent="0.75">
      <c r="A80" s="32">
        <v>78</v>
      </c>
      <c r="B80" s="32">
        <f t="shared" si="2"/>
        <v>25</v>
      </c>
      <c r="C80" s="32">
        <f t="shared" si="3"/>
        <v>3</v>
      </c>
      <c r="D80" s="31" t="str" cm="1">
        <f t="array" ref="D80">INDEX('Subj-Map2-1'!$I$7:$K$100,1+B80,C80)</f>
        <v/>
      </c>
    </row>
    <row r="81" spans="1:4" x14ac:dyDescent="0.75">
      <c r="A81" s="32">
        <v>79</v>
      </c>
      <c r="B81" s="32">
        <f t="shared" si="2"/>
        <v>26</v>
      </c>
      <c r="C81" s="32">
        <f t="shared" si="3"/>
        <v>1</v>
      </c>
      <c r="D81" s="31" t="str" cm="1">
        <f t="array" ref="D81">INDEX('Subj-Map2-1'!$I$7:$K$100,1+B81,C81)</f>
        <v/>
      </c>
    </row>
    <row r="82" spans="1:4" x14ac:dyDescent="0.75">
      <c r="A82" s="32">
        <v>80</v>
      </c>
      <c r="B82" s="32">
        <f t="shared" si="2"/>
        <v>26</v>
      </c>
      <c r="C82" s="32">
        <f t="shared" si="3"/>
        <v>2</v>
      </c>
      <c r="D82" s="31" t="str" cm="1">
        <f t="array" ref="D82">INDEX('Subj-Map2-1'!$I$7:$K$100,1+B82,C82)</f>
        <v/>
      </c>
    </row>
    <row r="83" spans="1:4" x14ac:dyDescent="0.75">
      <c r="A83" s="32">
        <v>81</v>
      </c>
      <c r="B83" s="32">
        <f t="shared" si="2"/>
        <v>26</v>
      </c>
      <c r="C83" s="32">
        <f t="shared" si="3"/>
        <v>3</v>
      </c>
      <c r="D83" s="31" t="str" cm="1">
        <f t="array" ref="D83">INDEX('Subj-Map2-1'!$I$7:$K$100,1+B83,C83)</f>
        <v/>
      </c>
    </row>
    <row r="84" spans="1:4" x14ac:dyDescent="0.75">
      <c r="A84" s="32">
        <v>82</v>
      </c>
      <c r="B84" s="32">
        <f t="shared" si="2"/>
        <v>27</v>
      </c>
      <c r="C84" s="32">
        <f t="shared" si="3"/>
        <v>1</v>
      </c>
      <c r="D84" s="31" t="str" cm="1">
        <f t="array" ref="D84">INDEX('Subj-Map2-1'!$I$7:$K$100,1+B84,C84)</f>
        <v/>
      </c>
    </row>
    <row r="85" spans="1:4" x14ac:dyDescent="0.75">
      <c r="A85" s="32">
        <v>83</v>
      </c>
      <c r="B85" s="32">
        <f t="shared" si="2"/>
        <v>27</v>
      </c>
      <c r="C85" s="32">
        <f t="shared" si="3"/>
        <v>2</v>
      </c>
      <c r="D85" s="31" t="str" cm="1">
        <f t="array" ref="D85">INDEX('Subj-Map2-1'!$I$7:$K$100,1+B85,C85)</f>
        <v/>
      </c>
    </row>
    <row r="86" spans="1:4" x14ac:dyDescent="0.75">
      <c r="A86" s="32">
        <v>84</v>
      </c>
      <c r="B86" s="32">
        <f t="shared" si="2"/>
        <v>27</v>
      </c>
      <c r="C86" s="32">
        <f t="shared" si="3"/>
        <v>3</v>
      </c>
      <c r="D86" s="31" t="str" cm="1">
        <f t="array" ref="D86">INDEX('Subj-Map2-1'!$I$7:$K$100,1+B86,C86)</f>
        <v/>
      </c>
    </row>
    <row r="87" spans="1:4" x14ac:dyDescent="0.75">
      <c r="A87" s="32">
        <v>85</v>
      </c>
      <c r="B87" s="32">
        <f t="shared" si="2"/>
        <v>28</v>
      </c>
      <c r="C87" s="32">
        <f t="shared" si="3"/>
        <v>1</v>
      </c>
      <c r="D87" s="31" t="str" cm="1">
        <f t="array" ref="D87">INDEX('Subj-Map2-1'!$I$7:$K$100,1+B87,C87)</f>
        <v/>
      </c>
    </row>
    <row r="88" spans="1:4" x14ac:dyDescent="0.75">
      <c r="A88" s="32">
        <v>86</v>
      </c>
      <c r="B88" s="32">
        <f t="shared" si="2"/>
        <v>28</v>
      </c>
      <c r="C88" s="32">
        <f t="shared" si="3"/>
        <v>2</v>
      </c>
      <c r="D88" s="31" t="str" cm="1">
        <f t="array" ref="D88">INDEX('Subj-Map2-1'!$I$7:$K$100,1+B88,C88)</f>
        <v/>
      </c>
    </row>
    <row r="89" spans="1:4" x14ac:dyDescent="0.75">
      <c r="A89" s="32">
        <v>87</v>
      </c>
      <c r="B89" s="32">
        <f t="shared" si="2"/>
        <v>28</v>
      </c>
      <c r="C89" s="32">
        <f t="shared" si="3"/>
        <v>3</v>
      </c>
      <c r="D89" s="31" t="str" cm="1">
        <f t="array" ref="D89">INDEX('Subj-Map2-1'!$I$7:$K$100,1+B89,C89)</f>
        <v/>
      </c>
    </row>
    <row r="90" spans="1:4" x14ac:dyDescent="0.75">
      <c r="A90" s="32">
        <v>88</v>
      </c>
      <c r="B90" s="32">
        <f t="shared" si="2"/>
        <v>29</v>
      </c>
      <c r="C90" s="32">
        <f t="shared" si="3"/>
        <v>1</v>
      </c>
      <c r="D90" s="31" t="str" cm="1">
        <f t="array" ref="D90">INDEX('Subj-Map2-1'!$I$7:$K$100,1+B90,C90)</f>
        <v/>
      </c>
    </row>
    <row r="91" spans="1:4" x14ac:dyDescent="0.75">
      <c r="A91" s="32">
        <v>89</v>
      </c>
      <c r="B91" s="32">
        <f t="shared" si="2"/>
        <v>29</v>
      </c>
      <c r="C91" s="32">
        <f t="shared" si="3"/>
        <v>2</v>
      </c>
      <c r="D91" s="31" t="str" cm="1">
        <f t="array" ref="D91">INDEX('Subj-Map2-1'!$I$7:$K$100,1+B91,C91)</f>
        <v/>
      </c>
    </row>
    <row r="92" spans="1:4" x14ac:dyDescent="0.75">
      <c r="A92" s="32">
        <v>90</v>
      </c>
      <c r="B92" s="32">
        <f t="shared" si="2"/>
        <v>29</v>
      </c>
      <c r="C92" s="32">
        <f t="shared" si="3"/>
        <v>3</v>
      </c>
      <c r="D92" s="31" t="str" cm="1">
        <f t="array" ref="D92">INDEX('Subj-Map2-1'!$I$7:$K$100,1+B92,C92)</f>
        <v/>
      </c>
    </row>
    <row r="93" spans="1:4" x14ac:dyDescent="0.75">
      <c r="A93" s="32">
        <v>91</v>
      </c>
      <c r="B93" s="32">
        <f t="shared" si="2"/>
        <v>30</v>
      </c>
      <c r="C93" s="32">
        <f t="shared" si="3"/>
        <v>1</v>
      </c>
      <c r="D93" s="31" t="str" cm="1">
        <f t="array" ref="D93">INDEX('Subj-Map2-1'!$I$7:$K$100,1+B93,C93)</f>
        <v/>
      </c>
    </row>
    <row r="94" spans="1:4" x14ac:dyDescent="0.75">
      <c r="A94" s="32">
        <v>92</v>
      </c>
      <c r="B94" s="32">
        <f t="shared" si="2"/>
        <v>30</v>
      </c>
      <c r="C94" s="32">
        <f t="shared" si="3"/>
        <v>2</v>
      </c>
      <c r="D94" s="31" t="str" cm="1">
        <f t="array" ref="D94">INDEX('Subj-Map2-1'!$I$7:$K$100,1+B94,C94)</f>
        <v/>
      </c>
    </row>
    <row r="95" spans="1:4" x14ac:dyDescent="0.75">
      <c r="A95" s="32">
        <v>93</v>
      </c>
      <c r="B95" s="32">
        <f t="shared" si="2"/>
        <v>30</v>
      </c>
      <c r="C95" s="32">
        <f t="shared" si="3"/>
        <v>3</v>
      </c>
      <c r="D95" s="31" t="str" cm="1">
        <f t="array" ref="D95">INDEX('Subj-Map2-1'!$I$7:$K$100,1+B95,C95)</f>
        <v/>
      </c>
    </row>
    <row r="96" spans="1:4" x14ac:dyDescent="0.75">
      <c r="A96" s="32">
        <v>94</v>
      </c>
      <c r="B96" s="32">
        <f t="shared" si="2"/>
        <v>31</v>
      </c>
      <c r="C96" s="32">
        <f t="shared" si="3"/>
        <v>1</v>
      </c>
      <c r="D96" s="31" t="str" cm="1">
        <f t="array" ref="D96">INDEX('Subj-Map2-1'!$I$7:$K$100,1+B96,C96)</f>
        <v/>
      </c>
    </row>
    <row r="97" spans="1:4" x14ac:dyDescent="0.75">
      <c r="A97" s="32">
        <v>95</v>
      </c>
      <c r="B97" s="32">
        <f t="shared" si="2"/>
        <v>31</v>
      </c>
      <c r="C97" s="32">
        <f t="shared" si="3"/>
        <v>2</v>
      </c>
      <c r="D97" s="31" t="str" cm="1">
        <f t="array" ref="D97">INDEX('Subj-Map2-1'!$I$7:$K$100,1+B97,C97)</f>
        <v/>
      </c>
    </row>
    <row r="98" spans="1:4" x14ac:dyDescent="0.75">
      <c r="A98" s="32">
        <v>96</v>
      </c>
      <c r="B98" s="32">
        <f t="shared" si="2"/>
        <v>31</v>
      </c>
      <c r="C98" s="32">
        <f t="shared" si="3"/>
        <v>3</v>
      </c>
      <c r="D98" s="31" t="str" cm="1">
        <f t="array" ref="D98">INDEX('Subj-Map2-1'!$I$7:$K$100,1+B98,C98)</f>
        <v/>
      </c>
    </row>
    <row r="99" spans="1:4" x14ac:dyDescent="0.75">
      <c r="A99" s="32">
        <v>97</v>
      </c>
      <c r="B99" s="32">
        <f t="shared" si="2"/>
        <v>32</v>
      </c>
      <c r="C99" s="32">
        <f t="shared" si="3"/>
        <v>1</v>
      </c>
      <c r="D99" s="31" t="str" cm="1">
        <f t="array" ref="D99">INDEX('Subj-Map2-1'!$I$7:$K$100,1+B99,C99)</f>
        <v/>
      </c>
    </row>
    <row r="100" spans="1:4" x14ac:dyDescent="0.75">
      <c r="A100" s="32">
        <v>98</v>
      </c>
      <c r="B100" s="32">
        <f t="shared" si="2"/>
        <v>32</v>
      </c>
      <c r="C100" s="32">
        <f t="shared" si="3"/>
        <v>2</v>
      </c>
      <c r="D100" s="31" t="str" cm="1">
        <f t="array" ref="D100">INDEX('Subj-Map2-1'!$I$7:$K$100,1+B100,C100)</f>
        <v/>
      </c>
    </row>
    <row r="101" spans="1:4" x14ac:dyDescent="0.75">
      <c r="A101" s="32">
        <v>99</v>
      </c>
      <c r="B101" s="32">
        <f t="shared" si="2"/>
        <v>32</v>
      </c>
      <c r="C101" s="32">
        <f t="shared" si="3"/>
        <v>3</v>
      </c>
      <c r="D101" s="31" t="str" cm="1">
        <f t="array" ref="D101">INDEX('Subj-Map2-1'!$I$7:$K$100,1+B101,C101)</f>
        <v/>
      </c>
    </row>
    <row r="102" spans="1:4" x14ac:dyDescent="0.75">
      <c r="A102" s="32">
        <v>100</v>
      </c>
      <c r="B102" s="32">
        <f t="shared" si="2"/>
        <v>33</v>
      </c>
      <c r="C102" s="32">
        <f t="shared" si="3"/>
        <v>1</v>
      </c>
      <c r="D102" s="31" t="str" cm="1">
        <f t="array" ref="D102">INDEX('Subj-Map2-1'!$I$7:$K$100,1+B102,C102)</f>
        <v/>
      </c>
    </row>
    <row r="103" spans="1:4" x14ac:dyDescent="0.75">
      <c r="A103" s="32">
        <v>101</v>
      </c>
      <c r="B103" s="32">
        <f t="shared" si="2"/>
        <v>33</v>
      </c>
      <c r="C103" s="32">
        <f t="shared" si="3"/>
        <v>2</v>
      </c>
      <c r="D103" s="31" t="str" cm="1">
        <f t="array" ref="D103">INDEX('Subj-Map2-1'!$I$7:$K$100,1+B103,C103)</f>
        <v/>
      </c>
    </row>
    <row r="104" spans="1:4" x14ac:dyDescent="0.75">
      <c r="A104" s="32">
        <v>102</v>
      </c>
      <c r="B104" s="32">
        <f t="shared" si="2"/>
        <v>33</v>
      </c>
      <c r="C104" s="32">
        <f t="shared" si="3"/>
        <v>3</v>
      </c>
      <c r="D104" s="31" t="str" cm="1">
        <f t="array" ref="D104">INDEX('Subj-Map2-1'!$I$7:$K$100,1+B104,C104)</f>
        <v/>
      </c>
    </row>
    <row r="105" spans="1:4" x14ac:dyDescent="0.75">
      <c r="A105" s="32">
        <v>103</v>
      </c>
      <c r="B105" s="32">
        <f t="shared" si="2"/>
        <v>34</v>
      </c>
      <c r="C105" s="32">
        <f t="shared" si="3"/>
        <v>1</v>
      </c>
      <c r="D105" s="31" t="str" cm="1">
        <f t="array" ref="D105">INDEX('Subj-Map2-1'!$I$7:$K$100,1+B105,C105)</f>
        <v/>
      </c>
    </row>
    <row r="106" spans="1:4" x14ac:dyDescent="0.75">
      <c r="A106" s="32">
        <v>104</v>
      </c>
      <c r="B106" s="32">
        <f t="shared" si="2"/>
        <v>34</v>
      </c>
      <c r="C106" s="32">
        <f t="shared" si="3"/>
        <v>2</v>
      </c>
      <c r="D106" s="31" t="str" cm="1">
        <f t="array" ref="D106">INDEX('Subj-Map2-1'!$I$7:$K$100,1+B106,C106)</f>
        <v/>
      </c>
    </row>
    <row r="107" spans="1:4" x14ac:dyDescent="0.75">
      <c r="A107" s="32">
        <v>105</v>
      </c>
      <c r="B107" s="32">
        <f t="shared" si="2"/>
        <v>34</v>
      </c>
      <c r="C107" s="32">
        <f t="shared" si="3"/>
        <v>3</v>
      </c>
      <c r="D107" s="31" t="str" cm="1">
        <f t="array" ref="D107">INDEX('Subj-Map2-1'!$I$7:$K$100,1+B107,C107)</f>
        <v/>
      </c>
    </row>
    <row r="108" spans="1:4" x14ac:dyDescent="0.75">
      <c r="A108" s="32">
        <v>106</v>
      </c>
      <c r="B108" s="32">
        <f t="shared" si="2"/>
        <v>35</v>
      </c>
      <c r="C108" s="32">
        <f t="shared" si="3"/>
        <v>1</v>
      </c>
      <c r="D108" s="31" t="str" cm="1">
        <f t="array" ref="D108">INDEX('Subj-Map2-1'!$I$7:$K$100,1+B108,C108)</f>
        <v/>
      </c>
    </row>
    <row r="109" spans="1:4" x14ac:dyDescent="0.75">
      <c r="A109" s="32">
        <v>107</v>
      </c>
      <c r="B109" s="32">
        <f t="shared" si="2"/>
        <v>35</v>
      </c>
      <c r="C109" s="32">
        <f t="shared" si="3"/>
        <v>2</v>
      </c>
      <c r="D109" s="31" t="str" cm="1">
        <f t="array" ref="D109">INDEX('Subj-Map2-1'!$I$7:$K$100,1+B109,C109)</f>
        <v/>
      </c>
    </row>
    <row r="110" spans="1:4" x14ac:dyDescent="0.75">
      <c r="A110" s="32">
        <v>108</v>
      </c>
      <c r="B110" s="32">
        <f t="shared" si="2"/>
        <v>35</v>
      </c>
      <c r="C110" s="32">
        <f t="shared" si="3"/>
        <v>3</v>
      </c>
      <c r="D110" s="31" t="str" cm="1">
        <f t="array" ref="D110">INDEX('Subj-Map2-1'!$I$7:$K$100,1+B110,C110)</f>
        <v/>
      </c>
    </row>
    <row r="111" spans="1:4" x14ac:dyDescent="0.75">
      <c r="A111" s="32">
        <v>109</v>
      </c>
      <c r="B111" s="32">
        <f t="shared" si="2"/>
        <v>36</v>
      </c>
      <c r="C111" s="32">
        <f t="shared" si="3"/>
        <v>1</v>
      </c>
      <c r="D111" s="31" t="str" cm="1">
        <f t="array" ref="D111">INDEX('Subj-Map2-1'!$I$7:$K$100,1+B111,C111)</f>
        <v/>
      </c>
    </row>
    <row r="112" spans="1:4" x14ac:dyDescent="0.75">
      <c r="A112" s="32">
        <v>110</v>
      </c>
      <c r="B112" s="32">
        <f t="shared" si="2"/>
        <v>36</v>
      </c>
      <c r="C112" s="32">
        <f t="shared" si="3"/>
        <v>2</v>
      </c>
      <c r="D112" s="31" t="str" cm="1">
        <f t="array" ref="D112">INDEX('Subj-Map2-1'!$I$7:$K$100,1+B112,C112)</f>
        <v/>
      </c>
    </row>
    <row r="113" spans="1:4" x14ac:dyDescent="0.75">
      <c r="A113" s="32">
        <v>111</v>
      </c>
      <c r="B113" s="32">
        <f t="shared" si="2"/>
        <v>36</v>
      </c>
      <c r="C113" s="32">
        <f t="shared" si="3"/>
        <v>3</v>
      </c>
      <c r="D113" s="31" t="str" cm="1">
        <f t="array" ref="D113">INDEX('Subj-Map2-1'!$I$7:$K$100,1+B113,C113)</f>
        <v/>
      </c>
    </row>
    <row r="114" spans="1:4" x14ac:dyDescent="0.75">
      <c r="A114" s="32">
        <v>112</v>
      </c>
      <c r="B114" s="32">
        <f t="shared" si="2"/>
        <v>37</v>
      </c>
      <c r="C114" s="32">
        <f t="shared" si="3"/>
        <v>1</v>
      </c>
      <c r="D114" s="31" t="str" cm="1">
        <f t="array" ref="D114">INDEX('Subj-Map2-1'!$I$7:$K$100,1+B114,C114)</f>
        <v/>
      </c>
    </row>
    <row r="115" spans="1:4" x14ac:dyDescent="0.75">
      <c r="A115" s="32">
        <v>113</v>
      </c>
      <c r="B115" s="32">
        <f t="shared" si="2"/>
        <v>37</v>
      </c>
      <c r="C115" s="32">
        <f t="shared" si="3"/>
        <v>2</v>
      </c>
      <c r="D115" s="31" t="str" cm="1">
        <f t="array" ref="D115">INDEX('Subj-Map2-1'!$I$7:$K$100,1+B115,C115)</f>
        <v/>
      </c>
    </row>
    <row r="116" spans="1:4" x14ac:dyDescent="0.75">
      <c r="A116" s="32">
        <v>114</v>
      </c>
      <c r="B116" s="32">
        <f t="shared" si="2"/>
        <v>37</v>
      </c>
      <c r="C116" s="32">
        <f t="shared" si="3"/>
        <v>3</v>
      </c>
      <c r="D116" s="31" t="str" cm="1">
        <f t="array" ref="D116">INDEX('Subj-Map2-1'!$I$7:$K$100,1+B116,C116)</f>
        <v/>
      </c>
    </row>
    <row r="117" spans="1:4" x14ac:dyDescent="0.75">
      <c r="A117" s="32">
        <v>115</v>
      </c>
      <c r="B117" s="32">
        <f t="shared" si="2"/>
        <v>38</v>
      </c>
      <c r="C117" s="32">
        <f t="shared" si="3"/>
        <v>1</v>
      </c>
      <c r="D117" s="31" t="str" cm="1">
        <f t="array" ref="D117">INDEX('Subj-Map2-1'!$I$7:$K$100,1+B117,C117)</f>
        <v/>
      </c>
    </row>
    <row r="118" spans="1:4" x14ac:dyDescent="0.75">
      <c r="A118" s="32">
        <v>116</v>
      </c>
      <c r="B118" s="32">
        <f t="shared" si="2"/>
        <v>38</v>
      </c>
      <c r="C118" s="32">
        <f t="shared" si="3"/>
        <v>2</v>
      </c>
      <c r="D118" s="31" t="str" cm="1">
        <f t="array" ref="D118">INDEX('Subj-Map2-1'!$I$7:$K$100,1+B118,C118)</f>
        <v/>
      </c>
    </row>
    <row r="119" spans="1:4" x14ac:dyDescent="0.75">
      <c r="A119" s="32">
        <v>117</v>
      </c>
      <c r="B119" s="32">
        <f t="shared" si="2"/>
        <v>38</v>
      </c>
      <c r="C119" s="32">
        <f t="shared" si="3"/>
        <v>3</v>
      </c>
      <c r="D119" s="31" t="str" cm="1">
        <f t="array" ref="D119">INDEX('Subj-Map2-1'!$I$7:$K$100,1+B119,C119)</f>
        <v/>
      </c>
    </row>
    <row r="120" spans="1:4" x14ac:dyDescent="0.75">
      <c r="A120" s="32">
        <v>118</v>
      </c>
      <c r="B120" s="32">
        <f t="shared" si="2"/>
        <v>39</v>
      </c>
      <c r="C120" s="32">
        <f t="shared" si="3"/>
        <v>1</v>
      </c>
      <c r="D120" s="31" t="str" cm="1">
        <f t="array" ref="D120">INDEX('Subj-Map2-1'!$I$7:$K$100,1+B120,C120)</f>
        <v/>
      </c>
    </row>
    <row r="121" spans="1:4" x14ac:dyDescent="0.75">
      <c r="A121" s="32">
        <v>119</v>
      </c>
      <c r="B121" s="32">
        <f t="shared" si="2"/>
        <v>39</v>
      </c>
      <c r="C121" s="32">
        <f t="shared" si="3"/>
        <v>2</v>
      </c>
      <c r="D121" s="31" t="str" cm="1">
        <f t="array" ref="D121">INDEX('Subj-Map2-1'!$I$7:$K$100,1+B121,C121)</f>
        <v/>
      </c>
    </row>
    <row r="122" spans="1:4" x14ac:dyDescent="0.75">
      <c r="A122" s="32">
        <v>120</v>
      </c>
      <c r="B122" s="32">
        <f t="shared" si="2"/>
        <v>39</v>
      </c>
      <c r="C122" s="32">
        <f t="shared" si="3"/>
        <v>3</v>
      </c>
      <c r="D122" s="31" t="str" cm="1">
        <f t="array" ref="D122">INDEX('Subj-Map2-1'!$I$7:$K$100,1+B122,C122)</f>
        <v/>
      </c>
    </row>
    <row r="123" spans="1:4" x14ac:dyDescent="0.75">
      <c r="A123" s="32">
        <v>121</v>
      </c>
      <c r="B123" s="32">
        <f t="shared" si="2"/>
        <v>40</v>
      </c>
      <c r="C123" s="32">
        <f t="shared" si="3"/>
        <v>1</v>
      </c>
      <c r="D123" s="31" t="str" cm="1">
        <f t="array" ref="D123">INDEX('Subj-Map2-1'!$I$7:$K$100,1+B123,C123)</f>
        <v/>
      </c>
    </row>
    <row r="124" spans="1:4" x14ac:dyDescent="0.75">
      <c r="A124" s="32">
        <v>122</v>
      </c>
      <c r="B124" s="32">
        <f t="shared" si="2"/>
        <v>40</v>
      </c>
      <c r="C124" s="32">
        <f t="shared" si="3"/>
        <v>2</v>
      </c>
      <c r="D124" s="31" t="str" cm="1">
        <f t="array" ref="D124">INDEX('Subj-Map2-1'!$I$7:$K$100,1+B124,C124)</f>
        <v/>
      </c>
    </row>
    <row r="125" spans="1:4" x14ac:dyDescent="0.75">
      <c r="A125" s="32">
        <v>123</v>
      </c>
      <c r="B125" s="32">
        <f t="shared" si="2"/>
        <v>40</v>
      </c>
      <c r="C125" s="32">
        <f t="shared" si="3"/>
        <v>3</v>
      </c>
      <c r="D125" s="31" t="str" cm="1">
        <f t="array" ref="D125">INDEX('Subj-Map2-1'!$I$7:$K$100,1+B125,C125)</f>
        <v/>
      </c>
    </row>
    <row r="126" spans="1:4" x14ac:dyDescent="0.75">
      <c r="A126" s="32">
        <v>124</v>
      </c>
      <c r="B126" s="32">
        <f t="shared" si="2"/>
        <v>41</v>
      </c>
      <c r="C126" s="32">
        <f t="shared" si="3"/>
        <v>1</v>
      </c>
      <c r="D126" s="31" t="str" cm="1">
        <f t="array" ref="D126">INDEX('Subj-Map2-1'!$I$7:$K$100,1+B126,C126)</f>
        <v/>
      </c>
    </row>
    <row r="127" spans="1:4" x14ac:dyDescent="0.75">
      <c r="A127" s="32">
        <v>125</v>
      </c>
      <c r="B127" s="32">
        <f t="shared" si="2"/>
        <v>41</v>
      </c>
      <c r="C127" s="32">
        <f t="shared" si="3"/>
        <v>2</v>
      </c>
      <c r="D127" s="31" t="str" cm="1">
        <f t="array" ref="D127">INDEX('Subj-Map2-1'!$I$7:$K$100,1+B127,C127)</f>
        <v/>
      </c>
    </row>
    <row r="128" spans="1:4" x14ac:dyDescent="0.75">
      <c r="A128" s="32">
        <v>126</v>
      </c>
      <c r="B128" s="32">
        <f t="shared" si="2"/>
        <v>41</v>
      </c>
      <c r="C128" s="32">
        <f t="shared" si="3"/>
        <v>3</v>
      </c>
      <c r="D128" s="31" t="str" cm="1">
        <f t="array" ref="D128">INDEX('Subj-Map2-1'!$I$7:$K$100,1+B128,C128)</f>
        <v/>
      </c>
    </row>
    <row r="129" spans="1:4" x14ac:dyDescent="0.75">
      <c r="A129" s="32">
        <v>127</v>
      </c>
      <c r="B129" s="32">
        <f t="shared" si="2"/>
        <v>42</v>
      </c>
      <c r="C129" s="32">
        <f t="shared" si="3"/>
        <v>1</v>
      </c>
      <c r="D129" s="31" t="str" cm="1">
        <f t="array" ref="D129">INDEX('Subj-Map2-1'!$I$7:$K$100,1+B129,C129)</f>
        <v/>
      </c>
    </row>
    <row r="130" spans="1:4" x14ac:dyDescent="0.75">
      <c r="A130" s="32">
        <v>128</v>
      </c>
      <c r="B130" s="32">
        <f t="shared" si="2"/>
        <v>42</v>
      </c>
      <c r="C130" s="32">
        <f t="shared" si="3"/>
        <v>2</v>
      </c>
      <c r="D130" s="31" t="str" cm="1">
        <f t="array" ref="D130">INDEX('Subj-Map2-1'!$I$7:$K$100,1+B130,C130)</f>
        <v/>
      </c>
    </row>
    <row r="131" spans="1:4" x14ac:dyDescent="0.75">
      <c r="A131" s="32">
        <v>129</v>
      </c>
      <c r="B131" s="32">
        <f t="shared" si="2"/>
        <v>42</v>
      </c>
      <c r="C131" s="32">
        <f t="shared" si="3"/>
        <v>3</v>
      </c>
      <c r="D131" s="31" t="str" cm="1">
        <f t="array" ref="D131">INDEX('Subj-Map2-1'!$I$7:$K$100,1+B131,C131)</f>
        <v/>
      </c>
    </row>
    <row r="132" spans="1:4" x14ac:dyDescent="0.75">
      <c r="A132" s="32">
        <v>130</v>
      </c>
      <c r="B132" s="32">
        <f t="shared" ref="B132:B195" si="4">IF(MOD(A132,3)=0,A132/3-1,INT(A132/3))</f>
        <v>43</v>
      </c>
      <c r="C132" s="32">
        <f t="shared" ref="C132:C195" si="5">IF(MOD(A132,3)=0,3,MOD(A132,3))</f>
        <v>1</v>
      </c>
      <c r="D132" s="31" t="str" cm="1">
        <f t="array" ref="D132">INDEX('Subj-Map2-1'!$I$7:$K$100,1+B132,C132)</f>
        <v/>
      </c>
    </row>
    <row r="133" spans="1:4" x14ac:dyDescent="0.75">
      <c r="A133" s="32">
        <v>131</v>
      </c>
      <c r="B133" s="32">
        <f t="shared" si="4"/>
        <v>43</v>
      </c>
      <c r="C133" s="32">
        <f t="shared" si="5"/>
        <v>2</v>
      </c>
      <c r="D133" s="31" t="str" cm="1">
        <f t="array" ref="D133">INDEX('Subj-Map2-1'!$I$7:$K$100,1+B133,C133)</f>
        <v/>
      </c>
    </row>
    <row r="134" spans="1:4" x14ac:dyDescent="0.75">
      <c r="A134" s="32">
        <v>132</v>
      </c>
      <c r="B134" s="32">
        <f t="shared" si="4"/>
        <v>43</v>
      </c>
      <c r="C134" s="32">
        <f t="shared" si="5"/>
        <v>3</v>
      </c>
      <c r="D134" s="31" t="str" cm="1">
        <f t="array" ref="D134">INDEX('Subj-Map2-1'!$I$7:$K$100,1+B134,C134)</f>
        <v/>
      </c>
    </row>
    <row r="135" spans="1:4" x14ac:dyDescent="0.75">
      <c r="A135" s="32">
        <v>133</v>
      </c>
      <c r="B135" s="32">
        <f t="shared" si="4"/>
        <v>44</v>
      </c>
      <c r="C135" s="32">
        <f t="shared" si="5"/>
        <v>1</v>
      </c>
      <c r="D135" s="31" cm="1">
        <f t="array" ref="D135">INDEX('Subj-Map2-1'!$I$7:$K$100,1+B135,C135)</f>
        <v>0</v>
      </c>
    </row>
    <row r="136" spans="1:4" x14ac:dyDescent="0.75">
      <c r="A136" s="32">
        <v>134</v>
      </c>
      <c r="B136" s="32">
        <f t="shared" si="4"/>
        <v>44</v>
      </c>
      <c r="C136" s="32">
        <f t="shared" si="5"/>
        <v>2</v>
      </c>
      <c r="D136" s="31" cm="1">
        <f t="array" ref="D136">INDEX('Subj-Map2-1'!$I$7:$K$100,1+B136,C136)</f>
        <v>0</v>
      </c>
    </row>
    <row r="137" spans="1:4" x14ac:dyDescent="0.75">
      <c r="A137" s="32">
        <v>135</v>
      </c>
      <c r="B137" s="32">
        <f t="shared" si="4"/>
        <v>44</v>
      </c>
      <c r="C137" s="32">
        <f t="shared" si="5"/>
        <v>3</v>
      </c>
      <c r="D137" s="31" cm="1">
        <f t="array" ref="D137">INDEX('Subj-Map2-1'!$I$7:$K$100,1+B137,C137)</f>
        <v>0</v>
      </c>
    </row>
    <row r="138" spans="1:4" x14ac:dyDescent="0.75">
      <c r="A138" s="32">
        <v>136</v>
      </c>
      <c r="B138" s="32">
        <f t="shared" si="4"/>
        <v>45</v>
      </c>
      <c r="C138" s="32">
        <f t="shared" si="5"/>
        <v>1</v>
      </c>
      <c r="D138" s="31" cm="1">
        <f t="array" ref="D138">INDEX('Subj-Map2-1'!$I$7:$K$100,1+B138,C138)</f>
        <v>0</v>
      </c>
    </row>
    <row r="139" spans="1:4" x14ac:dyDescent="0.75">
      <c r="A139" s="32">
        <v>137</v>
      </c>
      <c r="B139" s="32">
        <f t="shared" si="4"/>
        <v>45</v>
      </c>
      <c r="C139" s="32">
        <f t="shared" si="5"/>
        <v>2</v>
      </c>
      <c r="D139" s="31" cm="1">
        <f t="array" ref="D139">INDEX('Subj-Map2-1'!$I$7:$K$100,1+B139,C139)</f>
        <v>0</v>
      </c>
    </row>
    <row r="140" spans="1:4" x14ac:dyDescent="0.75">
      <c r="A140" s="32">
        <v>138</v>
      </c>
      <c r="B140" s="32">
        <f t="shared" si="4"/>
        <v>45</v>
      </c>
      <c r="C140" s="32">
        <f t="shared" si="5"/>
        <v>3</v>
      </c>
      <c r="D140" s="31" cm="1">
        <f t="array" ref="D140">INDEX('Subj-Map2-1'!$I$7:$K$100,1+B140,C140)</f>
        <v>0</v>
      </c>
    </row>
    <row r="141" spans="1:4" x14ac:dyDescent="0.75">
      <c r="A141" s="32">
        <v>139</v>
      </c>
      <c r="B141" s="32">
        <f t="shared" si="4"/>
        <v>46</v>
      </c>
      <c r="C141" s="32">
        <f t="shared" si="5"/>
        <v>1</v>
      </c>
      <c r="D141" s="31" cm="1">
        <f t="array" ref="D141">INDEX('Subj-Map2-1'!$I$7:$K$100,1+B141,C141)</f>
        <v>0</v>
      </c>
    </row>
    <row r="142" spans="1:4" x14ac:dyDescent="0.75">
      <c r="A142" s="32">
        <v>140</v>
      </c>
      <c r="B142" s="32">
        <f t="shared" si="4"/>
        <v>46</v>
      </c>
      <c r="C142" s="32">
        <f t="shared" si="5"/>
        <v>2</v>
      </c>
      <c r="D142" s="31" cm="1">
        <f t="array" ref="D142">INDEX('Subj-Map2-1'!$I$7:$K$100,1+B142,C142)</f>
        <v>0</v>
      </c>
    </row>
    <row r="143" spans="1:4" x14ac:dyDescent="0.75">
      <c r="A143" s="32">
        <v>141</v>
      </c>
      <c r="B143" s="32">
        <f t="shared" si="4"/>
        <v>46</v>
      </c>
      <c r="C143" s="32">
        <f t="shared" si="5"/>
        <v>3</v>
      </c>
      <c r="D143" s="31" cm="1">
        <f t="array" ref="D143">INDEX('Subj-Map2-1'!$I$7:$K$100,1+B143,C143)</f>
        <v>0</v>
      </c>
    </row>
    <row r="144" spans="1:4" x14ac:dyDescent="0.75">
      <c r="A144" s="32">
        <v>142</v>
      </c>
      <c r="B144" s="32">
        <f t="shared" si="4"/>
        <v>47</v>
      </c>
      <c r="C144" s="32">
        <f t="shared" si="5"/>
        <v>1</v>
      </c>
      <c r="D144" s="31" cm="1">
        <f t="array" ref="D144">INDEX('Subj-Map2-1'!$I$7:$K$100,1+B144,C144)</f>
        <v>0</v>
      </c>
    </row>
    <row r="145" spans="1:4" x14ac:dyDescent="0.75">
      <c r="A145" s="32">
        <v>143</v>
      </c>
      <c r="B145" s="32">
        <f t="shared" si="4"/>
        <v>47</v>
      </c>
      <c r="C145" s="32">
        <f t="shared" si="5"/>
        <v>2</v>
      </c>
      <c r="D145" s="31" cm="1">
        <f t="array" ref="D145">INDEX('Subj-Map2-1'!$I$7:$K$100,1+B145,C145)</f>
        <v>0</v>
      </c>
    </row>
    <row r="146" spans="1:4" x14ac:dyDescent="0.75">
      <c r="A146" s="32">
        <v>144</v>
      </c>
      <c r="B146" s="32">
        <f t="shared" si="4"/>
        <v>47</v>
      </c>
      <c r="C146" s="32">
        <f t="shared" si="5"/>
        <v>3</v>
      </c>
      <c r="D146" s="31" cm="1">
        <f t="array" ref="D146">INDEX('Subj-Map2-1'!$I$7:$K$100,1+B146,C146)</f>
        <v>0</v>
      </c>
    </row>
    <row r="147" spans="1:4" x14ac:dyDescent="0.75">
      <c r="A147" s="32">
        <v>145</v>
      </c>
      <c r="B147" s="32">
        <f t="shared" si="4"/>
        <v>48</v>
      </c>
      <c r="C147" s="32">
        <f t="shared" si="5"/>
        <v>1</v>
      </c>
      <c r="D147" s="31" cm="1">
        <f t="array" ref="D147">INDEX('Subj-Map2-1'!$I$7:$K$100,1+B147,C147)</f>
        <v>0</v>
      </c>
    </row>
    <row r="148" spans="1:4" x14ac:dyDescent="0.75">
      <c r="A148" s="32">
        <v>146</v>
      </c>
      <c r="B148" s="32">
        <f t="shared" si="4"/>
        <v>48</v>
      </c>
      <c r="C148" s="32">
        <f t="shared" si="5"/>
        <v>2</v>
      </c>
      <c r="D148" s="31" cm="1">
        <f t="array" ref="D148">INDEX('Subj-Map2-1'!$I$7:$K$100,1+B148,C148)</f>
        <v>0</v>
      </c>
    </row>
    <row r="149" spans="1:4" x14ac:dyDescent="0.75">
      <c r="A149" s="32">
        <v>147</v>
      </c>
      <c r="B149" s="32">
        <f t="shared" si="4"/>
        <v>48</v>
      </c>
      <c r="C149" s="32">
        <f t="shared" si="5"/>
        <v>3</v>
      </c>
      <c r="D149" s="31" cm="1">
        <f t="array" ref="D149">INDEX('Subj-Map2-1'!$I$7:$K$100,1+B149,C149)</f>
        <v>0</v>
      </c>
    </row>
    <row r="150" spans="1:4" x14ac:dyDescent="0.75">
      <c r="A150" s="32">
        <v>148</v>
      </c>
      <c r="B150" s="32">
        <f t="shared" si="4"/>
        <v>49</v>
      </c>
      <c r="C150" s="32">
        <f t="shared" si="5"/>
        <v>1</v>
      </c>
      <c r="D150" s="31" cm="1">
        <f t="array" ref="D150">INDEX('Subj-Map2-1'!$I$7:$K$100,1+B150,C150)</f>
        <v>0</v>
      </c>
    </row>
    <row r="151" spans="1:4" x14ac:dyDescent="0.75">
      <c r="A151" s="32">
        <v>149</v>
      </c>
      <c r="B151" s="32">
        <f t="shared" si="4"/>
        <v>49</v>
      </c>
      <c r="C151" s="32">
        <f t="shared" si="5"/>
        <v>2</v>
      </c>
      <c r="D151" s="31" cm="1">
        <f t="array" ref="D151">INDEX('Subj-Map2-1'!$I$7:$K$100,1+B151,C151)</f>
        <v>0</v>
      </c>
    </row>
    <row r="152" spans="1:4" x14ac:dyDescent="0.75">
      <c r="A152" s="32">
        <v>150</v>
      </c>
      <c r="B152" s="32">
        <f t="shared" si="4"/>
        <v>49</v>
      </c>
      <c r="C152" s="32">
        <f t="shared" si="5"/>
        <v>3</v>
      </c>
      <c r="D152" s="31" cm="1">
        <f t="array" ref="D152">INDEX('Subj-Map2-1'!$I$7:$K$100,1+B152,C152)</f>
        <v>0</v>
      </c>
    </row>
    <row r="153" spans="1:4" x14ac:dyDescent="0.75">
      <c r="A153" s="32">
        <v>151</v>
      </c>
      <c r="B153" s="32">
        <f t="shared" si="4"/>
        <v>50</v>
      </c>
      <c r="C153" s="32">
        <f t="shared" si="5"/>
        <v>1</v>
      </c>
      <c r="D153" s="31" cm="1">
        <f t="array" ref="D153">INDEX('Subj-Map2-1'!$I$7:$K$100,1+B153,C153)</f>
        <v>0</v>
      </c>
    </row>
    <row r="154" spans="1:4" x14ac:dyDescent="0.75">
      <c r="A154" s="32">
        <v>152</v>
      </c>
      <c r="B154" s="32">
        <f t="shared" si="4"/>
        <v>50</v>
      </c>
      <c r="C154" s="32">
        <f t="shared" si="5"/>
        <v>2</v>
      </c>
      <c r="D154" s="31" cm="1">
        <f t="array" ref="D154">INDEX('Subj-Map2-1'!$I$7:$K$100,1+B154,C154)</f>
        <v>0</v>
      </c>
    </row>
    <row r="155" spans="1:4" x14ac:dyDescent="0.75">
      <c r="A155" s="32">
        <v>153</v>
      </c>
      <c r="B155" s="32">
        <f t="shared" si="4"/>
        <v>50</v>
      </c>
      <c r="C155" s="32">
        <f t="shared" si="5"/>
        <v>3</v>
      </c>
      <c r="D155" s="31" cm="1">
        <f t="array" ref="D155">INDEX('Subj-Map2-1'!$I$7:$K$100,1+B155,C155)</f>
        <v>0</v>
      </c>
    </row>
    <row r="156" spans="1:4" x14ac:dyDescent="0.75">
      <c r="A156" s="32">
        <v>154</v>
      </c>
      <c r="B156" s="32">
        <f t="shared" si="4"/>
        <v>51</v>
      </c>
      <c r="C156" s="32">
        <f t="shared" si="5"/>
        <v>1</v>
      </c>
      <c r="D156" s="31" cm="1">
        <f t="array" ref="D156">INDEX('Subj-Map2-1'!$I$7:$K$100,1+B156,C156)</f>
        <v>0</v>
      </c>
    </row>
    <row r="157" spans="1:4" x14ac:dyDescent="0.75">
      <c r="A157" s="32">
        <v>155</v>
      </c>
      <c r="B157" s="32">
        <f t="shared" si="4"/>
        <v>51</v>
      </c>
      <c r="C157" s="32">
        <f t="shared" si="5"/>
        <v>2</v>
      </c>
      <c r="D157" s="31" cm="1">
        <f t="array" ref="D157">INDEX('Subj-Map2-1'!$I$7:$K$100,1+B157,C157)</f>
        <v>0</v>
      </c>
    </row>
    <row r="158" spans="1:4" x14ac:dyDescent="0.75">
      <c r="A158" s="32">
        <v>156</v>
      </c>
      <c r="B158" s="32">
        <f t="shared" si="4"/>
        <v>51</v>
      </c>
      <c r="C158" s="32">
        <f t="shared" si="5"/>
        <v>3</v>
      </c>
      <c r="D158" s="31" cm="1">
        <f t="array" ref="D158">INDEX('Subj-Map2-1'!$I$7:$K$100,1+B158,C158)</f>
        <v>0</v>
      </c>
    </row>
    <row r="159" spans="1:4" x14ac:dyDescent="0.75">
      <c r="A159" s="32">
        <v>157</v>
      </c>
      <c r="B159" s="32">
        <f t="shared" si="4"/>
        <v>52</v>
      </c>
      <c r="C159" s="32">
        <f t="shared" si="5"/>
        <v>1</v>
      </c>
      <c r="D159" s="31" cm="1">
        <f t="array" ref="D159">INDEX('Subj-Map2-1'!$I$7:$K$100,1+B159,C159)</f>
        <v>0</v>
      </c>
    </row>
    <row r="160" spans="1:4" x14ac:dyDescent="0.75">
      <c r="A160" s="32">
        <v>158</v>
      </c>
      <c r="B160" s="32">
        <f t="shared" si="4"/>
        <v>52</v>
      </c>
      <c r="C160" s="32">
        <f t="shared" si="5"/>
        <v>2</v>
      </c>
      <c r="D160" s="31" cm="1">
        <f t="array" ref="D160">INDEX('Subj-Map2-1'!$I$7:$K$100,1+B160,C160)</f>
        <v>0</v>
      </c>
    </row>
    <row r="161" spans="1:4" x14ac:dyDescent="0.75">
      <c r="A161" s="32">
        <v>159</v>
      </c>
      <c r="B161" s="32">
        <f t="shared" si="4"/>
        <v>52</v>
      </c>
      <c r="C161" s="32">
        <f t="shared" si="5"/>
        <v>3</v>
      </c>
      <c r="D161" s="31" cm="1">
        <f t="array" ref="D161">INDEX('Subj-Map2-1'!$I$7:$K$100,1+B161,C161)</f>
        <v>0</v>
      </c>
    </row>
    <row r="162" spans="1:4" x14ac:dyDescent="0.75">
      <c r="A162" s="32">
        <v>160</v>
      </c>
      <c r="B162" s="32">
        <f t="shared" si="4"/>
        <v>53</v>
      </c>
      <c r="C162" s="32">
        <f t="shared" si="5"/>
        <v>1</v>
      </c>
      <c r="D162" s="31" cm="1">
        <f t="array" ref="D162">INDEX('Subj-Map2-1'!$I$7:$K$100,1+B162,C162)</f>
        <v>0</v>
      </c>
    </row>
    <row r="163" spans="1:4" x14ac:dyDescent="0.75">
      <c r="A163" s="32">
        <v>161</v>
      </c>
      <c r="B163" s="32">
        <f t="shared" si="4"/>
        <v>53</v>
      </c>
      <c r="C163" s="32">
        <f t="shared" si="5"/>
        <v>2</v>
      </c>
      <c r="D163" s="31" cm="1">
        <f t="array" ref="D163">INDEX('Subj-Map2-1'!$I$7:$K$100,1+B163,C163)</f>
        <v>0</v>
      </c>
    </row>
    <row r="164" spans="1:4" x14ac:dyDescent="0.75">
      <c r="A164" s="32">
        <v>162</v>
      </c>
      <c r="B164" s="32">
        <f t="shared" si="4"/>
        <v>53</v>
      </c>
      <c r="C164" s="32">
        <f t="shared" si="5"/>
        <v>3</v>
      </c>
      <c r="D164" s="31" cm="1">
        <f t="array" ref="D164">INDEX('Subj-Map2-1'!$I$7:$K$100,1+B164,C164)</f>
        <v>0</v>
      </c>
    </row>
    <row r="165" spans="1:4" x14ac:dyDescent="0.75">
      <c r="A165" s="32">
        <v>163</v>
      </c>
      <c r="B165" s="32">
        <f t="shared" si="4"/>
        <v>54</v>
      </c>
      <c r="C165" s="32">
        <f t="shared" si="5"/>
        <v>1</v>
      </c>
      <c r="D165" s="31" cm="1">
        <f t="array" ref="D165">INDEX('Subj-Map2-1'!$I$7:$K$100,1+B165,C165)</f>
        <v>0</v>
      </c>
    </row>
    <row r="166" spans="1:4" x14ac:dyDescent="0.75">
      <c r="A166" s="32">
        <v>164</v>
      </c>
      <c r="B166" s="32">
        <f t="shared" si="4"/>
        <v>54</v>
      </c>
      <c r="C166" s="32">
        <f t="shared" si="5"/>
        <v>2</v>
      </c>
      <c r="D166" s="31" cm="1">
        <f t="array" ref="D166">INDEX('Subj-Map2-1'!$I$7:$K$100,1+B166,C166)</f>
        <v>0</v>
      </c>
    </row>
    <row r="167" spans="1:4" x14ac:dyDescent="0.75">
      <c r="A167" s="32">
        <v>165</v>
      </c>
      <c r="B167" s="32">
        <f t="shared" si="4"/>
        <v>54</v>
      </c>
      <c r="C167" s="32">
        <f t="shared" si="5"/>
        <v>3</v>
      </c>
      <c r="D167" s="31" cm="1">
        <f t="array" ref="D167">INDEX('Subj-Map2-1'!$I$7:$K$100,1+B167,C167)</f>
        <v>0</v>
      </c>
    </row>
    <row r="168" spans="1:4" x14ac:dyDescent="0.75">
      <c r="A168" s="32">
        <v>166</v>
      </c>
      <c r="B168" s="32">
        <f t="shared" si="4"/>
        <v>55</v>
      </c>
      <c r="C168" s="32">
        <f t="shared" si="5"/>
        <v>1</v>
      </c>
      <c r="D168" s="31" cm="1">
        <f t="array" ref="D168">INDEX('Subj-Map2-1'!$I$7:$K$100,1+B168,C168)</f>
        <v>0</v>
      </c>
    </row>
    <row r="169" spans="1:4" x14ac:dyDescent="0.75">
      <c r="A169" s="32">
        <v>167</v>
      </c>
      <c r="B169" s="32">
        <f t="shared" si="4"/>
        <v>55</v>
      </c>
      <c r="C169" s="32">
        <f t="shared" si="5"/>
        <v>2</v>
      </c>
      <c r="D169" s="31" cm="1">
        <f t="array" ref="D169">INDEX('Subj-Map2-1'!$I$7:$K$100,1+B169,C169)</f>
        <v>0</v>
      </c>
    </row>
    <row r="170" spans="1:4" x14ac:dyDescent="0.75">
      <c r="A170" s="32">
        <v>168</v>
      </c>
      <c r="B170" s="32">
        <f t="shared" si="4"/>
        <v>55</v>
      </c>
      <c r="C170" s="32">
        <f t="shared" si="5"/>
        <v>3</v>
      </c>
      <c r="D170" s="31" cm="1">
        <f t="array" ref="D170">INDEX('Subj-Map2-1'!$I$7:$K$100,1+B170,C170)</f>
        <v>0</v>
      </c>
    </row>
    <row r="171" spans="1:4" x14ac:dyDescent="0.75">
      <c r="A171" s="32">
        <v>169</v>
      </c>
      <c r="B171" s="32">
        <f t="shared" si="4"/>
        <v>56</v>
      </c>
      <c r="C171" s="32">
        <f t="shared" si="5"/>
        <v>1</v>
      </c>
      <c r="D171" s="31" cm="1">
        <f t="array" ref="D171">INDEX('Subj-Map2-1'!$I$7:$K$100,1+B171,C171)</f>
        <v>0</v>
      </c>
    </row>
    <row r="172" spans="1:4" x14ac:dyDescent="0.75">
      <c r="A172" s="32">
        <v>170</v>
      </c>
      <c r="B172" s="32">
        <f t="shared" si="4"/>
        <v>56</v>
      </c>
      <c r="C172" s="32">
        <f t="shared" si="5"/>
        <v>2</v>
      </c>
      <c r="D172" s="31" cm="1">
        <f t="array" ref="D172">INDEX('Subj-Map2-1'!$I$7:$K$100,1+B172,C172)</f>
        <v>0</v>
      </c>
    </row>
    <row r="173" spans="1:4" x14ac:dyDescent="0.75">
      <c r="A173" s="32">
        <v>171</v>
      </c>
      <c r="B173" s="32">
        <f t="shared" si="4"/>
        <v>56</v>
      </c>
      <c r="C173" s="32">
        <f t="shared" si="5"/>
        <v>3</v>
      </c>
      <c r="D173" s="31" cm="1">
        <f t="array" ref="D173">INDEX('Subj-Map2-1'!$I$7:$K$100,1+B173,C173)</f>
        <v>0</v>
      </c>
    </row>
    <row r="174" spans="1:4" x14ac:dyDescent="0.75">
      <c r="A174" s="32">
        <v>172</v>
      </c>
      <c r="B174" s="32">
        <f t="shared" si="4"/>
        <v>57</v>
      </c>
      <c r="C174" s="32">
        <f t="shared" si="5"/>
        <v>1</v>
      </c>
      <c r="D174" s="31" cm="1">
        <f t="array" ref="D174">INDEX('Subj-Map2-1'!$I$7:$K$100,1+B174,C174)</f>
        <v>0</v>
      </c>
    </row>
    <row r="175" spans="1:4" x14ac:dyDescent="0.75">
      <c r="A175" s="32">
        <v>173</v>
      </c>
      <c r="B175" s="32">
        <f t="shared" si="4"/>
        <v>57</v>
      </c>
      <c r="C175" s="32">
        <f t="shared" si="5"/>
        <v>2</v>
      </c>
      <c r="D175" s="31" cm="1">
        <f t="array" ref="D175">INDEX('Subj-Map2-1'!$I$7:$K$100,1+B175,C175)</f>
        <v>0</v>
      </c>
    </row>
    <row r="176" spans="1:4" x14ac:dyDescent="0.75">
      <c r="A176" s="32">
        <v>174</v>
      </c>
      <c r="B176" s="32">
        <f t="shared" si="4"/>
        <v>57</v>
      </c>
      <c r="C176" s="32">
        <f t="shared" si="5"/>
        <v>3</v>
      </c>
      <c r="D176" s="31" cm="1">
        <f t="array" ref="D176">INDEX('Subj-Map2-1'!$I$7:$K$100,1+B176,C176)</f>
        <v>0</v>
      </c>
    </row>
    <row r="177" spans="1:4" x14ac:dyDescent="0.75">
      <c r="A177" s="32">
        <v>175</v>
      </c>
      <c r="B177" s="32">
        <f t="shared" si="4"/>
        <v>58</v>
      </c>
      <c r="C177" s="32">
        <f t="shared" si="5"/>
        <v>1</v>
      </c>
      <c r="D177" s="31" cm="1">
        <f t="array" ref="D177">INDEX('Subj-Map2-1'!$I$7:$K$100,1+B177,C177)</f>
        <v>0</v>
      </c>
    </row>
    <row r="178" spans="1:4" x14ac:dyDescent="0.75">
      <c r="A178" s="32">
        <v>176</v>
      </c>
      <c r="B178" s="32">
        <f t="shared" si="4"/>
        <v>58</v>
      </c>
      <c r="C178" s="32">
        <f t="shared" si="5"/>
        <v>2</v>
      </c>
      <c r="D178" s="31" cm="1">
        <f t="array" ref="D178">INDEX('Subj-Map2-1'!$I$7:$K$100,1+B178,C178)</f>
        <v>0</v>
      </c>
    </row>
    <row r="179" spans="1:4" x14ac:dyDescent="0.75">
      <c r="A179" s="32">
        <v>177</v>
      </c>
      <c r="B179" s="32">
        <f t="shared" si="4"/>
        <v>58</v>
      </c>
      <c r="C179" s="32">
        <f t="shared" si="5"/>
        <v>3</v>
      </c>
      <c r="D179" s="31" cm="1">
        <f t="array" ref="D179">INDEX('Subj-Map2-1'!$I$7:$K$100,1+B179,C179)</f>
        <v>0</v>
      </c>
    </row>
    <row r="180" spans="1:4" x14ac:dyDescent="0.75">
      <c r="A180" s="32">
        <v>178</v>
      </c>
      <c r="B180" s="32">
        <f t="shared" si="4"/>
        <v>59</v>
      </c>
      <c r="C180" s="32">
        <f t="shared" si="5"/>
        <v>1</v>
      </c>
      <c r="D180" s="31" cm="1">
        <f t="array" ref="D180">INDEX('Subj-Map2-1'!$I$7:$K$100,1+B180,C180)</f>
        <v>0</v>
      </c>
    </row>
    <row r="181" spans="1:4" x14ac:dyDescent="0.75">
      <c r="A181" s="32">
        <v>179</v>
      </c>
      <c r="B181" s="32">
        <f t="shared" si="4"/>
        <v>59</v>
      </c>
      <c r="C181" s="32">
        <f t="shared" si="5"/>
        <v>2</v>
      </c>
      <c r="D181" s="31" cm="1">
        <f t="array" ref="D181">INDEX('Subj-Map2-1'!$I$7:$K$100,1+B181,C181)</f>
        <v>0</v>
      </c>
    </row>
    <row r="182" spans="1:4" x14ac:dyDescent="0.75">
      <c r="A182" s="32">
        <v>180</v>
      </c>
      <c r="B182" s="32">
        <f t="shared" si="4"/>
        <v>59</v>
      </c>
      <c r="C182" s="32">
        <f t="shared" si="5"/>
        <v>3</v>
      </c>
      <c r="D182" s="31" cm="1">
        <f t="array" ref="D182">INDEX('Subj-Map2-1'!$I$7:$K$100,1+B182,C182)</f>
        <v>0</v>
      </c>
    </row>
    <row r="183" spans="1:4" x14ac:dyDescent="0.75">
      <c r="A183" s="32">
        <v>181</v>
      </c>
      <c r="B183" s="32">
        <f t="shared" si="4"/>
        <v>60</v>
      </c>
      <c r="C183" s="32">
        <f t="shared" si="5"/>
        <v>1</v>
      </c>
      <c r="D183" s="31" cm="1">
        <f t="array" ref="D183">INDEX('Subj-Map2-1'!$I$7:$K$100,1+B183,C183)</f>
        <v>0</v>
      </c>
    </row>
    <row r="184" spans="1:4" x14ac:dyDescent="0.75">
      <c r="A184" s="32">
        <v>182</v>
      </c>
      <c r="B184" s="32">
        <f t="shared" si="4"/>
        <v>60</v>
      </c>
      <c r="C184" s="32">
        <f t="shared" si="5"/>
        <v>2</v>
      </c>
      <c r="D184" s="31" cm="1">
        <f t="array" ref="D184">INDEX('Subj-Map2-1'!$I$7:$K$100,1+B184,C184)</f>
        <v>0</v>
      </c>
    </row>
    <row r="185" spans="1:4" x14ac:dyDescent="0.75">
      <c r="A185" s="32">
        <v>183</v>
      </c>
      <c r="B185" s="32">
        <f t="shared" si="4"/>
        <v>60</v>
      </c>
      <c r="C185" s="32">
        <f t="shared" si="5"/>
        <v>3</v>
      </c>
      <c r="D185" s="31" cm="1">
        <f t="array" ref="D185">INDEX('Subj-Map2-1'!$I$7:$K$100,1+B185,C185)</f>
        <v>0</v>
      </c>
    </row>
    <row r="186" spans="1:4" x14ac:dyDescent="0.75">
      <c r="A186" s="32">
        <v>184</v>
      </c>
      <c r="B186" s="32">
        <f t="shared" si="4"/>
        <v>61</v>
      </c>
      <c r="C186" s="32">
        <f t="shared" si="5"/>
        <v>1</v>
      </c>
      <c r="D186" s="31" cm="1">
        <f t="array" ref="D186">INDEX('Subj-Map2-1'!$I$7:$K$100,1+B186,C186)</f>
        <v>0</v>
      </c>
    </row>
    <row r="187" spans="1:4" x14ac:dyDescent="0.75">
      <c r="A187" s="32">
        <v>185</v>
      </c>
      <c r="B187" s="32">
        <f t="shared" si="4"/>
        <v>61</v>
      </c>
      <c r="C187" s="32">
        <f t="shared" si="5"/>
        <v>2</v>
      </c>
      <c r="D187" s="31" cm="1">
        <f t="array" ref="D187">INDEX('Subj-Map2-1'!$I$7:$K$100,1+B187,C187)</f>
        <v>0</v>
      </c>
    </row>
    <row r="188" spans="1:4" x14ac:dyDescent="0.75">
      <c r="A188" s="32">
        <v>186</v>
      </c>
      <c r="B188" s="32">
        <f t="shared" si="4"/>
        <v>61</v>
      </c>
      <c r="C188" s="32">
        <f t="shared" si="5"/>
        <v>3</v>
      </c>
      <c r="D188" s="31" cm="1">
        <f t="array" ref="D188">INDEX('Subj-Map2-1'!$I$7:$K$100,1+B188,C188)</f>
        <v>0</v>
      </c>
    </row>
    <row r="189" spans="1:4" x14ac:dyDescent="0.75">
      <c r="A189" s="32">
        <v>187</v>
      </c>
      <c r="B189" s="32">
        <f t="shared" si="4"/>
        <v>62</v>
      </c>
      <c r="C189" s="32">
        <f t="shared" si="5"/>
        <v>1</v>
      </c>
      <c r="D189" s="31" cm="1">
        <f t="array" ref="D189">INDEX('Subj-Map2-1'!$I$7:$K$100,1+B189,C189)</f>
        <v>0</v>
      </c>
    </row>
    <row r="190" spans="1:4" x14ac:dyDescent="0.75">
      <c r="A190" s="32">
        <v>188</v>
      </c>
      <c r="B190" s="32">
        <f t="shared" si="4"/>
        <v>62</v>
      </c>
      <c r="C190" s="32">
        <f t="shared" si="5"/>
        <v>2</v>
      </c>
      <c r="D190" s="31" cm="1">
        <f t="array" ref="D190">INDEX('Subj-Map2-1'!$I$7:$K$100,1+B190,C190)</f>
        <v>0</v>
      </c>
    </row>
    <row r="191" spans="1:4" x14ac:dyDescent="0.75">
      <c r="A191" s="32">
        <v>189</v>
      </c>
      <c r="B191" s="32">
        <f t="shared" si="4"/>
        <v>62</v>
      </c>
      <c r="C191" s="32">
        <f t="shared" si="5"/>
        <v>3</v>
      </c>
      <c r="D191" s="31" cm="1">
        <f t="array" ref="D191">INDEX('Subj-Map2-1'!$I$7:$K$100,1+B191,C191)</f>
        <v>0</v>
      </c>
    </row>
    <row r="192" spans="1:4" x14ac:dyDescent="0.75">
      <c r="A192" s="32">
        <v>190</v>
      </c>
      <c r="B192" s="32">
        <f t="shared" si="4"/>
        <v>63</v>
      </c>
      <c r="C192" s="32">
        <f t="shared" si="5"/>
        <v>1</v>
      </c>
      <c r="D192" s="31" cm="1">
        <f t="array" ref="D192">INDEX('Subj-Map2-1'!$I$7:$K$100,1+B192,C192)</f>
        <v>0</v>
      </c>
    </row>
    <row r="193" spans="1:4" x14ac:dyDescent="0.75">
      <c r="A193" s="32">
        <v>191</v>
      </c>
      <c r="B193" s="32">
        <f t="shared" si="4"/>
        <v>63</v>
      </c>
      <c r="C193" s="32">
        <f t="shared" si="5"/>
        <v>2</v>
      </c>
      <c r="D193" s="31" cm="1">
        <f t="array" ref="D193">INDEX('Subj-Map2-1'!$I$7:$K$100,1+B193,C193)</f>
        <v>0</v>
      </c>
    </row>
    <row r="194" spans="1:4" x14ac:dyDescent="0.75">
      <c r="A194" s="32">
        <v>192</v>
      </c>
      <c r="B194" s="32">
        <f t="shared" si="4"/>
        <v>63</v>
      </c>
      <c r="C194" s="32">
        <f t="shared" si="5"/>
        <v>3</v>
      </c>
      <c r="D194" s="31" cm="1">
        <f t="array" ref="D194">INDEX('Subj-Map2-1'!$I$7:$K$100,1+B194,C194)</f>
        <v>0</v>
      </c>
    </row>
    <row r="195" spans="1:4" x14ac:dyDescent="0.75">
      <c r="A195" s="32">
        <v>193</v>
      </c>
      <c r="B195" s="32">
        <f t="shared" si="4"/>
        <v>64</v>
      </c>
      <c r="C195" s="32">
        <f t="shared" si="5"/>
        <v>1</v>
      </c>
      <c r="D195" s="31" cm="1">
        <f t="array" ref="D195">INDEX('Subj-Map2-1'!$I$7:$K$100,1+B195,C195)</f>
        <v>0</v>
      </c>
    </row>
    <row r="196" spans="1:4" x14ac:dyDescent="0.75">
      <c r="A196" s="32">
        <v>194</v>
      </c>
      <c r="B196" s="32">
        <f t="shared" ref="B196:B206" si="6">IF(MOD(A196,3)=0,A196/3-1,INT(A196/3))</f>
        <v>64</v>
      </c>
      <c r="C196" s="32">
        <f t="shared" ref="C196:C206" si="7">IF(MOD(A196,3)=0,3,MOD(A196,3))</f>
        <v>2</v>
      </c>
      <c r="D196" s="31" cm="1">
        <f t="array" ref="D196">INDEX('Subj-Map2-1'!$I$7:$K$100,1+B196,C196)</f>
        <v>0</v>
      </c>
    </row>
    <row r="197" spans="1:4" x14ac:dyDescent="0.75">
      <c r="A197" s="32">
        <v>195</v>
      </c>
      <c r="B197" s="32">
        <f t="shared" si="6"/>
        <v>64</v>
      </c>
      <c r="C197" s="32">
        <f t="shared" si="7"/>
        <v>3</v>
      </c>
      <c r="D197" s="31" cm="1">
        <f t="array" ref="D197">INDEX('Subj-Map2-1'!$I$7:$K$100,1+B197,C197)</f>
        <v>0</v>
      </c>
    </row>
    <row r="198" spans="1:4" x14ac:dyDescent="0.75">
      <c r="A198" s="32">
        <v>196</v>
      </c>
      <c r="B198" s="32">
        <f t="shared" si="6"/>
        <v>65</v>
      </c>
      <c r="C198" s="32">
        <f t="shared" si="7"/>
        <v>1</v>
      </c>
      <c r="D198" s="31" cm="1">
        <f t="array" ref="D198">INDEX('Subj-Map2-1'!$I$7:$K$100,1+B198,C198)</f>
        <v>0</v>
      </c>
    </row>
    <row r="199" spans="1:4" x14ac:dyDescent="0.75">
      <c r="A199" s="32">
        <v>197</v>
      </c>
      <c r="B199" s="32">
        <f t="shared" si="6"/>
        <v>65</v>
      </c>
      <c r="C199" s="32">
        <f t="shared" si="7"/>
        <v>2</v>
      </c>
      <c r="D199" s="31" cm="1">
        <f t="array" ref="D199">INDEX('Subj-Map2-1'!$I$7:$K$100,1+B199,C199)</f>
        <v>0</v>
      </c>
    </row>
    <row r="200" spans="1:4" x14ac:dyDescent="0.75">
      <c r="A200" s="32">
        <v>198</v>
      </c>
      <c r="B200" s="32">
        <f t="shared" si="6"/>
        <v>65</v>
      </c>
      <c r="C200" s="32">
        <f t="shared" si="7"/>
        <v>3</v>
      </c>
      <c r="D200" s="31" cm="1">
        <f t="array" ref="D200">INDEX('Subj-Map2-1'!$I$7:$K$100,1+B200,C200)</f>
        <v>0</v>
      </c>
    </row>
    <row r="201" spans="1:4" x14ac:dyDescent="0.75">
      <c r="A201" s="32">
        <v>199</v>
      </c>
      <c r="B201" s="32">
        <f t="shared" si="6"/>
        <v>66</v>
      </c>
      <c r="C201" s="32">
        <f t="shared" si="7"/>
        <v>1</v>
      </c>
      <c r="D201" s="31" cm="1">
        <f t="array" ref="D201">INDEX('Subj-Map2-1'!$I$7:$K$100,1+B201,C201)</f>
        <v>0</v>
      </c>
    </row>
    <row r="202" spans="1:4" x14ac:dyDescent="0.75">
      <c r="A202" s="32">
        <v>200</v>
      </c>
      <c r="B202" s="32">
        <f t="shared" si="6"/>
        <v>66</v>
      </c>
      <c r="C202" s="32">
        <f t="shared" si="7"/>
        <v>2</v>
      </c>
      <c r="D202" s="31" cm="1">
        <f t="array" ref="D202">INDEX('Subj-Map2-1'!$I$7:$K$100,1+B202,C202)</f>
        <v>0</v>
      </c>
    </row>
    <row r="203" spans="1:4" x14ac:dyDescent="0.75">
      <c r="A203" s="32">
        <v>201</v>
      </c>
      <c r="B203" s="32">
        <f t="shared" si="6"/>
        <v>66</v>
      </c>
      <c r="C203" s="32">
        <f t="shared" si="7"/>
        <v>3</v>
      </c>
      <c r="D203" s="31" cm="1">
        <f t="array" ref="D203">INDEX('Subj-Map2-1'!$I$7:$K$100,1+B203,C203)</f>
        <v>0</v>
      </c>
    </row>
    <row r="204" spans="1:4" x14ac:dyDescent="0.75">
      <c r="A204" s="32">
        <v>202</v>
      </c>
      <c r="B204" s="32">
        <f t="shared" si="6"/>
        <v>67</v>
      </c>
      <c r="C204" s="32">
        <f t="shared" si="7"/>
        <v>1</v>
      </c>
      <c r="D204" s="31" cm="1">
        <f t="array" ref="D204">INDEX('Subj-Map2-1'!$I$7:$K$100,1+B204,C204)</f>
        <v>0</v>
      </c>
    </row>
    <row r="205" spans="1:4" x14ac:dyDescent="0.75">
      <c r="A205" s="32">
        <v>203</v>
      </c>
      <c r="B205" s="32">
        <f t="shared" si="6"/>
        <v>67</v>
      </c>
      <c r="C205" s="32">
        <f t="shared" si="7"/>
        <v>2</v>
      </c>
      <c r="D205" s="31" cm="1">
        <f t="array" ref="D205">INDEX('Subj-Map2-1'!$I$7:$K$100,1+B205,C205)</f>
        <v>0</v>
      </c>
    </row>
    <row r="206" spans="1:4" x14ac:dyDescent="0.75">
      <c r="A206" s="32">
        <v>204</v>
      </c>
      <c r="B206" s="32">
        <f t="shared" si="6"/>
        <v>67</v>
      </c>
      <c r="C206" s="32">
        <f t="shared" si="7"/>
        <v>3</v>
      </c>
      <c r="D206" s="31" cm="1">
        <f t="array" ref="D206">INDEX('Subj-Map2-1'!$I$7:$K$100,1+B206,C206)</f>
        <v>0</v>
      </c>
    </row>
    <row r="207" spans="1:4" x14ac:dyDescent="0.75">
      <c r="A207" s="32"/>
      <c r="B207" s="32"/>
      <c r="C207" s="32"/>
    </row>
    <row r="208" spans="1:4" x14ac:dyDescent="0.75">
      <c r="A208" s="32"/>
      <c r="B208" s="32"/>
      <c r="C208" s="32"/>
    </row>
    <row r="209" spans="1:3" x14ac:dyDescent="0.75">
      <c r="A209" s="32"/>
      <c r="B209" s="32"/>
      <c r="C209" s="32"/>
    </row>
    <row r="210" spans="1:3" x14ac:dyDescent="0.75">
      <c r="A210" s="32"/>
      <c r="B210" s="32"/>
      <c r="C210" s="32"/>
    </row>
    <row r="211" spans="1:3" x14ac:dyDescent="0.75">
      <c r="A211" s="32"/>
      <c r="B211" s="32"/>
      <c r="C211" s="32"/>
    </row>
    <row r="212" spans="1:3" x14ac:dyDescent="0.75">
      <c r="A212" s="32"/>
      <c r="B212" s="32"/>
      <c r="C212" s="32"/>
    </row>
    <row r="213" spans="1:3" x14ac:dyDescent="0.75">
      <c r="A213" s="32"/>
      <c r="B213" s="32"/>
      <c r="C213" s="32"/>
    </row>
    <row r="214" spans="1:3" x14ac:dyDescent="0.75">
      <c r="A214" s="32"/>
      <c r="B214" s="32"/>
      <c r="C214" s="32"/>
    </row>
    <row r="215" spans="1:3" x14ac:dyDescent="0.75">
      <c r="A215" s="32"/>
      <c r="B215" s="32"/>
      <c r="C215" s="32"/>
    </row>
    <row r="216" spans="1:3" x14ac:dyDescent="0.75">
      <c r="A216" s="32"/>
      <c r="B216" s="32"/>
      <c r="C216" s="32"/>
    </row>
    <row r="217" spans="1:3" x14ac:dyDescent="0.75">
      <c r="A217" s="32"/>
      <c r="B217" s="32"/>
      <c r="C217" s="32"/>
    </row>
    <row r="218" spans="1:3" x14ac:dyDescent="0.75">
      <c r="A218" s="32"/>
      <c r="B218" s="32"/>
      <c r="C218" s="32"/>
    </row>
    <row r="219" spans="1:3" x14ac:dyDescent="0.75">
      <c r="A219" s="32"/>
      <c r="B219" s="32"/>
      <c r="C219" s="32"/>
    </row>
    <row r="220" spans="1:3" x14ac:dyDescent="0.75">
      <c r="A220" s="32"/>
      <c r="B220" s="32"/>
      <c r="C220" s="32"/>
    </row>
    <row r="221" spans="1:3" x14ac:dyDescent="0.75">
      <c r="A221" s="32"/>
      <c r="B221" s="32"/>
      <c r="C221" s="32"/>
    </row>
    <row r="222" spans="1:3" x14ac:dyDescent="0.75">
      <c r="A222" s="32"/>
      <c r="B222" s="32"/>
      <c r="C222" s="32"/>
    </row>
    <row r="223" spans="1:3" x14ac:dyDescent="0.75">
      <c r="A223" s="32"/>
      <c r="B223" s="32"/>
      <c r="C223" s="32"/>
    </row>
    <row r="224" spans="1:3" x14ac:dyDescent="0.75">
      <c r="A224" s="32"/>
      <c r="B224" s="32"/>
      <c r="C224" s="32"/>
    </row>
    <row r="225" spans="1:3" x14ac:dyDescent="0.75">
      <c r="A225" s="32"/>
      <c r="B225" s="32"/>
      <c r="C225" s="32"/>
    </row>
    <row r="226" spans="1:3" x14ac:dyDescent="0.75">
      <c r="A226" s="32"/>
      <c r="B226" s="32"/>
      <c r="C226" s="32"/>
    </row>
    <row r="227" spans="1:3" x14ac:dyDescent="0.75">
      <c r="A227" s="32"/>
      <c r="B227" s="32"/>
      <c r="C227" s="32"/>
    </row>
    <row r="228" spans="1:3" x14ac:dyDescent="0.75">
      <c r="A228" s="32"/>
      <c r="B228" s="32"/>
      <c r="C228" s="32"/>
    </row>
    <row r="229" spans="1:3" x14ac:dyDescent="0.75">
      <c r="A229" s="32"/>
      <c r="B229" s="32"/>
      <c r="C229" s="32"/>
    </row>
    <row r="230" spans="1:3" x14ac:dyDescent="0.75">
      <c r="A230" s="32"/>
      <c r="B230" s="32"/>
      <c r="C230" s="32"/>
    </row>
    <row r="231" spans="1:3" x14ac:dyDescent="0.75">
      <c r="A231" s="32"/>
      <c r="B231" s="32"/>
      <c r="C231" s="32"/>
    </row>
    <row r="232" spans="1:3" x14ac:dyDescent="0.75">
      <c r="A232" s="32"/>
      <c r="B232" s="32"/>
      <c r="C232" s="32"/>
    </row>
    <row r="233" spans="1:3" x14ac:dyDescent="0.75">
      <c r="A233" s="32"/>
      <c r="B233" s="32"/>
      <c r="C233" s="32"/>
    </row>
    <row r="234" spans="1:3" x14ac:dyDescent="0.75">
      <c r="A234" s="32"/>
      <c r="B234" s="32"/>
      <c r="C234" s="32"/>
    </row>
    <row r="235" spans="1:3" x14ac:dyDescent="0.75">
      <c r="A235" s="32"/>
      <c r="B235" s="32"/>
      <c r="C235" s="32"/>
    </row>
    <row r="236" spans="1:3" x14ac:dyDescent="0.75">
      <c r="A236" s="32"/>
      <c r="B236" s="32"/>
      <c r="C236" s="32"/>
    </row>
    <row r="237" spans="1:3" x14ac:dyDescent="0.75">
      <c r="A237" s="32"/>
      <c r="B237" s="32"/>
      <c r="C237" s="32"/>
    </row>
    <row r="238" spans="1:3" x14ac:dyDescent="0.75">
      <c r="A238" s="32"/>
      <c r="B238" s="32"/>
      <c r="C238" s="32"/>
    </row>
    <row r="239" spans="1:3" x14ac:dyDescent="0.75">
      <c r="A239" s="32"/>
      <c r="B239" s="32"/>
      <c r="C239" s="32"/>
    </row>
    <row r="240" spans="1:3" x14ac:dyDescent="0.75">
      <c r="A240" s="32"/>
      <c r="B240" s="32"/>
      <c r="C240" s="32"/>
    </row>
    <row r="241" spans="1:3" x14ac:dyDescent="0.75">
      <c r="A241" s="32"/>
      <c r="B241" s="32"/>
      <c r="C241" s="32"/>
    </row>
    <row r="242" spans="1:3" x14ac:dyDescent="0.75">
      <c r="A242" s="32"/>
      <c r="B242" s="32"/>
      <c r="C242" s="32"/>
    </row>
    <row r="243" spans="1:3" x14ac:dyDescent="0.75">
      <c r="A243" s="32"/>
      <c r="B243" s="32"/>
      <c r="C243" s="32"/>
    </row>
    <row r="244" spans="1:3" x14ac:dyDescent="0.75">
      <c r="A244" s="32"/>
      <c r="B244" s="32"/>
      <c r="C244" s="32"/>
    </row>
    <row r="245" spans="1:3" x14ac:dyDescent="0.75">
      <c r="A245" s="32"/>
      <c r="B245" s="32"/>
      <c r="C245" s="32"/>
    </row>
    <row r="246" spans="1:3" x14ac:dyDescent="0.75">
      <c r="A246" s="32"/>
      <c r="B246" s="32"/>
      <c r="C246" s="32"/>
    </row>
    <row r="247" spans="1:3" x14ac:dyDescent="0.75">
      <c r="A247" s="32"/>
      <c r="B247" s="32"/>
      <c r="C247" s="32"/>
    </row>
    <row r="248" spans="1:3" x14ac:dyDescent="0.75">
      <c r="A248" s="32"/>
      <c r="B248" s="32"/>
      <c r="C248" s="32"/>
    </row>
    <row r="249" spans="1:3" x14ac:dyDescent="0.75">
      <c r="A249" s="32"/>
      <c r="B249" s="32"/>
      <c r="C249" s="32"/>
    </row>
    <row r="250" spans="1:3" x14ac:dyDescent="0.75">
      <c r="A250" s="32"/>
      <c r="B250" s="32"/>
      <c r="C250" s="32"/>
    </row>
    <row r="251" spans="1:3" x14ac:dyDescent="0.75">
      <c r="A251" s="32"/>
      <c r="B251" s="32"/>
      <c r="C251" s="32"/>
    </row>
    <row r="252" spans="1:3" x14ac:dyDescent="0.75">
      <c r="A252" s="32"/>
      <c r="B252" s="32"/>
      <c r="C252" s="32"/>
    </row>
    <row r="253" spans="1:3" x14ac:dyDescent="0.75">
      <c r="A253" s="32"/>
      <c r="B253" s="32"/>
      <c r="C253" s="32"/>
    </row>
    <row r="254" spans="1:3" x14ac:dyDescent="0.75">
      <c r="A254" s="32"/>
      <c r="B254" s="32"/>
      <c r="C254" s="32"/>
    </row>
    <row r="255" spans="1:3" x14ac:dyDescent="0.75">
      <c r="A255" s="32"/>
      <c r="B255" s="32"/>
      <c r="C255" s="32"/>
    </row>
    <row r="256" spans="1:3" x14ac:dyDescent="0.75">
      <c r="A256" s="32"/>
      <c r="B256" s="32"/>
      <c r="C256" s="32"/>
    </row>
    <row r="257" spans="1:3" x14ac:dyDescent="0.75">
      <c r="A257" s="32"/>
      <c r="B257" s="32"/>
      <c r="C257" s="32"/>
    </row>
    <row r="258" spans="1:3" x14ac:dyDescent="0.75">
      <c r="A258" s="32"/>
      <c r="B258" s="32"/>
      <c r="C258" s="32"/>
    </row>
    <row r="259" spans="1:3" x14ac:dyDescent="0.75">
      <c r="A259" s="32"/>
      <c r="B259" s="32"/>
      <c r="C259" s="32"/>
    </row>
    <row r="260" spans="1:3" x14ac:dyDescent="0.75">
      <c r="A260" s="32"/>
      <c r="B260" s="32"/>
      <c r="C260" s="32"/>
    </row>
    <row r="261" spans="1:3" x14ac:dyDescent="0.75">
      <c r="A261" s="32"/>
      <c r="B261" s="32"/>
      <c r="C261" s="32"/>
    </row>
    <row r="262" spans="1:3" x14ac:dyDescent="0.75">
      <c r="A262" s="32"/>
      <c r="B262" s="32"/>
      <c r="C262" s="32"/>
    </row>
    <row r="263" spans="1:3" x14ac:dyDescent="0.75">
      <c r="A263" s="32"/>
      <c r="B263" s="32"/>
      <c r="C263" s="32"/>
    </row>
    <row r="264" spans="1:3" x14ac:dyDescent="0.75">
      <c r="A264" s="32"/>
      <c r="B264" s="32"/>
      <c r="C264" s="32"/>
    </row>
    <row r="265" spans="1:3" x14ac:dyDescent="0.75">
      <c r="A265" s="32"/>
      <c r="B265" s="32"/>
      <c r="C265" s="32"/>
    </row>
    <row r="266" spans="1:3" x14ac:dyDescent="0.75">
      <c r="A266" s="32"/>
      <c r="B266" s="32"/>
      <c r="C266" s="32"/>
    </row>
    <row r="267" spans="1:3" x14ac:dyDescent="0.75">
      <c r="A267" s="32"/>
      <c r="B267" s="32"/>
      <c r="C267" s="32"/>
    </row>
    <row r="268" spans="1:3" x14ac:dyDescent="0.75">
      <c r="A268" s="32"/>
      <c r="B268" s="32"/>
      <c r="C268" s="32"/>
    </row>
    <row r="269" spans="1:3" x14ac:dyDescent="0.75">
      <c r="A269" s="32"/>
      <c r="B269" s="32"/>
      <c r="C269" s="32"/>
    </row>
    <row r="270" spans="1:3" x14ac:dyDescent="0.75">
      <c r="A270" s="32"/>
      <c r="B270" s="32"/>
      <c r="C270" s="32"/>
    </row>
    <row r="271" spans="1:3" x14ac:dyDescent="0.75">
      <c r="A271" s="32"/>
      <c r="B271" s="32"/>
      <c r="C271" s="32"/>
    </row>
    <row r="272" spans="1:3" x14ac:dyDescent="0.75">
      <c r="A272" s="32"/>
      <c r="B272" s="32"/>
      <c r="C272" s="32"/>
    </row>
    <row r="273" spans="1:3" x14ac:dyDescent="0.75">
      <c r="A273" s="32"/>
      <c r="B273" s="32"/>
      <c r="C273" s="32"/>
    </row>
    <row r="274" spans="1:3" x14ac:dyDescent="0.75">
      <c r="A274" s="32"/>
      <c r="B274" s="32"/>
      <c r="C274" s="32"/>
    </row>
    <row r="275" spans="1:3" x14ac:dyDescent="0.75">
      <c r="A275" s="32"/>
      <c r="B275" s="32"/>
      <c r="C275" s="32"/>
    </row>
    <row r="276" spans="1:3" x14ac:dyDescent="0.75">
      <c r="A276" s="32"/>
      <c r="B276" s="32"/>
      <c r="C276" s="32"/>
    </row>
    <row r="277" spans="1:3" x14ac:dyDescent="0.75">
      <c r="A277" s="32"/>
      <c r="B277" s="32"/>
      <c r="C277" s="32"/>
    </row>
    <row r="278" spans="1:3" x14ac:dyDescent="0.75">
      <c r="A278" s="32"/>
      <c r="B278" s="32"/>
      <c r="C278" s="32"/>
    </row>
    <row r="279" spans="1:3" x14ac:dyDescent="0.75">
      <c r="A279" s="32"/>
      <c r="B279" s="32"/>
      <c r="C279" s="32"/>
    </row>
    <row r="280" spans="1:3" x14ac:dyDescent="0.75">
      <c r="A280" s="32"/>
      <c r="B280" s="32"/>
      <c r="C280" s="32"/>
    </row>
    <row r="281" spans="1:3" x14ac:dyDescent="0.75">
      <c r="A281" s="32"/>
      <c r="B281" s="32"/>
      <c r="C281" s="32"/>
    </row>
    <row r="282" spans="1:3" x14ac:dyDescent="0.75">
      <c r="A282" s="32"/>
      <c r="B282" s="32"/>
      <c r="C282" s="32"/>
    </row>
    <row r="283" spans="1:3" x14ac:dyDescent="0.75">
      <c r="A283" s="32"/>
      <c r="B283" s="32"/>
      <c r="C283" s="32"/>
    </row>
    <row r="284" spans="1:3" x14ac:dyDescent="0.75">
      <c r="A284" s="32"/>
      <c r="B284" s="32"/>
      <c r="C284" s="32"/>
    </row>
    <row r="285" spans="1:3" x14ac:dyDescent="0.75">
      <c r="A285" s="32"/>
      <c r="B285" s="32"/>
      <c r="C285" s="32"/>
    </row>
    <row r="286" spans="1:3" x14ac:dyDescent="0.75">
      <c r="A286" s="32"/>
      <c r="B286" s="32"/>
      <c r="C286" s="32"/>
    </row>
    <row r="287" spans="1:3" x14ac:dyDescent="0.75">
      <c r="A287" s="32"/>
      <c r="B287" s="32"/>
      <c r="C287" s="32"/>
    </row>
    <row r="288" spans="1:3" x14ac:dyDescent="0.75">
      <c r="A288" s="32"/>
      <c r="B288" s="32"/>
      <c r="C288" s="32"/>
    </row>
    <row r="289" spans="1:3" x14ac:dyDescent="0.75">
      <c r="A289" s="32"/>
      <c r="B289" s="32"/>
      <c r="C289" s="32"/>
    </row>
    <row r="290" spans="1:3" x14ac:dyDescent="0.75">
      <c r="A290" s="32"/>
      <c r="B290" s="32"/>
      <c r="C290" s="32"/>
    </row>
    <row r="291" spans="1:3" x14ac:dyDescent="0.75">
      <c r="A291" s="32"/>
      <c r="B291" s="32"/>
      <c r="C291" s="32"/>
    </row>
    <row r="292" spans="1:3" x14ac:dyDescent="0.75">
      <c r="A292" s="32"/>
      <c r="B292" s="32"/>
      <c r="C292" s="32"/>
    </row>
    <row r="293" spans="1:3" x14ac:dyDescent="0.75">
      <c r="A293" s="32"/>
      <c r="B293" s="32"/>
      <c r="C293" s="32"/>
    </row>
    <row r="294" spans="1:3" x14ac:dyDescent="0.75">
      <c r="A294" s="32"/>
      <c r="B294" s="32"/>
      <c r="C294" s="32"/>
    </row>
    <row r="295" spans="1:3" x14ac:dyDescent="0.75">
      <c r="A295" s="32"/>
      <c r="B295" s="32"/>
      <c r="C295" s="32"/>
    </row>
    <row r="296" spans="1:3" x14ac:dyDescent="0.75">
      <c r="A296" s="32"/>
      <c r="B296" s="32"/>
      <c r="C296" s="32"/>
    </row>
    <row r="297" spans="1:3" x14ac:dyDescent="0.75">
      <c r="A297" s="32"/>
      <c r="B297" s="32"/>
      <c r="C297" s="32"/>
    </row>
    <row r="298" spans="1:3" x14ac:dyDescent="0.75">
      <c r="A298" s="32"/>
      <c r="B298" s="32"/>
      <c r="C298" s="32"/>
    </row>
    <row r="299" spans="1:3" x14ac:dyDescent="0.75">
      <c r="A299" s="32"/>
      <c r="B299" s="32"/>
      <c r="C299" s="32"/>
    </row>
    <row r="300" spans="1:3" x14ac:dyDescent="0.75">
      <c r="A300" s="32"/>
      <c r="B300" s="32"/>
      <c r="C300" s="32"/>
    </row>
    <row r="301" spans="1:3" x14ac:dyDescent="0.75">
      <c r="A301" s="32"/>
      <c r="B301" s="32"/>
      <c r="C301" s="32"/>
    </row>
    <row r="302" spans="1:3" x14ac:dyDescent="0.75">
      <c r="A302" s="32"/>
      <c r="B302" s="32"/>
      <c r="C302" s="32"/>
    </row>
    <row r="303" spans="1:3" x14ac:dyDescent="0.75">
      <c r="A303" s="32"/>
      <c r="B303" s="32"/>
      <c r="C303" s="32"/>
    </row>
    <row r="304" spans="1:3" x14ac:dyDescent="0.75">
      <c r="A304" s="32"/>
      <c r="B304" s="32"/>
      <c r="C304" s="32"/>
    </row>
    <row r="305" spans="1:3" x14ac:dyDescent="0.75">
      <c r="A305" s="32"/>
      <c r="B305" s="32"/>
      <c r="C305" s="32"/>
    </row>
    <row r="306" spans="1:3" x14ac:dyDescent="0.75">
      <c r="A306" s="32"/>
      <c r="B306" s="32"/>
      <c r="C306" s="32"/>
    </row>
    <row r="307" spans="1:3" x14ac:dyDescent="0.75">
      <c r="A307" s="32"/>
      <c r="B307" s="32"/>
      <c r="C307" s="32"/>
    </row>
    <row r="308" spans="1:3" x14ac:dyDescent="0.75">
      <c r="A308" s="32"/>
      <c r="B308" s="32"/>
      <c r="C308" s="32"/>
    </row>
    <row r="309" spans="1:3" x14ac:dyDescent="0.75">
      <c r="A309" s="32"/>
      <c r="B309" s="32"/>
      <c r="C309" s="32"/>
    </row>
    <row r="310" spans="1:3" x14ac:dyDescent="0.75">
      <c r="A310" s="32"/>
      <c r="B310" s="32"/>
      <c r="C310" s="32"/>
    </row>
    <row r="311" spans="1:3" x14ac:dyDescent="0.75">
      <c r="A311" s="32"/>
      <c r="B311" s="32"/>
      <c r="C311" s="32"/>
    </row>
    <row r="312" spans="1:3" x14ac:dyDescent="0.75">
      <c r="A312" s="32"/>
      <c r="B312" s="32"/>
      <c r="C312" s="32"/>
    </row>
    <row r="313" spans="1:3" x14ac:dyDescent="0.75">
      <c r="A313" s="32"/>
      <c r="B313" s="32"/>
      <c r="C313" s="32"/>
    </row>
    <row r="314" spans="1:3" x14ac:dyDescent="0.75">
      <c r="A314" s="32"/>
      <c r="B314" s="32"/>
      <c r="C314" s="32"/>
    </row>
    <row r="315" spans="1:3" x14ac:dyDescent="0.75">
      <c r="A315" s="32"/>
      <c r="B315" s="32"/>
      <c r="C315" s="32"/>
    </row>
    <row r="316" spans="1:3" x14ac:dyDescent="0.75">
      <c r="A316" s="32"/>
      <c r="B316" s="32"/>
      <c r="C316" s="32"/>
    </row>
    <row r="317" spans="1:3" x14ac:dyDescent="0.75">
      <c r="A317" s="32"/>
      <c r="B317" s="32"/>
      <c r="C317" s="32"/>
    </row>
    <row r="318" spans="1:3" x14ac:dyDescent="0.75">
      <c r="A318" s="32"/>
      <c r="B318" s="32"/>
      <c r="C318" s="32"/>
    </row>
    <row r="319" spans="1:3" x14ac:dyDescent="0.75">
      <c r="A319" s="32"/>
      <c r="B319" s="32"/>
      <c r="C319" s="32"/>
    </row>
    <row r="320" spans="1:3" x14ac:dyDescent="0.75">
      <c r="A320" s="32"/>
      <c r="B320" s="32"/>
      <c r="C320" s="32"/>
    </row>
    <row r="321" spans="1:3" x14ac:dyDescent="0.75">
      <c r="A321" s="32"/>
      <c r="B321" s="32"/>
      <c r="C321" s="32"/>
    </row>
    <row r="322" spans="1:3" x14ac:dyDescent="0.75">
      <c r="A322" s="32"/>
      <c r="B322" s="32"/>
      <c r="C322" s="32"/>
    </row>
    <row r="323" spans="1:3" x14ac:dyDescent="0.75">
      <c r="A323" s="32"/>
      <c r="B323" s="32"/>
      <c r="C323" s="32"/>
    </row>
    <row r="324" spans="1:3" x14ac:dyDescent="0.75">
      <c r="A324" s="32"/>
      <c r="B324" s="32"/>
      <c r="C324" s="32"/>
    </row>
    <row r="325" spans="1:3" x14ac:dyDescent="0.75">
      <c r="A325" s="32"/>
      <c r="B325" s="32"/>
      <c r="C325" s="32"/>
    </row>
    <row r="326" spans="1:3" x14ac:dyDescent="0.75">
      <c r="A326" s="32"/>
      <c r="B326" s="32"/>
      <c r="C326" s="32"/>
    </row>
    <row r="327" spans="1:3" x14ac:dyDescent="0.75">
      <c r="A327" s="32"/>
      <c r="B327" s="32"/>
      <c r="C327" s="32"/>
    </row>
    <row r="328" spans="1:3" x14ac:dyDescent="0.75">
      <c r="A328" s="32"/>
      <c r="B328" s="32"/>
      <c r="C328" s="32"/>
    </row>
    <row r="329" spans="1:3" x14ac:dyDescent="0.75">
      <c r="A329" s="32"/>
      <c r="B329" s="32"/>
      <c r="C329" s="32"/>
    </row>
    <row r="330" spans="1:3" x14ac:dyDescent="0.75">
      <c r="A330" s="32"/>
      <c r="B330" s="32"/>
      <c r="C330" s="32"/>
    </row>
    <row r="331" spans="1:3" x14ac:dyDescent="0.75">
      <c r="A331" s="32"/>
      <c r="B331" s="32"/>
      <c r="C331" s="32"/>
    </row>
    <row r="332" spans="1:3" x14ac:dyDescent="0.75">
      <c r="A332" s="32"/>
      <c r="B332" s="32"/>
      <c r="C332" s="32"/>
    </row>
    <row r="333" spans="1:3" x14ac:dyDescent="0.75">
      <c r="A333" s="32"/>
      <c r="B333" s="32"/>
      <c r="C333" s="32"/>
    </row>
    <row r="334" spans="1:3" x14ac:dyDescent="0.75">
      <c r="A334" s="32"/>
      <c r="B334" s="32"/>
      <c r="C334" s="32"/>
    </row>
    <row r="335" spans="1:3" x14ac:dyDescent="0.75">
      <c r="A335" s="32"/>
      <c r="B335" s="32"/>
      <c r="C335" s="32"/>
    </row>
    <row r="336" spans="1:3" x14ac:dyDescent="0.75">
      <c r="A336" s="32"/>
      <c r="B336" s="32"/>
      <c r="C336" s="32"/>
    </row>
    <row r="337" spans="1:3" x14ac:dyDescent="0.75">
      <c r="A337" s="32"/>
      <c r="B337" s="32"/>
      <c r="C337" s="32"/>
    </row>
    <row r="338" spans="1:3" x14ac:dyDescent="0.75">
      <c r="A338" s="32"/>
      <c r="B338" s="32"/>
      <c r="C338" s="32"/>
    </row>
    <row r="339" spans="1:3" x14ac:dyDescent="0.75">
      <c r="A339" s="32"/>
      <c r="B339" s="32"/>
      <c r="C339" s="32"/>
    </row>
    <row r="340" spans="1:3" x14ac:dyDescent="0.75">
      <c r="A340" s="32"/>
      <c r="B340" s="32"/>
      <c r="C340" s="32"/>
    </row>
    <row r="341" spans="1:3" x14ac:dyDescent="0.75">
      <c r="A341" s="32"/>
      <c r="B341" s="32"/>
      <c r="C341" s="32"/>
    </row>
    <row r="342" spans="1:3" x14ac:dyDescent="0.75">
      <c r="A342" s="32"/>
      <c r="B342" s="32"/>
      <c r="C342" s="32"/>
    </row>
    <row r="343" spans="1:3" x14ac:dyDescent="0.75">
      <c r="A343" s="32"/>
      <c r="B343" s="32"/>
      <c r="C343" s="32"/>
    </row>
    <row r="344" spans="1:3" x14ac:dyDescent="0.75">
      <c r="A344" s="32"/>
      <c r="B344" s="32"/>
      <c r="C344" s="32"/>
    </row>
    <row r="345" spans="1:3" x14ac:dyDescent="0.75">
      <c r="A345" s="32"/>
      <c r="B345" s="32"/>
      <c r="C345" s="32"/>
    </row>
    <row r="346" spans="1:3" x14ac:dyDescent="0.75">
      <c r="A346" s="32"/>
      <c r="B346" s="32"/>
      <c r="C346" s="32"/>
    </row>
    <row r="347" spans="1:3" x14ac:dyDescent="0.75">
      <c r="A347" s="32"/>
      <c r="B347" s="32"/>
      <c r="C347" s="32"/>
    </row>
    <row r="348" spans="1:3" x14ac:dyDescent="0.75">
      <c r="A348" s="32"/>
      <c r="B348" s="32"/>
      <c r="C348" s="32"/>
    </row>
    <row r="349" spans="1:3" x14ac:dyDescent="0.75">
      <c r="A349" s="32"/>
      <c r="B349" s="32"/>
      <c r="C349" s="32"/>
    </row>
    <row r="350" spans="1:3" x14ac:dyDescent="0.75">
      <c r="A350" s="32"/>
      <c r="B350" s="32"/>
      <c r="C350" s="32"/>
    </row>
    <row r="351" spans="1:3" x14ac:dyDescent="0.75">
      <c r="A351" s="32"/>
      <c r="B351" s="32"/>
      <c r="C351" s="32"/>
    </row>
    <row r="352" spans="1:3" x14ac:dyDescent="0.75">
      <c r="A352" s="32"/>
      <c r="B352" s="32"/>
      <c r="C352" s="32"/>
    </row>
    <row r="353" spans="1:3" x14ac:dyDescent="0.75">
      <c r="A353" s="32"/>
      <c r="B353" s="32"/>
      <c r="C353" s="32"/>
    </row>
    <row r="354" spans="1:3" x14ac:dyDescent="0.75">
      <c r="A354" s="32"/>
      <c r="B354" s="32"/>
      <c r="C354" s="32"/>
    </row>
    <row r="355" spans="1:3" x14ac:dyDescent="0.75">
      <c r="A355" s="32"/>
      <c r="B355" s="32"/>
      <c r="C355" s="32"/>
    </row>
    <row r="356" spans="1:3" x14ac:dyDescent="0.75">
      <c r="A356" s="32"/>
      <c r="B356" s="32"/>
      <c r="C356" s="32"/>
    </row>
    <row r="357" spans="1:3" x14ac:dyDescent="0.75">
      <c r="A357" s="32"/>
      <c r="B357" s="32"/>
      <c r="C357" s="32"/>
    </row>
    <row r="358" spans="1:3" x14ac:dyDescent="0.75">
      <c r="A358" s="32"/>
      <c r="B358" s="32"/>
      <c r="C358" s="32"/>
    </row>
    <row r="359" spans="1:3" x14ac:dyDescent="0.75">
      <c r="A359" s="32"/>
      <c r="B359" s="32"/>
      <c r="C359" s="32"/>
    </row>
    <row r="360" spans="1:3" x14ac:dyDescent="0.75">
      <c r="A360" s="32"/>
      <c r="B360" s="32"/>
      <c r="C360" s="32"/>
    </row>
    <row r="361" spans="1:3" x14ac:dyDescent="0.75">
      <c r="A361" s="32"/>
      <c r="B361" s="32"/>
      <c r="C361" s="32"/>
    </row>
    <row r="362" spans="1:3" x14ac:dyDescent="0.75">
      <c r="A362" s="32"/>
      <c r="B362" s="32"/>
      <c r="C362" s="32"/>
    </row>
    <row r="363" spans="1:3" x14ac:dyDescent="0.75">
      <c r="A363" s="32"/>
      <c r="B363" s="32"/>
      <c r="C363" s="32"/>
    </row>
    <row r="364" spans="1:3" x14ac:dyDescent="0.75">
      <c r="A364" s="32"/>
      <c r="B364" s="32"/>
      <c r="C364" s="32"/>
    </row>
    <row r="365" spans="1:3" x14ac:dyDescent="0.75">
      <c r="A365" s="32"/>
      <c r="B365" s="32"/>
      <c r="C365" s="32"/>
    </row>
    <row r="366" spans="1:3" x14ac:dyDescent="0.75">
      <c r="A366" s="32"/>
      <c r="B366" s="32"/>
      <c r="C366" s="32"/>
    </row>
    <row r="367" spans="1:3" x14ac:dyDescent="0.75">
      <c r="A367" s="32"/>
      <c r="B367" s="32"/>
      <c r="C367" s="32"/>
    </row>
    <row r="368" spans="1:3" x14ac:dyDescent="0.75">
      <c r="A368" s="32"/>
      <c r="B368" s="32"/>
      <c r="C368" s="32"/>
    </row>
    <row r="369" spans="1:3" x14ac:dyDescent="0.75">
      <c r="A369" s="32"/>
      <c r="B369" s="32"/>
      <c r="C369" s="32"/>
    </row>
    <row r="370" spans="1:3" x14ac:dyDescent="0.75">
      <c r="A370" s="32"/>
      <c r="B370" s="32"/>
      <c r="C370" s="32"/>
    </row>
    <row r="371" spans="1:3" x14ac:dyDescent="0.75">
      <c r="A371" s="32"/>
      <c r="B371" s="32"/>
      <c r="C371" s="32"/>
    </row>
    <row r="372" spans="1:3" x14ac:dyDescent="0.75">
      <c r="A372" s="32"/>
      <c r="B372" s="32"/>
      <c r="C372" s="32"/>
    </row>
    <row r="373" spans="1:3" x14ac:dyDescent="0.75">
      <c r="A373" s="32"/>
      <c r="B373" s="32"/>
      <c r="C373" s="32"/>
    </row>
    <row r="374" spans="1:3" x14ac:dyDescent="0.75">
      <c r="A374" s="32"/>
      <c r="B374" s="32"/>
      <c r="C374" s="32"/>
    </row>
    <row r="375" spans="1:3" x14ac:dyDescent="0.75">
      <c r="A375" s="32"/>
      <c r="B375" s="32"/>
      <c r="C375" s="32"/>
    </row>
    <row r="376" spans="1:3" x14ac:dyDescent="0.75">
      <c r="A376" s="32"/>
      <c r="B376" s="32"/>
      <c r="C376" s="32"/>
    </row>
    <row r="377" spans="1:3" x14ac:dyDescent="0.75">
      <c r="A377" s="32"/>
      <c r="B377" s="32"/>
      <c r="C377" s="32"/>
    </row>
    <row r="378" spans="1:3" x14ac:dyDescent="0.75">
      <c r="A378" s="32"/>
      <c r="B378" s="32"/>
      <c r="C378" s="32"/>
    </row>
    <row r="379" spans="1:3" x14ac:dyDescent="0.75">
      <c r="A379" s="32"/>
      <c r="B379" s="32"/>
      <c r="C379" s="32"/>
    </row>
    <row r="380" spans="1:3" x14ac:dyDescent="0.75">
      <c r="A380" s="32"/>
      <c r="B380" s="32"/>
      <c r="C380" s="32"/>
    </row>
    <row r="381" spans="1:3" x14ac:dyDescent="0.75">
      <c r="A381" s="32"/>
      <c r="B381" s="32"/>
      <c r="C381" s="32"/>
    </row>
    <row r="382" spans="1:3" x14ac:dyDescent="0.75">
      <c r="A382" s="32"/>
      <c r="B382" s="32"/>
      <c r="C382" s="32"/>
    </row>
    <row r="383" spans="1:3" x14ac:dyDescent="0.75">
      <c r="A383" s="32"/>
      <c r="B383" s="32"/>
      <c r="C383" s="32"/>
    </row>
    <row r="384" spans="1:3" x14ac:dyDescent="0.75">
      <c r="A384" s="32"/>
      <c r="B384" s="32"/>
      <c r="C384" s="32"/>
    </row>
    <row r="385" spans="1:3" x14ac:dyDescent="0.75">
      <c r="A385" s="32"/>
      <c r="B385" s="32"/>
      <c r="C385" s="32"/>
    </row>
    <row r="386" spans="1:3" x14ac:dyDescent="0.75">
      <c r="A386" s="32"/>
      <c r="B386" s="32"/>
      <c r="C386" s="32"/>
    </row>
    <row r="387" spans="1:3" x14ac:dyDescent="0.75">
      <c r="A387" s="32"/>
      <c r="B387" s="32"/>
      <c r="C387" s="32"/>
    </row>
    <row r="388" spans="1:3" x14ac:dyDescent="0.75">
      <c r="A388" s="32"/>
      <c r="B388" s="32"/>
      <c r="C388" s="32"/>
    </row>
    <row r="389" spans="1:3" x14ac:dyDescent="0.75">
      <c r="A389" s="32"/>
      <c r="B389" s="32"/>
      <c r="C389" s="32"/>
    </row>
    <row r="390" spans="1:3" x14ac:dyDescent="0.75">
      <c r="A390" s="32"/>
      <c r="B390" s="32"/>
      <c r="C390" s="32"/>
    </row>
    <row r="391" spans="1:3" x14ac:dyDescent="0.75">
      <c r="A391" s="32"/>
      <c r="B391" s="32"/>
      <c r="C391" s="32"/>
    </row>
    <row r="392" spans="1:3" x14ac:dyDescent="0.75">
      <c r="A392" s="32"/>
      <c r="B392" s="32"/>
      <c r="C392" s="32"/>
    </row>
    <row r="393" spans="1:3" x14ac:dyDescent="0.75">
      <c r="A393" s="32"/>
      <c r="B393" s="32"/>
      <c r="C393" s="32"/>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19" workbookViewId="0">
      <selection activeCell="D110" sqref="D110:D206"/>
    </sheetView>
  </sheetViews>
  <sheetFormatPr defaultRowHeight="14.75" x14ac:dyDescent="0.75"/>
  <cols>
    <col min="4" max="4" width="108.2265625" style="32" customWidth="1"/>
  </cols>
  <sheetData>
    <row r="3" spans="4:4" x14ac:dyDescent="0.75">
      <c r="D3" s="32" t="e">
        <f>'Subj-Map-2'!D3</f>
        <v>#REF!</v>
      </c>
    </row>
    <row r="4" spans="4:4" x14ac:dyDescent="0.75">
      <c r="D4" s="32" t="e">
        <f>'Subj-Map-2'!D4</f>
        <v>#REF!</v>
      </c>
    </row>
    <row r="5" spans="4:4" x14ac:dyDescent="0.75">
      <c r="D5" s="32" t="str">
        <f>'Subj-Map-2'!D5</f>
        <v/>
      </c>
    </row>
    <row r="6" spans="4:4" x14ac:dyDescent="0.75">
      <c r="D6" s="32" t="e">
        <f>'Subj-Map-2'!D6</f>
        <v>#REF!</v>
      </c>
    </row>
    <row r="7" spans="4:4" x14ac:dyDescent="0.75">
      <c r="D7" s="32" t="e">
        <f>'Subj-Map-2'!D7</f>
        <v>#REF!</v>
      </c>
    </row>
    <row r="8" spans="4:4" x14ac:dyDescent="0.75">
      <c r="D8" s="32" t="str">
        <f>'Subj-Map-2'!D8</f>
        <v/>
      </c>
    </row>
    <row r="9" spans="4:4" x14ac:dyDescent="0.75">
      <c r="D9" s="32" t="e">
        <f>'Subj-Map-2'!D9</f>
        <v>#REF!</v>
      </c>
    </row>
    <row r="10" spans="4:4" x14ac:dyDescent="0.75">
      <c r="D10" s="32" t="e">
        <f>'Subj-Map-2'!D10</f>
        <v>#REF!</v>
      </c>
    </row>
    <row r="11" spans="4:4" x14ac:dyDescent="0.75">
      <c r="D11" s="32" t="str">
        <f>'Subj-Map-2'!D11</f>
        <v/>
      </c>
    </row>
    <row r="12" spans="4:4" x14ac:dyDescent="0.75">
      <c r="D12" s="32" t="e">
        <f>'Subj-Map-2'!D12</f>
        <v>#REF!</v>
      </c>
    </row>
    <row r="13" spans="4:4" x14ac:dyDescent="0.75">
      <c r="D13" s="32" t="e">
        <f>'Subj-Map-2'!D13</f>
        <v>#REF!</v>
      </c>
    </row>
    <row r="14" spans="4:4" x14ac:dyDescent="0.75">
      <c r="D14" s="32" t="str">
        <f>'Subj-Map-2'!D14</f>
        <v/>
      </c>
    </row>
    <row r="15" spans="4:4" x14ac:dyDescent="0.75">
      <c r="D15" s="32" t="str">
        <f>'Subj-Map-2'!D15</f>
        <v/>
      </c>
    </row>
    <row r="16" spans="4:4" x14ac:dyDescent="0.75">
      <c r="D16" s="32" t="str">
        <f>'Subj-Map-2'!D16</f>
        <v/>
      </c>
    </row>
    <row r="17" spans="4:4" x14ac:dyDescent="0.75">
      <c r="D17" s="32" t="str">
        <f>'Subj-Map-2'!D17</f>
        <v/>
      </c>
    </row>
    <row r="18" spans="4:4" x14ac:dyDescent="0.75">
      <c r="D18" s="32" t="e">
        <f>'Subj-Map-2'!D18</f>
        <v>#REF!</v>
      </c>
    </row>
    <row r="19" spans="4:4" x14ac:dyDescent="0.75">
      <c r="D19" s="32" t="e">
        <f>'Subj-Map-2'!D19</f>
        <v>#REF!</v>
      </c>
    </row>
    <row r="20" spans="4:4" x14ac:dyDescent="0.75">
      <c r="D20" s="32" t="str">
        <f>'Subj-Map-2'!D20</f>
        <v/>
      </c>
    </row>
    <row r="21" spans="4:4" x14ac:dyDescent="0.75">
      <c r="D21" s="32" t="e">
        <f>'Subj-Map-2'!D21</f>
        <v>#REF!</v>
      </c>
    </row>
    <row r="22" spans="4:4" x14ac:dyDescent="0.75">
      <c r="D22" s="32" t="e">
        <f>'Subj-Map-2'!D22</f>
        <v>#REF!</v>
      </c>
    </row>
    <row r="23" spans="4:4" x14ac:dyDescent="0.75">
      <c r="D23" s="32" t="str">
        <f>'Subj-Map-2'!D23</f>
        <v/>
      </c>
    </row>
    <row r="24" spans="4:4" x14ac:dyDescent="0.75">
      <c r="D24" s="32" t="e">
        <f>'Subj-Map-2'!D24</f>
        <v>#REF!</v>
      </c>
    </row>
    <row r="25" spans="4:4" x14ac:dyDescent="0.75">
      <c r="D25" s="32" t="e">
        <f>'Subj-Map-2'!D25</f>
        <v>#REF!</v>
      </c>
    </row>
    <row r="26" spans="4:4" x14ac:dyDescent="0.75">
      <c r="D26" s="32" t="str">
        <f>'Subj-Map-2'!D26</f>
        <v/>
      </c>
    </row>
    <row r="27" spans="4:4" x14ac:dyDescent="0.75">
      <c r="D27" s="32" t="e">
        <f>'Subj-Map-2'!D27</f>
        <v>#REF!</v>
      </c>
    </row>
    <row r="28" spans="4:4" x14ac:dyDescent="0.75">
      <c r="D28" s="32" t="e">
        <f>'Subj-Map-2'!D28</f>
        <v>#REF!</v>
      </c>
    </row>
    <row r="29" spans="4:4" x14ac:dyDescent="0.75">
      <c r="D29" s="32" t="str">
        <f>'Subj-Map-2'!D29</f>
        <v/>
      </c>
    </row>
    <row r="30" spans="4:4" x14ac:dyDescent="0.75">
      <c r="D30" s="32" t="e">
        <f>'Subj-Map-2'!D30</f>
        <v>#REF!</v>
      </c>
    </row>
    <row r="31" spans="4:4" x14ac:dyDescent="0.75">
      <c r="D31" s="32" t="e">
        <f>'Subj-Map-2'!D31</f>
        <v>#REF!</v>
      </c>
    </row>
    <row r="32" spans="4:4" x14ac:dyDescent="0.75">
      <c r="D32" s="32" t="str">
        <f>'Subj-Map-2'!D32</f>
        <v/>
      </c>
    </row>
    <row r="33" spans="4:4" x14ac:dyDescent="0.75">
      <c r="D33" s="32" t="e">
        <f>'Subj-Map-2'!D33</f>
        <v>#REF!</v>
      </c>
    </row>
    <row r="34" spans="4:4" x14ac:dyDescent="0.75">
      <c r="D34" s="32" t="e">
        <f>'Subj-Map-2'!D34</f>
        <v>#REF!</v>
      </c>
    </row>
    <row r="35" spans="4:4" x14ac:dyDescent="0.75">
      <c r="D35" s="32" t="str">
        <f>'Subj-Map-2'!D35</f>
        <v/>
      </c>
    </row>
    <row r="36" spans="4:4" x14ac:dyDescent="0.75">
      <c r="D36" s="32" t="e">
        <f>'Subj-Map-2'!D36</f>
        <v>#REF!</v>
      </c>
    </row>
    <row r="37" spans="4:4" x14ac:dyDescent="0.75">
      <c r="D37" s="32" t="e">
        <f>'Subj-Map-2'!D37</f>
        <v>#REF!</v>
      </c>
    </row>
    <row r="38" spans="4:4" x14ac:dyDescent="0.75">
      <c r="D38" s="32" t="str">
        <f>'Subj-Map-2'!D38</f>
        <v/>
      </c>
    </row>
    <row r="39" spans="4:4" x14ac:dyDescent="0.75">
      <c r="D39" s="32" t="e">
        <f>'Subj-Map-2'!D39</f>
        <v>#REF!</v>
      </c>
    </row>
    <row r="40" spans="4:4" x14ac:dyDescent="0.75">
      <c r="D40" s="32" t="e">
        <f>'Subj-Map-2'!D40</f>
        <v>#REF!</v>
      </c>
    </row>
    <row r="41" spans="4:4" x14ac:dyDescent="0.75">
      <c r="D41" s="32" t="str">
        <f>'Subj-Map-2'!D41</f>
        <v/>
      </c>
    </row>
    <row r="42" spans="4:4" x14ac:dyDescent="0.75">
      <c r="D42" s="32" t="str">
        <f>'Subj-Map-2'!D42</f>
        <v/>
      </c>
    </row>
    <row r="43" spans="4:4" x14ac:dyDescent="0.75">
      <c r="D43" s="32" t="str">
        <f>'Subj-Map-2'!D43</f>
        <v/>
      </c>
    </row>
    <row r="44" spans="4:4" x14ac:dyDescent="0.75">
      <c r="D44" s="32" t="str">
        <f>'Subj-Map-2'!D44</f>
        <v/>
      </c>
    </row>
    <row r="45" spans="4:4" x14ac:dyDescent="0.75">
      <c r="D45" s="32" t="e">
        <f>'Subj-Map-2'!D45</f>
        <v>#REF!</v>
      </c>
    </row>
    <row r="46" spans="4:4" x14ac:dyDescent="0.75">
      <c r="D46" s="32" t="e">
        <f>'Subj-Map-2'!D46</f>
        <v>#REF!</v>
      </c>
    </row>
    <row r="47" spans="4:4" x14ac:dyDescent="0.75">
      <c r="D47" s="32" t="str">
        <f>'Subj-Map-2'!D47</f>
        <v/>
      </c>
    </row>
    <row r="48" spans="4:4" x14ac:dyDescent="0.75">
      <c r="D48" s="32" t="e">
        <f>'Subj-Map-2'!D48</f>
        <v>#REF!</v>
      </c>
    </row>
    <row r="49" spans="4:4" x14ac:dyDescent="0.75">
      <c r="D49" s="32" t="e">
        <f>'Subj-Map-2'!D49</f>
        <v>#REF!</v>
      </c>
    </row>
    <row r="50" spans="4:4" x14ac:dyDescent="0.75">
      <c r="D50" s="32" t="str">
        <f>'Subj-Map-2'!D50</f>
        <v/>
      </c>
    </row>
    <row r="51" spans="4:4" x14ac:dyDescent="0.75">
      <c r="D51" s="32" t="e">
        <f>'Subj-Map-2'!D51</f>
        <v>#REF!</v>
      </c>
    </row>
    <row r="52" spans="4:4" x14ac:dyDescent="0.75">
      <c r="D52" s="32" t="e">
        <f>'Subj-Map-2'!D52</f>
        <v>#REF!</v>
      </c>
    </row>
    <row r="53" spans="4:4" x14ac:dyDescent="0.75">
      <c r="D53" s="32" t="str">
        <f>'Subj-Map-2'!D53</f>
        <v/>
      </c>
    </row>
    <row r="54" spans="4:4" x14ac:dyDescent="0.75">
      <c r="D54" s="32" t="str">
        <f>'Subj-Map-2'!D54</f>
        <v/>
      </c>
    </row>
    <row r="55" spans="4:4" x14ac:dyDescent="0.75">
      <c r="D55" s="32" t="str">
        <f>'Subj-Map-2'!D55</f>
        <v/>
      </c>
    </row>
    <row r="56" spans="4:4" x14ac:dyDescent="0.75">
      <c r="D56" s="32" t="str">
        <f>'Subj-Map-2'!D56</f>
        <v/>
      </c>
    </row>
    <row r="57" spans="4:4" x14ac:dyDescent="0.75">
      <c r="D57" s="32" t="str">
        <f>'Subj-Map-2'!D57</f>
        <v/>
      </c>
    </row>
    <row r="58" spans="4:4" x14ac:dyDescent="0.75">
      <c r="D58" s="32" t="str">
        <f>'Subj-Map-2'!D58</f>
        <v/>
      </c>
    </row>
    <row r="59" spans="4:4" x14ac:dyDescent="0.75">
      <c r="D59" s="32" t="str">
        <f>'Subj-Map-2'!D59</f>
        <v/>
      </c>
    </row>
    <row r="60" spans="4:4" x14ac:dyDescent="0.75">
      <c r="D60" s="32" t="str">
        <f>'Subj-Map-2'!D60</f>
        <v/>
      </c>
    </row>
    <row r="61" spans="4:4" x14ac:dyDescent="0.75">
      <c r="D61" s="32" t="str">
        <f>'Subj-Map-2'!D61</f>
        <v/>
      </c>
    </row>
    <row r="62" spans="4:4" x14ac:dyDescent="0.75">
      <c r="D62" s="32" t="str">
        <f>'Subj-Map-2'!D62</f>
        <v/>
      </c>
    </row>
    <row r="63" spans="4:4" x14ac:dyDescent="0.75">
      <c r="D63" s="32" t="str">
        <f>'Subj-Map-2'!D63</f>
        <v/>
      </c>
    </row>
    <row r="64" spans="4:4" x14ac:dyDescent="0.75">
      <c r="D64" s="32" t="str">
        <f>'Subj-Map-2'!D64</f>
        <v/>
      </c>
    </row>
    <row r="65" spans="4:4" x14ac:dyDescent="0.75">
      <c r="D65" s="32" t="str">
        <f>'Subj-Map-2'!D65</f>
        <v/>
      </c>
    </row>
    <row r="66" spans="4:4" x14ac:dyDescent="0.75">
      <c r="D66" s="32" t="str">
        <f>'Subj-Map-2'!D66</f>
        <v/>
      </c>
    </row>
    <row r="67" spans="4:4" x14ac:dyDescent="0.75">
      <c r="D67" s="32" t="str">
        <f>'Subj-Map-2'!D67</f>
        <v/>
      </c>
    </row>
    <row r="68" spans="4:4" x14ac:dyDescent="0.75">
      <c r="D68" s="32" t="str">
        <f>'Subj-Map-2'!D68</f>
        <v/>
      </c>
    </row>
    <row r="69" spans="4:4" x14ac:dyDescent="0.75">
      <c r="D69" s="32" t="str">
        <f>'Subj-Map-2'!D69</f>
        <v/>
      </c>
    </row>
    <row r="70" spans="4:4" x14ac:dyDescent="0.75">
      <c r="D70" s="32" t="str">
        <f>'Subj-Map-2'!D70</f>
        <v/>
      </c>
    </row>
    <row r="71" spans="4:4" x14ac:dyDescent="0.75">
      <c r="D71" s="32" t="str">
        <f>'Subj-Map-2'!D71</f>
        <v/>
      </c>
    </row>
    <row r="72" spans="4:4" x14ac:dyDescent="0.75">
      <c r="D72" s="32" t="str">
        <f>'Subj-Map-2'!D72</f>
        <v/>
      </c>
    </row>
    <row r="73" spans="4:4" x14ac:dyDescent="0.75">
      <c r="D73" s="32" t="str">
        <f>'Subj-Map-2'!D73</f>
        <v/>
      </c>
    </row>
    <row r="74" spans="4:4" x14ac:dyDescent="0.75">
      <c r="D74" s="32" t="str">
        <f>'Subj-Map-2'!D74</f>
        <v/>
      </c>
    </row>
    <row r="75" spans="4:4" x14ac:dyDescent="0.75">
      <c r="D75" s="32" t="str">
        <f>'Subj-Map-2'!D75</f>
        <v/>
      </c>
    </row>
    <row r="76" spans="4:4" x14ac:dyDescent="0.75">
      <c r="D76" s="32" t="str">
        <f>'Subj-Map-2'!D76</f>
        <v/>
      </c>
    </row>
    <row r="77" spans="4:4" x14ac:dyDescent="0.75">
      <c r="D77" s="32" t="str">
        <f>'Subj-Map-2'!D77</f>
        <v/>
      </c>
    </row>
    <row r="78" spans="4:4" x14ac:dyDescent="0.75">
      <c r="D78" s="32" t="str">
        <f>'Subj-Map-2'!D78</f>
        <v/>
      </c>
    </row>
    <row r="79" spans="4:4" x14ac:dyDescent="0.75">
      <c r="D79" s="32" t="str">
        <f>'Subj-Map-2'!D79</f>
        <v/>
      </c>
    </row>
    <row r="80" spans="4:4" x14ac:dyDescent="0.75">
      <c r="D80" s="32" t="str">
        <f>'Subj-Map-2'!D80</f>
        <v/>
      </c>
    </row>
    <row r="81" spans="4:4" x14ac:dyDescent="0.75">
      <c r="D81" s="32" t="str">
        <f>'Subj-Map-2'!D81</f>
        <v/>
      </c>
    </row>
    <row r="82" spans="4:4" x14ac:dyDescent="0.75">
      <c r="D82" s="32" t="str">
        <f>'Subj-Map-2'!D82</f>
        <v/>
      </c>
    </row>
    <row r="83" spans="4:4" x14ac:dyDescent="0.75">
      <c r="D83" s="32" t="str">
        <f>'Subj-Map-2'!D83</f>
        <v/>
      </c>
    </row>
    <row r="84" spans="4:4" x14ac:dyDescent="0.75">
      <c r="D84" s="32" t="str">
        <f>'Subj-Map-2'!D84</f>
        <v/>
      </c>
    </row>
    <row r="85" spans="4:4" x14ac:dyDescent="0.75">
      <c r="D85" s="32" t="str">
        <f>'Subj-Map-2'!D85</f>
        <v/>
      </c>
    </row>
    <row r="86" spans="4:4" x14ac:dyDescent="0.75">
      <c r="D86" s="32" t="str">
        <f>'Subj-Map-2'!D86</f>
        <v/>
      </c>
    </row>
    <row r="87" spans="4:4" x14ac:dyDescent="0.75">
      <c r="D87" s="32" t="str">
        <f>'Subj-Map-2'!D87</f>
        <v/>
      </c>
    </row>
    <row r="88" spans="4:4" x14ac:dyDescent="0.75">
      <c r="D88" s="32" t="str">
        <f>'Subj-Map-2'!D88</f>
        <v/>
      </c>
    </row>
    <row r="89" spans="4:4" x14ac:dyDescent="0.75">
      <c r="D89" s="32" t="str">
        <f>'Subj-Map-2'!D89</f>
        <v/>
      </c>
    </row>
    <row r="90" spans="4:4" x14ac:dyDescent="0.75">
      <c r="D90" s="32" t="str">
        <f>'Subj-Map-2'!D90</f>
        <v/>
      </c>
    </row>
    <row r="91" spans="4:4" x14ac:dyDescent="0.75">
      <c r="D91" s="32" t="str">
        <f>'Subj-Map-2'!D91</f>
        <v/>
      </c>
    </row>
    <row r="92" spans="4:4" x14ac:dyDescent="0.75">
      <c r="D92" s="32" t="str">
        <f>'Subj-Map-2'!D92</f>
        <v/>
      </c>
    </row>
    <row r="93" spans="4:4" x14ac:dyDescent="0.75">
      <c r="D93" s="32" t="str">
        <f>'Subj-Map-2'!D93</f>
        <v/>
      </c>
    </row>
    <row r="94" spans="4:4" x14ac:dyDescent="0.75">
      <c r="D94" s="32" t="str">
        <f>'Subj-Map-2'!D94</f>
        <v/>
      </c>
    </row>
    <row r="95" spans="4:4" x14ac:dyDescent="0.75">
      <c r="D95" s="32" t="str">
        <f>'Subj-Map-2'!D95</f>
        <v/>
      </c>
    </row>
    <row r="96" spans="4:4" x14ac:dyDescent="0.75">
      <c r="D96" s="32" t="str">
        <f>'Subj-Map-2'!D96</f>
        <v/>
      </c>
    </row>
    <row r="97" spans="4:4" x14ac:dyDescent="0.75">
      <c r="D97" s="32" t="str">
        <f>'Subj-Map-2'!D97</f>
        <v/>
      </c>
    </row>
    <row r="98" spans="4:4" x14ac:dyDescent="0.75">
      <c r="D98" s="32" t="str">
        <f>'Subj-Map-2'!D98</f>
        <v/>
      </c>
    </row>
    <row r="99" spans="4:4" x14ac:dyDescent="0.75">
      <c r="D99" s="32" t="str">
        <f>'Subj-Map-2'!D99</f>
        <v/>
      </c>
    </row>
    <row r="100" spans="4:4" x14ac:dyDescent="0.75">
      <c r="D100" s="32" t="str">
        <f>'Subj-Map-2'!D100</f>
        <v/>
      </c>
    </row>
    <row r="101" spans="4:4" x14ac:dyDescent="0.75">
      <c r="D101" s="32" t="str">
        <f>'Subj-Map-2'!D101</f>
        <v/>
      </c>
    </row>
    <row r="102" spans="4:4" x14ac:dyDescent="0.75">
      <c r="D102" s="32" t="str">
        <f>'Subj-Map-2'!D102</f>
        <v/>
      </c>
    </row>
    <row r="103" spans="4:4" x14ac:dyDescent="0.75">
      <c r="D103" s="32" t="str">
        <f>'Subj-Map-2'!D103</f>
        <v/>
      </c>
    </row>
    <row r="104" spans="4:4" x14ac:dyDescent="0.75">
      <c r="D104" s="32" t="str">
        <f>'Subj-Map-2'!D104</f>
        <v/>
      </c>
    </row>
    <row r="105" spans="4:4" x14ac:dyDescent="0.75">
      <c r="D105" s="32" t="str">
        <f>'Subj-Map-2'!D105</f>
        <v/>
      </c>
    </row>
    <row r="106" spans="4:4" x14ac:dyDescent="0.75">
      <c r="D106" s="32" t="str">
        <f>'Subj-Map-2'!D106</f>
        <v/>
      </c>
    </row>
    <row r="107" spans="4:4" x14ac:dyDescent="0.75">
      <c r="D107" s="32" t="str">
        <f>'Subj-Map-2'!D107</f>
        <v/>
      </c>
    </row>
    <row r="108" spans="4:4" x14ac:dyDescent="0.75">
      <c r="D108" s="148"/>
    </row>
    <row r="110" spans="4:4" x14ac:dyDescent="0.75">
      <c r="D110" s="32" t="e">
        <f>'Subj-Map2-2'!D3</f>
        <v>#REF!</v>
      </c>
    </row>
    <row r="111" spans="4:4" x14ac:dyDescent="0.75">
      <c r="D111" s="32" t="e">
        <f>'Subj-Map2-2'!D4</f>
        <v>#REF!</v>
      </c>
    </row>
    <row r="112" spans="4:4" x14ac:dyDescent="0.75">
      <c r="D112" s="32" t="str">
        <f>'Subj-Map2-2'!D5</f>
        <v/>
      </c>
    </row>
    <row r="113" spans="4:4" x14ac:dyDescent="0.75">
      <c r="D113" s="32" t="e">
        <f>'Subj-Map2-2'!D6</f>
        <v>#REF!</v>
      </c>
    </row>
    <row r="114" spans="4:4" x14ac:dyDescent="0.75">
      <c r="D114" s="32" t="e">
        <f>'Subj-Map2-2'!D7</f>
        <v>#REF!</v>
      </c>
    </row>
    <row r="115" spans="4:4" x14ac:dyDescent="0.75">
      <c r="D115" s="32" t="str">
        <f>'Subj-Map2-2'!D8</f>
        <v/>
      </c>
    </row>
    <row r="116" spans="4:4" x14ac:dyDescent="0.75">
      <c r="D116" s="32" t="e">
        <f>'Subj-Map2-2'!D9</f>
        <v>#REF!</v>
      </c>
    </row>
    <row r="117" spans="4:4" x14ac:dyDescent="0.75">
      <c r="D117" s="32" t="e">
        <f>'Subj-Map2-2'!D10</f>
        <v>#REF!</v>
      </c>
    </row>
    <row r="118" spans="4:4" x14ac:dyDescent="0.75">
      <c r="D118" s="32" t="str">
        <f>'Subj-Map2-2'!D11</f>
        <v/>
      </c>
    </row>
    <row r="119" spans="4:4" x14ac:dyDescent="0.75">
      <c r="D119" s="32" t="e">
        <f>'Subj-Map2-2'!D12</f>
        <v>#REF!</v>
      </c>
    </row>
    <row r="120" spans="4:4" x14ac:dyDescent="0.75">
      <c r="D120" s="32" t="e">
        <f>'Subj-Map2-2'!D13</f>
        <v>#REF!</v>
      </c>
    </row>
    <row r="121" spans="4:4" x14ac:dyDescent="0.75">
      <c r="D121" s="32" t="str">
        <f>'Subj-Map2-2'!D14</f>
        <v/>
      </c>
    </row>
    <row r="122" spans="4:4" x14ac:dyDescent="0.75">
      <c r="D122" s="32" t="e">
        <f>'Subj-Map2-2'!D15</f>
        <v>#REF!</v>
      </c>
    </row>
    <row r="123" spans="4:4" x14ac:dyDescent="0.75">
      <c r="D123" s="32" t="e">
        <f>'Subj-Map2-2'!D16</f>
        <v>#REF!</v>
      </c>
    </row>
    <row r="124" spans="4:4" x14ac:dyDescent="0.75">
      <c r="D124" s="32" t="str">
        <f>'Subj-Map2-2'!D17</f>
        <v/>
      </c>
    </row>
    <row r="125" spans="4:4" x14ac:dyDescent="0.75">
      <c r="D125" s="32" t="e">
        <f>'Subj-Map2-2'!D18</f>
        <v>#REF!</v>
      </c>
    </row>
    <row r="126" spans="4:4" x14ac:dyDescent="0.75">
      <c r="D126" s="32" t="e">
        <f>'Subj-Map2-2'!D19</f>
        <v>#REF!</v>
      </c>
    </row>
    <row r="127" spans="4:4" x14ac:dyDescent="0.75">
      <c r="D127" s="32" t="str">
        <f>'Subj-Map2-2'!D20</f>
        <v/>
      </c>
    </row>
    <row r="128" spans="4:4" x14ac:dyDescent="0.75">
      <c r="D128" s="32" t="str">
        <f>'Subj-Map2-2'!D21</f>
        <v/>
      </c>
    </row>
    <row r="129" spans="4:4" x14ac:dyDescent="0.75">
      <c r="D129" s="32" t="str">
        <f>'Subj-Map2-2'!D22</f>
        <v/>
      </c>
    </row>
    <row r="130" spans="4:4" x14ac:dyDescent="0.75">
      <c r="D130" s="32" t="str">
        <f>'Subj-Map2-2'!D23</f>
        <v/>
      </c>
    </row>
    <row r="131" spans="4:4" x14ac:dyDescent="0.75">
      <c r="D131" s="32" t="e">
        <f>'Subj-Map2-2'!D24</f>
        <v>#REF!</v>
      </c>
    </row>
    <row r="132" spans="4:4" x14ac:dyDescent="0.75">
      <c r="D132" s="32" t="e">
        <f>'Subj-Map2-2'!D25</f>
        <v>#REF!</v>
      </c>
    </row>
    <row r="133" spans="4:4" x14ac:dyDescent="0.75">
      <c r="D133" s="32" t="str">
        <f>'Subj-Map2-2'!D26</f>
        <v/>
      </c>
    </row>
    <row r="134" spans="4:4" x14ac:dyDescent="0.75">
      <c r="D134" s="32" t="e">
        <f>'Subj-Map2-2'!D27</f>
        <v>#REF!</v>
      </c>
    </row>
    <row r="135" spans="4:4" x14ac:dyDescent="0.75">
      <c r="D135" s="32" t="e">
        <f>'Subj-Map2-2'!D28</f>
        <v>#REF!</v>
      </c>
    </row>
    <row r="136" spans="4:4" x14ac:dyDescent="0.75">
      <c r="D136" s="32" t="str">
        <f>'Subj-Map2-2'!D29</f>
        <v/>
      </c>
    </row>
    <row r="137" spans="4:4" x14ac:dyDescent="0.75">
      <c r="D137" s="32" t="e">
        <f>'Subj-Map2-2'!D30</f>
        <v>#REF!</v>
      </c>
    </row>
    <row r="138" spans="4:4" x14ac:dyDescent="0.75">
      <c r="D138" s="32" t="e">
        <f>'Subj-Map2-2'!D31</f>
        <v>#REF!</v>
      </c>
    </row>
    <row r="139" spans="4:4" x14ac:dyDescent="0.75">
      <c r="D139" s="32" t="str">
        <f>'Subj-Map2-2'!D32</f>
        <v/>
      </c>
    </row>
    <row r="140" spans="4:4" x14ac:dyDescent="0.75">
      <c r="D140" s="32" t="e">
        <f>'Subj-Map2-2'!D33</f>
        <v>#REF!</v>
      </c>
    </row>
    <row r="141" spans="4:4" x14ac:dyDescent="0.75">
      <c r="D141" s="32" t="e">
        <f>'Subj-Map2-2'!D34</f>
        <v>#REF!</v>
      </c>
    </row>
    <row r="142" spans="4:4" x14ac:dyDescent="0.75">
      <c r="D142" s="32" t="str">
        <f>'Subj-Map2-2'!D35</f>
        <v/>
      </c>
    </row>
    <row r="143" spans="4:4" x14ac:dyDescent="0.75">
      <c r="D143" s="32" t="e">
        <f>'Subj-Map2-2'!D36</f>
        <v>#REF!</v>
      </c>
    </row>
    <row r="144" spans="4:4" x14ac:dyDescent="0.75">
      <c r="D144" s="32" t="e">
        <f>'Subj-Map2-2'!D37</f>
        <v>#REF!</v>
      </c>
    </row>
    <row r="145" spans="4:4" x14ac:dyDescent="0.75">
      <c r="D145" s="32" t="str">
        <f>'Subj-Map2-2'!D38</f>
        <v/>
      </c>
    </row>
    <row r="146" spans="4:4" x14ac:dyDescent="0.75">
      <c r="D146" s="32" t="e">
        <f>'Subj-Map2-2'!D39</f>
        <v>#REF!</v>
      </c>
    </row>
    <row r="147" spans="4:4" x14ac:dyDescent="0.75">
      <c r="D147" s="32" t="e">
        <f>'Subj-Map2-2'!D40</f>
        <v>#REF!</v>
      </c>
    </row>
    <row r="148" spans="4:4" x14ac:dyDescent="0.75">
      <c r="D148" s="32" t="str">
        <f>'Subj-Map2-2'!D41</f>
        <v/>
      </c>
    </row>
    <row r="149" spans="4:4" x14ac:dyDescent="0.75">
      <c r="D149" s="32" t="e">
        <f>'Subj-Map2-2'!D42</f>
        <v>#REF!</v>
      </c>
    </row>
    <row r="150" spans="4:4" x14ac:dyDescent="0.75">
      <c r="D150" s="32" t="e">
        <f>'Subj-Map2-2'!D43</f>
        <v>#REF!</v>
      </c>
    </row>
    <row r="151" spans="4:4" x14ac:dyDescent="0.75">
      <c r="D151" s="32" t="str">
        <f>'Subj-Map2-2'!D44</f>
        <v/>
      </c>
    </row>
    <row r="152" spans="4:4" x14ac:dyDescent="0.75">
      <c r="D152" s="32" t="str">
        <f>'Subj-Map2-2'!D45</f>
        <v/>
      </c>
    </row>
    <row r="153" spans="4:4" x14ac:dyDescent="0.75">
      <c r="D153" s="32" t="str">
        <f>'Subj-Map2-2'!D46</f>
        <v/>
      </c>
    </row>
    <row r="154" spans="4:4" x14ac:dyDescent="0.75">
      <c r="D154" s="32" t="str">
        <f>'Subj-Map2-2'!D47</f>
        <v/>
      </c>
    </row>
    <row r="155" spans="4:4" x14ac:dyDescent="0.75">
      <c r="D155" s="32" t="e">
        <f>'Subj-Map2-2'!D48</f>
        <v>#REF!</v>
      </c>
    </row>
    <row r="156" spans="4:4" x14ac:dyDescent="0.75">
      <c r="D156" s="32" t="e">
        <f>'Subj-Map2-2'!D49</f>
        <v>#REF!</v>
      </c>
    </row>
    <row r="157" spans="4:4" x14ac:dyDescent="0.75">
      <c r="D157" s="32" t="str">
        <f>'Subj-Map2-2'!D50</f>
        <v/>
      </c>
    </row>
    <row r="158" spans="4:4" x14ac:dyDescent="0.75">
      <c r="D158" s="32" t="e">
        <f>'Subj-Map2-2'!D51</f>
        <v>#REF!</v>
      </c>
    </row>
    <row r="159" spans="4:4" x14ac:dyDescent="0.75">
      <c r="D159" s="32" t="e">
        <f>'Subj-Map2-2'!D52</f>
        <v>#REF!</v>
      </c>
    </row>
    <row r="160" spans="4:4" x14ac:dyDescent="0.75">
      <c r="D160" s="32" t="str">
        <f>'Subj-Map2-2'!D53</f>
        <v/>
      </c>
    </row>
    <row r="161" spans="4:4" x14ac:dyDescent="0.75">
      <c r="D161" s="32" t="str">
        <f>'Subj-Map2-2'!D54</f>
        <v/>
      </c>
    </row>
    <row r="162" spans="4:4" x14ac:dyDescent="0.75">
      <c r="D162" s="32" t="str">
        <f>'Subj-Map2-2'!D55</f>
        <v/>
      </c>
    </row>
    <row r="163" spans="4:4" x14ac:dyDescent="0.75">
      <c r="D163" s="32" t="str">
        <f>'Subj-Map2-2'!D56</f>
        <v/>
      </c>
    </row>
    <row r="164" spans="4:4" x14ac:dyDescent="0.75">
      <c r="D164" s="32" t="str">
        <f>'Subj-Map2-2'!D57</f>
        <v/>
      </c>
    </row>
    <row r="165" spans="4:4" x14ac:dyDescent="0.75">
      <c r="D165" s="32" t="str">
        <f>'Subj-Map2-2'!D58</f>
        <v/>
      </c>
    </row>
    <row r="166" spans="4:4" x14ac:dyDescent="0.75">
      <c r="D166" s="32" t="str">
        <f>'Subj-Map2-2'!D59</f>
        <v/>
      </c>
    </row>
    <row r="167" spans="4:4" x14ac:dyDescent="0.75">
      <c r="D167" s="32" t="str">
        <f>'Subj-Map2-2'!D60</f>
        <v/>
      </c>
    </row>
    <row r="168" spans="4:4" x14ac:dyDescent="0.75">
      <c r="D168" s="32" t="str">
        <f>'Subj-Map2-2'!D61</f>
        <v/>
      </c>
    </row>
    <row r="169" spans="4:4" x14ac:dyDescent="0.75">
      <c r="D169" s="32" t="str">
        <f>'Subj-Map2-2'!D62</f>
        <v/>
      </c>
    </row>
    <row r="170" spans="4:4" x14ac:dyDescent="0.75">
      <c r="D170" s="32" t="str">
        <f>'Subj-Map2-2'!D63</f>
        <v/>
      </c>
    </row>
    <row r="171" spans="4:4" x14ac:dyDescent="0.75">
      <c r="D171" s="32" t="str">
        <f>'Subj-Map2-2'!D64</f>
        <v/>
      </c>
    </row>
    <row r="172" spans="4:4" x14ac:dyDescent="0.75">
      <c r="D172" s="32" t="str">
        <f>'Subj-Map2-2'!D65</f>
        <v/>
      </c>
    </row>
    <row r="173" spans="4:4" x14ac:dyDescent="0.75">
      <c r="D173" s="32" t="str">
        <f>'Subj-Map2-2'!D66</f>
        <v/>
      </c>
    </row>
    <row r="174" spans="4:4" x14ac:dyDescent="0.75">
      <c r="D174" s="32" t="str">
        <f>'Subj-Map2-2'!D67</f>
        <v/>
      </c>
    </row>
    <row r="175" spans="4:4" x14ac:dyDescent="0.75">
      <c r="D175" s="32" t="str">
        <f>'Subj-Map2-2'!D68</f>
        <v/>
      </c>
    </row>
    <row r="176" spans="4:4" x14ac:dyDescent="0.75">
      <c r="D176" s="32" t="str">
        <f>'Subj-Map2-2'!D69</f>
        <v/>
      </c>
    </row>
    <row r="177" spans="4:4" x14ac:dyDescent="0.75">
      <c r="D177" s="32" t="str">
        <f>'Subj-Map2-2'!D70</f>
        <v/>
      </c>
    </row>
    <row r="178" spans="4:4" x14ac:dyDescent="0.75">
      <c r="D178" s="32" t="str">
        <f>'Subj-Map2-2'!D71</f>
        <v/>
      </c>
    </row>
    <row r="179" spans="4:4" x14ac:dyDescent="0.75">
      <c r="D179" s="32" t="str">
        <f>'Subj-Map2-2'!D72</f>
        <v/>
      </c>
    </row>
    <row r="180" spans="4:4" x14ac:dyDescent="0.75">
      <c r="D180" s="32" t="str">
        <f>'Subj-Map2-2'!D73</f>
        <v/>
      </c>
    </row>
    <row r="181" spans="4:4" x14ac:dyDescent="0.75">
      <c r="D181" s="32" t="str">
        <f>'Subj-Map2-2'!D74</f>
        <v/>
      </c>
    </row>
    <row r="182" spans="4:4" x14ac:dyDescent="0.75">
      <c r="D182" s="32" t="str">
        <f>'Subj-Map2-2'!D75</f>
        <v/>
      </c>
    </row>
    <row r="183" spans="4:4" x14ac:dyDescent="0.75">
      <c r="D183" s="32" t="str">
        <f>'Subj-Map2-2'!D76</f>
        <v/>
      </c>
    </row>
    <row r="184" spans="4:4" x14ac:dyDescent="0.75">
      <c r="D184" s="32" t="str">
        <f>'Subj-Map2-2'!D77</f>
        <v/>
      </c>
    </row>
    <row r="185" spans="4:4" x14ac:dyDescent="0.75">
      <c r="D185" s="32" t="str">
        <f>'Subj-Map2-2'!D78</f>
        <v/>
      </c>
    </row>
    <row r="186" spans="4:4" x14ac:dyDescent="0.75">
      <c r="D186" s="32" t="str">
        <f>'Subj-Map2-2'!D79</f>
        <v/>
      </c>
    </row>
    <row r="187" spans="4:4" x14ac:dyDescent="0.75">
      <c r="D187" s="32" t="str">
        <f>'Subj-Map2-2'!D80</f>
        <v/>
      </c>
    </row>
    <row r="188" spans="4:4" x14ac:dyDescent="0.75">
      <c r="D188" s="32" t="str">
        <f>'Subj-Map2-2'!D81</f>
        <v/>
      </c>
    </row>
    <row r="189" spans="4:4" x14ac:dyDescent="0.75">
      <c r="D189" s="32" t="str">
        <f>'Subj-Map2-2'!D82</f>
        <v/>
      </c>
    </row>
    <row r="190" spans="4:4" x14ac:dyDescent="0.75">
      <c r="D190" s="32" t="str">
        <f>'Subj-Map2-2'!D83</f>
        <v/>
      </c>
    </row>
    <row r="191" spans="4:4" x14ac:dyDescent="0.75">
      <c r="D191" s="32" t="str">
        <f>'Subj-Map2-2'!D84</f>
        <v/>
      </c>
    </row>
    <row r="192" spans="4:4" x14ac:dyDescent="0.75">
      <c r="D192" s="32" t="str">
        <f>'Subj-Map2-2'!D85</f>
        <v/>
      </c>
    </row>
    <row r="193" spans="4:4" x14ac:dyDescent="0.75">
      <c r="D193" s="32" t="str">
        <f>'Subj-Map2-2'!D86</f>
        <v/>
      </c>
    </row>
    <row r="194" spans="4:4" x14ac:dyDescent="0.75">
      <c r="D194" s="32" t="str">
        <f>'Subj-Map2-2'!D87</f>
        <v/>
      </c>
    </row>
    <row r="195" spans="4:4" x14ac:dyDescent="0.75">
      <c r="D195" s="32" t="str">
        <f>'Subj-Map2-2'!D88</f>
        <v/>
      </c>
    </row>
    <row r="196" spans="4:4" x14ac:dyDescent="0.75">
      <c r="D196" s="32" t="str">
        <f>'Subj-Map2-2'!D89</f>
        <v/>
      </c>
    </row>
    <row r="197" spans="4:4" x14ac:dyDescent="0.75">
      <c r="D197" s="32" t="str">
        <f>'Subj-Map2-2'!D90</f>
        <v/>
      </c>
    </row>
    <row r="198" spans="4:4" x14ac:dyDescent="0.75">
      <c r="D198" s="32" t="str">
        <f>'Subj-Map2-2'!D91</f>
        <v/>
      </c>
    </row>
    <row r="199" spans="4:4" x14ac:dyDescent="0.75">
      <c r="D199" s="32" t="str">
        <f>'Subj-Map2-2'!D92</f>
        <v/>
      </c>
    </row>
    <row r="200" spans="4:4" x14ac:dyDescent="0.75">
      <c r="D200" s="32" t="str">
        <f>'Subj-Map2-2'!D93</f>
        <v/>
      </c>
    </row>
    <row r="201" spans="4:4" x14ac:dyDescent="0.75">
      <c r="D201" s="32" t="str">
        <f>'Subj-Map2-2'!D94</f>
        <v/>
      </c>
    </row>
    <row r="202" spans="4:4" x14ac:dyDescent="0.75">
      <c r="D202" s="32" t="str">
        <f>'Subj-Map2-2'!D95</f>
        <v/>
      </c>
    </row>
    <row r="203" spans="4:4" x14ac:dyDescent="0.75">
      <c r="D203" s="32" t="str">
        <f>'Subj-Map2-2'!D96</f>
        <v/>
      </c>
    </row>
    <row r="204" spans="4:4" x14ac:dyDescent="0.75">
      <c r="D204" s="32" t="str">
        <f>'Subj-Map2-2'!D97</f>
        <v/>
      </c>
    </row>
    <row r="205" spans="4:4" x14ac:dyDescent="0.75">
      <c r="D205" s="32" t="str">
        <f>'Subj-Map2-2'!D98</f>
        <v/>
      </c>
    </row>
    <row r="206" spans="4:4" x14ac:dyDescent="0.75">
      <c r="D206" s="32" t="str">
        <f>'Subj-Map2-2'!D99</f>
        <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5AB6A-3984-4282-B182-8EAB453DE4BD}">
  <sheetPr codeName="Foglio30"/>
  <dimension ref="A1:V100"/>
  <sheetViews>
    <sheetView topLeftCell="A22" workbookViewId="0">
      <selection activeCell="M10" sqref="M10:M45"/>
    </sheetView>
  </sheetViews>
  <sheetFormatPr defaultRowHeight="14.75" x14ac:dyDescent="0.75"/>
  <cols>
    <col min="1" max="2" width="8.7265625" style="31"/>
    <col min="3" max="3" width="35.40625" style="1" customWidth="1"/>
    <col min="4" max="4" width="20.54296875" style="87" customWidth="1"/>
    <col min="5" max="5" width="27.453125" style="31" customWidth="1"/>
    <col min="6" max="6" width="22.1796875" style="31" customWidth="1"/>
    <col min="7" max="7" width="18.1796875" style="1" customWidth="1"/>
    <col min="8" max="14" width="16.1328125" style="31" customWidth="1"/>
    <col min="15" max="15" width="19.08984375" style="31" customWidth="1"/>
    <col min="16" max="16" width="23.2265625" style="31" customWidth="1"/>
    <col min="17" max="17" width="28.40625" style="31" customWidth="1"/>
    <col min="18" max="18" width="35" style="31" customWidth="1"/>
    <col min="19" max="19" width="40.1328125" style="1" customWidth="1"/>
    <col min="20" max="20" width="58.31640625" style="1" customWidth="1"/>
    <col min="21" max="21" width="48.54296875" style="1" customWidth="1"/>
    <col min="22" max="22" width="53.36328125" style="31" customWidth="1"/>
    <col min="23" max="23" width="51.5" style="31" customWidth="1"/>
    <col min="24" max="16384" width="8.7265625" style="31"/>
  </cols>
  <sheetData>
    <row r="1" spans="1:22" x14ac:dyDescent="0.75">
      <c r="C1" s="77" t="s">
        <v>32</v>
      </c>
      <c r="D1" s="83" t="s">
        <v>31</v>
      </c>
      <c r="E1" s="76" t="s">
        <v>6</v>
      </c>
      <c r="F1" s="76" t="s">
        <v>89</v>
      </c>
      <c r="G1" s="71"/>
      <c r="H1" s="59"/>
      <c r="I1" s="59"/>
      <c r="J1" s="59"/>
      <c r="K1" s="59"/>
      <c r="L1" s="59"/>
      <c r="M1" s="59"/>
      <c r="N1" s="59"/>
      <c r="O1" s="59"/>
      <c r="P1" s="59"/>
    </row>
    <row r="2" spans="1:22" x14ac:dyDescent="0.75">
      <c r="C2" s="78" t="s">
        <v>45</v>
      </c>
      <c r="D2" s="66" t="s">
        <v>120</v>
      </c>
      <c r="E2" s="44" t="s">
        <v>112</v>
      </c>
      <c r="F2" s="32" t="s">
        <v>71</v>
      </c>
      <c r="V2" s="62"/>
    </row>
    <row r="3" spans="1:22" x14ac:dyDescent="0.75">
      <c r="C3" s="77" t="s">
        <v>33</v>
      </c>
      <c r="D3" s="84" t="s">
        <v>86</v>
      </c>
      <c r="E3" s="42" t="s">
        <v>66</v>
      </c>
      <c r="F3" s="32"/>
      <c r="V3" s="62"/>
    </row>
    <row r="4" spans="1:22" x14ac:dyDescent="0.75">
      <c r="C4" s="38" t="s">
        <v>44</v>
      </c>
      <c r="D4" s="85" t="s">
        <v>118</v>
      </c>
      <c r="E4" s="29" t="s">
        <v>137</v>
      </c>
      <c r="F4" s="32"/>
      <c r="V4" s="62"/>
    </row>
    <row r="5" spans="1:22" x14ac:dyDescent="0.75">
      <c r="C5" s="77" t="s">
        <v>110</v>
      </c>
      <c r="D5" s="85"/>
      <c r="E5" s="75" t="s">
        <v>37</v>
      </c>
      <c r="F5" s="32" t="s">
        <v>119</v>
      </c>
      <c r="V5" s="62"/>
    </row>
    <row r="6" spans="1:22" ht="44.25" x14ac:dyDescent="0.75">
      <c r="C6" s="78" t="e">
        <f>CONCATENATE($C$2,"/StructureDefinition/",E6)</f>
        <v>#REF!</v>
      </c>
      <c r="D6" s="66"/>
      <c r="E6" s="32" t="e">
        <f>C9</f>
        <v>#REF!</v>
      </c>
      <c r="F6" s="78" t="str">
        <f>CONCATENATE($C$2,"/StructureDefinition/",D4)</f>
        <v>http://iso.org/fhir/ts-5384/StructureDefinition/Subject-uc1</v>
      </c>
      <c r="V6" s="62"/>
    </row>
    <row r="7" spans="1:22" x14ac:dyDescent="0.75">
      <c r="C7" s="79"/>
      <c r="D7" s="86"/>
      <c r="E7" s="23"/>
      <c r="F7" s="23"/>
      <c r="V7" s="62"/>
    </row>
    <row r="8" spans="1:22" x14ac:dyDescent="0.75">
      <c r="F8" s="1"/>
      <c r="G8" s="31"/>
      <c r="I8" s="73"/>
      <c r="J8" s="73" t="s">
        <v>108</v>
      </c>
      <c r="K8" s="73"/>
      <c r="L8" s="73"/>
      <c r="M8" s="73" t="s">
        <v>107</v>
      </c>
      <c r="O8" s="31" t="s">
        <v>113</v>
      </c>
      <c r="P8" s="50" t="s">
        <v>114</v>
      </c>
      <c r="Q8" s="31" t="s">
        <v>105</v>
      </c>
      <c r="R8" s="1" t="s">
        <v>106</v>
      </c>
      <c r="S8" s="1" t="s">
        <v>21</v>
      </c>
      <c r="T8" s="1" t="s">
        <v>103</v>
      </c>
      <c r="U8" s="62"/>
    </row>
    <row r="9" spans="1:22" x14ac:dyDescent="0.75">
      <c r="A9" s="32"/>
      <c r="B9" s="32">
        <f>'Base-1'!A6</f>
        <v>0</v>
      </c>
      <c r="C9" s="15" t="e">
        <f>#REF!</f>
        <v>#REF!</v>
      </c>
      <c r="D9" s="83" t="s">
        <v>14</v>
      </c>
      <c r="E9" s="81" t="s">
        <v>15</v>
      </c>
      <c r="F9" s="82" t="s">
        <v>104</v>
      </c>
      <c r="G9" s="81" t="s">
        <v>103</v>
      </c>
      <c r="H9" s="50"/>
      <c r="I9" s="80" t="s">
        <v>115</v>
      </c>
      <c r="J9" s="39" t="s">
        <v>104</v>
      </c>
      <c r="K9" s="39" t="s">
        <v>116</v>
      </c>
      <c r="L9" s="39" t="s">
        <v>117</v>
      </c>
      <c r="M9" s="39">
        <v>-1</v>
      </c>
      <c r="R9" s="1"/>
      <c r="U9" s="31"/>
    </row>
    <row r="10" spans="1:22" ht="73.75" x14ac:dyDescent="0.75">
      <c r="A10" s="32">
        <v>0</v>
      </c>
      <c r="B10" s="32">
        <f>'Base-1'!A7</f>
        <v>1</v>
      </c>
      <c r="C10" s="38" t="e">
        <f>#REF!</f>
        <v>#REF!</v>
      </c>
      <c r="D10" s="88">
        <v>1</v>
      </c>
      <c r="E10" s="32" t="e">
        <f>#REF!</f>
        <v>#REF!</v>
      </c>
      <c r="F10" s="38"/>
      <c r="G10" s="32" t="b">
        <v>1</v>
      </c>
      <c r="H10" s="23"/>
      <c r="I10" s="32" t="b">
        <v>1</v>
      </c>
      <c r="J10" s="89" t="b">
        <f>IF(F10&gt;"",TRUE)</f>
        <v>0</v>
      </c>
      <c r="K10" s="89" t="b">
        <f>IF(G10&gt;"",TRUE)</f>
        <v>1</v>
      </c>
      <c r="L10" s="89" t="b">
        <f xml:space="preserve"> OR(I10,J10,K10)</f>
        <v>1</v>
      </c>
      <c r="M10" s="32">
        <f>IF(L10,M9+1,M9)</f>
        <v>0</v>
      </c>
      <c r="O10" s="38" t="e">
        <f>IF(L10,CONCATENATE("* differential.element[",M10,"].id = """,$C$9,".",C10,""""),"")</f>
        <v>#REF!</v>
      </c>
      <c r="P10" s="38" t="e">
        <f>IF(L10,CONCATENATE("* differential.element[",M10,"].path = """,$C$9,".",C10,""""),"")</f>
        <v>#REF!</v>
      </c>
      <c r="Q10" s="38" t="str">
        <f>IF(I10,CONCATENATE("* differential.element[",M10,"].min = ",D10,""),"")</f>
        <v>* differential.element[0].min = 1</v>
      </c>
      <c r="R10" s="38" t="e">
        <f>IF(I10,CONCATENATE("* differential.element[",M10,"].max = """,E10,""""),"")</f>
        <v>#REF!</v>
      </c>
      <c r="S10" s="38" t="str">
        <f>IF( F10&gt;"", CONCATENATE("* differential.element[",M10,"].type.code = #",F10,""),"")</f>
        <v/>
      </c>
      <c r="T10" s="38" t="str">
        <f t="shared" ref="T10:T42" si="0">IF( G10&gt;"", CONCATENATE("* differential.element[",M10,"].mustSupport = true"),"")</f>
        <v>* differential.element[0].mustSupport = true</v>
      </c>
      <c r="U10" s="62"/>
    </row>
    <row r="11" spans="1:22" ht="44.25" x14ac:dyDescent="0.75">
      <c r="A11" s="32">
        <v>0</v>
      </c>
      <c r="B11" s="32">
        <f>'Base-1'!A10</f>
        <v>4</v>
      </c>
      <c r="C11" s="38" t="e">
        <f>#REF!</f>
        <v>#REF!</v>
      </c>
      <c r="D11" s="88">
        <v>1</v>
      </c>
      <c r="E11" s="32" t="e">
        <f>#REF!</f>
        <v>#REF!</v>
      </c>
      <c r="F11" s="38"/>
      <c r="G11" s="32" t="b">
        <v>1</v>
      </c>
      <c r="H11" s="23"/>
      <c r="I11" s="32" t="b">
        <v>1</v>
      </c>
      <c r="J11" s="89" t="b">
        <f t="shared" ref="J11:K45" si="1">IF(F11&gt;"",TRUE)</f>
        <v>0</v>
      </c>
      <c r="K11" s="89" t="b">
        <f>IF(G11&gt;"",TRUE)</f>
        <v>1</v>
      </c>
      <c r="L11" s="89" t="b">
        <f t="shared" ref="L11:L45" si="2" xml:space="preserve"> OR(I11,J11,K11)</f>
        <v>1</v>
      </c>
      <c r="M11" s="32">
        <f t="shared" ref="M11:M45" si="3">IF(L11,M10+1,M10)</f>
        <v>1</v>
      </c>
      <c r="O11" s="38" t="e">
        <f t="shared" ref="O11:O44" si="4">IF(L11,CONCATENATE("* differential.element[",M11,"].id = """,$C$9,".",C11,""""),"")</f>
        <v>#REF!</v>
      </c>
      <c r="P11" s="38" t="e">
        <f t="shared" ref="P11:P44" si="5">IF(L11,CONCATENATE("* differential.element[",M11,"].path = """,$C$9,".",C11,""""),"")</f>
        <v>#REF!</v>
      </c>
      <c r="Q11" s="38" t="str">
        <f t="shared" ref="Q11:Q60" si="6">IF(I11,CONCATENATE("* differential.element[",M11,"].min = ",D11,""),"")</f>
        <v>* differential.element[1].min = 1</v>
      </c>
      <c r="R11" s="38" t="e">
        <f t="shared" ref="R11:R60" si="7">IF(I11,CONCATENATE("* differential.element[",M11,"].max = """,E11,""""),"")</f>
        <v>#REF!</v>
      </c>
      <c r="S11" s="38" t="str">
        <f>IF( F11&gt;"", CONCATENATE("* differential.element[",M11,"].type.code = #",F11,""),"")</f>
        <v/>
      </c>
      <c r="T11" s="38" t="str">
        <f t="shared" si="0"/>
        <v>* differential.element[1].mustSupport = true</v>
      </c>
      <c r="U11" s="62"/>
    </row>
    <row r="12" spans="1:22" x14ac:dyDescent="0.75">
      <c r="A12" s="32">
        <v>0</v>
      </c>
      <c r="B12" s="32" t="e">
        <f>'Base-1'!#REF!</f>
        <v>#REF!</v>
      </c>
      <c r="C12" s="38" t="e">
        <f>#REF!</f>
        <v>#REF!</v>
      </c>
      <c r="D12" s="66" t="e">
        <f>#REF!</f>
        <v>#REF!</v>
      </c>
      <c r="E12" s="32" t="e">
        <f>#REF!</f>
        <v>#REF!</v>
      </c>
      <c r="F12" s="38"/>
      <c r="G12" s="32"/>
      <c r="H12" s="23"/>
      <c r="I12" s="32"/>
      <c r="J12" s="89" t="b">
        <f t="shared" si="1"/>
        <v>0</v>
      </c>
      <c r="K12" s="89" t="b">
        <f t="shared" si="1"/>
        <v>0</v>
      </c>
      <c r="L12" s="89" t="b">
        <f t="shared" si="2"/>
        <v>0</v>
      </c>
      <c r="M12" s="32">
        <f t="shared" si="3"/>
        <v>1</v>
      </c>
      <c r="O12" s="38" t="str">
        <f t="shared" si="4"/>
        <v/>
      </c>
      <c r="P12" s="38" t="str">
        <f t="shared" si="5"/>
        <v/>
      </c>
      <c r="Q12" s="38" t="str">
        <f t="shared" si="6"/>
        <v/>
      </c>
      <c r="R12" s="38" t="str">
        <f t="shared" si="7"/>
        <v/>
      </c>
      <c r="S12" s="38" t="str">
        <f t="shared" ref="S12:S60" si="8">IF( F12&gt;"", CONCATENATE("* differential.element[",M12,"].type.code = #",F12,""),"")</f>
        <v/>
      </c>
      <c r="T12" s="38" t="str">
        <f t="shared" si="0"/>
        <v/>
      </c>
      <c r="U12" s="62"/>
    </row>
    <row r="13" spans="1:22" x14ac:dyDescent="0.75">
      <c r="A13" s="32">
        <v>0</v>
      </c>
      <c r="B13" s="32">
        <f>'Base-1'!A13</f>
        <v>7</v>
      </c>
      <c r="C13" s="38" t="e">
        <f>#REF!</f>
        <v>#REF!</v>
      </c>
      <c r="D13" s="66" t="e">
        <f>#REF!</f>
        <v>#REF!</v>
      </c>
      <c r="E13" s="32" t="e">
        <f>#REF!</f>
        <v>#REF!</v>
      </c>
      <c r="F13" s="38"/>
      <c r="G13" s="32"/>
      <c r="H13" s="23"/>
      <c r="I13" s="32"/>
      <c r="J13" s="89" t="b">
        <f t="shared" si="1"/>
        <v>0</v>
      </c>
      <c r="K13" s="89" t="b">
        <f t="shared" si="1"/>
        <v>0</v>
      </c>
      <c r="L13" s="89" t="b">
        <f t="shared" si="2"/>
        <v>0</v>
      </c>
      <c r="M13" s="32">
        <f t="shared" si="3"/>
        <v>1</v>
      </c>
      <c r="O13" s="38" t="str">
        <f t="shared" si="4"/>
        <v/>
      </c>
      <c r="P13" s="38" t="str">
        <f t="shared" si="5"/>
        <v/>
      </c>
      <c r="Q13" s="38" t="str">
        <f t="shared" si="6"/>
        <v/>
      </c>
      <c r="R13" s="38" t="str">
        <f t="shared" si="7"/>
        <v/>
      </c>
      <c r="S13" s="38" t="str">
        <f t="shared" si="8"/>
        <v/>
      </c>
      <c r="T13" s="38" t="str">
        <f t="shared" si="0"/>
        <v/>
      </c>
      <c r="U13" s="62"/>
    </row>
    <row r="14" spans="1:22" x14ac:dyDescent="0.75">
      <c r="A14" s="32">
        <v>0</v>
      </c>
      <c r="B14" s="32">
        <f>'Base-1'!A22</f>
        <v>16</v>
      </c>
      <c r="C14" s="38" t="e">
        <f>#REF!</f>
        <v>#REF!</v>
      </c>
      <c r="D14" s="66" t="e">
        <f>#REF!</f>
        <v>#REF!</v>
      </c>
      <c r="E14" s="32" t="e">
        <f>#REF!</f>
        <v>#REF!</v>
      </c>
      <c r="F14" s="38"/>
      <c r="G14" s="32"/>
      <c r="H14" s="23"/>
      <c r="I14" s="32"/>
      <c r="J14" s="89" t="b">
        <f t="shared" si="1"/>
        <v>0</v>
      </c>
      <c r="K14" s="89" t="b">
        <f t="shared" si="1"/>
        <v>0</v>
      </c>
      <c r="L14" s="89" t="b">
        <f t="shared" si="2"/>
        <v>0</v>
      </c>
      <c r="M14" s="32">
        <f t="shared" si="3"/>
        <v>1</v>
      </c>
      <c r="O14" s="38" t="str">
        <f t="shared" si="4"/>
        <v/>
      </c>
      <c r="P14" s="38" t="str">
        <f t="shared" si="5"/>
        <v/>
      </c>
      <c r="Q14" s="38" t="str">
        <f t="shared" si="6"/>
        <v/>
      </c>
      <c r="R14" s="38" t="str">
        <f t="shared" si="7"/>
        <v/>
      </c>
      <c r="S14" s="38" t="str">
        <f t="shared" si="8"/>
        <v/>
      </c>
      <c r="T14" s="38" t="str">
        <f t="shared" si="0"/>
        <v/>
      </c>
      <c r="U14" s="62"/>
    </row>
    <row r="15" spans="1:22" x14ac:dyDescent="0.75">
      <c r="A15" s="32">
        <v>0</v>
      </c>
      <c r="B15" s="32">
        <f>'Base-1'!A25</f>
        <v>19</v>
      </c>
      <c r="C15" s="38" t="e">
        <f>#REF!</f>
        <v>#REF!</v>
      </c>
      <c r="D15" s="66" t="e">
        <f>#REF!</f>
        <v>#REF!</v>
      </c>
      <c r="E15" s="32" t="e">
        <f>#REF!</f>
        <v>#REF!</v>
      </c>
      <c r="F15" s="38"/>
      <c r="G15" s="32"/>
      <c r="H15" s="23"/>
      <c r="I15" s="32"/>
      <c r="J15" s="89" t="b">
        <f t="shared" si="1"/>
        <v>0</v>
      </c>
      <c r="K15" s="89" t="b">
        <f>IF(G15&gt;"",TRUE)</f>
        <v>0</v>
      </c>
      <c r="L15" s="89" t="b">
        <f t="shared" si="2"/>
        <v>0</v>
      </c>
      <c r="M15" s="32">
        <f t="shared" si="3"/>
        <v>1</v>
      </c>
      <c r="O15" s="38" t="str">
        <f t="shared" si="4"/>
        <v/>
      </c>
      <c r="P15" s="38" t="str">
        <f t="shared" si="5"/>
        <v/>
      </c>
      <c r="Q15" s="38" t="str">
        <f t="shared" si="6"/>
        <v/>
      </c>
      <c r="R15" s="38" t="str">
        <f t="shared" si="7"/>
        <v/>
      </c>
      <c r="S15" s="38" t="str">
        <f t="shared" si="8"/>
        <v/>
      </c>
      <c r="T15" s="38" t="str">
        <f t="shared" si="0"/>
        <v/>
      </c>
      <c r="U15" s="62"/>
    </row>
    <row r="16" spans="1:22" ht="59" x14ac:dyDescent="0.75">
      <c r="A16" s="32">
        <v>0</v>
      </c>
      <c r="B16" s="32" t="e">
        <f>'Base-1'!#REF!</f>
        <v>#REF!</v>
      </c>
      <c r="C16" s="38" t="e">
        <f>#REF!</f>
        <v>#REF!</v>
      </c>
      <c r="D16" s="88">
        <v>1</v>
      </c>
      <c r="E16" s="32" t="e">
        <f>#REF!</f>
        <v>#REF!</v>
      </c>
      <c r="F16" s="38"/>
      <c r="G16" s="32" t="b">
        <v>1</v>
      </c>
      <c r="H16" s="23"/>
      <c r="I16" s="32" t="b">
        <v>1</v>
      </c>
      <c r="J16" s="89" t="b">
        <f t="shared" si="1"/>
        <v>0</v>
      </c>
      <c r="K16" s="89" t="b">
        <f t="shared" si="1"/>
        <v>1</v>
      </c>
      <c r="L16" s="89" t="b">
        <f t="shared" si="2"/>
        <v>1</v>
      </c>
      <c r="M16" s="32">
        <f t="shared" si="3"/>
        <v>2</v>
      </c>
      <c r="O16" s="38" t="e">
        <f t="shared" si="4"/>
        <v>#REF!</v>
      </c>
      <c r="P16" s="38" t="e">
        <f t="shared" si="5"/>
        <v>#REF!</v>
      </c>
      <c r="Q16" s="38" t="str">
        <f t="shared" si="6"/>
        <v>* differential.element[2].min = 1</v>
      </c>
      <c r="R16" s="38" t="e">
        <f t="shared" si="7"/>
        <v>#REF!</v>
      </c>
      <c r="S16" s="38" t="str">
        <f t="shared" si="8"/>
        <v/>
      </c>
      <c r="T16" s="38" t="str">
        <f t="shared" si="0"/>
        <v>* differential.element[2].mustSupport = true</v>
      </c>
      <c r="U16" s="62"/>
    </row>
    <row r="17" spans="1:21" x14ac:dyDescent="0.75">
      <c r="A17" s="32">
        <v>0</v>
      </c>
      <c r="B17" s="32" t="e">
        <f>'Base-1'!#REF!</f>
        <v>#REF!</v>
      </c>
      <c r="C17" s="38" t="e">
        <f>#REF!</f>
        <v>#REF!</v>
      </c>
      <c r="D17" s="66" t="e">
        <f>#REF!</f>
        <v>#REF!</v>
      </c>
      <c r="E17" s="32" t="e">
        <f>#REF!</f>
        <v>#REF!</v>
      </c>
      <c r="F17" s="38"/>
      <c r="G17" s="32"/>
      <c r="H17" s="23"/>
      <c r="I17" s="32"/>
      <c r="J17" s="89" t="b">
        <f t="shared" si="1"/>
        <v>0</v>
      </c>
      <c r="K17" s="89" t="b">
        <f t="shared" si="1"/>
        <v>0</v>
      </c>
      <c r="L17" s="89" t="b">
        <f t="shared" si="2"/>
        <v>0</v>
      </c>
      <c r="M17" s="32">
        <f t="shared" si="3"/>
        <v>2</v>
      </c>
      <c r="O17" s="38" t="str">
        <f t="shared" si="4"/>
        <v/>
      </c>
      <c r="P17" s="38" t="str">
        <f t="shared" si="5"/>
        <v/>
      </c>
      <c r="Q17" s="38" t="str">
        <f t="shared" si="6"/>
        <v/>
      </c>
      <c r="R17" s="38" t="str">
        <f t="shared" si="7"/>
        <v/>
      </c>
      <c r="S17" s="38" t="str">
        <f t="shared" si="8"/>
        <v/>
      </c>
      <c r="T17" s="38" t="str">
        <f t="shared" si="0"/>
        <v/>
      </c>
      <c r="U17" s="31"/>
    </row>
    <row r="18" spans="1:21" ht="44.25" x14ac:dyDescent="0.75">
      <c r="A18" s="32">
        <v>0</v>
      </c>
      <c r="B18" s="32">
        <f>'Base-1'!A39</f>
        <v>33</v>
      </c>
      <c r="C18" s="38" t="e">
        <f>#REF!</f>
        <v>#REF!</v>
      </c>
      <c r="D18" s="88">
        <v>1</v>
      </c>
      <c r="E18" s="32" t="e">
        <f>#REF!</f>
        <v>#REF!</v>
      </c>
      <c r="F18" s="38"/>
      <c r="G18" s="32" t="b">
        <v>1</v>
      </c>
      <c r="H18" s="52"/>
      <c r="I18" s="32" t="b">
        <v>1</v>
      </c>
      <c r="J18" s="89" t="b">
        <f t="shared" si="1"/>
        <v>0</v>
      </c>
      <c r="K18" s="89" t="b">
        <f t="shared" si="1"/>
        <v>1</v>
      </c>
      <c r="L18" s="89" t="b">
        <f t="shared" si="2"/>
        <v>1</v>
      </c>
      <c r="M18" s="32">
        <f t="shared" si="3"/>
        <v>3</v>
      </c>
      <c r="O18" s="38" t="e">
        <f t="shared" si="4"/>
        <v>#REF!</v>
      </c>
      <c r="P18" s="38" t="e">
        <f t="shared" si="5"/>
        <v>#REF!</v>
      </c>
      <c r="Q18" s="38" t="str">
        <f t="shared" si="6"/>
        <v>* differential.element[3].min = 1</v>
      </c>
      <c r="R18" s="38" t="e">
        <f t="shared" si="7"/>
        <v>#REF!</v>
      </c>
      <c r="S18" s="38" t="str">
        <f t="shared" si="8"/>
        <v/>
      </c>
      <c r="T18" s="38" t="str">
        <f t="shared" si="0"/>
        <v>* differential.element[3].mustSupport = true</v>
      </c>
      <c r="U18" s="31"/>
    </row>
    <row r="19" spans="1:21" x14ac:dyDescent="0.75">
      <c r="A19" s="32">
        <v>0</v>
      </c>
      <c r="B19" s="32" t="e">
        <f>'Base-1'!#REF!</f>
        <v>#REF!</v>
      </c>
      <c r="C19" s="38"/>
      <c r="D19" s="66"/>
      <c r="E19" s="32"/>
      <c r="F19" s="38"/>
      <c r="G19" s="32"/>
      <c r="H19" s="23"/>
      <c r="I19" s="32"/>
      <c r="J19" s="89" t="b">
        <f t="shared" si="1"/>
        <v>0</v>
      </c>
      <c r="K19" s="89" t="b">
        <f t="shared" si="1"/>
        <v>0</v>
      </c>
      <c r="L19" s="89" t="b">
        <f t="shared" si="2"/>
        <v>0</v>
      </c>
      <c r="M19" s="32">
        <f t="shared" si="3"/>
        <v>3</v>
      </c>
      <c r="O19" s="38" t="str">
        <f t="shared" si="4"/>
        <v/>
      </c>
      <c r="P19" s="38" t="str">
        <f t="shared" si="5"/>
        <v/>
      </c>
      <c r="Q19" s="38" t="str">
        <f t="shared" si="6"/>
        <v/>
      </c>
      <c r="R19" s="38" t="str">
        <f t="shared" si="7"/>
        <v/>
      </c>
      <c r="S19" s="38" t="str">
        <f t="shared" si="8"/>
        <v/>
      </c>
      <c r="T19" s="38" t="str">
        <f t="shared" si="0"/>
        <v/>
      </c>
      <c r="U19" s="31"/>
    </row>
    <row r="20" spans="1:21" x14ac:dyDescent="0.75">
      <c r="A20" s="32">
        <v>0</v>
      </c>
      <c r="B20" s="32">
        <f>'Base-1'!A46</f>
        <v>40</v>
      </c>
      <c r="C20" s="38"/>
      <c r="D20" s="66"/>
      <c r="E20" s="32"/>
      <c r="F20" s="38"/>
      <c r="G20" s="32"/>
      <c r="H20" s="23"/>
      <c r="I20" s="32"/>
      <c r="J20" s="89" t="b">
        <f t="shared" si="1"/>
        <v>0</v>
      </c>
      <c r="K20" s="89" t="b">
        <f t="shared" si="1"/>
        <v>0</v>
      </c>
      <c r="L20" s="89" t="b">
        <f t="shared" si="2"/>
        <v>0</v>
      </c>
      <c r="M20" s="32">
        <f t="shared" si="3"/>
        <v>3</v>
      </c>
      <c r="O20" s="38" t="str">
        <f t="shared" si="4"/>
        <v/>
      </c>
      <c r="P20" s="38" t="str">
        <f t="shared" si="5"/>
        <v/>
      </c>
      <c r="Q20" s="38" t="str">
        <f t="shared" si="6"/>
        <v/>
      </c>
      <c r="R20" s="38" t="str">
        <f t="shared" si="7"/>
        <v/>
      </c>
      <c r="S20" s="38" t="str">
        <f t="shared" si="8"/>
        <v/>
      </c>
      <c r="T20" s="38" t="str">
        <f t="shared" si="0"/>
        <v/>
      </c>
      <c r="U20" s="31"/>
    </row>
    <row r="21" spans="1:21" x14ac:dyDescent="0.75">
      <c r="A21" s="32">
        <v>0</v>
      </c>
      <c r="B21" s="32">
        <f>'Base-1'!A47</f>
        <v>41</v>
      </c>
      <c r="C21" s="38"/>
      <c r="D21" s="66"/>
      <c r="E21" s="32"/>
      <c r="F21" s="38"/>
      <c r="G21" s="32"/>
      <c r="H21" s="23"/>
      <c r="I21" s="32"/>
      <c r="J21" s="89" t="b">
        <f t="shared" si="1"/>
        <v>0</v>
      </c>
      <c r="K21" s="89" t="b">
        <f t="shared" si="1"/>
        <v>0</v>
      </c>
      <c r="L21" s="89" t="b">
        <f t="shared" si="2"/>
        <v>0</v>
      </c>
      <c r="M21" s="32">
        <f t="shared" si="3"/>
        <v>3</v>
      </c>
      <c r="O21" s="38" t="str">
        <f t="shared" si="4"/>
        <v/>
      </c>
      <c r="P21" s="38" t="str">
        <f t="shared" si="5"/>
        <v/>
      </c>
      <c r="Q21" s="38" t="str">
        <f t="shared" si="6"/>
        <v/>
      </c>
      <c r="R21" s="38" t="str">
        <f t="shared" si="7"/>
        <v/>
      </c>
      <c r="S21" s="38" t="str">
        <f t="shared" si="8"/>
        <v/>
      </c>
      <c r="T21" s="38" t="str">
        <f t="shared" si="0"/>
        <v/>
      </c>
      <c r="U21" s="31"/>
    </row>
    <row r="22" spans="1:21" x14ac:dyDescent="0.75">
      <c r="A22" s="32">
        <v>0</v>
      </c>
      <c r="B22" s="32">
        <f>'Base-1'!A48</f>
        <v>42</v>
      </c>
      <c r="C22" s="38"/>
      <c r="D22" s="66"/>
      <c r="E22" s="32"/>
      <c r="F22" s="38"/>
      <c r="G22" s="32"/>
      <c r="H22" s="23"/>
      <c r="I22" s="32"/>
      <c r="J22" s="89" t="b">
        <f t="shared" si="1"/>
        <v>0</v>
      </c>
      <c r="K22" s="89" t="b">
        <f t="shared" si="1"/>
        <v>0</v>
      </c>
      <c r="L22" s="89" t="b">
        <f t="shared" si="2"/>
        <v>0</v>
      </c>
      <c r="M22" s="32">
        <f t="shared" si="3"/>
        <v>3</v>
      </c>
      <c r="O22" s="38" t="str">
        <f t="shared" si="4"/>
        <v/>
      </c>
      <c r="P22" s="38" t="str">
        <f t="shared" si="5"/>
        <v/>
      </c>
      <c r="Q22" s="38" t="str">
        <f t="shared" si="6"/>
        <v/>
      </c>
      <c r="R22" s="38" t="str">
        <f t="shared" si="7"/>
        <v/>
      </c>
      <c r="S22" s="38" t="str">
        <f t="shared" si="8"/>
        <v/>
      </c>
      <c r="T22" s="38" t="str">
        <f t="shared" si="0"/>
        <v/>
      </c>
      <c r="U22" s="31"/>
    </row>
    <row r="23" spans="1:21" x14ac:dyDescent="0.75">
      <c r="A23" s="32">
        <v>0</v>
      </c>
      <c r="B23" s="32">
        <f>'Base-1'!A49</f>
        <v>43</v>
      </c>
      <c r="C23" s="38"/>
      <c r="D23" s="66"/>
      <c r="E23" s="32"/>
      <c r="F23" s="38"/>
      <c r="G23" s="32"/>
      <c r="H23" s="23"/>
      <c r="I23" s="32"/>
      <c r="J23" s="89" t="b">
        <f t="shared" si="1"/>
        <v>0</v>
      </c>
      <c r="K23" s="89" t="b">
        <f t="shared" si="1"/>
        <v>0</v>
      </c>
      <c r="L23" s="89" t="b">
        <f t="shared" si="2"/>
        <v>0</v>
      </c>
      <c r="M23" s="32">
        <f t="shared" si="3"/>
        <v>3</v>
      </c>
      <c r="O23" s="38" t="str">
        <f t="shared" si="4"/>
        <v/>
      </c>
      <c r="P23" s="38" t="str">
        <f t="shared" si="5"/>
        <v/>
      </c>
      <c r="Q23" s="38" t="str">
        <f t="shared" si="6"/>
        <v/>
      </c>
      <c r="R23" s="38" t="str">
        <f t="shared" si="7"/>
        <v/>
      </c>
      <c r="S23" s="38" t="str">
        <f t="shared" si="8"/>
        <v/>
      </c>
      <c r="T23" s="38" t="str">
        <f t="shared" si="0"/>
        <v/>
      </c>
      <c r="U23" s="31"/>
    </row>
    <row r="24" spans="1:21" x14ac:dyDescent="0.75">
      <c r="A24" s="32">
        <v>0</v>
      </c>
      <c r="B24" s="32">
        <f>'Base-1'!A50</f>
        <v>44</v>
      </c>
      <c r="C24" s="38"/>
      <c r="D24" s="66"/>
      <c r="E24" s="32"/>
      <c r="F24" s="38"/>
      <c r="G24" s="32"/>
      <c r="H24" s="23"/>
      <c r="I24" s="32"/>
      <c r="J24" s="89" t="b">
        <f t="shared" si="1"/>
        <v>0</v>
      </c>
      <c r="K24" s="89" t="b">
        <f>IF(G24&gt;"",TRUE)</f>
        <v>0</v>
      </c>
      <c r="L24" s="89" t="b">
        <f t="shared" si="2"/>
        <v>0</v>
      </c>
      <c r="M24" s="32">
        <f t="shared" si="3"/>
        <v>3</v>
      </c>
      <c r="O24" s="38" t="str">
        <f t="shared" si="4"/>
        <v/>
      </c>
      <c r="P24" s="38" t="str">
        <f t="shared" si="5"/>
        <v/>
      </c>
      <c r="Q24" s="38" t="str">
        <f t="shared" si="6"/>
        <v/>
      </c>
      <c r="R24" s="38" t="str">
        <f t="shared" si="7"/>
        <v/>
      </c>
      <c r="S24" s="38" t="str">
        <f t="shared" si="8"/>
        <v/>
      </c>
      <c r="T24" s="38" t="str">
        <f t="shared" si="0"/>
        <v/>
      </c>
      <c r="U24" s="31"/>
    </row>
    <row r="25" spans="1:21" x14ac:dyDescent="0.75">
      <c r="A25" s="32">
        <v>0</v>
      </c>
      <c r="B25" s="32">
        <f>'Base-1'!A51</f>
        <v>45</v>
      </c>
      <c r="C25" s="38"/>
      <c r="D25" s="66"/>
      <c r="E25" s="32"/>
      <c r="F25" s="38"/>
      <c r="G25" s="32"/>
      <c r="H25" s="23"/>
      <c r="I25" s="32"/>
      <c r="J25" s="89" t="b">
        <f t="shared" si="1"/>
        <v>0</v>
      </c>
      <c r="K25" s="89" t="b">
        <f>IF(G25&gt;"",TRUE)</f>
        <v>0</v>
      </c>
      <c r="L25" s="89" t="b">
        <f t="shared" si="2"/>
        <v>0</v>
      </c>
      <c r="M25" s="32">
        <f t="shared" si="3"/>
        <v>3</v>
      </c>
      <c r="O25" s="38" t="str">
        <f t="shared" si="4"/>
        <v/>
      </c>
      <c r="P25" s="38" t="str">
        <f t="shared" si="5"/>
        <v/>
      </c>
      <c r="Q25" s="38" t="str">
        <f t="shared" si="6"/>
        <v/>
      </c>
      <c r="R25" s="38" t="str">
        <f t="shared" si="7"/>
        <v/>
      </c>
      <c r="S25" s="38" t="str">
        <f t="shared" si="8"/>
        <v/>
      </c>
      <c r="T25" s="38" t="str">
        <f t="shared" si="0"/>
        <v/>
      </c>
      <c r="U25" s="31"/>
    </row>
    <row r="26" spans="1:21" x14ac:dyDescent="0.75">
      <c r="A26" s="32">
        <v>0</v>
      </c>
      <c r="B26" s="32">
        <f>'Base-1'!A52</f>
        <v>46</v>
      </c>
      <c r="C26" s="38"/>
      <c r="D26" s="66"/>
      <c r="E26" s="32"/>
      <c r="F26" s="38"/>
      <c r="G26" s="32"/>
      <c r="H26" s="23"/>
      <c r="I26" s="32"/>
      <c r="J26" s="89" t="b">
        <f t="shared" si="1"/>
        <v>0</v>
      </c>
      <c r="K26" s="89" t="b">
        <f t="shared" si="1"/>
        <v>0</v>
      </c>
      <c r="L26" s="89" t="b">
        <f t="shared" si="2"/>
        <v>0</v>
      </c>
      <c r="M26" s="32">
        <f t="shared" si="3"/>
        <v>3</v>
      </c>
      <c r="O26" s="38" t="str">
        <f t="shared" si="4"/>
        <v/>
      </c>
      <c r="P26" s="38" t="str">
        <f t="shared" si="5"/>
        <v/>
      </c>
      <c r="Q26" s="38" t="str">
        <f t="shared" si="6"/>
        <v/>
      </c>
      <c r="R26" s="38" t="str">
        <f t="shared" si="7"/>
        <v/>
      </c>
      <c r="S26" s="38" t="str">
        <f t="shared" si="8"/>
        <v/>
      </c>
      <c r="T26" s="38" t="str">
        <f t="shared" si="0"/>
        <v/>
      </c>
      <c r="U26" s="31"/>
    </row>
    <row r="27" spans="1:21" x14ac:dyDescent="0.75">
      <c r="A27" s="32">
        <v>0</v>
      </c>
      <c r="B27" s="32">
        <f>'Base-1'!A53</f>
        <v>47</v>
      </c>
      <c r="C27" s="38"/>
      <c r="D27" s="66"/>
      <c r="E27" s="32"/>
      <c r="F27" s="38"/>
      <c r="G27" s="32"/>
      <c r="H27" s="23"/>
      <c r="I27" s="32"/>
      <c r="J27" s="89" t="b">
        <f t="shared" si="1"/>
        <v>0</v>
      </c>
      <c r="K27" s="89" t="b">
        <f t="shared" si="1"/>
        <v>0</v>
      </c>
      <c r="L27" s="89" t="b">
        <f t="shared" si="2"/>
        <v>0</v>
      </c>
      <c r="M27" s="32">
        <f t="shared" si="3"/>
        <v>3</v>
      </c>
      <c r="O27" s="38" t="str">
        <f t="shared" si="4"/>
        <v/>
      </c>
      <c r="P27" s="38" t="str">
        <f t="shared" si="5"/>
        <v/>
      </c>
      <c r="Q27" s="38" t="str">
        <f t="shared" si="6"/>
        <v/>
      </c>
      <c r="R27" s="38" t="str">
        <f t="shared" si="7"/>
        <v/>
      </c>
      <c r="S27" s="38" t="str">
        <f t="shared" si="8"/>
        <v/>
      </c>
      <c r="T27" s="38" t="str">
        <f t="shared" si="0"/>
        <v/>
      </c>
      <c r="U27" s="31"/>
    </row>
    <row r="28" spans="1:21" x14ac:dyDescent="0.75">
      <c r="A28" s="32">
        <v>0</v>
      </c>
      <c r="B28" s="32">
        <f>'Base-1'!A54</f>
        <v>48</v>
      </c>
      <c r="C28" s="38"/>
      <c r="D28" s="66"/>
      <c r="E28" s="32"/>
      <c r="F28" s="38"/>
      <c r="G28" s="32"/>
      <c r="H28" s="23"/>
      <c r="I28" s="32"/>
      <c r="J28" s="89" t="b">
        <f t="shared" si="1"/>
        <v>0</v>
      </c>
      <c r="K28" s="89" t="b">
        <f t="shared" si="1"/>
        <v>0</v>
      </c>
      <c r="L28" s="89" t="b">
        <f t="shared" si="2"/>
        <v>0</v>
      </c>
      <c r="M28" s="32">
        <f t="shared" si="3"/>
        <v>3</v>
      </c>
      <c r="O28" s="38" t="str">
        <f t="shared" si="4"/>
        <v/>
      </c>
      <c r="P28" s="38" t="str">
        <f t="shared" si="5"/>
        <v/>
      </c>
      <c r="Q28" s="38" t="str">
        <f t="shared" si="6"/>
        <v/>
      </c>
      <c r="R28" s="38" t="str">
        <f t="shared" si="7"/>
        <v/>
      </c>
      <c r="S28" s="38" t="str">
        <f t="shared" si="8"/>
        <v/>
      </c>
      <c r="T28" s="38" t="str">
        <f t="shared" si="0"/>
        <v/>
      </c>
      <c r="U28" s="31"/>
    </row>
    <row r="29" spans="1:21" x14ac:dyDescent="0.75">
      <c r="A29" s="32">
        <v>1</v>
      </c>
      <c r="B29" s="32">
        <f>'Base-1'!A55</f>
        <v>49</v>
      </c>
      <c r="C29" s="38"/>
      <c r="D29" s="66"/>
      <c r="E29" s="32"/>
      <c r="F29" s="38"/>
      <c r="G29" s="32"/>
      <c r="H29" s="23"/>
      <c r="I29" s="32"/>
      <c r="J29" s="89" t="b">
        <f t="shared" si="1"/>
        <v>0</v>
      </c>
      <c r="K29" s="89" t="b">
        <f>IF(G29&gt;"",TRUE)</f>
        <v>0</v>
      </c>
      <c r="L29" s="89" t="b">
        <f t="shared" si="2"/>
        <v>0</v>
      </c>
      <c r="M29" s="32">
        <f t="shared" si="3"/>
        <v>3</v>
      </c>
      <c r="O29" s="38" t="str">
        <f t="shared" si="4"/>
        <v/>
      </c>
      <c r="P29" s="38" t="str">
        <f t="shared" si="5"/>
        <v/>
      </c>
      <c r="Q29" s="38" t="str">
        <f t="shared" si="6"/>
        <v/>
      </c>
      <c r="R29" s="38" t="str">
        <f t="shared" si="7"/>
        <v/>
      </c>
      <c r="S29" s="38" t="str">
        <f t="shared" si="8"/>
        <v/>
      </c>
      <c r="T29" s="38" t="str">
        <f t="shared" si="0"/>
        <v/>
      </c>
      <c r="U29" s="31"/>
    </row>
    <row r="30" spans="1:21" x14ac:dyDescent="0.75">
      <c r="A30" s="32">
        <v>0</v>
      </c>
      <c r="B30" s="32">
        <f>'Base-1'!A56</f>
        <v>50</v>
      </c>
      <c r="C30" s="38"/>
      <c r="D30" s="66"/>
      <c r="E30" s="32"/>
      <c r="F30" s="38"/>
      <c r="G30" s="32"/>
      <c r="H30" s="23"/>
      <c r="I30" s="32"/>
      <c r="J30" s="89" t="b">
        <f t="shared" si="1"/>
        <v>0</v>
      </c>
      <c r="K30" s="89" t="b">
        <f>IF(G30&gt;"",TRUE)</f>
        <v>0</v>
      </c>
      <c r="L30" s="89" t="b">
        <f t="shared" si="2"/>
        <v>0</v>
      </c>
      <c r="M30" s="32">
        <f t="shared" si="3"/>
        <v>3</v>
      </c>
      <c r="O30" s="38" t="str">
        <f t="shared" si="4"/>
        <v/>
      </c>
      <c r="P30" s="38" t="str">
        <f t="shared" si="5"/>
        <v/>
      </c>
      <c r="Q30" s="38" t="str">
        <f t="shared" si="6"/>
        <v/>
      </c>
      <c r="R30" s="38" t="str">
        <f t="shared" si="7"/>
        <v/>
      </c>
      <c r="S30" s="38" t="str">
        <f t="shared" si="8"/>
        <v/>
      </c>
      <c r="T30" s="38" t="str">
        <f t="shared" si="0"/>
        <v/>
      </c>
      <c r="U30" s="31"/>
    </row>
    <row r="31" spans="1:21" x14ac:dyDescent="0.75">
      <c r="A31" s="32">
        <v>0</v>
      </c>
      <c r="B31" s="32">
        <f>'Base-1'!A57</f>
        <v>51</v>
      </c>
      <c r="C31" s="38"/>
      <c r="D31" s="66"/>
      <c r="E31" s="32"/>
      <c r="F31" s="38"/>
      <c r="G31" s="32"/>
      <c r="H31" s="23"/>
      <c r="I31" s="32"/>
      <c r="J31" s="89" t="b">
        <f t="shared" si="1"/>
        <v>0</v>
      </c>
      <c r="K31" s="89" t="b">
        <f>IF(G31&gt;"",TRUE)</f>
        <v>0</v>
      </c>
      <c r="L31" s="89" t="b">
        <f t="shared" si="2"/>
        <v>0</v>
      </c>
      <c r="M31" s="32">
        <f t="shared" si="3"/>
        <v>3</v>
      </c>
      <c r="O31" s="38" t="str">
        <f t="shared" si="4"/>
        <v/>
      </c>
      <c r="P31" s="38" t="str">
        <f t="shared" si="5"/>
        <v/>
      </c>
      <c r="Q31" s="38" t="str">
        <f t="shared" si="6"/>
        <v/>
      </c>
      <c r="R31" s="38" t="str">
        <f t="shared" si="7"/>
        <v/>
      </c>
      <c r="S31" s="38" t="str">
        <f t="shared" si="8"/>
        <v/>
      </c>
      <c r="T31" s="38" t="str">
        <f t="shared" si="0"/>
        <v/>
      </c>
      <c r="U31" s="31"/>
    </row>
    <row r="32" spans="1:21" x14ac:dyDescent="0.75">
      <c r="A32" s="32">
        <v>0</v>
      </c>
      <c r="B32" s="32">
        <f>'Base-1'!A58</f>
        <v>52</v>
      </c>
      <c r="C32" s="38"/>
      <c r="D32" s="66"/>
      <c r="E32" s="32"/>
      <c r="F32" s="38"/>
      <c r="G32" s="32"/>
      <c r="H32" s="23"/>
      <c r="I32" s="32"/>
      <c r="J32" s="89" t="b">
        <f t="shared" si="1"/>
        <v>0</v>
      </c>
      <c r="K32" s="89" t="b">
        <f t="shared" si="1"/>
        <v>0</v>
      </c>
      <c r="L32" s="89" t="b">
        <f t="shared" si="2"/>
        <v>0</v>
      </c>
      <c r="M32" s="32">
        <f t="shared" si="3"/>
        <v>3</v>
      </c>
      <c r="O32" s="38" t="str">
        <f t="shared" si="4"/>
        <v/>
      </c>
      <c r="P32" s="38" t="str">
        <f t="shared" si="5"/>
        <v/>
      </c>
      <c r="Q32" s="38" t="str">
        <f t="shared" si="6"/>
        <v/>
      </c>
      <c r="R32" s="38" t="str">
        <f t="shared" si="7"/>
        <v/>
      </c>
      <c r="S32" s="38" t="str">
        <f t="shared" si="8"/>
        <v/>
      </c>
      <c r="T32" s="38" t="str">
        <f t="shared" si="0"/>
        <v/>
      </c>
      <c r="U32" s="31"/>
    </row>
    <row r="33" spans="1:21" x14ac:dyDescent="0.75">
      <c r="A33" s="32">
        <v>0</v>
      </c>
      <c r="B33" s="32">
        <f>'Base-1'!A59</f>
        <v>53</v>
      </c>
      <c r="C33" s="38"/>
      <c r="D33" s="66"/>
      <c r="E33" s="32"/>
      <c r="F33" s="38"/>
      <c r="G33" s="32"/>
      <c r="H33" s="23"/>
      <c r="I33" s="32"/>
      <c r="J33" s="89" t="b">
        <f t="shared" si="1"/>
        <v>0</v>
      </c>
      <c r="K33" s="89" t="b">
        <f t="shared" si="1"/>
        <v>0</v>
      </c>
      <c r="L33" s="89" t="b">
        <f t="shared" si="2"/>
        <v>0</v>
      </c>
      <c r="M33" s="32">
        <f t="shared" si="3"/>
        <v>3</v>
      </c>
      <c r="O33" s="38" t="str">
        <f t="shared" si="4"/>
        <v/>
      </c>
      <c r="P33" s="38" t="str">
        <f t="shared" si="5"/>
        <v/>
      </c>
      <c r="Q33" s="38" t="str">
        <f t="shared" si="6"/>
        <v/>
      </c>
      <c r="R33" s="38" t="str">
        <f t="shared" si="7"/>
        <v/>
      </c>
      <c r="S33" s="38" t="str">
        <f t="shared" si="8"/>
        <v/>
      </c>
      <c r="T33" s="38" t="str">
        <f t="shared" si="0"/>
        <v/>
      </c>
      <c r="U33" s="31"/>
    </row>
    <row r="34" spans="1:21" x14ac:dyDescent="0.75">
      <c r="A34" s="32">
        <v>0</v>
      </c>
      <c r="B34" s="32">
        <f>'Base-1'!A60</f>
        <v>54</v>
      </c>
      <c r="C34" s="38" t="e">
        <f>#REF!</f>
        <v>#REF!</v>
      </c>
      <c r="D34" s="66" t="e">
        <f>#REF!</f>
        <v>#REF!</v>
      </c>
      <c r="E34" s="32" t="e">
        <f>#REF!</f>
        <v>#REF!</v>
      </c>
      <c r="F34" s="38" t="e">
        <f>#REF!</f>
        <v>#REF!</v>
      </c>
      <c r="G34" s="32"/>
      <c r="H34" s="23"/>
      <c r="I34" s="32"/>
      <c r="J34" s="89" t="e">
        <f t="shared" si="1"/>
        <v>#REF!</v>
      </c>
      <c r="K34" s="89" t="b">
        <f>IF(G34&gt;"",TRUE)</f>
        <v>0</v>
      </c>
      <c r="L34" s="89" t="e">
        <f t="shared" si="2"/>
        <v>#REF!</v>
      </c>
      <c r="M34" s="32" t="e">
        <f t="shared" si="3"/>
        <v>#REF!</v>
      </c>
      <c r="O34" s="38" t="e">
        <f t="shared" si="4"/>
        <v>#REF!</v>
      </c>
      <c r="P34" s="38" t="e">
        <f t="shared" si="5"/>
        <v>#REF!</v>
      </c>
      <c r="Q34" s="38" t="str">
        <f t="shared" si="6"/>
        <v/>
      </c>
      <c r="R34" s="38" t="str">
        <f t="shared" si="7"/>
        <v/>
      </c>
      <c r="S34" s="38" t="e">
        <f t="shared" si="8"/>
        <v>#REF!</v>
      </c>
      <c r="T34" s="38" t="str">
        <f t="shared" si="0"/>
        <v/>
      </c>
      <c r="U34" s="31"/>
    </row>
    <row r="35" spans="1:21" x14ac:dyDescent="0.75">
      <c r="A35" s="32">
        <v>0</v>
      </c>
      <c r="B35" s="32">
        <f>'Base-1'!A61</f>
        <v>55</v>
      </c>
      <c r="C35" s="38" t="e">
        <f>#REF!</f>
        <v>#REF!</v>
      </c>
      <c r="D35" s="66" t="e">
        <f>#REF!</f>
        <v>#REF!</v>
      </c>
      <c r="E35" s="32" t="e">
        <f>#REF!</f>
        <v>#REF!</v>
      </c>
      <c r="F35" s="38" t="e">
        <f>#REF!</f>
        <v>#REF!</v>
      </c>
      <c r="G35" s="32"/>
      <c r="H35" s="23"/>
      <c r="I35" s="32"/>
      <c r="J35" s="89" t="e">
        <f t="shared" si="1"/>
        <v>#REF!</v>
      </c>
      <c r="K35" s="89" t="b">
        <f>IF(G35&gt;"",TRUE)</f>
        <v>0</v>
      </c>
      <c r="L35" s="89" t="e">
        <f t="shared" si="2"/>
        <v>#REF!</v>
      </c>
      <c r="M35" s="32" t="e">
        <f t="shared" si="3"/>
        <v>#REF!</v>
      </c>
      <c r="O35" s="38" t="e">
        <f t="shared" si="4"/>
        <v>#REF!</v>
      </c>
      <c r="P35" s="38" t="e">
        <f t="shared" si="5"/>
        <v>#REF!</v>
      </c>
      <c r="Q35" s="38" t="str">
        <f t="shared" si="6"/>
        <v/>
      </c>
      <c r="R35" s="38" t="str">
        <f t="shared" si="7"/>
        <v/>
      </c>
      <c r="S35" s="38" t="e">
        <f t="shared" si="8"/>
        <v>#REF!</v>
      </c>
      <c r="T35" s="38" t="str">
        <f t="shared" si="0"/>
        <v/>
      </c>
      <c r="U35" s="31"/>
    </row>
    <row r="36" spans="1:21" x14ac:dyDescent="0.75">
      <c r="A36" s="32">
        <v>0</v>
      </c>
      <c r="B36" s="32">
        <f>'Base-1'!A62</f>
        <v>56</v>
      </c>
      <c r="C36" s="38" t="e">
        <f>#REF!</f>
        <v>#REF!</v>
      </c>
      <c r="D36" s="66" t="e">
        <f>#REF!</f>
        <v>#REF!</v>
      </c>
      <c r="E36" s="32" t="e">
        <f>#REF!</f>
        <v>#REF!</v>
      </c>
      <c r="F36" s="38" t="e">
        <f>#REF!</f>
        <v>#REF!</v>
      </c>
      <c r="G36" s="32"/>
      <c r="H36" s="23"/>
      <c r="I36" s="32"/>
      <c r="J36" s="89" t="e">
        <f t="shared" si="1"/>
        <v>#REF!</v>
      </c>
      <c r="K36" s="89" t="b">
        <f t="shared" si="1"/>
        <v>0</v>
      </c>
      <c r="L36" s="89" t="e">
        <f t="shared" si="2"/>
        <v>#REF!</v>
      </c>
      <c r="M36" s="32" t="e">
        <f t="shared" si="3"/>
        <v>#REF!</v>
      </c>
      <c r="O36" s="38" t="e">
        <f t="shared" si="4"/>
        <v>#REF!</v>
      </c>
      <c r="P36" s="38" t="e">
        <f t="shared" si="5"/>
        <v>#REF!</v>
      </c>
      <c r="Q36" s="38" t="str">
        <f t="shared" si="6"/>
        <v/>
      </c>
      <c r="R36" s="38" t="str">
        <f t="shared" si="7"/>
        <v/>
      </c>
      <c r="S36" s="38" t="e">
        <f t="shared" si="8"/>
        <v>#REF!</v>
      </c>
      <c r="T36" s="38" t="str">
        <f t="shared" si="0"/>
        <v/>
      </c>
      <c r="U36" s="31"/>
    </row>
    <row r="37" spans="1:21" x14ac:dyDescent="0.75">
      <c r="A37" s="32">
        <v>0</v>
      </c>
      <c r="B37" s="32">
        <f>'Base-1'!A63</f>
        <v>57</v>
      </c>
      <c r="C37" s="38" t="e">
        <f>#REF!</f>
        <v>#REF!</v>
      </c>
      <c r="D37" s="66" t="e">
        <f>#REF!</f>
        <v>#REF!</v>
      </c>
      <c r="E37" s="32" t="e">
        <f>#REF!</f>
        <v>#REF!</v>
      </c>
      <c r="F37" s="38" t="e">
        <f>#REF!</f>
        <v>#REF!</v>
      </c>
      <c r="G37" s="32" t="b">
        <v>1</v>
      </c>
      <c r="H37" s="23"/>
      <c r="I37" s="32"/>
      <c r="J37" s="89" t="e">
        <f t="shared" si="1"/>
        <v>#REF!</v>
      </c>
      <c r="K37" s="89" t="b">
        <f t="shared" si="1"/>
        <v>1</v>
      </c>
      <c r="L37" s="89" t="e">
        <f t="shared" si="2"/>
        <v>#REF!</v>
      </c>
      <c r="M37" s="32" t="e">
        <f t="shared" si="3"/>
        <v>#REF!</v>
      </c>
      <c r="O37" s="38" t="e">
        <f t="shared" si="4"/>
        <v>#REF!</v>
      </c>
      <c r="P37" s="38" t="e">
        <f t="shared" si="5"/>
        <v>#REF!</v>
      </c>
      <c r="Q37" s="38" t="str">
        <f t="shared" si="6"/>
        <v/>
      </c>
      <c r="R37" s="38" t="str">
        <f t="shared" si="7"/>
        <v/>
      </c>
      <c r="S37" s="38" t="e">
        <f t="shared" si="8"/>
        <v>#REF!</v>
      </c>
      <c r="T37" s="38" t="e">
        <f t="shared" si="0"/>
        <v>#REF!</v>
      </c>
      <c r="U37" s="31"/>
    </row>
    <row r="38" spans="1:21" x14ac:dyDescent="0.75">
      <c r="A38" s="32">
        <v>0</v>
      </c>
      <c r="B38" s="32" t="e">
        <f>'Base-1'!#REF!</f>
        <v>#REF!</v>
      </c>
      <c r="C38" s="38" t="e">
        <f>#REF!</f>
        <v>#REF!</v>
      </c>
      <c r="D38" s="66" t="e">
        <f>#REF!</f>
        <v>#REF!</v>
      </c>
      <c r="E38" s="32" t="e">
        <f>#REF!</f>
        <v>#REF!</v>
      </c>
      <c r="F38" s="38" t="e">
        <f>#REF!</f>
        <v>#REF!</v>
      </c>
      <c r="G38" s="32"/>
      <c r="H38" s="23"/>
      <c r="I38" s="32"/>
      <c r="J38" s="89" t="e">
        <f t="shared" si="1"/>
        <v>#REF!</v>
      </c>
      <c r="K38" s="89" t="b">
        <f>IF(G38&gt;"",TRUE)</f>
        <v>0</v>
      </c>
      <c r="L38" s="89" t="e">
        <f t="shared" si="2"/>
        <v>#REF!</v>
      </c>
      <c r="M38" s="32" t="e">
        <f t="shared" si="3"/>
        <v>#REF!</v>
      </c>
      <c r="O38" s="38" t="e">
        <f t="shared" si="4"/>
        <v>#REF!</v>
      </c>
      <c r="P38" s="38" t="e">
        <f t="shared" si="5"/>
        <v>#REF!</v>
      </c>
      <c r="Q38" s="38" t="str">
        <f t="shared" si="6"/>
        <v/>
      </c>
      <c r="R38" s="38" t="str">
        <f t="shared" si="7"/>
        <v/>
      </c>
      <c r="S38" s="38" t="e">
        <f t="shared" si="8"/>
        <v>#REF!</v>
      </c>
      <c r="T38" s="38" t="str">
        <f t="shared" si="0"/>
        <v/>
      </c>
      <c r="U38" s="31"/>
    </row>
    <row r="39" spans="1:21" x14ac:dyDescent="0.75">
      <c r="A39" s="32"/>
      <c r="B39" s="32"/>
      <c r="C39" s="38"/>
      <c r="D39" s="66"/>
      <c r="E39" s="32"/>
      <c r="F39" s="38"/>
      <c r="G39" s="32"/>
      <c r="H39" s="23"/>
      <c r="I39" s="32"/>
      <c r="J39" s="89" t="b">
        <f t="shared" si="1"/>
        <v>0</v>
      </c>
      <c r="K39" s="89" t="b">
        <f>IF(G39&gt;"",TRUE)</f>
        <v>0</v>
      </c>
      <c r="L39" s="89" t="b">
        <f t="shared" si="2"/>
        <v>0</v>
      </c>
      <c r="M39" s="32" t="e">
        <f t="shared" si="3"/>
        <v>#REF!</v>
      </c>
      <c r="O39" s="38" t="str">
        <f t="shared" si="4"/>
        <v/>
      </c>
      <c r="P39" s="38" t="str">
        <f t="shared" si="5"/>
        <v/>
      </c>
      <c r="Q39" s="38" t="str">
        <f t="shared" si="6"/>
        <v/>
      </c>
      <c r="R39" s="38" t="str">
        <f t="shared" si="7"/>
        <v/>
      </c>
      <c r="S39" s="38" t="str">
        <f t="shared" si="8"/>
        <v/>
      </c>
      <c r="T39" s="38" t="str">
        <f t="shared" si="0"/>
        <v/>
      </c>
      <c r="U39" s="31"/>
    </row>
    <row r="40" spans="1:21" x14ac:dyDescent="0.75">
      <c r="A40" s="32"/>
      <c r="B40" s="32"/>
      <c r="C40" s="38"/>
      <c r="D40" s="66"/>
      <c r="E40" s="32"/>
      <c r="F40" s="38"/>
      <c r="G40" s="32"/>
      <c r="H40" s="23"/>
      <c r="I40" s="32"/>
      <c r="J40" s="89" t="b">
        <f t="shared" si="1"/>
        <v>0</v>
      </c>
      <c r="K40" s="89" t="b">
        <f t="shared" si="1"/>
        <v>0</v>
      </c>
      <c r="L40" s="89" t="b">
        <f t="shared" si="2"/>
        <v>0</v>
      </c>
      <c r="M40" s="32" t="e">
        <f t="shared" si="3"/>
        <v>#REF!</v>
      </c>
      <c r="O40" s="38" t="str">
        <f t="shared" si="4"/>
        <v/>
      </c>
      <c r="P40" s="38" t="str">
        <f t="shared" si="5"/>
        <v/>
      </c>
      <c r="Q40" s="38" t="str">
        <f t="shared" si="6"/>
        <v/>
      </c>
      <c r="R40" s="38" t="str">
        <f t="shared" si="7"/>
        <v/>
      </c>
      <c r="S40" s="38" t="str">
        <f t="shared" si="8"/>
        <v/>
      </c>
      <c r="T40" s="38" t="str">
        <f t="shared" si="0"/>
        <v/>
      </c>
      <c r="U40" s="31"/>
    </row>
    <row r="41" spans="1:21" x14ac:dyDescent="0.75">
      <c r="B41" s="31" t="e">
        <f>'Base-1'!#REF!</f>
        <v>#REF!</v>
      </c>
      <c r="D41" s="66"/>
      <c r="E41" s="32"/>
      <c r="F41" s="38"/>
      <c r="G41" s="32"/>
      <c r="H41" s="23"/>
      <c r="I41" s="32"/>
      <c r="J41" s="89" t="b">
        <f t="shared" si="1"/>
        <v>0</v>
      </c>
      <c r="K41" s="89" t="b">
        <f t="shared" si="1"/>
        <v>0</v>
      </c>
      <c r="L41" s="89" t="b">
        <f t="shared" si="2"/>
        <v>0</v>
      </c>
      <c r="M41" s="32" t="e">
        <f t="shared" si="3"/>
        <v>#REF!</v>
      </c>
      <c r="O41" s="38" t="str">
        <f t="shared" si="4"/>
        <v/>
      </c>
      <c r="P41" s="38" t="str">
        <f t="shared" si="5"/>
        <v/>
      </c>
      <c r="Q41" s="38" t="str">
        <f t="shared" si="6"/>
        <v/>
      </c>
      <c r="R41" s="38" t="str">
        <f t="shared" si="7"/>
        <v/>
      </c>
      <c r="S41" s="38" t="str">
        <f t="shared" si="8"/>
        <v/>
      </c>
      <c r="T41" s="38" t="str">
        <f t="shared" si="0"/>
        <v/>
      </c>
      <c r="U41" s="31"/>
    </row>
    <row r="42" spans="1:21" x14ac:dyDescent="0.75">
      <c r="B42" s="31" t="e">
        <f>'Base-1'!#REF!</f>
        <v>#REF!</v>
      </c>
      <c r="C42" s="1" t="e">
        <f>'Base-1'!#REF!</f>
        <v>#REF!</v>
      </c>
      <c r="D42" s="66"/>
      <c r="E42" s="32"/>
      <c r="F42" s="38"/>
      <c r="G42" s="32"/>
      <c r="H42" s="23"/>
      <c r="I42" s="32"/>
      <c r="J42" s="89" t="b">
        <f t="shared" si="1"/>
        <v>0</v>
      </c>
      <c r="K42" s="89" t="b">
        <f t="shared" si="1"/>
        <v>0</v>
      </c>
      <c r="L42" s="89" t="b">
        <f t="shared" si="2"/>
        <v>0</v>
      </c>
      <c r="M42" s="32" t="e">
        <f t="shared" si="3"/>
        <v>#REF!</v>
      </c>
      <c r="O42" s="38" t="str">
        <f t="shared" si="4"/>
        <v/>
      </c>
      <c r="P42" s="38" t="str">
        <f t="shared" si="5"/>
        <v/>
      </c>
      <c r="Q42" s="38" t="str">
        <f t="shared" si="6"/>
        <v/>
      </c>
      <c r="R42" s="38" t="str">
        <f t="shared" si="7"/>
        <v/>
      </c>
      <c r="S42" s="38" t="str">
        <f t="shared" si="8"/>
        <v/>
      </c>
      <c r="T42" s="38" t="str">
        <f t="shared" si="0"/>
        <v/>
      </c>
      <c r="U42" s="31"/>
    </row>
    <row r="43" spans="1:21" x14ac:dyDescent="0.75">
      <c r="B43" s="31" t="e">
        <f>'Base-1'!#REF!</f>
        <v>#REF!</v>
      </c>
      <c r="C43" s="1" t="e">
        <f>'Base-1'!#REF!</f>
        <v>#REF!</v>
      </c>
      <c r="D43" s="66"/>
      <c r="E43" s="32"/>
      <c r="F43" s="38"/>
      <c r="G43" s="32"/>
      <c r="H43" s="23"/>
      <c r="I43" s="32"/>
      <c r="J43" s="89" t="b">
        <f t="shared" si="1"/>
        <v>0</v>
      </c>
      <c r="K43" s="89" t="b">
        <f>IF(G43&gt;"",TRUE)</f>
        <v>0</v>
      </c>
      <c r="L43" s="89" t="b">
        <f t="shared" si="2"/>
        <v>0</v>
      </c>
      <c r="M43" s="32" t="e">
        <f t="shared" si="3"/>
        <v>#REF!</v>
      </c>
      <c r="O43" s="38" t="str">
        <f t="shared" si="4"/>
        <v/>
      </c>
      <c r="P43" s="38" t="str">
        <f t="shared" si="5"/>
        <v/>
      </c>
      <c r="Q43" s="38" t="str">
        <f t="shared" si="6"/>
        <v/>
      </c>
      <c r="R43" s="38" t="str">
        <f t="shared" si="7"/>
        <v/>
      </c>
      <c r="S43" s="38" t="str">
        <f t="shared" si="8"/>
        <v/>
      </c>
      <c r="U43" s="31"/>
    </row>
    <row r="44" spans="1:21" x14ac:dyDescent="0.75">
      <c r="B44" s="31" t="e">
        <f>'Base-1'!#REF!</f>
        <v>#REF!</v>
      </c>
      <c r="C44" s="1" t="e">
        <f>'Base-1'!#REF!</f>
        <v>#REF!</v>
      </c>
      <c r="D44" s="66"/>
      <c r="E44" s="32"/>
      <c r="F44" s="38"/>
      <c r="G44" s="32"/>
      <c r="H44" s="23"/>
      <c r="I44" s="32"/>
      <c r="J44" s="89" t="b">
        <f t="shared" si="1"/>
        <v>0</v>
      </c>
      <c r="K44" s="89" t="b">
        <f t="shared" si="1"/>
        <v>0</v>
      </c>
      <c r="L44" s="89" t="b">
        <f t="shared" si="2"/>
        <v>0</v>
      </c>
      <c r="M44" s="32" t="e">
        <f t="shared" si="3"/>
        <v>#REF!</v>
      </c>
      <c r="O44" s="38" t="str">
        <f t="shared" si="4"/>
        <v/>
      </c>
      <c r="P44" s="38" t="str">
        <f t="shared" si="5"/>
        <v/>
      </c>
      <c r="Q44" s="38" t="str">
        <f t="shared" si="6"/>
        <v/>
      </c>
      <c r="R44" s="38" t="str">
        <f t="shared" si="7"/>
        <v/>
      </c>
      <c r="S44" s="38" t="str">
        <f t="shared" si="8"/>
        <v/>
      </c>
      <c r="U44" s="31"/>
    </row>
    <row r="45" spans="1:21" x14ac:dyDescent="0.75">
      <c r="B45" s="31" t="e">
        <f>'Base-1'!#REF!</f>
        <v>#REF!</v>
      </c>
      <c r="C45" s="1" t="e">
        <f>'Base-1'!#REF!</f>
        <v>#REF!</v>
      </c>
      <c r="D45" s="66"/>
      <c r="E45" s="32"/>
      <c r="F45" s="38"/>
      <c r="G45" s="32"/>
      <c r="H45" s="23"/>
      <c r="I45" s="32"/>
      <c r="J45" s="89" t="b">
        <f t="shared" si="1"/>
        <v>0</v>
      </c>
      <c r="K45" s="89" t="b">
        <f t="shared" si="1"/>
        <v>0</v>
      </c>
      <c r="L45" s="89" t="b">
        <f t="shared" si="2"/>
        <v>0</v>
      </c>
      <c r="M45" s="32" t="e">
        <f t="shared" si="3"/>
        <v>#REF!</v>
      </c>
      <c r="Q45" s="38" t="str">
        <f t="shared" si="6"/>
        <v/>
      </c>
      <c r="R45" s="38" t="str">
        <f t="shared" si="7"/>
        <v/>
      </c>
      <c r="S45" s="38" t="str">
        <f t="shared" si="8"/>
        <v/>
      </c>
      <c r="U45" s="31"/>
    </row>
    <row r="46" spans="1:21" x14ac:dyDescent="0.75">
      <c r="B46" s="31" t="e">
        <f>'Base-1'!#REF!</f>
        <v>#REF!</v>
      </c>
      <c r="C46" s="1" t="e">
        <f>'Base-1'!#REF!</f>
        <v>#REF!</v>
      </c>
      <c r="D46" s="66"/>
      <c r="E46" s="32"/>
      <c r="F46" s="38"/>
      <c r="G46" s="32"/>
      <c r="H46" s="23"/>
      <c r="Q46" s="38" t="str">
        <f t="shared" si="6"/>
        <v/>
      </c>
      <c r="R46" s="38" t="str">
        <f t="shared" si="7"/>
        <v/>
      </c>
      <c r="S46" s="38" t="str">
        <f t="shared" si="8"/>
        <v/>
      </c>
      <c r="U46" s="31"/>
    </row>
    <row r="47" spans="1:21" x14ac:dyDescent="0.75">
      <c r="B47" s="31" t="e">
        <f>'Base-1'!#REF!</f>
        <v>#REF!</v>
      </c>
      <c r="C47" s="1" t="e">
        <f>'Base-1'!#REF!</f>
        <v>#REF!</v>
      </c>
      <c r="D47" s="66"/>
      <c r="E47" s="32"/>
      <c r="F47" s="38"/>
      <c r="G47" s="32"/>
      <c r="H47" s="23"/>
      <c r="Q47" s="38" t="str">
        <f t="shared" si="6"/>
        <v/>
      </c>
      <c r="R47" s="38" t="str">
        <f t="shared" si="7"/>
        <v/>
      </c>
      <c r="S47" s="38" t="str">
        <f t="shared" si="8"/>
        <v/>
      </c>
      <c r="U47" s="31"/>
    </row>
    <row r="48" spans="1:21" x14ac:dyDescent="0.75">
      <c r="B48" s="31" t="e">
        <f>'Base-1'!#REF!</f>
        <v>#REF!</v>
      </c>
      <c r="C48" s="1" t="e">
        <f>'Base-1'!#REF!</f>
        <v>#REF!</v>
      </c>
      <c r="D48" s="66"/>
      <c r="E48" s="32"/>
      <c r="F48" s="38"/>
      <c r="G48" s="32"/>
      <c r="H48" s="23"/>
      <c r="Q48" s="38" t="str">
        <f t="shared" si="6"/>
        <v/>
      </c>
      <c r="R48" s="38" t="str">
        <f t="shared" si="7"/>
        <v/>
      </c>
      <c r="S48" s="38" t="str">
        <f t="shared" si="8"/>
        <v/>
      </c>
      <c r="U48" s="31"/>
    </row>
    <row r="49" spans="1:22" x14ac:dyDescent="0.75">
      <c r="B49" s="31" t="e">
        <f>'Base-1'!#REF!</f>
        <v>#REF!</v>
      </c>
      <c r="C49" s="1" t="e">
        <f>'Base-1'!#REF!</f>
        <v>#REF!</v>
      </c>
      <c r="D49" s="66"/>
      <c r="E49" s="32"/>
      <c r="F49" s="38"/>
      <c r="G49" s="32"/>
      <c r="H49" s="23"/>
      <c r="Q49" s="38" t="str">
        <f t="shared" si="6"/>
        <v/>
      </c>
      <c r="R49" s="38" t="str">
        <f t="shared" si="7"/>
        <v/>
      </c>
      <c r="S49" s="38" t="str">
        <f t="shared" si="8"/>
        <v/>
      </c>
      <c r="U49" s="31"/>
    </row>
    <row r="50" spans="1:22" s="1" customFormat="1" x14ac:dyDescent="0.75">
      <c r="A50" s="31"/>
      <c r="B50" s="31" t="e">
        <f>'Base-1'!#REF!</f>
        <v>#REF!</v>
      </c>
      <c r="C50" s="1" t="e">
        <f>'Base-1'!#REF!</f>
        <v>#REF!</v>
      </c>
      <c r="D50" s="66"/>
      <c r="E50" s="32"/>
      <c r="F50" s="38"/>
      <c r="G50" s="32"/>
      <c r="H50" s="23"/>
      <c r="I50" s="31"/>
      <c r="J50" s="31"/>
      <c r="K50" s="31"/>
      <c r="L50" s="31"/>
      <c r="M50" s="31"/>
      <c r="N50" s="31"/>
      <c r="O50" s="31"/>
      <c r="P50" s="31"/>
      <c r="Q50" s="38" t="str">
        <f t="shared" si="6"/>
        <v/>
      </c>
      <c r="R50" s="38" t="str">
        <f t="shared" si="7"/>
        <v/>
      </c>
      <c r="S50" s="38" t="str">
        <f t="shared" si="8"/>
        <v/>
      </c>
      <c r="U50" s="31"/>
      <c r="V50" s="31"/>
    </row>
    <row r="51" spans="1:22" s="1" customFormat="1" x14ac:dyDescent="0.75">
      <c r="A51" s="31"/>
      <c r="B51" s="31" t="e">
        <f>'Base-1'!#REF!</f>
        <v>#REF!</v>
      </c>
      <c r="C51" s="1" t="e">
        <f>'Base-1'!#REF!</f>
        <v>#REF!</v>
      </c>
      <c r="D51" s="66"/>
      <c r="E51" s="32"/>
      <c r="F51" s="38"/>
      <c r="G51" s="32"/>
      <c r="H51" s="23"/>
      <c r="I51" s="31"/>
      <c r="J51" s="31"/>
      <c r="K51" s="31"/>
      <c r="L51" s="31"/>
      <c r="M51" s="31"/>
      <c r="N51" s="31"/>
      <c r="O51" s="31"/>
      <c r="P51" s="31"/>
      <c r="Q51" s="38" t="str">
        <f t="shared" si="6"/>
        <v/>
      </c>
      <c r="R51" s="38" t="str">
        <f t="shared" si="7"/>
        <v/>
      </c>
      <c r="S51" s="38" t="str">
        <f t="shared" si="8"/>
        <v/>
      </c>
      <c r="U51" s="31"/>
      <c r="V51" s="31"/>
    </row>
    <row r="52" spans="1:22" s="1" customFormat="1" x14ac:dyDescent="0.75">
      <c r="A52" s="31"/>
      <c r="B52" s="31" t="e">
        <f>'Base-1'!#REF!</f>
        <v>#REF!</v>
      </c>
      <c r="C52" s="1" t="e">
        <f>'Base-1'!#REF!</f>
        <v>#REF!</v>
      </c>
      <c r="D52" s="66"/>
      <c r="E52" s="32"/>
      <c r="F52" s="38"/>
      <c r="G52" s="32"/>
      <c r="H52" s="23"/>
      <c r="I52" s="31"/>
      <c r="J52" s="31"/>
      <c r="K52" s="31"/>
      <c r="L52" s="31"/>
      <c r="M52" s="31"/>
      <c r="N52" s="31"/>
      <c r="O52" s="31"/>
      <c r="P52" s="31"/>
      <c r="Q52" s="38" t="str">
        <f t="shared" si="6"/>
        <v/>
      </c>
      <c r="R52" s="38" t="str">
        <f t="shared" si="7"/>
        <v/>
      </c>
      <c r="S52" s="38" t="str">
        <f t="shared" si="8"/>
        <v/>
      </c>
      <c r="U52" s="31"/>
      <c r="V52" s="31"/>
    </row>
    <row r="53" spans="1:22" s="1" customFormat="1" x14ac:dyDescent="0.75">
      <c r="A53" s="31"/>
      <c r="B53" s="31" t="e">
        <f>'Base-1'!#REF!</f>
        <v>#REF!</v>
      </c>
      <c r="C53" s="1" t="e">
        <f>'Base-1'!#REF!</f>
        <v>#REF!</v>
      </c>
      <c r="D53" s="66"/>
      <c r="E53" s="32"/>
      <c r="F53" s="38"/>
      <c r="G53" s="32"/>
      <c r="H53" s="23"/>
      <c r="I53" s="31"/>
      <c r="J53" s="31"/>
      <c r="K53" s="31"/>
      <c r="L53" s="31"/>
      <c r="M53" s="31"/>
      <c r="N53" s="31"/>
      <c r="O53" s="31"/>
      <c r="P53" s="31"/>
      <c r="Q53" s="38" t="str">
        <f t="shared" si="6"/>
        <v/>
      </c>
      <c r="R53" s="38" t="str">
        <f t="shared" si="7"/>
        <v/>
      </c>
      <c r="S53" s="38" t="str">
        <f t="shared" si="8"/>
        <v/>
      </c>
      <c r="U53" s="31"/>
      <c r="V53" s="31"/>
    </row>
    <row r="54" spans="1:22" s="1" customFormat="1" x14ac:dyDescent="0.75">
      <c r="A54" s="31"/>
      <c r="B54" s="31" t="e">
        <f>'Base-1'!#REF!</f>
        <v>#REF!</v>
      </c>
      <c r="C54" s="1" t="e">
        <f>'Base-1'!#REF!</f>
        <v>#REF!</v>
      </c>
      <c r="D54" s="87"/>
      <c r="E54" s="31"/>
      <c r="G54" s="31"/>
      <c r="H54" s="31"/>
      <c r="I54" s="31"/>
      <c r="J54" s="31"/>
      <c r="K54" s="31"/>
      <c r="L54" s="31"/>
      <c r="M54" s="31"/>
      <c r="N54" s="31"/>
      <c r="O54" s="31"/>
      <c r="P54" s="31"/>
      <c r="Q54" s="38" t="str">
        <f t="shared" si="6"/>
        <v/>
      </c>
      <c r="R54" s="38" t="str">
        <f t="shared" si="7"/>
        <v/>
      </c>
      <c r="S54" s="38" t="str">
        <f t="shared" si="8"/>
        <v/>
      </c>
      <c r="U54" s="31"/>
      <c r="V54" s="31"/>
    </row>
    <row r="55" spans="1:22" s="1" customFormat="1" x14ac:dyDescent="0.75">
      <c r="A55" s="31"/>
      <c r="B55" s="31">
        <f>'Base-1'!A64</f>
        <v>0</v>
      </c>
      <c r="C55" s="1">
        <f>'Base-1'!B64</f>
        <v>0</v>
      </c>
      <c r="D55" s="87"/>
      <c r="E55" s="31"/>
      <c r="G55" s="31"/>
      <c r="H55" s="31"/>
      <c r="I55" s="31"/>
      <c r="J55" s="31"/>
      <c r="K55" s="31"/>
      <c r="L55" s="31"/>
      <c r="M55" s="31"/>
      <c r="N55" s="31"/>
      <c r="O55" s="31"/>
      <c r="P55" s="31"/>
      <c r="Q55" s="38" t="str">
        <f t="shared" si="6"/>
        <v/>
      </c>
      <c r="R55" s="38" t="str">
        <f t="shared" si="7"/>
        <v/>
      </c>
      <c r="S55" s="38" t="str">
        <f t="shared" si="8"/>
        <v/>
      </c>
      <c r="U55" s="31"/>
      <c r="V55" s="31"/>
    </row>
    <row r="56" spans="1:22" s="1" customFormat="1" x14ac:dyDescent="0.75">
      <c r="A56" s="31"/>
      <c r="B56" s="31">
        <f>'Base-1'!A65</f>
        <v>0</v>
      </c>
      <c r="C56" s="1">
        <f>'Base-1'!B65</f>
        <v>0</v>
      </c>
      <c r="D56" s="87"/>
      <c r="E56" s="31"/>
      <c r="G56" s="31"/>
      <c r="H56" s="31"/>
      <c r="I56" s="31"/>
      <c r="J56" s="31"/>
      <c r="K56" s="31"/>
      <c r="L56" s="31"/>
      <c r="M56" s="31"/>
      <c r="N56" s="31"/>
      <c r="O56" s="31"/>
      <c r="P56" s="31"/>
      <c r="Q56" s="38" t="str">
        <f t="shared" si="6"/>
        <v/>
      </c>
      <c r="R56" s="38" t="str">
        <f t="shared" si="7"/>
        <v/>
      </c>
      <c r="S56" s="38" t="str">
        <f t="shared" si="8"/>
        <v/>
      </c>
      <c r="U56" s="31"/>
      <c r="V56" s="31"/>
    </row>
    <row r="57" spans="1:22" s="1" customFormat="1" x14ac:dyDescent="0.75">
      <c r="A57" s="31"/>
      <c r="B57" s="31">
        <f>'Base-1'!A66</f>
        <v>0</v>
      </c>
      <c r="C57" s="1">
        <f>'Base-1'!B66</f>
        <v>0</v>
      </c>
      <c r="D57" s="87"/>
      <c r="E57" s="31"/>
      <c r="G57" s="31"/>
      <c r="H57" s="31"/>
      <c r="I57" s="31"/>
      <c r="J57" s="31"/>
      <c r="K57" s="31"/>
      <c r="L57" s="31"/>
      <c r="M57" s="31"/>
      <c r="N57" s="31"/>
      <c r="O57" s="31"/>
      <c r="P57" s="31"/>
      <c r="Q57" s="38" t="str">
        <f t="shared" si="6"/>
        <v/>
      </c>
      <c r="R57" s="38" t="str">
        <f t="shared" si="7"/>
        <v/>
      </c>
      <c r="S57" s="38" t="str">
        <f t="shared" si="8"/>
        <v/>
      </c>
      <c r="U57" s="31"/>
      <c r="V57" s="31"/>
    </row>
    <row r="58" spans="1:22" s="1" customFormat="1" x14ac:dyDescent="0.75">
      <c r="A58" s="31"/>
      <c r="B58" s="31">
        <f>'Base-1'!A67</f>
        <v>0</v>
      </c>
      <c r="C58" s="1">
        <f>'Base-1'!B67</f>
        <v>0</v>
      </c>
      <c r="D58" s="87"/>
      <c r="E58" s="31"/>
      <c r="G58" s="31"/>
      <c r="H58" s="31"/>
      <c r="I58" s="31"/>
      <c r="J58" s="31"/>
      <c r="K58" s="31"/>
      <c r="L58" s="31"/>
      <c r="M58" s="31"/>
      <c r="N58" s="31"/>
      <c r="O58" s="31"/>
      <c r="P58" s="31"/>
      <c r="Q58" s="38" t="str">
        <f t="shared" si="6"/>
        <v/>
      </c>
      <c r="R58" s="38" t="str">
        <f t="shared" si="7"/>
        <v/>
      </c>
      <c r="S58" s="38" t="str">
        <f t="shared" si="8"/>
        <v/>
      </c>
      <c r="U58" s="31"/>
      <c r="V58" s="31"/>
    </row>
    <row r="59" spans="1:22" s="1" customFormat="1" x14ac:dyDescent="0.75">
      <c r="A59" s="31"/>
      <c r="B59" s="31">
        <f>'Base-1'!A68</f>
        <v>0</v>
      </c>
      <c r="C59" s="1">
        <f>'Base-1'!B68</f>
        <v>0</v>
      </c>
      <c r="D59" s="87"/>
      <c r="E59" s="31"/>
      <c r="G59" s="31"/>
      <c r="H59" s="31"/>
      <c r="I59" s="31"/>
      <c r="J59" s="31"/>
      <c r="K59" s="31"/>
      <c r="L59" s="31"/>
      <c r="M59" s="31"/>
      <c r="N59" s="31"/>
      <c r="O59" s="31"/>
      <c r="P59" s="31"/>
      <c r="Q59" s="38" t="str">
        <f t="shared" si="6"/>
        <v/>
      </c>
      <c r="R59" s="38" t="str">
        <f t="shared" si="7"/>
        <v/>
      </c>
      <c r="S59" s="38" t="str">
        <f t="shared" si="8"/>
        <v/>
      </c>
      <c r="U59" s="31"/>
      <c r="V59" s="31"/>
    </row>
    <row r="60" spans="1:22" s="1" customFormat="1" x14ac:dyDescent="0.75">
      <c r="A60" s="31"/>
      <c r="B60" s="31">
        <f>'Base-1'!A69</f>
        <v>0</v>
      </c>
      <c r="C60" s="1">
        <f>'Base-1'!B69</f>
        <v>0</v>
      </c>
      <c r="D60" s="87"/>
      <c r="E60" s="31"/>
      <c r="G60" s="31"/>
      <c r="H60" s="31"/>
      <c r="I60" s="31"/>
      <c r="J60" s="31"/>
      <c r="K60" s="31"/>
      <c r="L60" s="31"/>
      <c r="M60" s="31"/>
      <c r="N60" s="31"/>
      <c r="O60" s="31"/>
      <c r="P60" s="31"/>
      <c r="Q60" s="38" t="str">
        <f t="shared" si="6"/>
        <v/>
      </c>
      <c r="R60" s="38" t="str">
        <f t="shared" si="7"/>
        <v/>
      </c>
      <c r="S60" s="38" t="str">
        <f t="shared" si="8"/>
        <v/>
      </c>
      <c r="U60" s="31"/>
      <c r="V60" s="31"/>
    </row>
    <row r="61" spans="1:22" s="1" customFormat="1" x14ac:dyDescent="0.75">
      <c r="A61" s="31"/>
      <c r="B61" s="31">
        <f>'Base-1'!A70</f>
        <v>0</v>
      </c>
      <c r="C61" s="1">
        <f>'Base-1'!B70</f>
        <v>0</v>
      </c>
      <c r="D61" s="87"/>
      <c r="E61" s="31"/>
      <c r="G61" s="31"/>
      <c r="H61" s="31"/>
      <c r="I61" s="31"/>
      <c r="J61" s="31"/>
      <c r="K61" s="31"/>
      <c r="L61" s="31"/>
      <c r="M61" s="31"/>
      <c r="N61" s="31"/>
      <c r="O61" s="31"/>
      <c r="P61" s="31"/>
      <c r="Q61" s="31"/>
      <c r="U61" s="31"/>
      <c r="V61" s="31"/>
    </row>
    <row r="62" spans="1:22" s="1" customFormat="1" x14ac:dyDescent="0.75">
      <c r="A62" s="31"/>
      <c r="B62" s="31">
        <f>'Base-1'!A71</f>
        <v>0</v>
      </c>
      <c r="C62" s="1">
        <f>'Base-1'!B71</f>
        <v>0</v>
      </c>
      <c r="D62" s="87"/>
      <c r="E62" s="31"/>
      <c r="G62" s="31"/>
      <c r="H62" s="31"/>
      <c r="I62" s="31"/>
      <c r="J62" s="31"/>
      <c r="K62" s="31"/>
      <c r="L62" s="31"/>
      <c r="M62" s="31"/>
      <c r="N62" s="31"/>
      <c r="O62" s="31"/>
      <c r="P62" s="31"/>
      <c r="Q62" s="31"/>
      <c r="U62" s="31"/>
      <c r="V62" s="31"/>
    </row>
    <row r="63" spans="1:22" s="1" customFormat="1" x14ac:dyDescent="0.75">
      <c r="A63" s="31"/>
      <c r="B63" s="31">
        <f>'Base-1'!A72</f>
        <v>0</v>
      </c>
      <c r="C63" s="1">
        <f>'Base-1'!B72</f>
        <v>0</v>
      </c>
      <c r="D63" s="87"/>
      <c r="E63" s="31"/>
      <c r="G63" s="31"/>
      <c r="H63" s="31"/>
      <c r="I63" s="31"/>
      <c r="J63" s="31"/>
      <c r="K63" s="31"/>
      <c r="L63" s="31"/>
      <c r="M63" s="31"/>
      <c r="N63" s="31"/>
      <c r="O63" s="31"/>
      <c r="P63" s="31"/>
      <c r="Q63" s="31"/>
      <c r="U63" s="31"/>
      <c r="V63" s="31"/>
    </row>
    <row r="64" spans="1:22" s="1" customFormat="1" x14ac:dyDescent="0.75">
      <c r="A64" s="31"/>
      <c r="B64" s="31">
        <f>'Base-1'!A73</f>
        <v>0</v>
      </c>
      <c r="C64" s="1">
        <f>'Base-1'!B73</f>
        <v>0</v>
      </c>
      <c r="D64" s="87"/>
      <c r="E64" s="31"/>
      <c r="G64" s="31"/>
      <c r="H64" s="31"/>
      <c r="I64" s="31"/>
      <c r="J64" s="31"/>
      <c r="K64" s="31"/>
      <c r="L64" s="31"/>
      <c r="M64" s="31"/>
      <c r="N64" s="31"/>
      <c r="O64" s="31"/>
      <c r="P64" s="31"/>
      <c r="Q64" s="31"/>
      <c r="U64" s="31"/>
      <c r="V64" s="31"/>
    </row>
    <row r="65" spans="1:22" s="1" customFormat="1" x14ac:dyDescent="0.75">
      <c r="A65" s="31"/>
      <c r="B65" s="31">
        <f>'Base-1'!A74</f>
        <v>0</v>
      </c>
      <c r="C65" s="1">
        <f>'Base-1'!B74</f>
        <v>0</v>
      </c>
      <c r="D65" s="87"/>
      <c r="E65" s="31"/>
      <c r="G65" s="31"/>
      <c r="H65" s="31"/>
      <c r="I65" s="31"/>
      <c r="J65" s="31"/>
      <c r="K65" s="31"/>
      <c r="L65" s="31"/>
      <c r="M65" s="31"/>
      <c r="N65" s="31"/>
      <c r="O65" s="31"/>
      <c r="P65" s="31"/>
      <c r="Q65" s="31"/>
      <c r="U65" s="31"/>
      <c r="V65" s="31"/>
    </row>
    <row r="66" spans="1:22" x14ac:dyDescent="0.75">
      <c r="B66" s="31">
        <f>'Base-1'!A75</f>
        <v>0</v>
      </c>
      <c r="C66" s="1">
        <f>'Base-1'!B75</f>
        <v>0</v>
      </c>
      <c r="F66" s="1"/>
      <c r="G66" s="31"/>
      <c r="R66" s="1"/>
      <c r="U66" s="31"/>
    </row>
    <row r="67" spans="1:22" x14ac:dyDescent="0.75">
      <c r="B67" s="31">
        <f>'Base-1'!A76</f>
        <v>0</v>
      </c>
      <c r="C67" s="1">
        <f>'Base-1'!B76</f>
        <v>0</v>
      </c>
      <c r="F67" s="1"/>
      <c r="G67" s="31"/>
      <c r="R67" s="1"/>
      <c r="U67" s="31"/>
    </row>
    <row r="68" spans="1:22" x14ac:dyDescent="0.75">
      <c r="B68" s="31">
        <f>'Base-1'!A77</f>
        <v>0</v>
      </c>
      <c r="C68" s="1">
        <f>'Base-1'!B77</f>
        <v>0</v>
      </c>
      <c r="F68" s="1"/>
      <c r="G68" s="31"/>
      <c r="R68" s="1"/>
      <c r="U68" s="31"/>
    </row>
    <row r="69" spans="1:22" x14ac:dyDescent="0.75">
      <c r="B69" s="31">
        <f>'Base-1'!A78</f>
        <v>0</v>
      </c>
      <c r="C69" s="1">
        <f>'Base-1'!B78</f>
        <v>0</v>
      </c>
      <c r="F69" s="1"/>
      <c r="G69" s="31"/>
      <c r="R69" s="1"/>
      <c r="U69" s="31"/>
    </row>
    <row r="70" spans="1:22" x14ac:dyDescent="0.75">
      <c r="B70" s="31">
        <f>'Base-1'!A79</f>
        <v>0</v>
      </c>
      <c r="C70" s="1">
        <f>'Base-1'!B79</f>
        <v>0</v>
      </c>
      <c r="F70" s="1"/>
      <c r="G70" s="31"/>
      <c r="R70" s="1"/>
      <c r="U70" s="31"/>
    </row>
    <row r="71" spans="1:22" x14ac:dyDescent="0.75">
      <c r="B71" s="31">
        <f>'Base-1'!A80</f>
        <v>0</v>
      </c>
      <c r="C71" s="1">
        <f>'Base-1'!B80</f>
        <v>0</v>
      </c>
      <c r="F71" s="1"/>
      <c r="G71" s="31"/>
      <c r="R71" s="1"/>
      <c r="U71" s="31"/>
    </row>
    <row r="72" spans="1:22" x14ac:dyDescent="0.75">
      <c r="B72" s="31">
        <f>'Base-1'!A81</f>
        <v>0</v>
      </c>
      <c r="C72" s="1">
        <f>'Base-1'!B81</f>
        <v>0</v>
      </c>
      <c r="F72" s="1"/>
      <c r="G72" s="31"/>
      <c r="R72" s="1"/>
      <c r="U72" s="31"/>
    </row>
    <row r="73" spans="1:22" x14ac:dyDescent="0.75">
      <c r="B73" s="31">
        <f>'Base-1'!A82</f>
        <v>0</v>
      </c>
      <c r="C73" s="1">
        <f>'Base-1'!B82</f>
        <v>0</v>
      </c>
      <c r="F73" s="1"/>
      <c r="G73" s="31"/>
      <c r="R73" s="1"/>
      <c r="U73" s="31"/>
    </row>
    <row r="74" spans="1:22" x14ac:dyDescent="0.75">
      <c r="B74" s="31">
        <f>'Base-1'!A83</f>
        <v>0</v>
      </c>
      <c r="C74" s="1">
        <f>'Base-1'!B83</f>
        <v>0</v>
      </c>
      <c r="F74" s="1"/>
      <c r="G74" s="31"/>
      <c r="R74" s="1"/>
      <c r="U74" s="31"/>
    </row>
    <row r="75" spans="1:22" x14ac:dyDescent="0.75">
      <c r="B75" s="31">
        <f>'Base-1'!A84</f>
        <v>0</v>
      </c>
      <c r="C75" s="1">
        <f>'Base-1'!B84</f>
        <v>0</v>
      </c>
      <c r="F75" s="1"/>
      <c r="G75" s="31"/>
      <c r="R75" s="1"/>
      <c r="U75" s="31"/>
    </row>
    <row r="76" spans="1:22" x14ac:dyDescent="0.75">
      <c r="B76" s="31">
        <f>'Base-1'!A85</f>
        <v>0</v>
      </c>
      <c r="C76" s="1">
        <f>'Base-1'!B85</f>
        <v>0</v>
      </c>
      <c r="F76" s="1"/>
      <c r="G76" s="31"/>
      <c r="R76" s="1"/>
      <c r="U76" s="31"/>
    </row>
    <row r="77" spans="1:22" x14ac:dyDescent="0.75">
      <c r="B77" s="31">
        <f>'Base-1'!A86</f>
        <v>0</v>
      </c>
      <c r="C77" s="1">
        <f>'Base-1'!B86</f>
        <v>0</v>
      </c>
      <c r="F77" s="1"/>
      <c r="G77" s="31"/>
      <c r="R77" s="1"/>
      <c r="U77" s="31"/>
    </row>
    <row r="78" spans="1:22" x14ac:dyDescent="0.75">
      <c r="B78" s="31">
        <f>'Base-1'!A87</f>
        <v>0</v>
      </c>
      <c r="C78" s="1">
        <f>'Base-1'!B87</f>
        <v>0</v>
      </c>
      <c r="F78" s="1"/>
      <c r="G78" s="31"/>
      <c r="R78" s="1"/>
      <c r="U78" s="31"/>
    </row>
    <row r="79" spans="1:22" x14ac:dyDescent="0.75">
      <c r="B79" s="31">
        <f>'Base-1'!A88</f>
        <v>0</v>
      </c>
      <c r="C79" s="1">
        <f>'Base-1'!B88</f>
        <v>0</v>
      </c>
      <c r="F79" s="1"/>
      <c r="G79" s="31"/>
      <c r="R79" s="1"/>
      <c r="U79" s="31"/>
    </row>
    <row r="80" spans="1:22" x14ac:dyDescent="0.75">
      <c r="B80" s="31">
        <f>'Base-1'!A89</f>
        <v>0</v>
      </c>
      <c r="C80" s="1">
        <f>'Base-1'!B89</f>
        <v>0</v>
      </c>
      <c r="F80" s="1"/>
      <c r="G80" s="31"/>
      <c r="R80" s="1"/>
      <c r="U80" s="31"/>
    </row>
    <row r="81" spans="2:21" x14ac:dyDescent="0.75">
      <c r="B81" s="31">
        <f>'Base-1'!A90</f>
        <v>0</v>
      </c>
      <c r="C81" s="1">
        <f>'Base-1'!B90</f>
        <v>0</v>
      </c>
      <c r="F81" s="1"/>
      <c r="G81" s="31"/>
      <c r="R81" s="1"/>
      <c r="U81" s="31"/>
    </row>
    <row r="82" spans="2:21" x14ac:dyDescent="0.75">
      <c r="B82" s="31">
        <f>'Base-1'!A91</f>
        <v>0</v>
      </c>
      <c r="C82" s="1">
        <f>'Base-1'!B91</f>
        <v>0</v>
      </c>
      <c r="F82" s="1"/>
      <c r="G82" s="31"/>
      <c r="R82" s="1"/>
      <c r="U82" s="31"/>
    </row>
    <row r="83" spans="2:21" x14ac:dyDescent="0.75">
      <c r="B83" s="31">
        <f>'Base-1'!A92</f>
        <v>0</v>
      </c>
      <c r="C83" s="1">
        <f>'Base-1'!B92</f>
        <v>0</v>
      </c>
      <c r="F83" s="1"/>
      <c r="G83" s="31"/>
      <c r="R83" s="1"/>
      <c r="U83" s="31"/>
    </row>
    <row r="84" spans="2:21" x14ac:dyDescent="0.75">
      <c r="B84" s="31">
        <f>'Base-1'!A93</f>
        <v>0</v>
      </c>
      <c r="C84" s="1">
        <f>'Base-1'!B93</f>
        <v>0</v>
      </c>
      <c r="F84" s="1"/>
      <c r="G84" s="31"/>
      <c r="R84" s="1"/>
      <c r="U84" s="31"/>
    </row>
    <row r="85" spans="2:21" x14ac:dyDescent="0.75">
      <c r="B85" s="31">
        <f>'Base-1'!A94</f>
        <v>0</v>
      </c>
      <c r="C85" s="1">
        <f>'Base-1'!B94</f>
        <v>0</v>
      </c>
      <c r="F85" s="1"/>
      <c r="G85" s="31"/>
      <c r="R85" s="1"/>
      <c r="U85" s="31"/>
    </row>
    <row r="86" spans="2:21" x14ac:dyDescent="0.75">
      <c r="B86" s="31">
        <f>'Base-1'!A95</f>
        <v>0</v>
      </c>
      <c r="C86" s="1">
        <f>'Base-1'!B95</f>
        <v>0</v>
      </c>
      <c r="F86" s="1"/>
      <c r="G86" s="31"/>
      <c r="R86" s="1"/>
      <c r="U86" s="31"/>
    </row>
    <row r="87" spans="2:21" x14ac:dyDescent="0.75">
      <c r="B87" s="31">
        <f>'Base-1'!A96</f>
        <v>0</v>
      </c>
      <c r="C87" s="1">
        <f>'Base-1'!B96</f>
        <v>0</v>
      </c>
      <c r="F87" s="1"/>
      <c r="G87" s="31"/>
      <c r="R87" s="1"/>
      <c r="U87" s="31"/>
    </row>
    <row r="88" spans="2:21" x14ac:dyDescent="0.75">
      <c r="B88" s="31">
        <f>'Base-1'!A97</f>
        <v>0</v>
      </c>
      <c r="C88" s="1">
        <f>'Base-1'!B97</f>
        <v>0</v>
      </c>
      <c r="F88" s="1"/>
      <c r="G88" s="31"/>
      <c r="R88" s="1"/>
      <c r="U88" s="31"/>
    </row>
    <row r="89" spans="2:21" x14ac:dyDescent="0.75">
      <c r="B89" s="31">
        <f>'Base-1'!A98</f>
        <v>0</v>
      </c>
      <c r="C89" s="1">
        <f>'Base-1'!B98</f>
        <v>0</v>
      </c>
      <c r="F89" s="1"/>
      <c r="G89" s="31"/>
      <c r="R89" s="1"/>
      <c r="U89" s="31"/>
    </row>
    <row r="90" spans="2:21" x14ac:dyDescent="0.75">
      <c r="B90" s="31">
        <f>'Base-1'!A99</f>
        <v>0</v>
      </c>
      <c r="C90" s="1">
        <f>'Base-1'!B99</f>
        <v>0</v>
      </c>
      <c r="F90" s="1"/>
      <c r="G90" s="31"/>
      <c r="R90" s="1"/>
      <c r="U90" s="31"/>
    </row>
    <row r="91" spans="2:21" x14ac:dyDescent="0.75">
      <c r="B91" s="31">
        <f>'Base-1'!A100</f>
        <v>0</v>
      </c>
      <c r="C91" s="1">
        <f>'Base-1'!B100</f>
        <v>0</v>
      </c>
      <c r="F91" s="1"/>
      <c r="G91" s="31"/>
      <c r="R91" s="1"/>
      <c r="U91" s="31"/>
    </row>
    <row r="92" spans="2:21" x14ac:dyDescent="0.75">
      <c r="B92" s="31">
        <f>'Base-1'!A101</f>
        <v>0</v>
      </c>
      <c r="C92" s="1">
        <f>'Base-1'!B101</f>
        <v>0</v>
      </c>
      <c r="F92" s="1"/>
      <c r="G92" s="31"/>
      <c r="R92" s="1"/>
      <c r="U92" s="31"/>
    </row>
    <row r="93" spans="2:21" x14ac:dyDescent="0.75">
      <c r="B93" s="31">
        <f>'Base-1'!A102</f>
        <v>0</v>
      </c>
      <c r="C93" s="1">
        <f>'Base-1'!B102</f>
        <v>0</v>
      </c>
      <c r="F93" s="1"/>
      <c r="G93" s="31"/>
      <c r="R93" s="1"/>
      <c r="U93" s="31"/>
    </row>
    <row r="94" spans="2:21" x14ac:dyDescent="0.75">
      <c r="B94" s="31">
        <f>'Base-1'!A103</f>
        <v>0</v>
      </c>
      <c r="C94" s="1">
        <f>'Base-1'!B103</f>
        <v>0</v>
      </c>
      <c r="F94" s="1"/>
      <c r="G94" s="31"/>
      <c r="R94" s="1"/>
      <c r="U94" s="31"/>
    </row>
    <row r="95" spans="2:21" x14ac:dyDescent="0.75">
      <c r="B95" s="31">
        <f>'Base-1'!A104</f>
        <v>0</v>
      </c>
      <c r="C95" s="1">
        <f>'Base-1'!B104</f>
        <v>0</v>
      </c>
      <c r="F95" s="1"/>
      <c r="G95" s="31"/>
      <c r="R95" s="1"/>
      <c r="U95" s="31"/>
    </row>
    <row r="96" spans="2:21" x14ac:dyDescent="0.75">
      <c r="B96" s="31">
        <f>'Base-1'!A105</f>
        <v>0</v>
      </c>
      <c r="C96" s="1">
        <f>'Base-1'!B105</f>
        <v>0</v>
      </c>
      <c r="F96" s="1"/>
      <c r="G96" s="31"/>
      <c r="R96" s="1"/>
      <c r="U96" s="31"/>
    </row>
    <row r="97" spans="2:21" x14ac:dyDescent="0.75">
      <c r="B97" s="31">
        <f>'Base-1'!A106</f>
        <v>0</v>
      </c>
      <c r="C97" s="1">
        <f>'Base-1'!B106</f>
        <v>0</v>
      </c>
      <c r="F97" s="1"/>
      <c r="G97" s="31"/>
      <c r="R97" s="1"/>
      <c r="U97" s="31"/>
    </row>
    <row r="98" spans="2:21" x14ac:dyDescent="0.75">
      <c r="B98" s="31">
        <f>'Base-1'!A107</f>
        <v>0</v>
      </c>
      <c r="C98" s="1">
        <f>'Base-1'!B107</f>
        <v>0</v>
      </c>
      <c r="F98" s="1"/>
      <c r="G98" s="31"/>
      <c r="R98" s="1"/>
      <c r="U98" s="31"/>
    </row>
    <row r="99" spans="2:21" x14ac:dyDescent="0.75">
      <c r="B99" s="31">
        <f>'Base-1'!A108</f>
        <v>0</v>
      </c>
      <c r="C99" s="1">
        <f>'Base-1'!B108</f>
        <v>0</v>
      </c>
      <c r="F99" s="1"/>
      <c r="G99" s="31"/>
      <c r="R99" s="1"/>
      <c r="U99" s="31"/>
    </row>
    <row r="100" spans="2:21" x14ac:dyDescent="0.75">
      <c r="B100" s="31">
        <f>'Base-1'!A109</f>
        <v>0</v>
      </c>
      <c r="C100" s="1">
        <f>'Base-1'!B109</f>
        <v>0</v>
      </c>
      <c r="F100" s="1"/>
      <c r="G100" s="31"/>
      <c r="R100" s="1"/>
      <c r="U100" s="31"/>
    </row>
  </sheetData>
  <hyperlinks>
    <hyperlink ref="C2" r:id="rId1" xr:uid="{789EB64C-D1DA-4F7F-9797-50B759F0F960}"/>
    <hyperlink ref="D4" r:id="rId2" display="http://hl7.org/fhir/StructureDefinition/Immunization" xr:uid="{7B0ABF2C-F9CC-4303-884D-4032D3755029}"/>
    <hyperlink ref="C6" r:id="rId3" display="http://iso.org/fhir/ts-5384/StructureDefinition/Immunization" xr:uid="{CF53408B-A978-4AC4-9BD1-53477E8EB6AB}"/>
    <hyperlink ref="F6" r:id="rId4" display="http://iso.org/fhir/ts-5384/StructureDefinition/Immunization" xr:uid="{AADDF911-82FD-44DD-AF67-0FCCBF79A157}"/>
  </hyperlinks>
  <pageMargins left="0.7" right="0.7" top="0.75" bottom="0.75" header="0.3" footer="0.3"/>
  <pageSetup paperSize="9" orientation="portrait" r:id="rId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59159-654A-403C-8844-4C13E257695B}">
  <sheetPr codeName="Foglio31"/>
  <dimension ref="A2:G419"/>
  <sheetViews>
    <sheetView workbookViewId="0">
      <selection sqref="A1:XFD1"/>
    </sheetView>
  </sheetViews>
  <sheetFormatPr defaultRowHeight="14.75" x14ac:dyDescent="0.75"/>
  <cols>
    <col min="1" max="3" width="8.7265625" style="31"/>
    <col min="4" max="4" width="130.81640625" style="31" customWidth="1"/>
    <col min="5" max="5" width="19.86328125" style="31" customWidth="1"/>
    <col min="6" max="6" width="13.54296875" style="31" customWidth="1"/>
    <col min="7" max="7" width="69.36328125" style="31" customWidth="1"/>
    <col min="8" max="16384" width="8.7265625" style="31"/>
  </cols>
  <sheetData>
    <row r="2" spans="4:5" x14ac:dyDescent="0.75">
      <c r="D2" s="17" t="str">
        <f>CONCATENATE("Instance: ",'Subj-uc1-1'!D4)</f>
        <v>Instance: Subject-uc1</v>
      </c>
    </row>
    <row r="3" spans="4:5" x14ac:dyDescent="0.75">
      <c r="D3" s="17" t="s">
        <v>22</v>
      </c>
    </row>
    <row r="4" spans="4:5" x14ac:dyDescent="0.75">
      <c r="D4" s="17" t="str">
        <f>CONCATENATE("Description: """,'Subj-uc1-1'!E2,"""")</f>
        <v>Description: "Data Model for the 'Populate an Immunization Registry'"</v>
      </c>
      <c r="E4" s="17"/>
    </row>
    <row r="5" spans="4:5" x14ac:dyDescent="0.75">
      <c r="D5" s="17" t="str">
        <f>CONCATENATE("Title: """,'Subj-uc1-1'!D2,"""")</f>
        <v>Title: "Subject of Care - Registry Use Case"</v>
      </c>
      <c r="E5" s="17"/>
    </row>
    <row r="6" spans="4:5" x14ac:dyDescent="0.75">
      <c r="D6" s="17" t="s">
        <v>23</v>
      </c>
      <c r="E6" s="17"/>
    </row>
    <row r="7" spans="4:5" x14ac:dyDescent="0.75">
      <c r="D7" s="17"/>
      <c r="E7" s="17"/>
    </row>
    <row r="8" spans="4:5" x14ac:dyDescent="0.75">
      <c r="D8" s="17" t="str">
        <f>CONCATENATE("* publisher = """,'Subj-uc1-1'!C4,"""")</f>
        <v>* publisher = "ISO/TC 521 WG3"</v>
      </c>
      <c r="E8" s="17"/>
    </row>
    <row r="9" spans="4:5" x14ac:dyDescent="0.75">
      <c r="D9" s="17" t="s">
        <v>24</v>
      </c>
      <c r="E9" s="17"/>
    </row>
    <row r="10" spans="4:5" x14ac:dyDescent="0.75">
      <c r="D10" s="17" t="str">
        <f>CONCATENATE("* url = """,'Base-1'!B2,"/StructureDefinition/",'Subj-uc1-1'!D4,"""")</f>
        <v>* url = "http://hl7.eu/fhir/ig/pcsp/StructureDefinition/Subject-uc1"</v>
      </c>
      <c r="E10" s="17"/>
    </row>
    <row r="11" spans="4:5" x14ac:dyDescent="0.75">
      <c r="D11" s="17" t="str">
        <f>CONCATENATE("* name = """,'Subj-uc1-1'!E4,"""")</f>
        <v>* name = "SubjectOfCareRegistry"</v>
      </c>
      <c r="E11" s="17"/>
    </row>
    <row r="12" spans="4:5" x14ac:dyDescent="0.75">
      <c r="D12" s="17" t="str">
        <f>CONCATENATE("* title = """,'Subj-uc1-1'!D2,"""")</f>
        <v>* title = "Subject of Care - Registry Use Case"</v>
      </c>
      <c r="E12" s="17"/>
    </row>
    <row r="13" spans="4:5" x14ac:dyDescent="0.75">
      <c r="D13" s="17" t="s">
        <v>24</v>
      </c>
      <c r="E13" s="17"/>
    </row>
    <row r="14" spans="4:5" x14ac:dyDescent="0.75">
      <c r="D14" s="17" t="s">
        <v>25</v>
      </c>
      <c r="E14" s="17"/>
    </row>
    <row r="15" spans="4:5" x14ac:dyDescent="0.75">
      <c r="D15" s="17" t="str">
        <f>CONCATENATE("* description = """,'Subj-uc1-1'!E2,"""")</f>
        <v>* description = "Data Model for the 'Populate an Immunization Registry'"</v>
      </c>
      <c r="E15" s="17"/>
    </row>
    <row r="16" spans="4:5" x14ac:dyDescent="0.75">
      <c r="D16" s="17" t="s">
        <v>26</v>
      </c>
      <c r="E16" s="17"/>
    </row>
    <row r="18" spans="1:7" x14ac:dyDescent="0.75">
      <c r="C18" s="31">
        <v>0</v>
      </c>
      <c r="D18" s="64"/>
      <c r="G18" s="1" t="s">
        <v>91</v>
      </c>
    </row>
    <row r="19" spans="1:7" x14ac:dyDescent="0.75">
      <c r="B19" s="65" t="s">
        <v>93</v>
      </c>
      <c r="C19" s="31">
        <v>0</v>
      </c>
      <c r="D19" s="64"/>
      <c r="G19" s="1" t="s">
        <v>92</v>
      </c>
    </row>
    <row r="20" spans="1:7" x14ac:dyDescent="0.75">
      <c r="C20" s="31">
        <v>0</v>
      </c>
      <c r="D20" s="64"/>
      <c r="G20" s="1" t="s">
        <v>94</v>
      </c>
    </row>
    <row r="22" spans="1:7" x14ac:dyDescent="0.75">
      <c r="D22" s="17" t="s">
        <v>27</v>
      </c>
      <c r="E22" s="17"/>
    </row>
    <row r="23" spans="1:7" x14ac:dyDescent="0.75">
      <c r="D23" s="17" t="s">
        <v>28</v>
      </c>
      <c r="E23" s="17"/>
    </row>
    <row r="24" spans="1:7" x14ac:dyDescent="0.75">
      <c r="D24" s="17" t="e">
        <f>CONCATENATE("* type = """,'Subj-uc1-1'!E6,"""")</f>
        <v>#REF!</v>
      </c>
      <c r="E24" s="17"/>
    </row>
    <row r="25" spans="1:7" x14ac:dyDescent="0.75">
      <c r="D25" s="17" t="e">
        <f>CONCATENATE("* baseDefinition = """,'Subj-uc1-1'!C6,"""")</f>
        <v>#REF!</v>
      </c>
    </row>
    <row r="26" spans="1:7" x14ac:dyDescent="0.75">
      <c r="D26" s="17" t="s">
        <v>109</v>
      </c>
    </row>
    <row r="28" spans="1:7" x14ac:dyDescent="0.75">
      <c r="D28" s="8"/>
    </row>
    <row r="29" spans="1:7" x14ac:dyDescent="0.75">
      <c r="A29" s="32">
        <v>1</v>
      </c>
      <c r="B29" s="32">
        <f>IF(MOD(A29,6)=0,A29/6-1,INT(A29/6))</f>
        <v>0</v>
      </c>
      <c r="C29" s="32">
        <f>IF(MOD(A29,6)=0,6,MOD(A29,6))</f>
        <v>1</v>
      </c>
      <c r="D29" s="31" t="e" cm="1">
        <f t="array" ref="D29">INDEX('Subj-uc1-1'!$O$10:$T$53,1+B29,C29)</f>
        <v>#REF!</v>
      </c>
    </row>
    <row r="30" spans="1:7" x14ac:dyDescent="0.75">
      <c r="A30" s="32">
        <v>2</v>
      </c>
      <c r="B30" s="32">
        <f t="shared" ref="B30:B93" si="0">IF(MOD(A30,6)=0,A30/6-1,INT(A30/6))</f>
        <v>0</v>
      </c>
      <c r="C30" s="32">
        <f t="shared" ref="C30:C93" si="1">IF(MOD(A30,6)=0,6,MOD(A30,6))</f>
        <v>2</v>
      </c>
      <c r="D30" s="31" t="e" cm="1">
        <f t="array" ref="D30">INDEX('Subj-uc1-1'!$O$10:$T$53,1+B30,C30)</f>
        <v>#REF!</v>
      </c>
    </row>
    <row r="31" spans="1:7" x14ac:dyDescent="0.75">
      <c r="A31" s="32">
        <v>3</v>
      </c>
      <c r="B31" s="32">
        <f t="shared" si="0"/>
        <v>0</v>
      </c>
      <c r="C31" s="32">
        <f t="shared" si="1"/>
        <v>3</v>
      </c>
      <c r="D31" s="31" t="str" cm="1">
        <f t="array" ref="D31">INDEX('Subj-uc1-1'!$O$10:$T$53,1+B31,C31)</f>
        <v>* differential.element[0].min = 1</v>
      </c>
    </row>
    <row r="32" spans="1:7" x14ac:dyDescent="0.75">
      <c r="A32" s="32">
        <v>4</v>
      </c>
      <c r="B32" s="32">
        <f t="shared" si="0"/>
        <v>0</v>
      </c>
      <c r="C32" s="32">
        <f t="shared" si="1"/>
        <v>4</v>
      </c>
      <c r="D32" s="31" t="e" cm="1">
        <f t="array" ref="D32">INDEX('Subj-uc1-1'!$O$10:$T$53,1+B32,C32)</f>
        <v>#REF!</v>
      </c>
    </row>
    <row r="33" spans="1:4" x14ac:dyDescent="0.75">
      <c r="A33" s="32">
        <v>5</v>
      </c>
      <c r="B33" s="32">
        <f t="shared" si="0"/>
        <v>0</v>
      </c>
      <c r="C33" s="32">
        <f t="shared" si="1"/>
        <v>5</v>
      </c>
      <c r="D33" s="31" t="str" cm="1">
        <f t="array" ref="D33">INDEX('Subj-uc1-1'!$O$10:$T$53,1+B33,C33)</f>
        <v/>
      </c>
    </row>
    <row r="34" spans="1:4" x14ac:dyDescent="0.75">
      <c r="A34" s="32">
        <v>6</v>
      </c>
      <c r="B34" s="32">
        <f t="shared" si="0"/>
        <v>0</v>
      </c>
      <c r="C34" s="32">
        <f t="shared" si="1"/>
        <v>6</v>
      </c>
      <c r="D34" s="31" t="str" cm="1">
        <f t="array" ref="D34">INDEX('Subj-uc1-1'!$O$10:$T$53,1+B34,C34)</f>
        <v>* differential.element[0].mustSupport = true</v>
      </c>
    </row>
    <row r="35" spans="1:4" x14ac:dyDescent="0.75">
      <c r="A35" s="32">
        <v>7</v>
      </c>
      <c r="B35" s="32">
        <f t="shared" si="0"/>
        <v>1</v>
      </c>
      <c r="C35" s="32">
        <f t="shared" si="1"/>
        <v>1</v>
      </c>
      <c r="D35" s="31" t="e" cm="1">
        <f t="array" ref="D35">INDEX('Subj-uc1-1'!$O$10:$T$53,1+B35,C35)</f>
        <v>#REF!</v>
      </c>
    </row>
    <row r="36" spans="1:4" x14ac:dyDescent="0.75">
      <c r="A36" s="32">
        <v>8</v>
      </c>
      <c r="B36" s="32">
        <f t="shared" si="0"/>
        <v>1</v>
      </c>
      <c r="C36" s="32">
        <f t="shared" si="1"/>
        <v>2</v>
      </c>
      <c r="D36" s="31" t="e" cm="1">
        <f t="array" ref="D36">INDEX('Subj-uc1-1'!$O$10:$T$53,1+B36,C36)</f>
        <v>#REF!</v>
      </c>
    </row>
    <row r="37" spans="1:4" x14ac:dyDescent="0.75">
      <c r="A37" s="32">
        <v>9</v>
      </c>
      <c r="B37" s="32">
        <f t="shared" si="0"/>
        <v>1</v>
      </c>
      <c r="C37" s="32">
        <f t="shared" si="1"/>
        <v>3</v>
      </c>
      <c r="D37" s="31" t="str" cm="1">
        <f t="array" ref="D37">INDEX('Subj-uc1-1'!$O$10:$T$53,1+B37,C37)</f>
        <v>* differential.element[1].min = 1</v>
      </c>
    </row>
    <row r="38" spans="1:4" x14ac:dyDescent="0.75">
      <c r="A38" s="32">
        <v>10</v>
      </c>
      <c r="B38" s="32">
        <f t="shared" si="0"/>
        <v>1</v>
      </c>
      <c r="C38" s="32">
        <f t="shared" si="1"/>
        <v>4</v>
      </c>
      <c r="D38" s="31" t="e" cm="1">
        <f t="array" ref="D38">INDEX('Subj-uc1-1'!$O$10:$T$53,1+B38,C38)</f>
        <v>#REF!</v>
      </c>
    </row>
    <row r="39" spans="1:4" x14ac:dyDescent="0.75">
      <c r="A39" s="32">
        <v>11</v>
      </c>
      <c r="B39" s="32">
        <f t="shared" si="0"/>
        <v>1</v>
      </c>
      <c r="C39" s="32">
        <f t="shared" si="1"/>
        <v>5</v>
      </c>
      <c r="D39" s="31" t="str" cm="1">
        <f t="array" ref="D39">INDEX('Subj-uc1-1'!$O$10:$T$53,1+B39,C39)</f>
        <v/>
      </c>
    </row>
    <row r="40" spans="1:4" x14ac:dyDescent="0.75">
      <c r="A40" s="32">
        <v>12</v>
      </c>
      <c r="B40" s="32">
        <f t="shared" si="0"/>
        <v>1</v>
      </c>
      <c r="C40" s="32">
        <f t="shared" si="1"/>
        <v>6</v>
      </c>
      <c r="D40" s="31" t="str" cm="1">
        <f t="array" ref="D40">INDEX('Subj-uc1-1'!$O$10:$T$53,1+B40,C40)</f>
        <v>* differential.element[1].mustSupport = true</v>
      </c>
    </row>
    <row r="41" spans="1:4" x14ac:dyDescent="0.75">
      <c r="A41" s="32">
        <v>13</v>
      </c>
      <c r="B41" s="32">
        <f t="shared" si="0"/>
        <v>2</v>
      </c>
      <c r="C41" s="32">
        <f t="shared" si="1"/>
        <v>1</v>
      </c>
      <c r="D41" s="31" t="str" cm="1">
        <f t="array" ref="D41">INDEX('Subj-uc1-1'!$O$10:$T$53,1+B41,C41)</f>
        <v/>
      </c>
    </row>
    <row r="42" spans="1:4" x14ac:dyDescent="0.75">
      <c r="A42" s="32">
        <v>14</v>
      </c>
      <c r="B42" s="32">
        <f t="shared" si="0"/>
        <v>2</v>
      </c>
      <c r="C42" s="32">
        <f t="shared" si="1"/>
        <v>2</v>
      </c>
      <c r="D42" s="31" t="str" cm="1">
        <f t="array" ref="D42">INDEX('Subj-uc1-1'!$O$10:$T$53,1+B42,C42)</f>
        <v/>
      </c>
    </row>
    <row r="43" spans="1:4" x14ac:dyDescent="0.75">
      <c r="A43" s="32">
        <v>15</v>
      </c>
      <c r="B43" s="32">
        <f t="shared" si="0"/>
        <v>2</v>
      </c>
      <c r="C43" s="32">
        <f t="shared" si="1"/>
        <v>3</v>
      </c>
      <c r="D43" s="31" t="str" cm="1">
        <f t="array" ref="D43">INDEX('Subj-uc1-1'!$O$10:$T$53,1+B43,C43)</f>
        <v/>
      </c>
    </row>
    <row r="44" spans="1:4" x14ac:dyDescent="0.75">
      <c r="A44" s="32">
        <v>16</v>
      </c>
      <c r="B44" s="32">
        <f t="shared" si="0"/>
        <v>2</v>
      </c>
      <c r="C44" s="32">
        <f t="shared" si="1"/>
        <v>4</v>
      </c>
      <c r="D44" s="31" t="str" cm="1">
        <f t="array" ref="D44">INDEX('Subj-uc1-1'!$O$10:$T$53,1+B44,C44)</f>
        <v/>
      </c>
    </row>
    <row r="45" spans="1:4" x14ac:dyDescent="0.75">
      <c r="A45" s="32">
        <v>17</v>
      </c>
      <c r="B45" s="32">
        <f t="shared" si="0"/>
        <v>2</v>
      </c>
      <c r="C45" s="32">
        <f t="shared" si="1"/>
        <v>5</v>
      </c>
      <c r="D45" s="31" t="str" cm="1">
        <f t="array" ref="D45">INDEX('Subj-uc1-1'!$O$10:$T$53,1+B45,C45)</f>
        <v/>
      </c>
    </row>
    <row r="46" spans="1:4" x14ac:dyDescent="0.75">
      <c r="A46" s="32">
        <v>18</v>
      </c>
      <c r="B46" s="32">
        <f t="shared" si="0"/>
        <v>2</v>
      </c>
      <c r="C46" s="32">
        <f t="shared" si="1"/>
        <v>6</v>
      </c>
      <c r="D46" s="31" t="str" cm="1">
        <f t="array" ref="D46">INDEX('Subj-uc1-1'!$O$10:$T$53,1+B46,C46)</f>
        <v/>
      </c>
    </row>
    <row r="47" spans="1:4" x14ac:dyDescent="0.75">
      <c r="A47" s="32">
        <v>19</v>
      </c>
      <c r="B47" s="32">
        <f t="shared" si="0"/>
        <v>3</v>
      </c>
      <c r="C47" s="32">
        <f t="shared" si="1"/>
        <v>1</v>
      </c>
      <c r="D47" s="31" t="str" cm="1">
        <f t="array" ref="D47">INDEX('Subj-uc1-1'!$O$10:$T$53,1+B47,C47)</f>
        <v/>
      </c>
    </row>
    <row r="48" spans="1:4" x14ac:dyDescent="0.75">
      <c r="A48" s="32">
        <v>20</v>
      </c>
      <c r="B48" s="32">
        <f t="shared" si="0"/>
        <v>3</v>
      </c>
      <c r="C48" s="32">
        <f t="shared" si="1"/>
        <v>2</v>
      </c>
      <c r="D48" s="31" t="str" cm="1">
        <f t="array" ref="D48">INDEX('Subj-uc1-1'!$O$10:$T$53,1+B48,C48)</f>
        <v/>
      </c>
    </row>
    <row r="49" spans="1:4" x14ac:dyDescent="0.75">
      <c r="A49" s="32">
        <v>21</v>
      </c>
      <c r="B49" s="32">
        <f t="shared" si="0"/>
        <v>3</v>
      </c>
      <c r="C49" s="32">
        <f t="shared" si="1"/>
        <v>3</v>
      </c>
      <c r="D49" s="31" t="str" cm="1">
        <f t="array" ref="D49">INDEX('Subj-uc1-1'!$O$10:$T$53,1+B49,C49)</f>
        <v/>
      </c>
    </row>
    <row r="50" spans="1:4" x14ac:dyDescent="0.75">
      <c r="A50" s="32">
        <v>22</v>
      </c>
      <c r="B50" s="32">
        <f t="shared" si="0"/>
        <v>3</v>
      </c>
      <c r="C50" s="32">
        <f t="shared" si="1"/>
        <v>4</v>
      </c>
      <c r="D50" s="31" t="str" cm="1">
        <f t="array" ref="D50">INDEX('Subj-uc1-1'!$O$10:$T$53,1+B50,C50)</f>
        <v/>
      </c>
    </row>
    <row r="51" spans="1:4" x14ac:dyDescent="0.75">
      <c r="A51" s="32">
        <v>23</v>
      </c>
      <c r="B51" s="32">
        <f t="shared" si="0"/>
        <v>3</v>
      </c>
      <c r="C51" s="32">
        <f t="shared" si="1"/>
        <v>5</v>
      </c>
      <c r="D51" s="31" t="str" cm="1">
        <f t="array" ref="D51">INDEX('Subj-uc1-1'!$O$10:$T$53,1+B51,C51)</f>
        <v/>
      </c>
    </row>
    <row r="52" spans="1:4" x14ac:dyDescent="0.75">
      <c r="A52" s="32">
        <v>24</v>
      </c>
      <c r="B52" s="32">
        <f t="shared" si="0"/>
        <v>3</v>
      </c>
      <c r="C52" s="32">
        <f t="shared" si="1"/>
        <v>6</v>
      </c>
      <c r="D52" s="31" t="str" cm="1">
        <f t="array" ref="D52">INDEX('Subj-uc1-1'!$O$10:$T$53,1+B52,C52)</f>
        <v/>
      </c>
    </row>
    <row r="53" spans="1:4" x14ac:dyDescent="0.75">
      <c r="A53" s="32">
        <v>25</v>
      </c>
      <c r="B53" s="32">
        <f t="shared" si="0"/>
        <v>4</v>
      </c>
      <c r="C53" s="32">
        <f t="shared" si="1"/>
        <v>1</v>
      </c>
      <c r="D53" s="31" t="str" cm="1">
        <f t="array" ref="D53">INDEX('Subj-uc1-1'!$O$10:$T$53,1+B53,C53)</f>
        <v/>
      </c>
    </row>
    <row r="54" spans="1:4" x14ac:dyDescent="0.75">
      <c r="A54" s="32">
        <v>26</v>
      </c>
      <c r="B54" s="32">
        <f t="shared" si="0"/>
        <v>4</v>
      </c>
      <c r="C54" s="32">
        <f t="shared" si="1"/>
        <v>2</v>
      </c>
      <c r="D54" s="31" t="str" cm="1">
        <f t="array" ref="D54">INDEX('Subj-uc1-1'!$O$10:$T$53,1+B54,C54)</f>
        <v/>
      </c>
    </row>
    <row r="55" spans="1:4" x14ac:dyDescent="0.75">
      <c r="A55" s="32">
        <v>27</v>
      </c>
      <c r="B55" s="32">
        <f t="shared" si="0"/>
        <v>4</v>
      </c>
      <c r="C55" s="32">
        <f t="shared" si="1"/>
        <v>3</v>
      </c>
      <c r="D55" s="31" t="str" cm="1">
        <f t="array" ref="D55">INDEX('Subj-uc1-1'!$O$10:$T$53,1+B55,C55)</f>
        <v/>
      </c>
    </row>
    <row r="56" spans="1:4" x14ac:dyDescent="0.75">
      <c r="A56" s="32">
        <v>28</v>
      </c>
      <c r="B56" s="32">
        <f t="shared" si="0"/>
        <v>4</v>
      </c>
      <c r="C56" s="32">
        <f t="shared" si="1"/>
        <v>4</v>
      </c>
      <c r="D56" s="31" t="str" cm="1">
        <f t="array" ref="D56">INDEX('Subj-uc1-1'!$O$10:$T$53,1+B56,C56)</f>
        <v/>
      </c>
    </row>
    <row r="57" spans="1:4" x14ac:dyDescent="0.75">
      <c r="A57" s="32">
        <v>29</v>
      </c>
      <c r="B57" s="32">
        <f t="shared" si="0"/>
        <v>4</v>
      </c>
      <c r="C57" s="32">
        <f t="shared" si="1"/>
        <v>5</v>
      </c>
      <c r="D57" s="31" t="str" cm="1">
        <f t="array" ref="D57">INDEX('Subj-uc1-1'!$O$10:$T$53,1+B57,C57)</f>
        <v/>
      </c>
    </row>
    <row r="58" spans="1:4" x14ac:dyDescent="0.75">
      <c r="A58" s="32">
        <v>30</v>
      </c>
      <c r="B58" s="32">
        <f t="shared" si="0"/>
        <v>4</v>
      </c>
      <c r="C58" s="32">
        <f t="shared" si="1"/>
        <v>6</v>
      </c>
      <c r="D58" s="31" t="str" cm="1">
        <f t="array" ref="D58">INDEX('Subj-uc1-1'!$O$10:$T$53,1+B58,C58)</f>
        <v/>
      </c>
    </row>
    <row r="59" spans="1:4" x14ac:dyDescent="0.75">
      <c r="A59" s="32">
        <v>31</v>
      </c>
      <c r="B59" s="32">
        <f t="shared" si="0"/>
        <v>5</v>
      </c>
      <c r="C59" s="32">
        <f t="shared" si="1"/>
        <v>1</v>
      </c>
      <c r="D59" s="31" t="str" cm="1">
        <f t="array" ref="D59">INDEX('Subj-uc1-1'!$O$10:$T$53,1+B59,C59)</f>
        <v/>
      </c>
    </row>
    <row r="60" spans="1:4" x14ac:dyDescent="0.75">
      <c r="A60" s="32">
        <v>32</v>
      </c>
      <c r="B60" s="32">
        <f t="shared" si="0"/>
        <v>5</v>
      </c>
      <c r="C60" s="32">
        <f t="shared" si="1"/>
        <v>2</v>
      </c>
      <c r="D60" s="31" t="str" cm="1">
        <f t="array" ref="D60">INDEX('Subj-uc1-1'!$O$10:$T$53,1+B60,C60)</f>
        <v/>
      </c>
    </row>
    <row r="61" spans="1:4" x14ac:dyDescent="0.75">
      <c r="A61" s="32">
        <v>33</v>
      </c>
      <c r="B61" s="32">
        <f t="shared" si="0"/>
        <v>5</v>
      </c>
      <c r="C61" s="32">
        <f t="shared" si="1"/>
        <v>3</v>
      </c>
      <c r="D61" s="31" t="str" cm="1">
        <f t="array" ref="D61">INDEX('Subj-uc1-1'!$O$10:$T$53,1+B61,C61)</f>
        <v/>
      </c>
    </row>
    <row r="62" spans="1:4" x14ac:dyDescent="0.75">
      <c r="A62" s="32">
        <v>34</v>
      </c>
      <c r="B62" s="32">
        <f t="shared" si="0"/>
        <v>5</v>
      </c>
      <c r="C62" s="32">
        <f t="shared" si="1"/>
        <v>4</v>
      </c>
      <c r="D62" s="31" t="str" cm="1">
        <f t="array" ref="D62">INDEX('Subj-uc1-1'!$O$10:$T$53,1+B62,C62)</f>
        <v/>
      </c>
    </row>
    <row r="63" spans="1:4" x14ac:dyDescent="0.75">
      <c r="A63" s="32">
        <v>35</v>
      </c>
      <c r="B63" s="32">
        <f t="shared" si="0"/>
        <v>5</v>
      </c>
      <c r="C63" s="32">
        <f t="shared" si="1"/>
        <v>5</v>
      </c>
      <c r="D63" s="31" t="str" cm="1">
        <f t="array" ref="D63">INDEX('Subj-uc1-1'!$O$10:$T$53,1+B63,C63)</f>
        <v/>
      </c>
    </row>
    <row r="64" spans="1:4" x14ac:dyDescent="0.75">
      <c r="A64" s="32">
        <v>36</v>
      </c>
      <c r="B64" s="32">
        <f t="shared" si="0"/>
        <v>5</v>
      </c>
      <c r="C64" s="32">
        <f t="shared" si="1"/>
        <v>6</v>
      </c>
      <c r="D64" s="31" t="str" cm="1">
        <f t="array" ref="D64">INDEX('Subj-uc1-1'!$O$10:$T$53,1+B64,C64)</f>
        <v/>
      </c>
    </row>
    <row r="65" spans="1:4" x14ac:dyDescent="0.75">
      <c r="A65" s="32">
        <v>37</v>
      </c>
      <c r="B65" s="32">
        <f t="shared" si="0"/>
        <v>6</v>
      </c>
      <c r="C65" s="32">
        <f t="shared" si="1"/>
        <v>1</v>
      </c>
      <c r="D65" s="31" t="e" cm="1">
        <f t="array" ref="D65">INDEX('Subj-uc1-1'!$O$10:$T$53,1+B65,C65)</f>
        <v>#REF!</v>
      </c>
    </row>
    <row r="66" spans="1:4" x14ac:dyDescent="0.75">
      <c r="A66" s="32">
        <v>38</v>
      </c>
      <c r="B66" s="32">
        <f t="shared" si="0"/>
        <v>6</v>
      </c>
      <c r="C66" s="32">
        <f t="shared" si="1"/>
        <v>2</v>
      </c>
      <c r="D66" s="31" t="e" cm="1">
        <f t="array" ref="D66">INDEX('Subj-uc1-1'!$O$10:$T$53,1+B66,C66)</f>
        <v>#REF!</v>
      </c>
    </row>
    <row r="67" spans="1:4" x14ac:dyDescent="0.75">
      <c r="A67" s="32">
        <v>39</v>
      </c>
      <c r="B67" s="32">
        <f t="shared" si="0"/>
        <v>6</v>
      </c>
      <c r="C67" s="32">
        <f t="shared" si="1"/>
        <v>3</v>
      </c>
      <c r="D67" s="31" t="str" cm="1">
        <f t="array" ref="D67">INDEX('Subj-uc1-1'!$O$10:$T$53,1+B67,C67)</f>
        <v>* differential.element[2].min = 1</v>
      </c>
    </row>
    <row r="68" spans="1:4" x14ac:dyDescent="0.75">
      <c r="A68" s="32">
        <v>40</v>
      </c>
      <c r="B68" s="32">
        <f t="shared" si="0"/>
        <v>6</v>
      </c>
      <c r="C68" s="32">
        <f t="shared" si="1"/>
        <v>4</v>
      </c>
      <c r="D68" s="31" t="e" cm="1">
        <f t="array" ref="D68">INDEX('Subj-uc1-1'!$O$10:$T$53,1+B68,C68)</f>
        <v>#REF!</v>
      </c>
    </row>
    <row r="69" spans="1:4" x14ac:dyDescent="0.75">
      <c r="A69" s="32">
        <v>41</v>
      </c>
      <c r="B69" s="32">
        <f t="shared" si="0"/>
        <v>6</v>
      </c>
      <c r="C69" s="32">
        <f t="shared" si="1"/>
        <v>5</v>
      </c>
      <c r="D69" s="31" t="str" cm="1">
        <f t="array" ref="D69">INDEX('Subj-uc1-1'!$O$10:$T$53,1+B69,C69)</f>
        <v/>
      </c>
    </row>
    <row r="70" spans="1:4" x14ac:dyDescent="0.75">
      <c r="A70" s="32">
        <v>42</v>
      </c>
      <c r="B70" s="32">
        <f t="shared" si="0"/>
        <v>6</v>
      </c>
      <c r="C70" s="32">
        <f t="shared" si="1"/>
        <v>6</v>
      </c>
      <c r="D70" s="31" t="str" cm="1">
        <f t="array" ref="D70">INDEX('Subj-uc1-1'!$O$10:$T$53,1+B70,C70)</f>
        <v>* differential.element[2].mustSupport = true</v>
      </c>
    </row>
    <row r="71" spans="1:4" x14ac:dyDescent="0.75">
      <c r="A71" s="32">
        <v>43</v>
      </c>
      <c r="B71" s="32">
        <f t="shared" si="0"/>
        <v>7</v>
      </c>
      <c r="C71" s="32">
        <f t="shared" si="1"/>
        <v>1</v>
      </c>
      <c r="D71" s="31" t="str" cm="1">
        <f t="array" ref="D71">INDEX('Subj-uc1-1'!$O$10:$T$53,1+B71,C71)</f>
        <v/>
      </c>
    </row>
    <row r="72" spans="1:4" x14ac:dyDescent="0.75">
      <c r="A72" s="32">
        <v>44</v>
      </c>
      <c r="B72" s="32">
        <f t="shared" si="0"/>
        <v>7</v>
      </c>
      <c r="C72" s="32">
        <f t="shared" si="1"/>
        <v>2</v>
      </c>
      <c r="D72" s="31" t="str" cm="1">
        <f t="array" ref="D72">INDEX('Subj-uc1-1'!$O$10:$T$53,1+B72,C72)</f>
        <v/>
      </c>
    </row>
    <row r="73" spans="1:4" x14ac:dyDescent="0.75">
      <c r="A73" s="32">
        <v>45</v>
      </c>
      <c r="B73" s="32">
        <f t="shared" si="0"/>
        <v>7</v>
      </c>
      <c r="C73" s="32">
        <f t="shared" si="1"/>
        <v>3</v>
      </c>
      <c r="D73" s="31" t="str" cm="1">
        <f t="array" ref="D73">INDEX('Subj-uc1-1'!$O$10:$T$53,1+B73,C73)</f>
        <v/>
      </c>
    </row>
    <row r="74" spans="1:4" x14ac:dyDescent="0.75">
      <c r="A74" s="32">
        <v>46</v>
      </c>
      <c r="B74" s="32">
        <f t="shared" si="0"/>
        <v>7</v>
      </c>
      <c r="C74" s="32">
        <f t="shared" si="1"/>
        <v>4</v>
      </c>
      <c r="D74" s="31" t="str" cm="1">
        <f t="array" ref="D74">INDEX('Subj-uc1-1'!$O$10:$T$53,1+B74,C74)</f>
        <v/>
      </c>
    </row>
    <row r="75" spans="1:4" x14ac:dyDescent="0.75">
      <c r="A75" s="32">
        <v>47</v>
      </c>
      <c r="B75" s="32">
        <f t="shared" si="0"/>
        <v>7</v>
      </c>
      <c r="C75" s="32">
        <f t="shared" si="1"/>
        <v>5</v>
      </c>
      <c r="D75" s="31" t="str" cm="1">
        <f t="array" ref="D75">INDEX('Subj-uc1-1'!$O$10:$T$53,1+B75,C75)</f>
        <v/>
      </c>
    </row>
    <row r="76" spans="1:4" x14ac:dyDescent="0.75">
      <c r="A76" s="32">
        <v>48</v>
      </c>
      <c r="B76" s="32">
        <f t="shared" si="0"/>
        <v>7</v>
      </c>
      <c r="C76" s="32">
        <f t="shared" si="1"/>
        <v>6</v>
      </c>
      <c r="D76" s="31" t="str" cm="1">
        <f t="array" ref="D76">INDEX('Subj-uc1-1'!$O$10:$T$53,1+B76,C76)</f>
        <v/>
      </c>
    </row>
    <row r="77" spans="1:4" x14ac:dyDescent="0.75">
      <c r="A77" s="32">
        <v>49</v>
      </c>
      <c r="B77" s="32">
        <f t="shared" si="0"/>
        <v>8</v>
      </c>
      <c r="C77" s="32">
        <f t="shared" si="1"/>
        <v>1</v>
      </c>
      <c r="D77" s="31" t="e" cm="1">
        <f t="array" ref="D77">INDEX('Subj-uc1-1'!$O$10:$T$53,1+B77,C77)</f>
        <v>#REF!</v>
      </c>
    </row>
    <row r="78" spans="1:4" x14ac:dyDescent="0.75">
      <c r="A78" s="32">
        <v>50</v>
      </c>
      <c r="B78" s="32">
        <f t="shared" si="0"/>
        <v>8</v>
      </c>
      <c r="C78" s="32">
        <f t="shared" si="1"/>
        <v>2</v>
      </c>
      <c r="D78" s="31" t="e" cm="1">
        <f t="array" ref="D78">INDEX('Subj-uc1-1'!$O$10:$T$53,1+B78,C78)</f>
        <v>#REF!</v>
      </c>
    </row>
    <row r="79" spans="1:4" x14ac:dyDescent="0.75">
      <c r="A79" s="32">
        <v>51</v>
      </c>
      <c r="B79" s="32">
        <f t="shared" si="0"/>
        <v>8</v>
      </c>
      <c r="C79" s="32">
        <f t="shared" si="1"/>
        <v>3</v>
      </c>
      <c r="D79" s="31" t="str" cm="1">
        <f t="array" ref="D79">INDEX('Subj-uc1-1'!$O$10:$T$53,1+B79,C79)</f>
        <v>* differential.element[3].min = 1</v>
      </c>
    </row>
    <row r="80" spans="1:4" x14ac:dyDescent="0.75">
      <c r="A80" s="32">
        <v>52</v>
      </c>
      <c r="B80" s="32">
        <f t="shared" si="0"/>
        <v>8</v>
      </c>
      <c r="C80" s="32">
        <f t="shared" si="1"/>
        <v>4</v>
      </c>
      <c r="D80" s="31" t="e" cm="1">
        <f t="array" ref="D80">INDEX('Subj-uc1-1'!$O$10:$T$53,1+B80,C80)</f>
        <v>#REF!</v>
      </c>
    </row>
    <row r="81" spans="1:7" x14ac:dyDescent="0.75">
      <c r="A81" s="32">
        <v>53</v>
      </c>
      <c r="B81" s="32">
        <f t="shared" si="0"/>
        <v>8</v>
      </c>
      <c r="C81" s="32">
        <f t="shared" si="1"/>
        <v>5</v>
      </c>
      <c r="D81" s="31" t="str" cm="1">
        <f t="array" ref="D81">INDEX('Subj-uc1-1'!$O$10:$T$53,1+B81,C81)</f>
        <v/>
      </c>
      <c r="G81" s="16"/>
    </row>
    <row r="82" spans="1:7" x14ac:dyDescent="0.75">
      <c r="A82" s="32">
        <v>54</v>
      </c>
      <c r="B82" s="32">
        <f t="shared" si="0"/>
        <v>8</v>
      </c>
      <c r="C82" s="32">
        <f t="shared" si="1"/>
        <v>6</v>
      </c>
      <c r="D82" s="31" t="str" cm="1">
        <f t="array" ref="D82">INDEX('Subj-uc1-1'!$O$10:$T$53,1+B82,C82)</f>
        <v>* differential.element[3].mustSupport = true</v>
      </c>
    </row>
    <row r="83" spans="1:7" x14ac:dyDescent="0.75">
      <c r="A83" s="32">
        <v>55</v>
      </c>
      <c r="B83" s="32">
        <f t="shared" si="0"/>
        <v>9</v>
      </c>
      <c r="C83" s="32">
        <f t="shared" si="1"/>
        <v>1</v>
      </c>
      <c r="D83" s="31" t="str" cm="1">
        <f t="array" ref="D83">INDEX('Subj-uc1-1'!$O$10:$T$53,1+B83,C83)</f>
        <v/>
      </c>
    </row>
    <row r="84" spans="1:7" x14ac:dyDescent="0.75">
      <c r="A84" s="32">
        <v>56</v>
      </c>
      <c r="B84" s="32">
        <f t="shared" si="0"/>
        <v>9</v>
      </c>
      <c r="C84" s="32">
        <f t="shared" si="1"/>
        <v>2</v>
      </c>
      <c r="D84" s="31" t="str" cm="1">
        <f t="array" ref="D84">INDEX('Subj-uc1-1'!$O$10:$T$53,1+B84,C84)</f>
        <v/>
      </c>
    </row>
    <row r="85" spans="1:7" x14ac:dyDescent="0.75">
      <c r="A85" s="32">
        <v>57</v>
      </c>
      <c r="B85" s="32">
        <f t="shared" si="0"/>
        <v>9</v>
      </c>
      <c r="C85" s="32">
        <f t="shared" si="1"/>
        <v>3</v>
      </c>
      <c r="D85" s="31" t="str" cm="1">
        <f t="array" ref="D85">INDEX('Subj-uc1-1'!$O$10:$T$53,1+B85,C85)</f>
        <v/>
      </c>
    </row>
    <row r="86" spans="1:7" x14ac:dyDescent="0.75">
      <c r="A86" s="32">
        <v>58</v>
      </c>
      <c r="B86" s="32">
        <f t="shared" si="0"/>
        <v>9</v>
      </c>
      <c r="C86" s="32">
        <f t="shared" si="1"/>
        <v>4</v>
      </c>
      <c r="D86" s="31" t="str" cm="1">
        <f t="array" ref="D86">INDEX('Subj-uc1-1'!$O$10:$T$53,1+B86,C86)</f>
        <v/>
      </c>
    </row>
    <row r="87" spans="1:7" x14ac:dyDescent="0.75">
      <c r="A87" s="32">
        <v>59</v>
      </c>
      <c r="B87" s="32">
        <f t="shared" si="0"/>
        <v>9</v>
      </c>
      <c r="C87" s="32">
        <f t="shared" si="1"/>
        <v>5</v>
      </c>
      <c r="D87" s="31" t="str" cm="1">
        <f t="array" ref="D87">INDEX('Subj-uc1-1'!$O$10:$T$53,1+B87,C87)</f>
        <v/>
      </c>
    </row>
    <row r="88" spans="1:7" x14ac:dyDescent="0.75">
      <c r="A88" s="32">
        <v>60</v>
      </c>
      <c r="B88" s="32">
        <f t="shared" si="0"/>
        <v>9</v>
      </c>
      <c r="C88" s="32">
        <f t="shared" si="1"/>
        <v>6</v>
      </c>
      <c r="D88" s="31" t="str" cm="1">
        <f t="array" ref="D88">INDEX('Subj-uc1-1'!$O$10:$T$53,1+B88,C88)</f>
        <v/>
      </c>
    </row>
    <row r="89" spans="1:7" x14ac:dyDescent="0.75">
      <c r="A89" s="32">
        <v>61</v>
      </c>
      <c r="B89" s="32">
        <f t="shared" si="0"/>
        <v>10</v>
      </c>
      <c r="C89" s="32">
        <f t="shared" si="1"/>
        <v>1</v>
      </c>
      <c r="D89" s="31" t="str" cm="1">
        <f t="array" ref="D89">INDEX('Subj-uc1-1'!$O$10:$T$53,1+B89,C89)</f>
        <v/>
      </c>
    </row>
    <row r="90" spans="1:7" x14ac:dyDescent="0.75">
      <c r="A90" s="32">
        <v>62</v>
      </c>
      <c r="B90" s="32">
        <f t="shared" si="0"/>
        <v>10</v>
      </c>
      <c r="C90" s="32">
        <f t="shared" si="1"/>
        <v>2</v>
      </c>
      <c r="D90" s="31" t="str" cm="1">
        <f t="array" ref="D90">INDEX('Subj-uc1-1'!$O$10:$T$53,1+B90,C90)</f>
        <v/>
      </c>
    </row>
    <row r="91" spans="1:7" x14ac:dyDescent="0.75">
      <c r="A91" s="32">
        <v>63</v>
      </c>
      <c r="B91" s="32">
        <f t="shared" si="0"/>
        <v>10</v>
      </c>
      <c r="C91" s="32">
        <f t="shared" si="1"/>
        <v>3</v>
      </c>
    </row>
    <row r="92" spans="1:7" x14ac:dyDescent="0.75">
      <c r="A92" s="32">
        <v>64</v>
      </c>
      <c r="B92" s="32">
        <f t="shared" si="0"/>
        <v>10</v>
      </c>
      <c r="C92" s="32">
        <f t="shared" si="1"/>
        <v>4</v>
      </c>
    </row>
    <row r="93" spans="1:7" x14ac:dyDescent="0.75">
      <c r="A93" s="32">
        <v>65</v>
      </c>
      <c r="B93" s="32">
        <f t="shared" si="0"/>
        <v>10</v>
      </c>
      <c r="C93" s="32">
        <f t="shared" si="1"/>
        <v>5</v>
      </c>
    </row>
    <row r="94" spans="1:7" x14ac:dyDescent="0.75">
      <c r="A94" s="32">
        <v>66</v>
      </c>
      <c r="B94" s="32">
        <f t="shared" ref="B94:B157" si="2">IF(MOD(A94,6)=0,A94/6-1,INT(A94/6))</f>
        <v>10</v>
      </c>
      <c r="C94" s="32">
        <f t="shared" ref="C94:C157" si="3">IF(MOD(A94,6)=0,6,MOD(A94,6))</f>
        <v>6</v>
      </c>
    </row>
    <row r="95" spans="1:7" x14ac:dyDescent="0.75">
      <c r="A95" s="32">
        <v>67</v>
      </c>
      <c r="B95" s="32">
        <f t="shared" si="2"/>
        <v>11</v>
      </c>
      <c r="C95" s="32">
        <f t="shared" si="3"/>
        <v>1</v>
      </c>
    </row>
    <row r="96" spans="1:7" x14ac:dyDescent="0.75">
      <c r="A96" s="32">
        <v>68</v>
      </c>
      <c r="B96" s="32">
        <f t="shared" si="2"/>
        <v>11</v>
      </c>
      <c r="C96" s="32">
        <f t="shared" si="3"/>
        <v>2</v>
      </c>
    </row>
    <row r="97" spans="1:3" x14ac:dyDescent="0.75">
      <c r="A97" s="32">
        <v>69</v>
      </c>
      <c r="B97" s="32">
        <f t="shared" si="2"/>
        <v>11</v>
      </c>
      <c r="C97" s="32">
        <f t="shared" si="3"/>
        <v>3</v>
      </c>
    </row>
    <row r="98" spans="1:3" x14ac:dyDescent="0.75">
      <c r="A98" s="32">
        <v>70</v>
      </c>
      <c r="B98" s="32">
        <f t="shared" si="2"/>
        <v>11</v>
      </c>
      <c r="C98" s="32">
        <f t="shared" si="3"/>
        <v>4</v>
      </c>
    </row>
    <row r="99" spans="1:3" x14ac:dyDescent="0.75">
      <c r="A99" s="32">
        <v>71</v>
      </c>
      <c r="B99" s="32">
        <f t="shared" si="2"/>
        <v>11</v>
      </c>
      <c r="C99" s="32">
        <f t="shared" si="3"/>
        <v>5</v>
      </c>
    </row>
    <row r="100" spans="1:3" x14ac:dyDescent="0.75">
      <c r="A100" s="32">
        <v>72</v>
      </c>
      <c r="B100" s="32">
        <f t="shared" si="2"/>
        <v>11</v>
      </c>
      <c r="C100" s="32">
        <f t="shared" si="3"/>
        <v>6</v>
      </c>
    </row>
    <row r="101" spans="1:3" x14ac:dyDescent="0.75">
      <c r="A101" s="32">
        <v>73</v>
      </c>
      <c r="B101" s="32">
        <f t="shared" si="2"/>
        <v>12</v>
      </c>
      <c r="C101" s="32">
        <f t="shared" si="3"/>
        <v>1</v>
      </c>
    </row>
    <row r="102" spans="1:3" x14ac:dyDescent="0.75">
      <c r="A102" s="32">
        <v>74</v>
      </c>
      <c r="B102" s="32">
        <f t="shared" si="2"/>
        <v>12</v>
      </c>
      <c r="C102" s="32">
        <f t="shared" si="3"/>
        <v>2</v>
      </c>
    </row>
    <row r="103" spans="1:3" x14ac:dyDescent="0.75">
      <c r="A103" s="32">
        <v>75</v>
      </c>
      <c r="B103" s="32">
        <f t="shared" si="2"/>
        <v>12</v>
      </c>
      <c r="C103" s="32">
        <f t="shared" si="3"/>
        <v>3</v>
      </c>
    </row>
    <row r="104" spans="1:3" x14ac:dyDescent="0.75">
      <c r="A104" s="32">
        <v>76</v>
      </c>
      <c r="B104" s="32">
        <f t="shared" si="2"/>
        <v>12</v>
      </c>
      <c r="C104" s="32">
        <f t="shared" si="3"/>
        <v>4</v>
      </c>
    </row>
    <row r="105" spans="1:3" x14ac:dyDescent="0.75">
      <c r="A105" s="32">
        <v>77</v>
      </c>
      <c r="B105" s="32">
        <f t="shared" si="2"/>
        <v>12</v>
      </c>
      <c r="C105" s="32">
        <f t="shared" si="3"/>
        <v>5</v>
      </c>
    </row>
    <row r="106" spans="1:3" x14ac:dyDescent="0.75">
      <c r="A106" s="32">
        <v>78</v>
      </c>
      <c r="B106" s="32">
        <f t="shared" si="2"/>
        <v>12</v>
      </c>
      <c r="C106" s="32">
        <f t="shared" si="3"/>
        <v>6</v>
      </c>
    </row>
    <row r="107" spans="1:3" x14ac:dyDescent="0.75">
      <c r="A107" s="32">
        <v>79</v>
      </c>
      <c r="B107" s="32">
        <f t="shared" si="2"/>
        <v>13</v>
      </c>
      <c r="C107" s="32">
        <f t="shared" si="3"/>
        <v>1</v>
      </c>
    </row>
    <row r="108" spans="1:3" x14ac:dyDescent="0.75">
      <c r="A108" s="32">
        <v>80</v>
      </c>
      <c r="B108" s="32">
        <f t="shared" si="2"/>
        <v>13</v>
      </c>
      <c r="C108" s="32">
        <f t="shared" si="3"/>
        <v>2</v>
      </c>
    </row>
    <row r="109" spans="1:3" x14ac:dyDescent="0.75">
      <c r="A109" s="32">
        <v>81</v>
      </c>
      <c r="B109" s="32">
        <f t="shared" si="2"/>
        <v>13</v>
      </c>
      <c r="C109" s="32">
        <f t="shared" si="3"/>
        <v>3</v>
      </c>
    </row>
    <row r="110" spans="1:3" x14ac:dyDescent="0.75">
      <c r="A110" s="32">
        <v>82</v>
      </c>
      <c r="B110" s="32">
        <f t="shared" si="2"/>
        <v>13</v>
      </c>
      <c r="C110" s="32">
        <f t="shared" si="3"/>
        <v>4</v>
      </c>
    </row>
    <row r="111" spans="1:3" x14ac:dyDescent="0.75">
      <c r="A111" s="32">
        <v>83</v>
      </c>
      <c r="B111" s="32">
        <f t="shared" si="2"/>
        <v>13</v>
      </c>
      <c r="C111" s="32">
        <f t="shared" si="3"/>
        <v>5</v>
      </c>
    </row>
    <row r="112" spans="1:3" x14ac:dyDescent="0.75">
      <c r="A112" s="32">
        <v>84</v>
      </c>
      <c r="B112" s="32">
        <f t="shared" si="2"/>
        <v>13</v>
      </c>
      <c r="C112" s="32">
        <f t="shared" si="3"/>
        <v>6</v>
      </c>
    </row>
    <row r="113" spans="1:3" x14ac:dyDescent="0.75">
      <c r="A113" s="32">
        <v>85</v>
      </c>
      <c r="B113" s="32">
        <f t="shared" si="2"/>
        <v>14</v>
      </c>
      <c r="C113" s="32">
        <f t="shared" si="3"/>
        <v>1</v>
      </c>
    </row>
    <row r="114" spans="1:3" x14ac:dyDescent="0.75">
      <c r="A114" s="32">
        <v>86</v>
      </c>
      <c r="B114" s="32">
        <f t="shared" si="2"/>
        <v>14</v>
      </c>
      <c r="C114" s="32">
        <f t="shared" si="3"/>
        <v>2</v>
      </c>
    </row>
    <row r="115" spans="1:3" x14ac:dyDescent="0.75">
      <c r="A115" s="32">
        <v>87</v>
      </c>
      <c r="B115" s="32">
        <f t="shared" si="2"/>
        <v>14</v>
      </c>
      <c r="C115" s="32">
        <f t="shared" si="3"/>
        <v>3</v>
      </c>
    </row>
    <row r="116" spans="1:3" x14ac:dyDescent="0.75">
      <c r="A116" s="32">
        <v>88</v>
      </c>
      <c r="B116" s="32">
        <f t="shared" si="2"/>
        <v>14</v>
      </c>
      <c r="C116" s="32">
        <f t="shared" si="3"/>
        <v>4</v>
      </c>
    </row>
    <row r="117" spans="1:3" x14ac:dyDescent="0.75">
      <c r="A117" s="32">
        <v>89</v>
      </c>
      <c r="B117" s="32">
        <f t="shared" si="2"/>
        <v>14</v>
      </c>
      <c r="C117" s="32">
        <f t="shared" si="3"/>
        <v>5</v>
      </c>
    </row>
    <row r="118" spans="1:3" x14ac:dyDescent="0.75">
      <c r="A118" s="32">
        <v>90</v>
      </c>
      <c r="B118" s="32">
        <f t="shared" si="2"/>
        <v>14</v>
      </c>
      <c r="C118" s="32">
        <f t="shared" si="3"/>
        <v>6</v>
      </c>
    </row>
    <row r="119" spans="1:3" x14ac:dyDescent="0.75">
      <c r="A119" s="32">
        <v>91</v>
      </c>
      <c r="B119" s="32">
        <f t="shared" si="2"/>
        <v>15</v>
      </c>
      <c r="C119" s="32">
        <f t="shared" si="3"/>
        <v>1</v>
      </c>
    </row>
    <row r="120" spans="1:3" x14ac:dyDescent="0.75">
      <c r="A120" s="32">
        <v>92</v>
      </c>
      <c r="B120" s="32">
        <f t="shared" si="2"/>
        <v>15</v>
      </c>
      <c r="C120" s="32">
        <f t="shared" si="3"/>
        <v>2</v>
      </c>
    </row>
    <row r="121" spans="1:3" x14ac:dyDescent="0.75">
      <c r="A121" s="32">
        <v>93</v>
      </c>
      <c r="B121" s="32">
        <f t="shared" si="2"/>
        <v>15</v>
      </c>
      <c r="C121" s="32">
        <f t="shared" si="3"/>
        <v>3</v>
      </c>
    </row>
    <row r="122" spans="1:3" x14ac:dyDescent="0.75">
      <c r="A122" s="32">
        <v>94</v>
      </c>
      <c r="B122" s="32">
        <f t="shared" si="2"/>
        <v>15</v>
      </c>
      <c r="C122" s="32">
        <f t="shared" si="3"/>
        <v>4</v>
      </c>
    </row>
    <row r="123" spans="1:3" x14ac:dyDescent="0.75">
      <c r="A123" s="32">
        <v>95</v>
      </c>
      <c r="B123" s="32">
        <f t="shared" si="2"/>
        <v>15</v>
      </c>
      <c r="C123" s="32">
        <f t="shared" si="3"/>
        <v>5</v>
      </c>
    </row>
    <row r="124" spans="1:3" x14ac:dyDescent="0.75">
      <c r="A124" s="32">
        <v>96</v>
      </c>
      <c r="B124" s="32">
        <f t="shared" si="2"/>
        <v>15</v>
      </c>
      <c r="C124" s="32">
        <f t="shared" si="3"/>
        <v>6</v>
      </c>
    </row>
    <row r="125" spans="1:3" x14ac:dyDescent="0.75">
      <c r="A125" s="32">
        <v>97</v>
      </c>
      <c r="B125" s="32">
        <f t="shared" si="2"/>
        <v>16</v>
      </c>
      <c r="C125" s="32">
        <f t="shared" si="3"/>
        <v>1</v>
      </c>
    </row>
    <row r="126" spans="1:3" x14ac:dyDescent="0.75">
      <c r="A126" s="32">
        <v>98</v>
      </c>
      <c r="B126" s="32">
        <f t="shared" si="2"/>
        <v>16</v>
      </c>
      <c r="C126" s="32">
        <f t="shared" si="3"/>
        <v>2</v>
      </c>
    </row>
    <row r="127" spans="1:3" x14ac:dyDescent="0.75">
      <c r="A127" s="32">
        <v>99</v>
      </c>
      <c r="B127" s="32">
        <f t="shared" si="2"/>
        <v>16</v>
      </c>
      <c r="C127" s="32">
        <f t="shared" si="3"/>
        <v>3</v>
      </c>
    </row>
    <row r="128" spans="1:3" x14ac:dyDescent="0.75">
      <c r="A128" s="32">
        <v>100</v>
      </c>
      <c r="B128" s="32">
        <f t="shared" si="2"/>
        <v>16</v>
      </c>
      <c r="C128" s="32">
        <f t="shared" si="3"/>
        <v>4</v>
      </c>
    </row>
    <row r="129" spans="1:3" x14ac:dyDescent="0.75">
      <c r="A129" s="32">
        <v>101</v>
      </c>
      <c r="B129" s="32">
        <f t="shared" si="2"/>
        <v>16</v>
      </c>
      <c r="C129" s="32">
        <f t="shared" si="3"/>
        <v>5</v>
      </c>
    </row>
    <row r="130" spans="1:3" x14ac:dyDescent="0.75">
      <c r="A130" s="32">
        <v>102</v>
      </c>
      <c r="B130" s="32">
        <f t="shared" si="2"/>
        <v>16</v>
      </c>
      <c r="C130" s="32">
        <f t="shared" si="3"/>
        <v>6</v>
      </c>
    </row>
    <row r="131" spans="1:3" x14ac:dyDescent="0.75">
      <c r="A131" s="32">
        <v>103</v>
      </c>
      <c r="B131" s="32">
        <f t="shared" si="2"/>
        <v>17</v>
      </c>
      <c r="C131" s="32">
        <f t="shared" si="3"/>
        <v>1</v>
      </c>
    </row>
    <row r="132" spans="1:3" x14ac:dyDescent="0.75">
      <c r="A132" s="32">
        <v>104</v>
      </c>
      <c r="B132" s="32">
        <f t="shared" si="2"/>
        <v>17</v>
      </c>
      <c r="C132" s="32">
        <f t="shared" si="3"/>
        <v>2</v>
      </c>
    </row>
    <row r="133" spans="1:3" x14ac:dyDescent="0.75">
      <c r="A133" s="32">
        <v>105</v>
      </c>
      <c r="B133" s="32">
        <f t="shared" si="2"/>
        <v>17</v>
      </c>
      <c r="C133" s="32">
        <f t="shared" si="3"/>
        <v>3</v>
      </c>
    </row>
    <row r="134" spans="1:3" x14ac:dyDescent="0.75">
      <c r="A134" s="32">
        <v>106</v>
      </c>
      <c r="B134" s="32">
        <f t="shared" si="2"/>
        <v>17</v>
      </c>
      <c r="C134" s="32">
        <f t="shared" si="3"/>
        <v>4</v>
      </c>
    </row>
    <row r="135" spans="1:3" x14ac:dyDescent="0.75">
      <c r="A135" s="32">
        <v>107</v>
      </c>
      <c r="B135" s="32">
        <f t="shared" si="2"/>
        <v>17</v>
      </c>
      <c r="C135" s="32">
        <f t="shared" si="3"/>
        <v>5</v>
      </c>
    </row>
    <row r="136" spans="1:3" x14ac:dyDescent="0.75">
      <c r="A136" s="32">
        <v>108</v>
      </c>
      <c r="B136" s="32">
        <f t="shared" si="2"/>
        <v>17</v>
      </c>
      <c r="C136" s="32">
        <f t="shared" si="3"/>
        <v>6</v>
      </c>
    </row>
    <row r="137" spans="1:3" x14ac:dyDescent="0.75">
      <c r="A137" s="32">
        <v>109</v>
      </c>
      <c r="B137" s="32">
        <f t="shared" si="2"/>
        <v>18</v>
      </c>
      <c r="C137" s="32">
        <f t="shared" si="3"/>
        <v>1</v>
      </c>
    </row>
    <row r="138" spans="1:3" x14ac:dyDescent="0.75">
      <c r="A138" s="32">
        <v>110</v>
      </c>
      <c r="B138" s="32">
        <f t="shared" si="2"/>
        <v>18</v>
      </c>
      <c r="C138" s="32">
        <f t="shared" si="3"/>
        <v>2</v>
      </c>
    </row>
    <row r="139" spans="1:3" x14ac:dyDescent="0.75">
      <c r="A139" s="32">
        <v>111</v>
      </c>
      <c r="B139" s="32">
        <f t="shared" si="2"/>
        <v>18</v>
      </c>
      <c r="C139" s="32">
        <f t="shared" si="3"/>
        <v>3</v>
      </c>
    </row>
    <row r="140" spans="1:3" x14ac:dyDescent="0.75">
      <c r="A140" s="32">
        <v>112</v>
      </c>
      <c r="B140" s="32">
        <f t="shared" si="2"/>
        <v>18</v>
      </c>
      <c r="C140" s="32">
        <f t="shared" si="3"/>
        <v>4</v>
      </c>
    </row>
    <row r="141" spans="1:3" x14ac:dyDescent="0.75">
      <c r="A141" s="32">
        <v>113</v>
      </c>
      <c r="B141" s="32">
        <f t="shared" si="2"/>
        <v>18</v>
      </c>
      <c r="C141" s="32">
        <f t="shared" si="3"/>
        <v>5</v>
      </c>
    </row>
    <row r="142" spans="1:3" x14ac:dyDescent="0.75">
      <c r="A142" s="32">
        <v>114</v>
      </c>
      <c r="B142" s="32">
        <f t="shared" si="2"/>
        <v>18</v>
      </c>
      <c r="C142" s="32">
        <f t="shared" si="3"/>
        <v>6</v>
      </c>
    </row>
    <row r="143" spans="1:3" x14ac:dyDescent="0.75">
      <c r="A143" s="32">
        <v>115</v>
      </c>
      <c r="B143" s="32">
        <f t="shared" si="2"/>
        <v>19</v>
      </c>
      <c r="C143" s="32">
        <f t="shared" si="3"/>
        <v>1</v>
      </c>
    </row>
    <row r="144" spans="1:3" x14ac:dyDescent="0.75">
      <c r="A144" s="32">
        <v>116</v>
      </c>
      <c r="B144" s="32">
        <f t="shared" si="2"/>
        <v>19</v>
      </c>
      <c r="C144" s="32">
        <f t="shared" si="3"/>
        <v>2</v>
      </c>
    </row>
    <row r="145" spans="1:3" x14ac:dyDescent="0.75">
      <c r="A145" s="32">
        <v>117</v>
      </c>
      <c r="B145" s="32">
        <f t="shared" si="2"/>
        <v>19</v>
      </c>
      <c r="C145" s="32">
        <f t="shared" si="3"/>
        <v>3</v>
      </c>
    </row>
    <row r="146" spans="1:3" x14ac:dyDescent="0.75">
      <c r="A146" s="32">
        <v>118</v>
      </c>
      <c r="B146" s="32">
        <f t="shared" si="2"/>
        <v>19</v>
      </c>
      <c r="C146" s="32">
        <f t="shared" si="3"/>
        <v>4</v>
      </c>
    </row>
    <row r="147" spans="1:3" x14ac:dyDescent="0.75">
      <c r="A147" s="32">
        <v>119</v>
      </c>
      <c r="B147" s="32">
        <f t="shared" si="2"/>
        <v>19</v>
      </c>
      <c r="C147" s="32">
        <f t="shared" si="3"/>
        <v>5</v>
      </c>
    </row>
    <row r="148" spans="1:3" x14ac:dyDescent="0.75">
      <c r="A148" s="32">
        <v>120</v>
      </c>
      <c r="B148" s="32">
        <f t="shared" si="2"/>
        <v>19</v>
      </c>
      <c r="C148" s="32">
        <f t="shared" si="3"/>
        <v>6</v>
      </c>
    </row>
    <row r="149" spans="1:3" x14ac:dyDescent="0.75">
      <c r="A149" s="32">
        <v>121</v>
      </c>
      <c r="B149" s="32">
        <f t="shared" si="2"/>
        <v>20</v>
      </c>
      <c r="C149" s="32">
        <f t="shared" si="3"/>
        <v>1</v>
      </c>
    </row>
    <row r="150" spans="1:3" x14ac:dyDescent="0.75">
      <c r="A150" s="32">
        <v>122</v>
      </c>
      <c r="B150" s="32">
        <f t="shared" si="2"/>
        <v>20</v>
      </c>
      <c r="C150" s="32">
        <f t="shared" si="3"/>
        <v>2</v>
      </c>
    </row>
    <row r="151" spans="1:3" x14ac:dyDescent="0.75">
      <c r="A151" s="32">
        <v>123</v>
      </c>
      <c r="B151" s="32">
        <f t="shared" si="2"/>
        <v>20</v>
      </c>
      <c r="C151" s="32">
        <f t="shared" si="3"/>
        <v>3</v>
      </c>
    </row>
    <row r="152" spans="1:3" x14ac:dyDescent="0.75">
      <c r="A152" s="32">
        <v>124</v>
      </c>
      <c r="B152" s="32">
        <f t="shared" si="2"/>
        <v>20</v>
      </c>
      <c r="C152" s="32">
        <f t="shared" si="3"/>
        <v>4</v>
      </c>
    </row>
    <row r="153" spans="1:3" x14ac:dyDescent="0.75">
      <c r="A153" s="32">
        <v>125</v>
      </c>
      <c r="B153" s="32">
        <f t="shared" si="2"/>
        <v>20</v>
      </c>
      <c r="C153" s="32">
        <f t="shared" si="3"/>
        <v>5</v>
      </c>
    </row>
    <row r="154" spans="1:3" x14ac:dyDescent="0.75">
      <c r="A154" s="32">
        <v>126</v>
      </c>
      <c r="B154" s="32">
        <f t="shared" si="2"/>
        <v>20</v>
      </c>
      <c r="C154" s="32">
        <f t="shared" si="3"/>
        <v>6</v>
      </c>
    </row>
    <row r="155" spans="1:3" x14ac:dyDescent="0.75">
      <c r="A155" s="32">
        <v>127</v>
      </c>
      <c r="B155" s="32">
        <f t="shared" si="2"/>
        <v>21</v>
      </c>
      <c r="C155" s="32">
        <f t="shared" si="3"/>
        <v>1</v>
      </c>
    </row>
    <row r="156" spans="1:3" x14ac:dyDescent="0.75">
      <c r="A156" s="32">
        <v>128</v>
      </c>
      <c r="B156" s="32">
        <f t="shared" si="2"/>
        <v>21</v>
      </c>
      <c r="C156" s="32">
        <f t="shared" si="3"/>
        <v>2</v>
      </c>
    </row>
    <row r="157" spans="1:3" x14ac:dyDescent="0.75">
      <c r="A157" s="32">
        <v>129</v>
      </c>
      <c r="B157" s="32">
        <f t="shared" si="2"/>
        <v>21</v>
      </c>
      <c r="C157" s="32">
        <f t="shared" si="3"/>
        <v>3</v>
      </c>
    </row>
    <row r="158" spans="1:3" x14ac:dyDescent="0.75">
      <c r="A158" s="32">
        <v>130</v>
      </c>
      <c r="B158" s="32">
        <f t="shared" ref="B158:B221" si="4">IF(MOD(A158,6)=0,A158/6-1,INT(A158/6))</f>
        <v>21</v>
      </c>
      <c r="C158" s="32">
        <f t="shared" ref="C158:C221" si="5">IF(MOD(A158,6)=0,6,MOD(A158,6))</f>
        <v>4</v>
      </c>
    </row>
    <row r="159" spans="1:3" x14ac:dyDescent="0.75">
      <c r="A159" s="32">
        <v>131</v>
      </c>
      <c r="B159" s="32">
        <f t="shared" si="4"/>
        <v>21</v>
      </c>
      <c r="C159" s="32">
        <f t="shared" si="5"/>
        <v>5</v>
      </c>
    </row>
    <row r="160" spans="1:3" x14ac:dyDescent="0.75">
      <c r="A160" s="32">
        <v>132</v>
      </c>
      <c r="B160" s="32">
        <f t="shared" si="4"/>
        <v>21</v>
      </c>
      <c r="C160" s="32">
        <f t="shared" si="5"/>
        <v>6</v>
      </c>
    </row>
    <row r="161" spans="1:3" x14ac:dyDescent="0.75">
      <c r="A161" s="32">
        <v>133</v>
      </c>
      <c r="B161" s="32">
        <f t="shared" si="4"/>
        <v>22</v>
      </c>
      <c r="C161" s="32">
        <f t="shared" si="5"/>
        <v>1</v>
      </c>
    </row>
    <row r="162" spans="1:3" x14ac:dyDescent="0.75">
      <c r="A162" s="32">
        <v>134</v>
      </c>
      <c r="B162" s="32">
        <f t="shared" si="4"/>
        <v>22</v>
      </c>
      <c r="C162" s="32">
        <f t="shared" si="5"/>
        <v>2</v>
      </c>
    </row>
    <row r="163" spans="1:3" x14ac:dyDescent="0.75">
      <c r="A163" s="32">
        <v>135</v>
      </c>
      <c r="B163" s="32">
        <f t="shared" si="4"/>
        <v>22</v>
      </c>
      <c r="C163" s="32">
        <f t="shared" si="5"/>
        <v>3</v>
      </c>
    </row>
    <row r="164" spans="1:3" x14ac:dyDescent="0.75">
      <c r="A164" s="32">
        <v>136</v>
      </c>
      <c r="B164" s="32">
        <f t="shared" si="4"/>
        <v>22</v>
      </c>
      <c r="C164" s="32">
        <f t="shared" si="5"/>
        <v>4</v>
      </c>
    </row>
    <row r="165" spans="1:3" x14ac:dyDescent="0.75">
      <c r="A165" s="32">
        <v>137</v>
      </c>
      <c r="B165" s="32">
        <f t="shared" si="4"/>
        <v>22</v>
      </c>
      <c r="C165" s="32">
        <f t="shared" si="5"/>
        <v>5</v>
      </c>
    </row>
    <row r="166" spans="1:3" x14ac:dyDescent="0.75">
      <c r="A166" s="32">
        <v>138</v>
      </c>
      <c r="B166" s="32">
        <f t="shared" si="4"/>
        <v>22</v>
      </c>
      <c r="C166" s="32">
        <f t="shared" si="5"/>
        <v>6</v>
      </c>
    </row>
    <row r="167" spans="1:3" x14ac:dyDescent="0.75">
      <c r="A167" s="32">
        <v>139</v>
      </c>
      <c r="B167" s="32">
        <f t="shared" si="4"/>
        <v>23</v>
      </c>
      <c r="C167" s="32">
        <f t="shared" si="5"/>
        <v>1</v>
      </c>
    </row>
    <row r="168" spans="1:3" x14ac:dyDescent="0.75">
      <c r="A168" s="32">
        <v>140</v>
      </c>
      <c r="B168" s="32">
        <f t="shared" si="4"/>
        <v>23</v>
      </c>
      <c r="C168" s="32">
        <f t="shared" si="5"/>
        <v>2</v>
      </c>
    </row>
    <row r="169" spans="1:3" x14ac:dyDescent="0.75">
      <c r="A169" s="32">
        <v>141</v>
      </c>
      <c r="B169" s="32">
        <f t="shared" si="4"/>
        <v>23</v>
      </c>
      <c r="C169" s="32">
        <f t="shared" si="5"/>
        <v>3</v>
      </c>
    </row>
    <row r="170" spans="1:3" x14ac:dyDescent="0.75">
      <c r="A170" s="32">
        <v>142</v>
      </c>
      <c r="B170" s="32">
        <f t="shared" si="4"/>
        <v>23</v>
      </c>
      <c r="C170" s="32">
        <f t="shared" si="5"/>
        <v>4</v>
      </c>
    </row>
    <row r="171" spans="1:3" x14ac:dyDescent="0.75">
      <c r="A171" s="32">
        <v>143</v>
      </c>
      <c r="B171" s="32">
        <f t="shared" si="4"/>
        <v>23</v>
      </c>
      <c r="C171" s="32">
        <f t="shared" si="5"/>
        <v>5</v>
      </c>
    </row>
    <row r="172" spans="1:3" x14ac:dyDescent="0.75">
      <c r="A172" s="32">
        <v>144</v>
      </c>
      <c r="B172" s="32">
        <f t="shared" si="4"/>
        <v>23</v>
      </c>
      <c r="C172" s="32">
        <f t="shared" si="5"/>
        <v>6</v>
      </c>
    </row>
    <row r="173" spans="1:3" x14ac:dyDescent="0.75">
      <c r="A173" s="32">
        <v>145</v>
      </c>
      <c r="B173" s="32">
        <f t="shared" si="4"/>
        <v>24</v>
      </c>
      <c r="C173" s="32">
        <f t="shared" si="5"/>
        <v>1</v>
      </c>
    </row>
    <row r="174" spans="1:3" x14ac:dyDescent="0.75">
      <c r="A174" s="32">
        <v>146</v>
      </c>
      <c r="B174" s="32">
        <f t="shared" si="4"/>
        <v>24</v>
      </c>
      <c r="C174" s="32">
        <f t="shared" si="5"/>
        <v>2</v>
      </c>
    </row>
    <row r="175" spans="1:3" x14ac:dyDescent="0.75">
      <c r="A175" s="32">
        <v>147</v>
      </c>
      <c r="B175" s="32">
        <f t="shared" si="4"/>
        <v>24</v>
      </c>
      <c r="C175" s="32">
        <f t="shared" si="5"/>
        <v>3</v>
      </c>
    </row>
    <row r="176" spans="1:3" x14ac:dyDescent="0.75">
      <c r="A176" s="32">
        <v>148</v>
      </c>
      <c r="B176" s="32">
        <f t="shared" si="4"/>
        <v>24</v>
      </c>
      <c r="C176" s="32">
        <f t="shared" si="5"/>
        <v>4</v>
      </c>
    </row>
    <row r="177" spans="1:3" x14ac:dyDescent="0.75">
      <c r="A177" s="32">
        <v>149</v>
      </c>
      <c r="B177" s="32">
        <f t="shared" si="4"/>
        <v>24</v>
      </c>
      <c r="C177" s="32">
        <f t="shared" si="5"/>
        <v>5</v>
      </c>
    </row>
    <row r="178" spans="1:3" x14ac:dyDescent="0.75">
      <c r="A178" s="32">
        <v>150</v>
      </c>
      <c r="B178" s="32">
        <f t="shared" si="4"/>
        <v>24</v>
      </c>
      <c r="C178" s="32">
        <f t="shared" si="5"/>
        <v>6</v>
      </c>
    </row>
    <row r="179" spans="1:3" x14ac:dyDescent="0.75">
      <c r="A179" s="32">
        <v>151</v>
      </c>
      <c r="B179" s="32">
        <f t="shared" si="4"/>
        <v>25</v>
      </c>
      <c r="C179" s="32">
        <f t="shared" si="5"/>
        <v>1</v>
      </c>
    </row>
    <row r="180" spans="1:3" x14ac:dyDescent="0.75">
      <c r="A180" s="32">
        <v>152</v>
      </c>
      <c r="B180" s="32">
        <f t="shared" si="4"/>
        <v>25</v>
      </c>
      <c r="C180" s="32">
        <f t="shared" si="5"/>
        <v>2</v>
      </c>
    </row>
    <row r="181" spans="1:3" x14ac:dyDescent="0.75">
      <c r="A181" s="32">
        <v>153</v>
      </c>
      <c r="B181" s="32">
        <f t="shared" si="4"/>
        <v>25</v>
      </c>
      <c r="C181" s="32">
        <f t="shared" si="5"/>
        <v>3</v>
      </c>
    </row>
    <row r="182" spans="1:3" x14ac:dyDescent="0.75">
      <c r="A182" s="32">
        <v>154</v>
      </c>
      <c r="B182" s="32">
        <f t="shared" si="4"/>
        <v>25</v>
      </c>
      <c r="C182" s="32">
        <f t="shared" si="5"/>
        <v>4</v>
      </c>
    </row>
    <row r="183" spans="1:3" x14ac:dyDescent="0.75">
      <c r="A183" s="32">
        <v>155</v>
      </c>
      <c r="B183" s="32">
        <f t="shared" si="4"/>
        <v>25</v>
      </c>
      <c r="C183" s="32">
        <f t="shared" si="5"/>
        <v>5</v>
      </c>
    </row>
    <row r="184" spans="1:3" x14ac:dyDescent="0.75">
      <c r="A184" s="32">
        <v>156</v>
      </c>
      <c r="B184" s="32">
        <f t="shared" si="4"/>
        <v>25</v>
      </c>
      <c r="C184" s="32">
        <f t="shared" si="5"/>
        <v>6</v>
      </c>
    </row>
    <row r="185" spans="1:3" x14ac:dyDescent="0.75">
      <c r="A185" s="32">
        <v>157</v>
      </c>
      <c r="B185" s="32">
        <f t="shared" si="4"/>
        <v>26</v>
      </c>
      <c r="C185" s="32">
        <f t="shared" si="5"/>
        <v>1</v>
      </c>
    </row>
    <row r="186" spans="1:3" x14ac:dyDescent="0.75">
      <c r="A186" s="32">
        <v>158</v>
      </c>
      <c r="B186" s="32">
        <f t="shared" si="4"/>
        <v>26</v>
      </c>
      <c r="C186" s="32">
        <f t="shared" si="5"/>
        <v>2</v>
      </c>
    </row>
    <row r="187" spans="1:3" x14ac:dyDescent="0.75">
      <c r="A187" s="32">
        <v>159</v>
      </c>
      <c r="B187" s="32">
        <f t="shared" si="4"/>
        <v>26</v>
      </c>
      <c r="C187" s="32">
        <f t="shared" si="5"/>
        <v>3</v>
      </c>
    </row>
    <row r="188" spans="1:3" x14ac:dyDescent="0.75">
      <c r="A188" s="32">
        <v>160</v>
      </c>
      <c r="B188" s="32">
        <f t="shared" si="4"/>
        <v>26</v>
      </c>
      <c r="C188" s="32">
        <f t="shared" si="5"/>
        <v>4</v>
      </c>
    </row>
    <row r="189" spans="1:3" x14ac:dyDescent="0.75">
      <c r="A189" s="32">
        <v>161</v>
      </c>
      <c r="B189" s="32">
        <f t="shared" si="4"/>
        <v>26</v>
      </c>
      <c r="C189" s="32">
        <f t="shared" si="5"/>
        <v>5</v>
      </c>
    </row>
    <row r="190" spans="1:3" x14ac:dyDescent="0.75">
      <c r="A190" s="32">
        <v>162</v>
      </c>
      <c r="B190" s="32">
        <f t="shared" si="4"/>
        <v>26</v>
      </c>
      <c r="C190" s="32">
        <f t="shared" si="5"/>
        <v>6</v>
      </c>
    </row>
    <row r="191" spans="1:3" x14ac:dyDescent="0.75">
      <c r="A191" s="32">
        <v>163</v>
      </c>
      <c r="B191" s="32">
        <f t="shared" si="4"/>
        <v>27</v>
      </c>
      <c r="C191" s="32">
        <f t="shared" si="5"/>
        <v>1</v>
      </c>
    </row>
    <row r="192" spans="1:3" x14ac:dyDescent="0.75">
      <c r="A192" s="32">
        <v>164</v>
      </c>
      <c r="B192" s="32">
        <f t="shared" si="4"/>
        <v>27</v>
      </c>
      <c r="C192" s="32">
        <f t="shared" si="5"/>
        <v>2</v>
      </c>
    </row>
    <row r="193" spans="1:3" x14ac:dyDescent="0.75">
      <c r="A193" s="32">
        <v>165</v>
      </c>
      <c r="B193" s="32">
        <f t="shared" si="4"/>
        <v>27</v>
      </c>
      <c r="C193" s="32">
        <f t="shared" si="5"/>
        <v>3</v>
      </c>
    </row>
    <row r="194" spans="1:3" x14ac:dyDescent="0.75">
      <c r="A194" s="32">
        <v>166</v>
      </c>
      <c r="B194" s="32">
        <f t="shared" si="4"/>
        <v>27</v>
      </c>
      <c r="C194" s="32">
        <f t="shared" si="5"/>
        <v>4</v>
      </c>
    </row>
    <row r="195" spans="1:3" x14ac:dyDescent="0.75">
      <c r="A195" s="32">
        <v>167</v>
      </c>
      <c r="B195" s="32">
        <f t="shared" si="4"/>
        <v>27</v>
      </c>
      <c r="C195" s="32">
        <f t="shared" si="5"/>
        <v>5</v>
      </c>
    </row>
    <row r="196" spans="1:3" x14ac:dyDescent="0.75">
      <c r="A196" s="32">
        <v>168</v>
      </c>
      <c r="B196" s="32">
        <f t="shared" si="4"/>
        <v>27</v>
      </c>
      <c r="C196" s="32">
        <f t="shared" si="5"/>
        <v>6</v>
      </c>
    </row>
    <row r="197" spans="1:3" x14ac:dyDescent="0.75">
      <c r="A197" s="32">
        <v>169</v>
      </c>
      <c r="B197" s="32">
        <f t="shared" si="4"/>
        <v>28</v>
      </c>
      <c r="C197" s="32">
        <f t="shared" si="5"/>
        <v>1</v>
      </c>
    </row>
    <row r="198" spans="1:3" x14ac:dyDescent="0.75">
      <c r="A198" s="32">
        <v>170</v>
      </c>
      <c r="B198" s="32">
        <f t="shared" si="4"/>
        <v>28</v>
      </c>
      <c r="C198" s="32">
        <f t="shared" si="5"/>
        <v>2</v>
      </c>
    </row>
    <row r="199" spans="1:3" x14ac:dyDescent="0.75">
      <c r="A199" s="32">
        <v>171</v>
      </c>
      <c r="B199" s="32">
        <f t="shared" si="4"/>
        <v>28</v>
      </c>
      <c r="C199" s="32">
        <f t="shared" si="5"/>
        <v>3</v>
      </c>
    </row>
    <row r="200" spans="1:3" x14ac:dyDescent="0.75">
      <c r="A200" s="32">
        <v>172</v>
      </c>
      <c r="B200" s="32">
        <f t="shared" si="4"/>
        <v>28</v>
      </c>
      <c r="C200" s="32">
        <f t="shared" si="5"/>
        <v>4</v>
      </c>
    </row>
    <row r="201" spans="1:3" x14ac:dyDescent="0.75">
      <c r="A201" s="32">
        <v>173</v>
      </c>
      <c r="B201" s="32">
        <f t="shared" si="4"/>
        <v>28</v>
      </c>
      <c r="C201" s="32">
        <f t="shared" si="5"/>
        <v>5</v>
      </c>
    </row>
    <row r="202" spans="1:3" x14ac:dyDescent="0.75">
      <c r="A202" s="32">
        <v>174</v>
      </c>
      <c r="B202" s="32">
        <f t="shared" si="4"/>
        <v>28</v>
      </c>
      <c r="C202" s="32">
        <f t="shared" si="5"/>
        <v>6</v>
      </c>
    </row>
    <row r="203" spans="1:3" x14ac:dyDescent="0.75">
      <c r="A203" s="32">
        <v>175</v>
      </c>
      <c r="B203" s="32">
        <f t="shared" si="4"/>
        <v>29</v>
      </c>
      <c r="C203" s="32">
        <f t="shared" si="5"/>
        <v>1</v>
      </c>
    </row>
    <row r="204" spans="1:3" x14ac:dyDescent="0.75">
      <c r="A204" s="32">
        <v>176</v>
      </c>
      <c r="B204" s="32">
        <f t="shared" si="4"/>
        <v>29</v>
      </c>
      <c r="C204" s="32">
        <f t="shared" si="5"/>
        <v>2</v>
      </c>
    </row>
    <row r="205" spans="1:3" x14ac:dyDescent="0.75">
      <c r="A205" s="32">
        <v>177</v>
      </c>
      <c r="B205" s="32">
        <f t="shared" si="4"/>
        <v>29</v>
      </c>
      <c r="C205" s="32">
        <f t="shared" si="5"/>
        <v>3</v>
      </c>
    </row>
    <row r="206" spans="1:3" x14ac:dyDescent="0.75">
      <c r="A206" s="32">
        <v>178</v>
      </c>
      <c r="B206" s="32">
        <f t="shared" si="4"/>
        <v>29</v>
      </c>
      <c r="C206" s="32">
        <f t="shared" si="5"/>
        <v>4</v>
      </c>
    </row>
    <row r="207" spans="1:3" x14ac:dyDescent="0.75">
      <c r="A207" s="32">
        <v>179</v>
      </c>
      <c r="B207" s="32">
        <f t="shared" si="4"/>
        <v>29</v>
      </c>
      <c r="C207" s="32">
        <f t="shared" si="5"/>
        <v>5</v>
      </c>
    </row>
    <row r="208" spans="1:3" x14ac:dyDescent="0.75">
      <c r="A208" s="32">
        <v>180</v>
      </c>
      <c r="B208" s="32">
        <f t="shared" si="4"/>
        <v>29</v>
      </c>
      <c r="C208" s="32">
        <f t="shared" si="5"/>
        <v>6</v>
      </c>
    </row>
    <row r="209" spans="1:3" x14ac:dyDescent="0.75">
      <c r="A209" s="32">
        <v>181</v>
      </c>
      <c r="B209" s="32">
        <f t="shared" si="4"/>
        <v>30</v>
      </c>
      <c r="C209" s="32">
        <f t="shared" si="5"/>
        <v>1</v>
      </c>
    </row>
    <row r="210" spans="1:3" x14ac:dyDescent="0.75">
      <c r="A210" s="32">
        <v>182</v>
      </c>
      <c r="B210" s="32">
        <f t="shared" si="4"/>
        <v>30</v>
      </c>
      <c r="C210" s="32">
        <f t="shared" si="5"/>
        <v>2</v>
      </c>
    </row>
    <row r="211" spans="1:3" x14ac:dyDescent="0.75">
      <c r="A211" s="32">
        <v>183</v>
      </c>
      <c r="B211" s="32">
        <f t="shared" si="4"/>
        <v>30</v>
      </c>
      <c r="C211" s="32">
        <f t="shared" si="5"/>
        <v>3</v>
      </c>
    </row>
    <row r="212" spans="1:3" x14ac:dyDescent="0.75">
      <c r="A212" s="32">
        <v>184</v>
      </c>
      <c r="B212" s="32">
        <f t="shared" si="4"/>
        <v>30</v>
      </c>
      <c r="C212" s="32">
        <f t="shared" si="5"/>
        <v>4</v>
      </c>
    </row>
    <row r="213" spans="1:3" x14ac:dyDescent="0.75">
      <c r="A213" s="32">
        <v>185</v>
      </c>
      <c r="B213" s="32">
        <f t="shared" si="4"/>
        <v>30</v>
      </c>
      <c r="C213" s="32">
        <f t="shared" si="5"/>
        <v>5</v>
      </c>
    </row>
    <row r="214" spans="1:3" x14ac:dyDescent="0.75">
      <c r="A214" s="32">
        <v>186</v>
      </c>
      <c r="B214" s="32">
        <f t="shared" si="4"/>
        <v>30</v>
      </c>
      <c r="C214" s="32">
        <f t="shared" si="5"/>
        <v>6</v>
      </c>
    </row>
    <row r="215" spans="1:3" x14ac:dyDescent="0.75">
      <c r="A215" s="32">
        <v>187</v>
      </c>
      <c r="B215" s="32">
        <f t="shared" si="4"/>
        <v>31</v>
      </c>
      <c r="C215" s="32">
        <f t="shared" si="5"/>
        <v>1</v>
      </c>
    </row>
    <row r="216" spans="1:3" x14ac:dyDescent="0.75">
      <c r="A216" s="32">
        <v>188</v>
      </c>
      <c r="B216" s="32">
        <f t="shared" si="4"/>
        <v>31</v>
      </c>
      <c r="C216" s="32">
        <f t="shared" si="5"/>
        <v>2</v>
      </c>
    </row>
    <row r="217" spans="1:3" x14ac:dyDescent="0.75">
      <c r="A217" s="32">
        <v>189</v>
      </c>
      <c r="B217" s="32">
        <f t="shared" si="4"/>
        <v>31</v>
      </c>
      <c r="C217" s="32">
        <f t="shared" si="5"/>
        <v>3</v>
      </c>
    </row>
    <row r="218" spans="1:3" x14ac:dyDescent="0.75">
      <c r="A218" s="32">
        <v>190</v>
      </c>
      <c r="B218" s="32">
        <f t="shared" si="4"/>
        <v>31</v>
      </c>
      <c r="C218" s="32">
        <f t="shared" si="5"/>
        <v>4</v>
      </c>
    </row>
    <row r="219" spans="1:3" x14ac:dyDescent="0.75">
      <c r="A219" s="32">
        <v>191</v>
      </c>
      <c r="B219" s="32">
        <f t="shared" si="4"/>
        <v>31</v>
      </c>
      <c r="C219" s="32">
        <f t="shared" si="5"/>
        <v>5</v>
      </c>
    </row>
    <row r="220" spans="1:3" x14ac:dyDescent="0.75">
      <c r="A220" s="32">
        <v>192</v>
      </c>
      <c r="B220" s="32">
        <f t="shared" si="4"/>
        <v>31</v>
      </c>
      <c r="C220" s="32">
        <f t="shared" si="5"/>
        <v>6</v>
      </c>
    </row>
    <row r="221" spans="1:3" x14ac:dyDescent="0.75">
      <c r="A221" s="32">
        <v>193</v>
      </c>
      <c r="B221" s="32">
        <f t="shared" si="4"/>
        <v>32</v>
      </c>
      <c r="C221" s="32">
        <f t="shared" si="5"/>
        <v>1</v>
      </c>
    </row>
    <row r="222" spans="1:3" x14ac:dyDescent="0.75">
      <c r="A222" s="32">
        <v>194</v>
      </c>
      <c r="B222" s="32">
        <f t="shared" ref="B222:B285" si="6">IF(MOD(A222,6)=0,A222/6-1,INT(A222/6))</f>
        <v>32</v>
      </c>
      <c r="C222" s="32">
        <f t="shared" ref="C222:C285" si="7">IF(MOD(A222,6)=0,6,MOD(A222,6))</f>
        <v>2</v>
      </c>
    </row>
    <row r="223" spans="1:3" x14ac:dyDescent="0.75">
      <c r="A223" s="32">
        <v>195</v>
      </c>
      <c r="B223" s="32">
        <f t="shared" si="6"/>
        <v>32</v>
      </c>
      <c r="C223" s="32">
        <f t="shared" si="7"/>
        <v>3</v>
      </c>
    </row>
    <row r="224" spans="1:3" x14ac:dyDescent="0.75">
      <c r="A224" s="32">
        <v>196</v>
      </c>
      <c r="B224" s="32">
        <f t="shared" si="6"/>
        <v>32</v>
      </c>
      <c r="C224" s="32">
        <f t="shared" si="7"/>
        <v>4</v>
      </c>
    </row>
    <row r="225" spans="1:3" x14ac:dyDescent="0.75">
      <c r="A225" s="32">
        <v>197</v>
      </c>
      <c r="B225" s="32">
        <f t="shared" si="6"/>
        <v>32</v>
      </c>
      <c r="C225" s="32">
        <f t="shared" si="7"/>
        <v>5</v>
      </c>
    </row>
    <row r="226" spans="1:3" x14ac:dyDescent="0.75">
      <c r="A226" s="32">
        <v>198</v>
      </c>
      <c r="B226" s="32">
        <f t="shared" si="6"/>
        <v>32</v>
      </c>
      <c r="C226" s="32">
        <f t="shared" si="7"/>
        <v>6</v>
      </c>
    </row>
    <row r="227" spans="1:3" x14ac:dyDescent="0.75">
      <c r="A227" s="32">
        <v>199</v>
      </c>
      <c r="B227" s="32">
        <f t="shared" si="6"/>
        <v>33</v>
      </c>
      <c r="C227" s="32">
        <f t="shared" si="7"/>
        <v>1</v>
      </c>
    </row>
    <row r="228" spans="1:3" x14ac:dyDescent="0.75">
      <c r="A228" s="32">
        <v>200</v>
      </c>
      <c r="B228" s="32">
        <f t="shared" si="6"/>
        <v>33</v>
      </c>
      <c r="C228" s="32">
        <f t="shared" si="7"/>
        <v>2</v>
      </c>
    </row>
    <row r="229" spans="1:3" x14ac:dyDescent="0.75">
      <c r="A229" s="32">
        <v>201</v>
      </c>
      <c r="B229" s="32">
        <f t="shared" si="6"/>
        <v>33</v>
      </c>
      <c r="C229" s="32">
        <f t="shared" si="7"/>
        <v>3</v>
      </c>
    </row>
    <row r="230" spans="1:3" x14ac:dyDescent="0.75">
      <c r="A230" s="32">
        <v>202</v>
      </c>
      <c r="B230" s="32">
        <f t="shared" si="6"/>
        <v>33</v>
      </c>
      <c r="C230" s="32">
        <f t="shared" si="7"/>
        <v>4</v>
      </c>
    </row>
    <row r="231" spans="1:3" x14ac:dyDescent="0.75">
      <c r="A231" s="32">
        <v>203</v>
      </c>
      <c r="B231" s="32">
        <f t="shared" si="6"/>
        <v>33</v>
      </c>
      <c r="C231" s="32">
        <f t="shared" si="7"/>
        <v>5</v>
      </c>
    </row>
    <row r="232" spans="1:3" x14ac:dyDescent="0.75">
      <c r="A232" s="32">
        <v>204</v>
      </c>
      <c r="B232" s="32">
        <f t="shared" si="6"/>
        <v>33</v>
      </c>
      <c r="C232" s="32">
        <f t="shared" si="7"/>
        <v>6</v>
      </c>
    </row>
    <row r="233" spans="1:3" x14ac:dyDescent="0.75">
      <c r="A233" s="32">
        <v>205</v>
      </c>
      <c r="B233" s="32">
        <f t="shared" si="6"/>
        <v>34</v>
      </c>
      <c r="C233" s="32">
        <f t="shared" si="7"/>
        <v>1</v>
      </c>
    </row>
    <row r="234" spans="1:3" x14ac:dyDescent="0.75">
      <c r="A234" s="32">
        <v>206</v>
      </c>
      <c r="B234" s="32">
        <f t="shared" si="6"/>
        <v>34</v>
      </c>
      <c r="C234" s="32">
        <f t="shared" si="7"/>
        <v>2</v>
      </c>
    </row>
    <row r="235" spans="1:3" x14ac:dyDescent="0.75">
      <c r="A235" s="32">
        <v>207</v>
      </c>
      <c r="B235" s="32">
        <f t="shared" si="6"/>
        <v>34</v>
      </c>
      <c r="C235" s="32">
        <f t="shared" si="7"/>
        <v>3</v>
      </c>
    </row>
    <row r="236" spans="1:3" x14ac:dyDescent="0.75">
      <c r="A236" s="32">
        <v>208</v>
      </c>
      <c r="B236" s="32">
        <f t="shared" si="6"/>
        <v>34</v>
      </c>
      <c r="C236" s="32">
        <f t="shared" si="7"/>
        <v>4</v>
      </c>
    </row>
    <row r="237" spans="1:3" x14ac:dyDescent="0.75">
      <c r="A237" s="32">
        <v>209</v>
      </c>
      <c r="B237" s="32">
        <f t="shared" si="6"/>
        <v>34</v>
      </c>
      <c r="C237" s="32">
        <f t="shared" si="7"/>
        <v>5</v>
      </c>
    </row>
    <row r="238" spans="1:3" x14ac:dyDescent="0.75">
      <c r="A238" s="32">
        <v>210</v>
      </c>
      <c r="B238" s="32">
        <f t="shared" si="6"/>
        <v>34</v>
      </c>
      <c r="C238" s="32">
        <f t="shared" si="7"/>
        <v>6</v>
      </c>
    </row>
    <row r="239" spans="1:3" x14ac:dyDescent="0.75">
      <c r="A239" s="32">
        <v>211</v>
      </c>
      <c r="B239" s="32">
        <f t="shared" si="6"/>
        <v>35</v>
      </c>
      <c r="C239" s="32">
        <f t="shared" si="7"/>
        <v>1</v>
      </c>
    </row>
    <row r="240" spans="1:3" x14ac:dyDescent="0.75">
      <c r="A240" s="32">
        <v>212</v>
      </c>
      <c r="B240" s="32">
        <f t="shared" si="6"/>
        <v>35</v>
      </c>
      <c r="C240" s="32">
        <f t="shared" si="7"/>
        <v>2</v>
      </c>
    </row>
    <row r="241" spans="1:3" x14ac:dyDescent="0.75">
      <c r="A241" s="32">
        <v>213</v>
      </c>
      <c r="B241" s="32">
        <f t="shared" si="6"/>
        <v>35</v>
      </c>
      <c r="C241" s="32">
        <f t="shared" si="7"/>
        <v>3</v>
      </c>
    </row>
    <row r="242" spans="1:3" x14ac:dyDescent="0.75">
      <c r="A242" s="32">
        <v>214</v>
      </c>
      <c r="B242" s="32">
        <f t="shared" si="6"/>
        <v>35</v>
      </c>
      <c r="C242" s="32">
        <f t="shared" si="7"/>
        <v>4</v>
      </c>
    </row>
    <row r="243" spans="1:3" x14ac:dyDescent="0.75">
      <c r="A243" s="32">
        <v>215</v>
      </c>
      <c r="B243" s="32">
        <f t="shared" si="6"/>
        <v>35</v>
      </c>
      <c r="C243" s="32">
        <f t="shared" si="7"/>
        <v>5</v>
      </c>
    </row>
    <row r="244" spans="1:3" x14ac:dyDescent="0.75">
      <c r="A244" s="32">
        <v>216</v>
      </c>
      <c r="B244" s="32">
        <f t="shared" si="6"/>
        <v>35</v>
      </c>
      <c r="C244" s="32">
        <f t="shared" si="7"/>
        <v>6</v>
      </c>
    </row>
    <row r="245" spans="1:3" x14ac:dyDescent="0.75">
      <c r="A245" s="32">
        <v>217</v>
      </c>
      <c r="B245" s="32">
        <f t="shared" si="6"/>
        <v>36</v>
      </c>
      <c r="C245" s="32">
        <f t="shared" si="7"/>
        <v>1</v>
      </c>
    </row>
    <row r="246" spans="1:3" x14ac:dyDescent="0.75">
      <c r="A246" s="32">
        <v>218</v>
      </c>
      <c r="B246" s="32">
        <f t="shared" si="6"/>
        <v>36</v>
      </c>
      <c r="C246" s="32">
        <f t="shared" si="7"/>
        <v>2</v>
      </c>
    </row>
    <row r="247" spans="1:3" x14ac:dyDescent="0.75">
      <c r="A247" s="32">
        <v>219</v>
      </c>
      <c r="B247" s="32">
        <f t="shared" si="6"/>
        <v>36</v>
      </c>
      <c r="C247" s="32">
        <f t="shared" si="7"/>
        <v>3</v>
      </c>
    </row>
    <row r="248" spans="1:3" x14ac:dyDescent="0.75">
      <c r="A248" s="32">
        <v>220</v>
      </c>
      <c r="B248" s="32">
        <f t="shared" si="6"/>
        <v>36</v>
      </c>
      <c r="C248" s="32">
        <f t="shared" si="7"/>
        <v>4</v>
      </c>
    </row>
    <row r="249" spans="1:3" x14ac:dyDescent="0.75">
      <c r="A249" s="32">
        <v>221</v>
      </c>
      <c r="B249" s="32">
        <f t="shared" si="6"/>
        <v>36</v>
      </c>
      <c r="C249" s="32">
        <f t="shared" si="7"/>
        <v>5</v>
      </c>
    </row>
    <row r="250" spans="1:3" x14ac:dyDescent="0.75">
      <c r="A250" s="32">
        <v>222</v>
      </c>
      <c r="B250" s="32">
        <f t="shared" si="6"/>
        <v>36</v>
      </c>
      <c r="C250" s="32">
        <f t="shared" si="7"/>
        <v>6</v>
      </c>
    </row>
    <row r="251" spans="1:3" x14ac:dyDescent="0.75">
      <c r="A251" s="32">
        <v>223</v>
      </c>
      <c r="B251" s="32">
        <f t="shared" si="6"/>
        <v>37</v>
      </c>
      <c r="C251" s="32">
        <f t="shared" si="7"/>
        <v>1</v>
      </c>
    </row>
    <row r="252" spans="1:3" x14ac:dyDescent="0.75">
      <c r="A252" s="32">
        <v>224</v>
      </c>
      <c r="B252" s="32">
        <f t="shared" si="6"/>
        <v>37</v>
      </c>
      <c r="C252" s="32">
        <f t="shared" si="7"/>
        <v>2</v>
      </c>
    </row>
    <row r="253" spans="1:3" x14ac:dyDescent="0.75">
      <c r="A253" s="32">
        <v>225</v>
      </c>
      <c r="B253" s="32">
        <f t="shared" si="6"/>
        <v>37</v>
      </c>
      <c r="C253" s="32">
        <f t="shared" si="7"/>
        <v>3</v>
      </c>
    </row>
    <row r="254" spans="1:3" x14ac:dyDescent="0.75">
      <c r="A254" s="32">
        <v>226</v>
      </c>
      <c r="B254" s="32">
        <f t="shared" si="6"/>
        <v>37</v>
      </c>
      <c r="C254" s="32">
        <f t="shared" si="7"/>
        <v>4</v>
      </c>
    </row>
    <row r="255" spans="1:3" x14ac:dyDescent="0.75">
      <c r="A255" s="32">
        <v>227</v>
      </c>
      <c r="B255" s="32">
        <f t="shared" si="6"/>
        <v>37</v>
      </c>
      <c r="C255" s="32">
        <f t="shared" si="7"/>
        <v>5</v>
      </c>
    </row>
    <row r="256" spans="1:3" x14ac:dyDescent="0.75">
      <c r="A256" s="32">
        <v>228</v>
      </c>
      <c r="B256" s="32">
        <f t="shared" si="6"/>
        <v>37</v>
      </c>
      <c r="C256" s="32">
        <f t="shared" si="7"/>
        <v>6</v>
      </c>
    </row>
    <row r="257" spans="1:3" x14ac:dyDescent="0.75">
      <c r="A257" s="32">
        <v>229</v>
      </c>
      <c r="B257" s="32">
        <f t="shared" si="6"/>
        <v>38</v>
      </c>
      <c r="C257" s="32">
        <f t="shared" si="7"/>
        <v>1</v>
      </c>
    </row>
    <row r="258" spans="1:3" x14ac:dyDescent="0.75">
      <c r="A258" s="32">
        <v>230</v>
      </c>
      <c r="B258" s="32">
        <f t="shared" si="6"/>
        <v>38</v>
      </c>
      <c r="C258" s="32">
        <f t="shared" si="7"/>
        <v>2</v>
      </c>
    </row>
    <row r="259" spans="1:3" x14ac:dyDescent="0.75">
      <c r="A259" s="32">
        <v>231</v>
      </c>
      <c r="B259" s="32">
        <f t="shared" si="6"/>
        <v>38</v>
      </c>
      <c r="C259" s="32">
        <f t="shared" si="7"/>
        <v>3</v>
      </c>
    </row>
    <row r="260" spans="1:3" x14ac:dyDescent="0.75">
      <c r="A260" s="32">
        <v>232</v>
      </c>
      <c r="B260" s="32">
        <f t="shared" si="6"/>
        <v>38</v>
      </c>
      <c r="C260" s="32">
        <f t="shared" si="7"/>
        <v>4</v>
      </c>
    </row>
    <row r="261" spans="1:3" x14ac:dyDescent="0.75">
      <c r="A261" s="32">
        <v>233</v>
      </c>
      <c r="B261" s="32">
        <f t="shared" si="6"/>
        <v>38</v>
      </c>
      <c r="C261" s="32">
        <f t="shared" si="7"/>
        <v>5</v>
      </c>
    </row>
    <row r="262" spans="1:3" x14ac:dyDescent="0.75">
      <c r="A262" s="32">
        <v>234</v>
      </c>
      <c r="B262" s="32">
        <f t="shared" si="6"/>
        <v>38</v>
      </c>
      <c r="C262" s="32">
        <f t="shared" si="7"/>
        <v>6</v>
      </c>
    </row>
    <row r="263" spans="1:3" x14ac:dyDescent="0.75">
      <c r="A263" s="32">
        <v>235</v>
      </c>
      <c r="B263" s="32">
        <f t="shared" si="6"/>
        <v>39</v>
      </c>
      <c r="C263" s="32">
        <f t="shared" si="7"/>
        <v>1</v>
      </c>
    </row>
    <row r="264" spans="1:3" x14ac:dyDescent="0.75">
      <c r="A264" s="32">
        <v>236</v>
      </c>
      <c r="B264" s="32">
        <f t="shared" si="6"/>
        <v>39</v>
      </c>
      <c r="C264" s="32">
        <f t="shared" si="7"/>
        <v>2</v>
      </c>
    </row>
    <row r="265" spans="1:3" x14ac:dyDescent="0.75">
      <c r="A265" s="32">
        <v>237</v>
      </c>
      <c r="B265" s="32">
        <f t="shared" si="6"/>
        <v>39</v>
      </c>
      <c r="C265" s="32">
        <f t="shared" si="7"/>
        <v>3</v>
      </c>
    </row>
    <row r="266" spans="1:3" x14ac:dyDescent="0.75">
      <c r="A266" s="32">
        <v>238</v>
      </c>
      <c r="B266" s="32">
        <f t="shared" si="6"/>
        <v>39</v>
      </c>
      <c r="C266" s="32">
        <f t="shared" si="7"/>
        <v>4</v>
      </c>
    </row>
    <row r="267" spans="1:3" x14ac:dyDescent="0.75">
      <c r="A267" s="32">
        <v>239</v>
      </c>
      <c r="B267" s="32">
        <f t="shared" si="6"/>
        <v>39</v>
      </c>
      <c r="C267" s="32">
        <f t="shared" si="7"/>
        <v>5</v>
      </c>
    </row>
    <row r="268" spans="1:3" x14ac:dyDescent="0.75">
      <c r="A268" s="32">
        <v>240</v>
      </c>
      <c r="B268" s="32">
        <f t="shared" si="6"/>
        <v>39</v>
      </c>
      <c r="C268" s="32">
        <f t="shared" si="7"/>
        <v>6</v>
      </c>
    </row>
    <row r="269" spans="1:3" x14ac:dyDescent="0.75">
      <c r="A269" s="32">
        <v>241</v>
      </c>
      <c r="B269" s="32">
        <f t="shared" si="6"/>
        <v>40</v>
      </c>
      <c r="C269" s="32">
        <f t="shared" si="7"/>
        <v>1</v>
      </c>
    </row>
    <row r="270" spans="1:3" x14ac:dyDescent="0.75">
      <c r="A270" s="32">
        <v>242</v>
      </c>
      <c r="B270" s="32">
        <f t="shared" si="6"/>
        <v>40</v>
      </c>
      <c r="C270" s="32">
        <f t="shared" si="7"/>
        <v>2</v>
      </c>
    </row>
    <row r="271" spans="1:3" x14ac:dyDescent="0.75">
      <c r="A271" s="32">
        <v>243</v>
      </c>
      <c r="B271" s="32">
        <f t="shared" si="6"/>
        <v>40</v>
      </c>
      <c r="C271" s="32">
        <f t="shared" si="7"/>
        <v>3</v>
      </c>
    </row>
    <row r="272" spans="1:3" x14ac:dyDescent="0.75">
      <c r="A272" s="32">
        <v>244</v>
      </c>
      <c r="B272" s="32">
        <f t="shared" si="6"/>
        <v>40</v>
      </c>
      <c r="C272" s="32">
        <f t="shared" si="7"/>
        <v>4</v>
      </c>
    </row>
    <row r="273" spans="1:3" x14ac:dyDescent="0.75">
      <c r="A273" s="32">
        <v>245</v>
      </c>
      <c r="B273" s="32">
        <f t="shared" si="6"/>
        <v>40</v>
      </c>
      <c r="C273" s="32">
        <f t="shared" si="7"/>
        <v>5</v>
      </c>
    </row>
    <row r="274" spans="1:3" x14ac:dyDescent="0.75">
      <c r="A274" s="32">
        <v>246</v>
      </c>
      <c r="B274" s="32">
        <f t="shared" si="6"/>
        <v>40</v>
      </c>
      <c r="C274" s="32">
        <f t="shared" si="7"/>
        <v>6</v>
      </c>
    </row>
    <row r="275" spans="1:3" x14ac:dyDescent="0.75">
      <c r="A275" s="32">
        <v>247</v>
      </c>
      <c r="B275" s="32">
        <f t="shared" si="6"/>
        <v>41</v>
      </c>
      <c r="C275" s="32">
        <f t="shared" si="7"/>
        <v>1</v>
      </c>
    </row>
    <row r="276" spans="1:3" x14ac:dyDescent="0.75">
      <c r="A276" s="32">
        <v>248</v>
      </c>
      <c r="B276" s="32">
        <f t="shared" si="6"/>
        <v>41</v>
      </c>
      <c r="C276" s="32">
        <f t="shared" si="7"/>
        <v>2</v>
      </c>
    </row>
    <row r="277" spans="1:3" x14ac:dyDescent="0.75">
      <c r="A277" s="32">
        <v>249</v>
      </c>
      <c r="B277" s="32">
        <f t="shared" si="6"/>
        <v>41</v>
      </c>
      <c r="C277" s="32">
        <f t="shared" si="7"/>
        <v>3</v>
      </c>
    </row>
    <row r="278" spans="1:3" x14ac:dyDescent="0.75">
      <c r="A278" s="32">
        <v>250</v>
      </c>
      <c r="B278" s="32">
        <f t="shared" si="6"/>
        <v>41</v>
      </c>
      <c r="C278" s="32">
        <f t="shared" si="7"/>
        <v>4</v>
      </c>
    </row>
    <row r="279" spans="1:3" x14ac:dyDescent="0.75">
      <c r="A279" s="32">
        <v>251</v>
      </c>
      <c r="B279" s="32">
        <f t="shared" si="6"/>
        <v>41</v>
      </c>
      <c r="C279" s="32">
        <f t="shared" si="7"/>
        <v>5</v>
      </c>
    </row>
    <row r="280" spans="1:3" x14ac:dyDescent="0.75">
      <c r="A280" s="32">
        <v>252</v>
      </c>
      <c r="B280" s="32">
        <f t="shared" si="6"/>
        <v>41</v>
      </c>
      <c r="C280" s="32">
        <f t="shared" si="7"/>
        <v>6</v>
      </c>
    </row>
    <row r="281" spans="1:3" x14ac:dyDescent="0.75">
      <c r="A281" s="32">
        <v>253</v>
      </c>
      <c r="B281" s="32">
        <f t="shared" si="6"/>
        <v>42</v>
      </c>
      <c r="C281" s="32">
        <f t="shared" si="7"/>
        <v>1</v>
      </c>
    </row>
    <row r="282" spans="1:3" x14ac:dyDescent="0.75">
      <c r="A282" s="32">
        <v>254</v>
      </c>
      <c r="B282" s="32">
        <f t="shared" si="6"/>
        <v>42</v>
      </c>
      <c r="C282" s="32">
        <f t="shared" si="7"/>
        <v>2</v>
      </c>
    </row>
    <row r="283" spans="1:3" x14ac:dyDescent="0.75">
      <c r="A283" s="32">
        <v>255</v>
      </c>
      <c r="B283" s="32">
        <f t="shared" si="6"/>
        <v>42</v>
      </c>
      <c r="C283" s="32">
        <f t="shared" si="7"/>
        <v>3</v>
      </c>
    </row>
    <row r="284" spans="1:3" x14ac:dyDescent="0.75">
      <c r="A284" s="32">
        <v>256</v>
      </c>
      <c r="B284" s="32">
        <f t="shared" si="6"/>
        <v>42</v>
      </c>
      <c r="C284" s="32">
        <f t="shared" si="7"/>
        <v>4</v>
      </c>
    </row>
    <row r="285" spans="1:3" x14ac:dyDescent="0.75">
      <c r="A285" s="32">
        <v>257</v>
      </c>
      <c r="B285" s="32">
        <f t="shared" si="6"/>
        <v>42</v>
      </c>
      <c r="C285" s="32">
        <f t="shared" si="7"/>
        <v>5</v>
      </c>
    </row>
    <row r="286" spans="1:3" x14ac:dyDescent="0.75">
      <c r="A286" s="32">
        <v>258</v>
      </c>
      <c r="B286" s="32">
        <f t="shared" ref="B286:B349" si="8">IF(MOD(A286,6)=0,A286/6-1,INT(A286/6))</f>
        <v>42</v>
      </c>
      <c r="C286" s="32">
        <f t="shared" ref="C286:C349" si="9">IF(MOD(A286,6)=0,6,MOD(A286,6))</f>
        <v>6</v>
      </c>
    </row>
    <row r="287" spans="1:3" x14ac:dyDescent="0.75">
      <c r="A287" s="32">
        <v>259</v>
      </c>
      <c r="B287" s="32">
        <f t="shared" si="8"/>
        <v>43</v>
      </c>
      <c r="C287" s="32">
        <f t="shared" si="9"/>
        <v>1</v>
      </c>
    </row>
    <row r="288" spans="1:3" x14ac:dyDescent="0.75">
      <c r="A288" s="32">
        <v>260</v>
      </c>
      <c r="B288" s="32">
        <f t="shared" si="8"/>
        <v>43</v>
      </c>
      <c r="C288" s="32">
        <f t="shared" si="9"/>
        <v>2</v>
      </c>
    </row>
    <row r="289" spans="1:3" x14ac:dyDescent="0.75">
      <c r="A289" s="32">
        <v>261</v>
      </c>
      <c r="B289" s="32">
        <f t="shared" si="8"/>
        <v>43</v>
      </c>
      <c r="C289" s="32">
        <f t="shared" si="9"/>
        <v>3</v>
      </c>
    </row>
    <row r="290" spans="1:3" x14ac:dyDescent="0.75">
      <c r="A290" s="32">
        <v>262</v>
      </c>
      <c r="B290" s="32">
        <f t="shared" si="8"/>
        <v>43</v>
      </c>
      <c r="C290" s="32">
        <f t="shared" si="9"/>
        <v>4</v>
      </c>
    </row>
    <row r="291" spans="1:3" x14ac:dyDescent="0.75">
      <c r="A291" s="32">
        <v>263</v>
      </c>
      <c r="B291" s="32">
        <f t="shared" si="8"/>
        <v>43</v>
      </c>
      <c r="C291" s="32">
        <f t="shared" si="9"/>
        <v>5</v>
      </c>
    </row>
    <row r="292" spans="1:3" x14ac:dyDescent="0.75">
      <c r="A292" s="32">
        <v>264</v>
      </c>
      <c r="B292" s="32">
        <f t="shared" si="8"/>
        <v>43</v>
      </c>
      <c r="C292" s="32">
        <f t="shared" si="9"/>
        <v>6</v>
      </c>
    </row>
    <row r="293" spans="1:3" x14ac:dyDescent="0.75">
      <c r="A293" s="32">
        <v>265</v>
      </c>
      <c r="B293" s="32">
        <f t="shared" si="8"/>
        <v>44</v>
      </c>
      <c r="C293" s="32">
        <f t="shared" si="9"/>
        <v>1</v>
      </c>
    </row>
    <row r="294" spans="1:3" x14ac:dyDescent="0.75">
      <c r="A294" s="32">
        <v>266</v>
      </c>
      <c r="B294" s="32">
        <f t="shared" si="8"/>
        <v>44</v>
      </c>
      <c r="C294" s="32">
        <f t="shared" si="9"/>
        <v>2</v>
      </c>
    </row>
    <row r="295" spans="1:3" x14ac:dyDescent="0.75">
      <c r="A295" s="32">
        <v>267</v>
      </c>
      <c r="B295" s="32">
        <f t="shared" si="8"/>
        <v>44</v>
      </c>
      <c r="C295" s="32">
        <f t="shared" si="9"/>
        <v>3</v>
      </c>
    </row>
    <row r="296" spans="1:3" x14ac:dyDescent="0.75">
      <c r="A296" s="32">
        <v>268</v>
      </c>
      <c r="B296" s="32">
        <f t="shared" si="8"/>
        <v>44</v>
      </c>
      <c r="C296" s="32">
        <f t="shared" si="9"/>
        <v>4</v>
      </c>
    </row>
    <row r="297" spans="1:3" x14ac:dyDescent="0.75">
      <c r="A297" s="32">
        <v>269</v>
      </c>
      <c r="B297" s="32">
        <f t="shared" si="8"/>
        <v>44</v>
      </c>
      <c r="C297" s="32">
        <f t="shared" si="9"/>
        <v>5</v>
      </c>
    </row>
    <row r="298" spans="1:3" x14ac:dyDescent="0.75">
      <c r="A298" s="32">
        <v>270</v>
      </c>
      <c r="B298" s="32">
        <f t="shared" si="8"/>
        <v>44</v>
      </c>
      <c r="C298" s="32">
        <f t="shared" si="9"/>
        <v>6</v>
      </c>
    </row>
    <row r="299" spans="1:3" x14ac:dyDescent="0.75">
      <c r="A299" s="32">
        <v>271</v>
      </c>
      <c r="B299" s="32">
        <f t="shared" si="8"/>
        <v>45</v>
      </c>
      <c r="C299" s="32">
        <f t="shared" si="9"/>
        <v>1</v>
      </c>
    </row>
    <row r="300" spans="1:3" x14ac:dyDescent="0.75">
      <c r="A300" s="32">
        <v>272</v>
      </c>
      <c r="B300" s="32">
        <f t="shared" si="8"/>
        <v>45</v>
      </c>
      <c r="C300" s="32">
        <f t="shared" si="9"/>
        <v>2</v>
      </c>
    </row>
    <row r="301" spans="1:3" x14ac:dyDescent="0.75">
      <c r="A301" s="32">
        <v>273</v>
      </c>
      <c r="B301" s="32">
        <f t="shared" si="8"/>
        <v>45</v>
      </c>
      <c r="C301" s="32">
        <f t="shared" si="9"/>
        <v>3</v>
      </c>
    </row>
    <row r="302" spans="1:3" x14ac:dyDescent="0.75">
      <c r="A302" s="32">
        <v>274</v>
      </c>
      <c r="B302" s="32">
        <f t="shared" si="8"/>
        <v>45</v>
      </c>
      <c r="C302" s="32">
        <f t="shared" si="9"/>
        <v>4</v>
      </c>
    </row>
    <row r="303" spans="1:3" x14ac:dyDescent="0.75">
      <c r="A303" s="32">
        <v>275</v>
      </c>
      <c r="B303" s="32">
        <f t="shared" si="8"/>
        <v>45</v>
      </c>
      <c r="C303" s="32">
        <f t="shared" si="9"/>
        <v>5</v>
      </c>
    </row>
    <row r="304" spans="1:3" x14ac:dyDescent="0.75">
      <c r="A304" s="32">
        <v>276</v>
      </c>
      <c r="B304" s="32">
        <f t="shared" si="8"/>
        <v>45</v>
      </c>
      <c r="C304" s="32">
        <f t="shared" si="9"/>
        <v>6</v>
      </c>
    </row>
    <row r="305" spans="1:3" x14ac:dyDescent="0.75">
      <c r="A305" s="32">
        <v>277</v>
      </c>
      <c r="B305" s="32">
        <f t="shared" si="8"/>
        <v>46</v>
      </c>
      <c r="C305" s="32">
        <f t="shared" si="9"/>
        <v>1</v>
      </c>
    </row>
    <row r="306" spans="1:3" x14ac:dyDescent="0.75">
      <c r="A306" s="32">
        <v>278</v>
      </c>
      <c r="B306" s="32">
        <f t="shared" si="8"/>
        <v>46</v>
      </c>
      <c r="C306" s="32">
        <f t="shared" si="9"/>
        <v>2</v>
      </c>
    </row>
    <row r="307" spans="1:3" x14ac:dyDescent="0.75">
      <c r="A307" s="32">
        <v>279</v>
      </c>
      <c r="B307" s="32">
        <f t="shared" si="8"/>
        <v>46</v>
      </c>
      <c r="C307" s="32">
        <f t="shared" si="9"/>
        <v>3</v>
      </c>
    </row>
    <row r="308" spans="1:3" x14ac:dyDescent="0.75">
      <c r="A308" s="32">
        <v>280</v>
      </c>
      <c r="B308" s="32">
        <f t="shared" si="8"/>
        <v>46</v>
      </c>
      <c r="C308" s="32">
        <f t="shared" si="9"/>
        <v>4</v>
      </c>
    </row>
    <row r="309" spans="1:3" x14ac:dyDescent="0.75">
      <c r="A309" s="32">
        <v>281</v>
      </c>
      <c r="B309" s="32">
        <f t="shared" si="8"/>
        <v>46</v>
      </c>
      <c r="C309" s="32">
        <f t="shared" si="9"/>
        <v>5</v>
      </c>
    </row>
    <row r="310" spans="1:3" x14ac:dyDescent="0.75">
      <c r="A310" s="32">
        <v>282</v>
      </c>
      <c r="B310" s="32">
        <f t="shared" si="8"/>
        <v>46</v>
      </c>
      <c r="C310" s="32">
        <f t="shared" si="9"/>
        <v>6</v>
      </c>
    </row>
    <row r="311" spans="1:3" x14ac:dyDescent="0.75">
      <c r="A311" s="32">
        <v>283</v>
      </c>
      <c r="B311" s="32">
        <f t="shared" si="8"/>
        <v>47</v>
      </c>
      <c r="C311" s="32">
        <f t="shared" si="9"/>
        <v>1</v>
      </c>
    </row>
    <row r="312" spans="1:3" x14ac:dyDescent="0.75">
      <c r="A312" s="32">
        <v>284</v>
      </c>
      <c r="B312" s="32">
        <f t="shared" si="8"/>
        <v>47</v>
      </c>
      <c r="C312" s="32">
        <f t="shared" si="9"/>
        <v>2</v>
      </c>
    </row>
    <row r="313" spans="1:3" x14ac:dyDescent="0.75">
      <c r="A313" s="32">
        <v>285</v>
      </c>
      <c r="B313" s="32">
        <f t="shared" si="8"/>
        <v>47</v>
      </c>
      <c r="C313" s="32">
        <f t="shared" si="9"/>
        <v>3</v>
      </c>
    </row>
    <row r="314" spans="1:3" x14ac:dyDescent="0.75">
      <c r="A314" s="32">
        <v>286</v>
      </c>
      <c r="B314" s="32">
        <f t="shared" si="8"/>
        <v>47</v>
      </c>
      <c r="C314" s="32">
        <f t="shared" si="9"/>
        <v>4</v>
      </c>
    </row>
    <row r="315" spans="1:3" x14ac:dyDescent="0.75">
      <c r="A315" s="32">
        <v>287</v>
      </c>
      <c r="B315" s="32">
        <f t="shared" si="8"/>
        <v>47</v>
      </c>
      <c r="C315" s="32">
        <f t="shared" si="9"/>
        <v>5</v>
      </c>
    </row>
    <row r="316" spans="1:3" x14ac:dyDescent="0.75">
      <c r="A316" s="32">
        <v>288</v>
      </c>
      <c r="B316" s="32">
        <f t="shared" si="8"/>
        <v>47</v>
      </c>
      <c r="C316" s="32">
        <f t="shared" si="9"/>
        <v>6</v>
      </c>
    </row>
    <row r="317" spans="1:3" x14ac:dyDescent="0.75">
      <c r="A317" s="32">
        <v>289</v>
      </c>
      <c r="B317" s="32">
        <f t="shared" si="8"/>
        <v>48</v>
      </c>
      <c r="C317" s="32">
        <f t="shared" si="9"/>
        <v>1</v>
      </c>
    </row>
    <row r="318" spans="1:3" x14ac:dyDescent="0.75">
      <c r="A318" s="32">
        <v>290</v>
      </c>
      <c r="B318" s="32">
        <f t="shared" si="8"/>
        <v>48</v>
      </c>
      <c r="C318" s="32">
        <f t="shared" si="9"/>
        <v>2</v>
      </c>
    </row>
    <row r="319" spans="1:3" x14ac:dyDescent="0.75">
      <c r="A319" s="32">
        <v>291</v>
      </c>
      <c r="B319" s="32">
        <f t="shared" si="8"/>
        <v>48</v>
      </c>
      <c r="C319" s="32">
        <f t="shared" si="9"/>
        <v>3</v>
      </c>
    </row>
    <row r="320" spans="1:3" x14ac:dyDescent="0.75">
      <c r="A320" s="32">
        <v>292</v>
      </c>
      <c r="B320" s="32">
        <f t="shared" si="8"/>
        <v>48</v>
      </c>
      <c r="C320" s="32">
        <f t="shared" si="9"/>
        <v>4</v>
      </c>
    </row>
    <row r="321" spans="1:3" x14ac:dyDescent="0.75">
      <c r="A321" s="32">
        <v>293</v>
      </c>
      <c r="B321" s="32">
        <f t="shared" si="8"/>
        <v>48</v>
      </c>
      <c r="C321" s="32">
        <f t="shared" si="9"/>
        <v>5</v>
      </c>
    </row>
    <row r="322" spans="1:3" x14ac:dyDescent="0.75">
      <c r="A322" s="32">
        <v>294</v>
      </c>
      <c r="B322" s="32">
        <f t="shared" si="8"/>
        <v>48</v>
      </c>
      <c r="C322" s="32">
        <f t="shared" si="9"/>
        <v>6</v>
      </c>
    </row>
    <row r="323" spans="1:3" x14ac:dyDescent="0.75">
      <c r="A323" s="32">
        <v>295</v>
      </c>
      <c r="B323" s="32">
        <f t="shared" si="8"/>
        <v>49</v>
      </c>
      <c r="C323" s="32">
        <f t="shared" si="9"/>
        <v>1</v>
      </c>
    </row>
    <row r="324" spans="1:3" x14ac:dyDescent="0.75">
      <c r="A324" s="32">
        <v>296</v>
      </c>
      <c r="B324" s="32">
        <f t="shared" si="8"/>
        <v>49</v>
      </c>
      <c r="C324" s="32">
        <f t="shared" si="9"/>
        <v>2</v>
      </c>
    </row>
    <row r="325" spans="1:3" x14ac:dyDescent="0.75">
      <c r="A325" s="32">
        <v>297</v>
      </c>
      <c r="B325" s="32">
        <f t="shared" si="8"/>
        <v>49</v>
      </c>
      <c r="C325" s="32">
        <f t="shared" si="9"/>
        <v>3</v>
      </c>
    </row>
    <row r="326" spans="1:3" x14ac:dyDescent="0.75">
      <c r="A326" s="32">
        <v>298</v>
      </c>
      <c r="B326" s="32">
        <f t="shared" si="8"/>
        <v>49</v>
      </c>
      <c r="C326" s="32">
        <f t="shared" si="9"/>
        <v>4</v>
      </c>
    </row>
    <row r="327" spans="1:3" x14ac:dyDescent="0.75">
      <c r="A327" s="32">
        <v>299</v>
      </c>
      <c r="B327" s="32">
        <f t="shared" si="8"/>
        <v>49</v>
      </c>
      <c r="C327" s="32">
        <f t="shared" si="9"/>
        <v>5</v>
      </c>
    </row>
    <row r="328" spans="1:3" x14ac:dyDescent="0.75">
      <c r="A328" s="32">
        <v>300</v>
      </c>
      <c r="B328" s="32">
        <f t="shared" si="8"/>
        <v>49</v>
      </c>
      <c r="C328" s="32">
        <f t="shared" si="9"/>
        <v>6</v>
      </c>
    </row>
    <row r="329" spans="1:3" x14ac:dyDescent="0.75">
      <c r="A329" s="32">
        <v>301</v>
      </c>
      <c r="B329" s="32">
        <f t="shared" si="8"/>
        <v>50</v>
      </c>
      <c r="C329" s="32">
        <f t="shared" si="9"/>
        <v>1</v>
      </c>
    </row>
    <row r="330" spans="1:3" x14ac:dyDescent="0.75">
      <c r="A330" s="32">
        <v>302</v>
      </c>
      <c r="B330" s="32">
        <f t="shared" si="8"/>
        <v>50</v>
      </c>
      <c r="C330" s="32">
        <f t="shared" si="9"/>
        <v>2</v>
      </c>
    </row>
    <row r="331" spans="1:3" x14ac:dyDescent="0.75">
      <c r="A331" s="32">
        <v>303</v>
      </c>
      <c r="B331" s="32">
        <f t="shared" si="8"/>
        <v>50</v>
      </c>
      <c r="C331" s="32">
        <f t="shared" si="9"/>
        <v>3</v>
      </c>
    </row>
    <row r="332" spans="1:3" x14ac:dyDescent="0.75">
      <c r="A332" s="32">
        <v>304</v>
      </c>
      <c r="B332" s="32">
        <f t="shared" si="8"/>
        <v>50</v>
      </c>
      <c r="C332" s="32">
        <f t="shared" si="9"/>
        <v>4</v>
      </c>
    </row>
    <row r="333" spans="1:3" x14ac:dyDescent="0.75">
      <c r="A333" s="32">
        <v>305</v>
      </c>
      <c r="B333" s="32">
        <f t="shared" si="8"/>
        <v>50</v>
      </c>
      <c r="C333" s="32">
        <f t="shared" si="9"/>
        <v>5</v>
      </c>
    </row>
    <row r="334" spans="1:3" x14ac:dyDescent="0.75">
      <c r="A334" s="32">
        <v>306</v>
      </c>
      <c r="B334" s="32">
        <f t="shared" si="8"/>
        <v>50</v>
      </c>
      <c r="C334" s="32">
        <f t="shared" si="9"/>
        <v>6</v>
      </c>
    </row>
    <row r="335" spans="1:3" x14ac:dyDescent="0.75">
      <c r="A335" s="32">
        <v>307</v>
      </c>
      <c r="B335" s="32">
        <f t="shared" si="8"/>
        <v>51</v>
      </c>
      <c r="C335" s="32">
        <f t="shared" si="9"/>
        <v>1</v>
      </c>
    </row>
    <row r="336" spans="1:3" x14ac:dyDescent="0.75">
      <c r="A336" s="32">
        <v>308</v>
      </c>
      <c r="B336" s="32">
        <f t="shared" si="8"/>
        <v>51</v>
      </c>
      <c r="C336" s="32">
        <f t="shared" si="9"/>
        <v>2</v>
      </c>
    </row>
    <row r="337" spans="1:3" x14ac:dyDescent="0.75">
      <c r="A337" s="32">
        <v>309</v>
      </c>
      <c r="B337" s="32">
        <f t="shared" si="8"/>
        <v>51</v>
      </c>
      <c r="C337" s="32">
        <f t="shared" si="9"/>
        <v>3</v>
      </c>
    </row>
    <row r="338" spans="1:3" x14ac:dyDescent="0.75">
      <c r="A338" s="32">
        <v>310</v>
      </c>
      <c r="B338" s="32">
        <f t="shared" si="8"/>
        <v>51</v>
      </c>
      <c r="C338" s="32">
        <f t="shared" si="9"/>
        <v>4</v>
      </c>
    </row>
    <row r="339" spans="1:3" x14ac:dyDescent="0.75">
      <c r="A339" s="32">
        <v>311</v>
      </c>
      <c r="B339" s="32">
        <f t="shared" si="8"/>
        <v>51</v>
      </c>
      <c r="C339" s="32">
        <f t="shared" si="9"/>
        <v>5</v>
      </c>
    </row>
    <row r="340" spans="1:3" x14ac:dyDescent="0.75">
      <c r="A340" s="32">
        <v>312</v>
      </c>
      <c r="B340" s="32">
        <f t="shared" si="8"/>
        <v>51</v>
      </c>
      <c r="C340" s="32">
        <f t="shared" si="9"/>
        <v>6</v>
      </c>
    </row>
    <row r="341" spans="1:3" x14ac:dyDescent="0.75">
      <c r="A341" s="32">
        <v>313</v>
      </c>
      <c r="B341" s="32">
        <f t="shared" si="8"/>
        <v>52</v>
      </c>
      <c r="C341" s="32">
        <f t="shared" si="9"/>
        <v>1</v>
      </c>
    </row>
    <row r="342" spans="1:3" x14ac:dyDescent="0.75">
      <c r="A342" s="32">
        <v>314</v>
      </c>
      <c r="B342" s="32">
        <f t="shared" si="8"/>
        <v>52</v>
      </c>
      <c r="C342" s="32">
        <f t="shared" si="9"/>
        <v>2</v>
      </c>
    </row>
    <row r="343" spans="1:3" x14ac:dyDescent="0.75">
      <c r="A343" s="32">
        <v>315</v>
      </c>
      <c r="B343" s="32">
        <f t="shared" si="8"/>
        <v>52</v>
      </c>
      <c r="C343" s="32">
        <f t="shared" si="9"/>
        <v>3</v>
      </c>
    </row>
    <row r="344" spans="1:3" x14ac:dyDescent="0.75">
      <c r="A344" s="32">
        <v>316</v>
      </c>
      <c r="B344" s="32">
        <f t="shared" si="8"/>
        <v>52</v>
      </c>
      <c r="C344" s="32">
        <f t="shared" si="9"/>
        <v>4</v>
      </c>
    </row>
    <row r="345" spans="1:3" x14ac:dyDescent="0.75">
      <c r="A345" s="32">
        <v>317</v>
      </c>
      <c r="B345" s="32">
        <f t="shared" si="8"/>
        <v>52</v>
      </c>
      <c r="C345" s="32">
        <f t="shared" si="9"/>
        <v>5</v>
      </c>
    </row>
    <row r="346" spans="1:3" x14ac:dyDescent="0.75">
      <c r="A346" s="32">
        <v>318</v>
      </c>
      <c r="B346" s="32">
        <f t="shared" si="8"/>
        <v>52</v>
      </c>
      <c r="C346" s="32">
        <f t="shared" si="9"/>
        <v>6</v>
      </c>
    </row>
    <row r="347" spans="1:3" x14ac:dyDescent="0.75">
      <c r="A347" s="32">
        <v>319</v>
      </c>
      <c r="B347" s="32">
        <f t="shared" si="8"/>
        <v>53</v>
      </c>
      <c r="C347" s="32">
        <f t="shared" si="9"/>
        <v>1</v>
      </c>
    </row>
    <row r="348" spans="1:3" x14ac:dyDescent="0.75">
      <c r="A348" s="32">
        <v>320</v>
      </c>
      <c r="B348" s="32">
        <f t="shared" si="8"/>
        <v>53</v>
      </c>
      <c r="C348" s="32">
        <f t="shared" si="9"/>
        <v>2</v>
      </c>
    </row>
    <row r="349" spans="1:3" x14ac:dyDescent="0.75">
      <c r="A349" s="32">
        <v>321</v>
      </c>
      <c r="B349" s="32">
        <f t="shared" si="8"/>
        <v>53</v>
      </c>
      <c r="C349" s="32">
        <f t="shared" si="9"/>
        <v>3</v>
      </c>
    </row>
    <row r="350" spans="1:3" x14ac:dyDescent="0.75">
      <c r="A350" s="32">
        <v>322</v>
      </c>
      <c r="B350" s="32">
        <f t="shared" ref="B350:B413" si="10">IF(MOD(A350,6)=0,A350/6-1,INT(A350/6))</f>
        <v>53</v>
      </c>
      <c r="C350" s="32">
        <f t="shared" ref="C350:C413" si="11">IF(MOD(A350,6)=0,6,MOD(A350,6))</f>
        <v>4</v>
      </c>
    </row>
    <row r="351" spans="1:3" x14ac:dyDescent="0.75">
      <c r="A351" s="32">
        <v>323</v>
      </c>
      <c r="B351" s="32">
        <f t="shared" si="10"/>
        <v>53</v>
      </c>
      <c r="C351" s="32">
        <f t="shared" si="11"/>
        <v>5</v>
      </c>
    </row>
    <row r="352" spans="1:3" x14ac:dyDescent="0.75">
      <c r="A352" s="32">
        <v>324</v>
      </c>
      <c r="B352" s="32">
        <f t="shared" si="10"/>
        <v>53</v>
      </c>
      <c r="C352" s="32">
        <f t="shared" si="11"/>
        <v>6</v>
      </c>
    </row>
    <row r="353" spans="1:3" x14ac:dyDescent="0.75">
      <c r="A353" s="32">
        <v>325</v>
      </c>
      <c r="B353" s="32">
        <f t="shared" si="10"/>
        <v>54</v>
      </c>
      <c r="C353" s="32">
        <f t="shared" si="11"/>
        <v>1</v>
      </c>
    </row>
    <row r="354" spans="1:3" x14ac:dyDescent="0.75">
      <c r="A354" s="32">
        <v>326</v>
      </c>
      <c r="B354" s="32">
        <f t="shared" si="10"/>
        <v>54</v>
      </c>
      <c r="C354" s="32">
        <f t="shared" si="11"/>
        <v>2</v>
      </c>
    </row>
    <row r="355" spans="1:3" x14ac:dyDescent="0.75">
      <c r="A355" s="32">
        <v>327</v>
      </c>
      <c r="B355" s="32">
        <f t="shared" si="10"/>
        <v>54</v>
      </c>
      <c r="C355" s="32">
        <f t="shared" si="11"/>
        <v>3</v>
      </c>
    </row>
    <row r="356" spans="1:3" x14ac:dyDescent="0.75">
      <c r="A356" s="32">
        <v>328</v>
      </c>
      <c r="B356" s="32">
        <f t="shared" si="10"/>
        <v>54</v>
      </c>
      <c r="C356" s="32">
        <f t="shared" si="11"/>
        <v>4</v>
      </c>
    </row>
    <row r="357" spans="1:3" x14ac:dyDescent="0.75">
      <c r="A357" s="32">
        <v>329</v>
      </c>
      <c r="B357" s="32">
        <f t="shared" si="10"/>
        <v>54</v>
      </c>
      <c r="C357" s="32">
        <f t="shared" si="11"/>
        <v>5</v>
      </c>
    </row>
    <row r="358" spans="1:3" x14ac:dyDescent="0.75">
      <c r="A358" s="32">
        <v>330</v>
      </c>
      <c r="B358" s="32">
        <f t="shared" si="10"/>
        <v>54</v>
      </c>
      <c r="C358" s="32">
        <f t="shared" si="11"/>
        <v>6</v>
      </c>
    </row>
    <row r="359" spans="1:3" x14ac:dyDescent="0.75">
      <c r="A359" s="32">
        <v>331</v>
      </c>
      <c r="B359" s="32">
        <f t="shared" si="10"/>
        <v>55</v>
      </c>
      <c r="C359" s="32">
        <f t="shared" si="11"/>
        <v>1</v>
      </c>
    </row>
    <row r="360" spans="1:3" x14ac:dyDescent="0.75">
      <c r="A360" s="32">
        <v>332</v>
      </c>
      <c r="B360" s="32">
        <f t="shared" si="10"/>
        <v>55</v>
      </c>
      <c r="C360" s="32">
        <f t="shared" si="11"/>
        <v>2</v>
      </c>
    </row>
    <row r="361" spans="1:3" x14ac:dyDescent="0.75">
      <c r="A361" s="32">
        <v>333</v>
      </c>
      <c r="B361" s="32">
        <f t="shared" si="10"/>
        <v>55</v>
      </c>
      <c r="C361" s="32">
        <f t="shared" si="11"/>
        <v>3</v>
      </c>
    </row>
    <row r="362" spans="1:3" x14ac:dyDescent="0.75">
      <c r="A362" s="32">
        <v>334</v>
      </c>
      <c r="B362" s="32">
        <f t="shared" si="10"/>
        <v>55</v>
      </c>
      <c r="C362" s="32">
        <f t="shared" si="11"/>
        <v>4</v>
      </c>
    </row>
    <row r="363" spans="1:3" x14ac:dyDescent="0.75">
      <c r="A363" s="32">
        <v>335</v>
      </c>
      <c r="B363" s="32">
        <f t="shared" si="10"/>
        <v>55</v>
      </c>
      <c r="C363" s="32">
        <f t="shared" si="11"/>
        <v>5</v>
      </c>
    </row>
    <row r="364" spans="1:3" x14ac:dyDescent="0.75">
      <c r="A364" s="32">
        <v>336</v>
      </c>
      <c r="B364" s="32">
        <f t="shared" si="10"/>
        <v>55</v>
      </c>
      <c r="C364" s="32">
        <f t="shared" si="11"/>
        <v>6</v>
      </c>
    </row>
    <row r="365" spans="1:3" x14ac:dyDescent="0.75">
      <c r="A365" s="32">
        <v>337</v>
      </c>
      <c r="B365" s="32">
        <f t="shared" si="10"/>
        <v>56</v>
      </c>
      <c r="C365" s="32">
        <f t="shared" si="11"/>
        <v>1</v>
      </c>
    </row>
    <row r="366" spans="1:3" x14ac:dyDescent="0.75">
      <c r="A366" s="32">
        <v>338</v>
      </c>
      <c r="B366" s="32">
        <f t="shared" si="10"/>
        <v>56</v>
      </c>
      <c r="C366" s="32">
        <f t="shared" si="11"/>
        <v>2</v>
      </c>
    </row>
    <row r="367" spans="1:3" x14ac:dyDescent="0.75">
      <c r="A367" s="32">
        <v>339</v>
      </c>
      <c r="B367" s="32">
        <f t="shared" si="10"/>
        <v>56</v>
      </c>
      <c r="C367" s="32">
        <f t="shared" si="11"/>
        <v>3</v>
      </c>
    </row>
    <row r="368" spans="1:3" x14ac:dyDescent="0.75">
      <c r="A368" s="32">
        <v>340</v>
      </c>
      <c r="B368" s="32">
        <f t="shared" si="10"/>
        <v>56</v>
      </c>
      <c r="C368" s="32">
        <f t="shared" si="11"/>
        <v>4</v>
      </c>
    </row>
    <row r="369" spans="1:3" x14ac:dyDescent="0.75">
      <c r="A369" s="32">
        <v>341</v>
      </c>
      <c r="B369" s="32">
        <f t="shared" si="10"/>
        <v>56</v>
      </c>
      <c r="C369" s="32">
        <f t="shared" si="11"/>
        <v>5</v>
      </c>
    </row>
    <row r="370" spans="1:3" x14ac:dyDescent="0.75">
      <c r="A370" s="32">
        <v>342</v>
      </c>
      <c r="B370" s="32">
        <f t="shared" si="10"/>
        <v>56</v>
      </c>
      <c r="C370" s="32">
        <f t="shared" si="11"/>
        <v>6</v>
      </c>
    </row>
    <row r="371" spans="1:3" x14ac:dyDescent="0.75">
      <c r="A371" s="32">
        <v>343</v>
      </c>
      <c r="B371" s="32">
        <f t="shared" si="10"/>
        <v>57</v>
      </c>
      <c r="C371" s="32">
        <f t="shared" si="11"/>
        <v>1</v>
      </c>
    </row>
    <row r="372" spans="1:3" x14ac:dyDescent="0.75">
      <c r="A372" s="32">
        <v>344</v>
      </c>
      <c r="B372" s="32">
        <f t="shared" si="10"/>
        <v>57</v>
      </c>
      <c r="C372" s="32">
        <f t="shared" si="11"/>
        <v>2</v>
      </c>
    </row>
    <row r="373" spans="1:3" x14ac:dyDescent="0.75">
      <c r="A373" s="32">
        <v>345</v>
      </c>
      <c r="B373" s="32">
        <f t="shared" si="10"/>
        <v>57</v>
      </c>
      <c r="C373" s="32">
        <f t="shared" si="11"/>
        <v>3</v>
      </c>
    </row>
    <row r="374" spans="1:3" x14ac:dyDescent="0.75">
      <c r="A374" s="32">
        <v>346</v>
      </c>
      <c r="B374" s="32">
        <f t="shared" si="10"/>
        <v>57</v>
      </c>
      <c r="C374" s="32">
        <f t="shared" si="11"/>
        <v>4</v>
      </c>
    </row>
    <row r="375" spans="1:3" x14ac:dyDescent="0.75">
      <c r="A375" s="32">
        <v>347</v>
      </c>
      <c r="B375" s="32">
        <f t="shared" si="10"/>
        <v>57</v>
      </c>
      <c r="C375" s="32">
        <f t="shared" si="11"/>
        <v>5</v>
      </c>
    </row>
    <row r="376" spans="1:3" x14ac:dyDescent="0.75">
      <c r="A376" s="32">
        <v>348</v>
      </c>
      <c r="B376" s="32">
        <f t="shared" si="10"/>
        <v>57</v>
      </c>
      <c r="C376" s="32">
        <f t="shared" si="11"/>
        <v>6</v>
      </c>
    </row>
    <row r="377" spans="1:3" x14ac:dyDescent="0.75">
      <c r="A377" s="32">
        <v>349</v>
      </c>
      <c r="B377" s="32">
        <f t="shared" si="10"/>
        <v>58</v>
      </c>
      <c r="C377" s="32">
        <f t="shared" si="11"/>
        <v>1</v>
      </c>
    </row>
    <row r="378" spans="1:3" x14ac:dyDescent="0.75">
      <c r="A378" s="32">
        <v>350</v>
      </c>
      <c r="B378" s="32">
        <f t="shared" si="10"/>
        <v>58</v>
      </c>
      <c r="C378" s="32">
        <f t="shared" si="11"/>
        <v>2</v>
      </c>
    </row>
    <row r="379" spans="1:3" x14ac:dyDescent="0.75">
      <c r="A379" s="32">
        <v>351</v>
      </c>
      <c r="B379" s="32">
        <f t="shared" si="10"/>
        <v>58</v>
      </c>
      <c r="C379" s="32">
        <f t="shared" si="11"/>
        <v>3</v>
      </c>
    </row>
    <row r="380" spans="1:3" x14ac:dyDescent="0.75">
      <c r="A380" s="32">
        <v>352</v>
      </c>
      <c r="B380" s="32">
        <f t="shared" si="10"/>
        <v>58</v>
      </c>
      <c r="C380" s="32">
        <f t="shared" si="11"/>
        <v>4</v>
      </c>
    </row>
    <row r="381" spans="1:3" x14ac:dyDescent="0.75">
      <c r="A381" s="32">
        <v>353</v>
      </c>
      <c r="B381" s="32">
        <f t="shared" si="10"/>
        <v>58</v>
      </c>
      <c r="C381" s="32">
        <f t="shared" si="11"/>
        <v>5</v>
      </c>
    </row>
    <row r="382" spans="1:3" x14ac:dyDescent="0.75">
      <c r="A382" s="32">
        <v>354</v>
      </c>
      <c r="B382" s="32">
        <f t="shared" si="10"/>
        <v>58</v>
      </c>
      <c r="C382" s="32">
        <f t="shared" si="11"/>
        <v>6</v>
      </c>
    </row>
    <row r="383" spans="1:3" x14ac:dyDescent="0.75">
      <c r="A383" s="32">
        <v>355</v>
      </c>
      <c r="B383" s="32">
        <f t="shared" si="10"/>
        <v>59</v>
      </c>
      <c r="C383" s="32">
        <f t="shared" si="11"/>
        <v>1</v>
      </c>
    </row>
    <row r="384" spans="1:3" x14ac:dyDescent="0.75">
      <c r="A384" s="32">
        <v>356</v>
      </c>
      <c r="B384" s="32">
        <f t="shared" si="10"/>
        <v>59</v>
      </c>
      <c r="C384" s="32">
        <f t="shared" si="11"/>
        <v>2</v>
      </c>
    </row>
    <row r="385" spans="1:3" x14ac:dyDescent="0.75">
      <c r="A385" s="32">
        <v>357</v>
      </c>
      <c r="B385" s="32">
        <f t="shared" si="10"/>
        <v>59</v>
      </c>
      <c r="C385" s="32">
        <f t="shared" si="11"/>
        <v>3</v>
      </c>
    </row>
    <row r="386" spans="1:3" x14ac:dyDescent="0.75">
      <c r="A386" s="32">
        <v>358</v>
      </c>
      <c r="B386" s="32">
        <f t="shared" si="10"/>
        <v>59</v>
      </c>
      <c r="C386" s="32">
        <f t="shared" si="11"/>
        <v>4</v>
      </c>
    </row>
    <row r="387" spans="1:3" x14ac:dyDescent="0.75">
      <c r="A387" s="32">
        <v>359</v>
      </c>
      <c r="B387" s="32">
        <f t="shared" si="10"/>
        <v>59</v>
      </c>
      <c r="C387" s="32">
        <f t="shared" si="11"/>
        <v>5</v>
      </c>
    </row>
    <row r="388" spans="1:3" x14ac:dyDescent="0.75">
      <c r="A388" s="32">
        <v>360</v>
      </c>
      <c r="B388" s="32">
        <f t="shared" si="10"/>
        <v>59</v>
      </c>
      <c r="C388" s="32">
        <f t="shared" si="11"/>
        <v>6</v>
      </c>
    </row>
    <row r="389" spans="1:3" x14ac:dyDescent="0.75">
      <c r="A389" s="32">
        <v>361</v>
      </c>
      <c r="B389" s="32">
        <f t="shared" si="10"/>
        <v>60</v>
      </c>
      <c r="C389" s="32">
        <f t="shared" si="11"/>
        <v>1</v>
      </c>
    </row>
    <row r="390" spans="1:3" x14ac:dyDescent="0.75">
      <c r="A390" s="32">
        <v>362</v>
      </c>
      <c r="B390" s="32">
        <f t="shared" si="10"/>
        <v>60</v>
      </c>
      <c r="C390" s="32">
        <f t="shared" si="11"/>
        <v>2</v>
      </c>
    </row>
    <row r="391" spans="1:3" x14ac:dyDescent="0.75">
      <c r="A391" s="32">
        <v>363</v>
      </c>
      <c r="B391" s="32">
        <f t="shared" si="10"/>
        <v>60</v>
      </c>
      <c r="C391" s="32">
        <f t="shared" si="11"/>
        <v>3</v>
      </c>
    </row>
    <row r="392" spans="1:3" x14ac:dyDescent="0.75">
      <c r="A392" s="32">
        <v>364</v>
      </c>
      <c r="B392" s="32">
        <f t="shared" si="10"/>
        <v>60</v>
      </c>
      <c r="C392" s="32">
        <f t="shared" si="11"/>
        <v>4</v>
      </c>
    </row>
    <row r="393" spans="1:3" x14ac:dyDescent="0.75">
      <c r="A393" s="32">
        <v>365</v>
      </c>
      <c r="B393" s="32">
        <f t="shared" si="10"/>
        <v>60</v>
      </c>
      <c r="C393" s="32">
        <f t="shared" si="11"/>
        <v>5</v>
      </c>
    </row>
    <row r="394" spans="1:3" x14ac:dyDescent="0.75">
      <c r="A394" s="32">
        <v>366</v>
      </c>
      <c r="B394" s="32">
        <f t="shared" si="10"/>
        <v>60</v>
      </c>
      <c r="C394" s="32">
        <f t="shared" si="11"/>
        <v>6</v>
      </c>
    </row>
    <row r="395" spans="1:3" x14ac:dyDescent="0.75">
      <c r="A395" s="32">
        <v>367</v>
      </c>
      <c r="B395" s="32">
        <f t="shared" si="10"/>
        <v>61</v>
      </c>
      <c r="C395" s="32">
        <f t="shared" si="11"/>
        <v>1</v>
      </c>
    </row>
    <row r="396" spans="1:3" x14ac:dyDescent="0.75">
      <c r="A396" s="32">
        <v>368</v>
      </c>
      <c r="B396" s="32">
        <f t="shared" si="10"/>
        <v>61</v>
      </c>
      <c r="C396" s="32">
        <f t="shared" si="11"/>
        <v>2</v>
      </c>
    </row>
    <row r="397" spans="1:3" x14ac:dyDescent="0.75">
      <c r="A397" s="32">
        <v>369</v>
      </c>
      <c r="B397" s="32">
        <f t="shared" si="10"/>
        <v>61</v>
      </c>
      <c r="C397" s="32">
        <f t="shared" si="11"/>
        <v>3</v>
      </c>
    </row>
    <row r="398" spans="1:3" x14ac:dyDescent="0.75">
      <c r="A398" s="32">
        <v>370</v>
      </c>
      <c r="B398" s="32">
        <f t="shared" si="10"/>
        <v>61</v>
      </c>
      <c r="C398" s="32">
        <f t="shared" si="11"/>
        <v>4</v>
      </c>
    </row>
    <row r="399" spans="1:3" x14ac:dyDescent="0.75">
      <c r="A399" s="32">
        <v>371</v>
      </c>
      <c r="B399" s="32">
        <f t="shared" si="10"/>
        <v>61</v>
      </c>
      <c r="C399" s="32">
        <f t="shared" si="11"/>
        <v>5</v>
      </c>
    </row>
    <row r="400" spans="1:3" x14ac:dyDescent="0.75">
      <c r="A400" s="32">
        <v>372</v>
      </c>
      <c r="B400" s="32">
        <f t="shared" si="10"/>
        <v>61</v>
      </c>
      <c r="C400" s="32">
        <f t="shared" si="11"/>
        <v>6</v>
      </c>
    </row>
    <row r="401" spans="1:3" x14ac:dyDescent="0.75">
      <c r="A401" s="32">
        <v>373</v>
      </c>
      <c r="B401" s="32">
        <f t="shared" si="10"/>
        <v>62</v>
      </c>
      <c r="C401" s="32">
        <f t="shared" si="11"/>
        <v>1</v>
      </c>
    </row>
    <row r="402" spans="1:3" x14ac:dyDescent="0.75">
      <c r="A402" s="32">
        <v>374</v>
      </c>
      <c r="B402" s="32">
        <f t="shared" si="10"/>
        <v>62</v>
      </c>
      <c r="C402" s="32">
        <f t="shared" si="11"/>
        <v>2</v>
      </c>
    </row>
    <row r="403" spans="1:3" x14ac:dyDescent="0.75">
      <c r="A403" s="32">
        <v>375</v>
      </c>
      <c r="B403" s="32">
        <f t="shared" si="10"/>
        <v>62</v>
      </c>
      <c r="C403" s="32">
        <f t="shared" si="11"/>
        <v>3</v>
      </c>
    </row>
    <row r="404" spans="1:3" x14ac:dyDescent="0.75">
      <c r="A404" s="32">
        <v>376</v>
      </c>
      <c r="B404" s="32">
        <f t="shared" si="10"/>
        <v>62</v>
      </c>
      <c r="C404" s="32">
        <f t="shared" si="11"/>
        <v>4</v>
      </c>
    </row>
    <row r="405" spans="1:3" x14ac:dyDescent="0.75">
      <c r="A405" s="32">
        <v>377</v>
      </c>
      <c r="B405" s="32">
        <f t="shared" si="10"/>
        <v>62</v>
      </c>
      <c r="C405" s="32">
        <f t="shared" si="11"/>
        <v>5</v>
      </c>
    </row>
    <row r="406" spans="1:3" x14ac:dyDescent="0.75">
      <c r="A406" s="32">
        <v>378</v>
      </c>
      <c r="B406" s="32">
        <f t="shared" si="10"/>
        <v>62</v>
      </c>
      <c r="C406" s="32">
        <f t="shared" si="11"/>
        <v>6</v>
      </c>
    </row>
    <row r="407" spans="1:3" x14ac:dyDescent="0.75">
      <c r="A407" s="32">
        <v>379</v>
      </c>
      <c r="B407" s="32">
        <f t="shared" si="10"/>
        <v>63</v>
      </c>
      <c r="C407" s="32">
        <f t="shared" si="11"/>
        <v>1</v>
      </c>
    </row>
    <row r="408" spans="1:3" x14ac:dyDescent="0.75">
      <c r="A408" s="32">
        <v>380</v>
      </c>
      <c r="B408" s="32">
        <f t="shared" si="10"/>
        <v>63</v>
      </c>
      <c r="C408" s="32">
        <f t="shared" si="11"/>
        <v>2</v>
      </c>
    </row>
    <row r="409" spans="1:3" x14ac:dyDescent="0.75">
      <c r="A409" s="32">
        <v>381</v>
      </c>
      <c r="B409" s="32">
        <f t="shared" si="10"/>
        <v>63</v>
      </c>
      <c r="C409" s="32">
        <f t="shared" si="11"/>
        <v>3</v>
      </c>
    </row>
    <row r="410" spans="1:3" x14ac:dyDescent="0.75">
      <c r="A410" s="32">
        <v>382</v>
      </c>
      <c r="B410" s="32">
        <f t="shared" si="10"/>
        <v>63</v>
      </c>
      <c r="C410" s="32">
        <f t="shared" si="11"/>
        <v>4</v>
      </c>
    </row>
    <row r="411" spans="1:3" x14ac:dyDescent="0.75">
      <c r="A411" s="32">
        <v>383</v>
      </c>
      <c r="B411" s="32">
        <f t="shared" si="10"/>
        <v>63</v>
      </c>
      <c r="C411" s="32">
        <f t="shared" si="11"/>
        <v>5</v>
      </c>
    </row>
    <row r="412" spans="1:3" x14ac:dyDescent="0.75">
      <c r="A412" s="32">
        <v>384</v>
      </c>
      <c r="B412" s="32">
        <f t="shared" si="10"/>
        <v>63</v>
      </c>
      <c r="C412" s="32">
        <f t="shared" si="11"/>
        <v>6</v>
      </c>
    </row>
    <row r="413" spans="1:3" x14ac:dyDescent="0.75">
      <c r="A413" s="32">
        <v>385</v>
      </c>
      <c r="B413" s="32">
        <f t="shared" si="10"/>
        <v>64</v>
      </c>
      <c r="C413" s="32">
        <f t="shared" si="11"/>
        <v>1</v>
      </c>
    </row>
    <row r="414" spans="1:3" x14ac:dyDescent="0.75">
      <c r="A414" s="32">
        <v>386</v>
      </c>
      <c r="B414" s="32">
        <f t="shared" ref="B414:B419" si="12">IF(MOD(A414,6)=0,A414/6-1,INT(A414/6))</f>
        <v>64</v>
      </c>
      <c r="C414" s="32">
        <f t="shared" ref="C414:C419" si="13">IF(MOD(A414,6)=0,6,MOD(A414,6))</f>
        <v>2</v>
      </c>
    </row>
    <row r="415" spans="1:3" x14ac:dyDescent="0.75">
      <c r="A415" s="32">
        <v>387</v>
      </c>
      <c r="B415" s="32">
        <f t="shared" si="12"/>
        <v>64</v>
      </c>
      <c r="C415" s="32">
        <f t="shared" si="13"/>
        <v>3</v>
      </c>
    </row>
    <row r="416" spans="1:3" x14ac:dyDescent="0.75">
      <c r="A416" s="32">
        <v>388</v>
      </c>
      <c r="B416" s="32">
        <f t="shared" si="12"/>
        <v>64</v>
      </c>
      <c r="C416" s="32">
        <f t="shared" si="13"/>
        <v>4</v>
      </c>
    </row>
    <row r="417" spans="1:3" x14ac:dyDescent="0.75">
      <c r="A417" s="32">
        <v>389</v>
      </c>
      <c r="B417" s="32">
        <f t="shared" si="12"/>
        <v>64</v>
      </c>
      <c r="C417" s="32">
        <f t="shared" si="13"/>
        <v>5</v>
      </c>
    </row>
    <row r="418" spans="1:3" x14ac:dyDescent="0.75">
      <c r="A418" s="32">
        <v>390</v>
      </c>
      <c r="B418" s="32">
        <f t="shared" si="12"/>
        <v>64</v>
      </c>
      <c r="C418" s="32">
        <f t="shared" si="13"/>
        <v>6</v>
      </c>
    </row>
    <row r="419" spans="1:3" x14ac:dyDescent="0.75">
      <c r="A419" s="32">
        <v>391</v>
      </c>
      <c r="B419" s="32">
        <f t="shared" si="12"/>
        <v>65</v>
      </c>
      <c r="C419" s="32">
        <f t="shared" si="13"/>
        <v>1</v>
      </c>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FB794-80CA-4722-B3D5-086122009B45}">
  <sheetPr codeName="Foglio32"/>
  <dimension ref="A1:I42"/>
  <sheetViews>
    <sheetView topLeftCell="A11" zoomScale="85" zoomScaleNormal="85" workbookViewId="0">
      <selection activeCell="B6" sqref="B6:I2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9" t="s">
        <v>32</v>
      </c>
      <c r="C1" s="20" t="s">
        <v>31</v>
      </c>
      <c r="D1" s="21" t="s">
        <v>6</v>
      </c>
    </row>
    <row r="2" spans="1:9" x14ac:dyDescent="0.75">
      <c r="B2" s="30" t="str">
        <f>'Base-1'!B2</f>
        <v>http://hl7.eu/fhir/ig/pcsp</v>
      </c>
      <c r="C2" s="18" t="s">
        <v>181</v>
      </c>
      <c r="D2" s="18" t="s">
        <v>181</v>
      </c>
    </row>
    <row r="3" spans="1:9" x14ac:dyDescent="0.75">
      <c r="B3" s="22" t="s">
        <v>33</v>
      </c>
      <c r="C3" s="23"/>
      <c r="D3" s="45"/>
    </row>
    <row r="4" spans="1:9" ht="15.5" thickBot="1" x14ac:dyDescent="0.9">
      <c r="B4" s="24" t="str">
        <f>'Base-1'!B4</f>
        <v>PanCareSurPass project</v>
      </c>
      <c r="C4" s="25"/>
      <c r="D4" s="46"/>
    </row>
    <row r="5" spans="1:9" x14ac:dyDescent="0.75">
      <c r="C5" s="3" t="s">
        <v>7</v>
      </c>
      <c r="D5" s="4" t="s">
        <v>8</v>
      </c>
      <c r="E5" s="12" t="s">
        <v>14</v>
      </c>
      <c r="F5" s="12" t="s">
        <v>15</v>
      </c>
      <c r="G5" s="12" t="s">
        <v>16</v>
      </c>
    </row>
    <row r="6" spans="1:9" x14ac:dyDescent="0.75">
      <c r="A6">
        <v>0</v>
      </c>
      <c r="B6" s="13" t="s">
        <v>181</v>
      </c>
      <c r="C6" s="40" t="s">
        <v>181</v>
      </c>
      <c r="D6" s="18" t="s">
        <v>181</v>
      </c>
      <c r="E6" s="14">
        <v>1</v>
      </c>
      <c r="F6" s="14">
        <v>1</v>
      </c>
      <c r="G6" s="14" t="s">
        <v>18</v>
      </c>
    </row>
    <row r="7" spans="1:9" ht="162.25" x14ac:dyDescent="0.75">
      <c r="A7" s="2">
        <v>1</v>
      </c>
      <c r="B7" s="53" t="s">
        <v>996</v>
      </c>
      <c r="C7" s="53" t="s">
        <v>672</v>
      </c>
      <c r="D7" s="38" t="s">
        <v>994</v>
      </c>
      <c r="E7" s="32">
        <v>1</v>
      </c>
      <c r="F7" s="39">
        <v>1</v>
      </c>
      <c r="G7" s="32" t="s">
        <v>1</v>
      </c>
      <c r="H7" s="32"/>
      <c r="I7" s="2"/>
    </row>
    <row r="8" spans="1:9" ht="44.25" x14ac:dyDescent="0.75">
      <c r="A8" s="2">
        <v>2</v>
      </c>
      <c r="B8" s="53" t="s">
        <v>997</v>
      </c>
      <c r="C8" s="38" t="s">
        <v>1042</v>
      </c>
      <c r="D8" s="38" t="s">
        <v>588</v>
      </c>
      <c r="E8" s="32">
        <v>1</v>
      </c>
      <c r="F8" s="32">
        <v>1</v>
      </c>
      <c r="G8" s="32" t="s">
        <v>2</v>
      </c>
      <c r="H8" s="32"/>
      <c r="I8" s="2"/>
    </row>
    <row r="9" spans="1:9" ht="73.75" x14ac:dyDescent="0.75">
      <c r="A9">
        <v>3</v>
      </c>
      <c r="B9" s="53" t="s">
        <v>1005</v>
      </c>
      <c r="C9" s="38" t="s">
        <v>1007</v>
      </c>
      <c r="D9" s="158" t="s">
        <v>1030</v>
      </c>
      <c r="E9" s="32">
        <v>0</v>
      </c>
      <c r="F9" s="39">
        <v>5</v>
      </c>
      <c r="G9" s="32" t="s">
        <v>5</v>
      </c>
      <c r="H9" s="32"/>
      <c r="I9" s="2"/>
    </row>
    <row r="10" spans="1:9" ht="191.75" x14ac:dyDescent="0.75">
      <c r="A10" s="2">
        <v>4</v>
      </c>
      <c r="B10" s="53" t="s">
        <v>1006</v>
      </c>
      <c r="C10" s="38" t="s">
        <v>1008</v>
      </c>
      <c r="D10" s="38" t="s">
        <v>1031</v>
      </c>
      <c r="E10" s="32">
        <v>1</v>
      </c>
      <c r="F10" s="32">
        <v>1</v>
      </c>
      <c r="G10" s="32" t="s">
        <v>1</v>
      </c>
      <c r="H10" s="51" t="s">
        <v>1052</v>
      </c>
      <c r="I10" s="2"/>
    </row>
    <row r="11" spans="1:9" ht="29.5" x14ac:dyDescent="0.75">
      <c r="A11" s="2">
        <v>5</v>
      </c>
      <c r="B11" s="53" t="s">
        <v>1009</v>
      </c>
      <c r="C11" s="38" t="s">
        <v>1021</v>
      </c>
      <c r="D11" s="38" t="s">
        <v>634</v>
      </c>
      <c r="E11" s="32">
        <v>0</v>
      </c>
      <c r="F11" s="32">
        <v>1</v>
      </c>
      <c r="G11" s="32" t="s">
        <v>5</v>
      </c>
      <c r="H11" s="32"/>
      <c r="I11" s="2"/>
    </row>
    <row r="12" spans="1:9" x14ac:dyDescent="0.75">
      <c r="A12">
        <v>6</v>
      </c>
      <c r="B12" s="53" t="s">
        <v>1010</v>
      </c>
      <c r="C12" s="38" t="s">
        <v>1001</v>
      </c>
      <c r="D12" s="38" t="s">
        <v>1001</v>
      </c>
      <c r="E12" s="32">
        <v>0</v>
      </c>
      <c r="F12" s="32">
        <v>1</v>
      </c>
      <c r="G12" s="32" t="s">
        <v>1</v>
      </c>
      <c r="H12" s="32"/>
      <c r="I12" s="2"/>
    </row>
    <row r="13" spans="1:9" x14ac:dyDescent="0.75">
      <c r="A13" s="2">
        <v>7</v>
      </c>
      <c r="B13" s="53" t="s">
        <v>1011</v>
      </c>
      <c r="C13" s="38" t="s">
        <v>1043</v>
      </c>
      <c r="D13" s="38" t="s">
        <v>1002</v>
      </c>
      <c r="E13" s="32">
        <v>0</v>
      </c>
      <c r="F13" s="32">
        <v>1</v>
      </c>
      <c r="G13" s="32" t="s">
        <v>1027</v>
      </c>
      <c r="H13" s="32"/>
      <c r="I13" s="2"/>
    </row>
    <row r="14" spans="1:9" ht="29.5" x14ac:dyDescent="0.75">
      <c r="A14" s="2">
        <v>8</v>
      </c>
      <c r="B14" s="53" t="s">
        <v>1012</v>
      </c>
      <c r="C14" s="38" t="s">
        <v>635</v>
      </c>
      <c r="D14" s="38" t="s">
        <v>639</v>
      </c>
      <c r="E14" s="32">
        <v>0</v>
      </c>
      <c r="F14" s="32">
        <v>1</v>
      </c>
      <c r="G14" s="32" t="s">
        <v>1</v>
      </c>
      <c r="H14" s="32"/>
      <c r="I14" s="2"/>
    </row>
    <row r="15" spans="1:9" ht="44.25" x14ac:dyDescent="0.75">
      <c r="A15">
        <v>9</v>
      </c>
      <c r="B15" s="53" t="s">
        <v>1013</v>
      </c>
      <c r="C15" s="38" t="s">
        <v>648</v>
      </c>
      <c r="D15" s="38" t="s">
        <v>1000</v>
      </c>
      <c r="E15" s="32">
        <v>1</v>
      </c>
      <c r="F15" s="32">
        <v>1</v>
      </c>
      <c r="G15" s="32" t="s">
        <v>5</v>
      </c>
      <c r="H15" s="32"/>
      <c r="I15" s="2"/>
    </row>
    <row r="16" spans="1:9" ht="29.5" x14ac:dyDescent="0.75">
      <c r="A16" s="2">
        <v>10</v>
      </c>
      <c r="B16" s="53" t="s">
        <v>1014</v>
      </c>
      <c r="C16" s="38" t="s">
        <v>1003</v>
      </c>
      <c r="D16" s="38" t="s">
        <v>1004</v>
      </c>
      <c r="E16" s="32">
        <v>0</v>
      </c>
      <c r="F16" s="32">
        <v>1</v>
      </c>
      <c r="G16" s="32" t="s">
        <v>1</v>
      </c>
      <c r="H16" s="32"/>
      <c r="I16" s="2"/>
    </row>
    <row r="17" spans="1:9" ht="88.5" x14ac:dyDescent="0.75">
      <c r="A17" s="2">
        <v>11</v>
      </c>
      <c r="B17" s="53" t="s">
        <v>1015</v>
      </c>
      <c r="C17" s="38" t="s">
        <v>1044</v>
      </c>
      <c r="D17" s="158" t="s">
        <v>1032</v>
      </c>
      <c r="E17" s="32">
        <v>0</v>
      </c>
      <c r="F17" s="32">
        <v>1</v>
      </c>
      <c r="G17" s="32" t="s">
        <v>1</v>
      </c>
      <c r="H17" s="51" t="s">
        <v>1052</v>
      </c>
      <c r="I17" s="2"/>
    </row>
    <row r="18" spans="1:9" x14ac:dyDescent="0.75">
      <c r="A18">
        <v>12</v>
      </c>
      <c r="B18" s="53" t="s">
        <v>1016</v>
      </c>
      <c r="C18" s="38" t="s">
        <v>1021</v>
      </c>
      <c r="D18" s="38" t="s">
        <v>1022</v>
      </c>
      <c r="E18" s="32">
        <v>1</v>
      </c>
      <c r="F18" s="32">
        <v>1</v>
      </c>
      <c r="G18" s="32" t="s">
        <v>5</v>
      </c>
      <c r="H18" s="32"/>
      <c r="I18" s="2"/>
    </row>
    <row r="19" spans="1:9" ht="29.5" x14ac:dyDescent="0.75">
      <c r="A19" s="2">
        <v>13</v>
      </c>
      <c r="B19" s="53" t="s">
        <v>1017</v>
      </c>
      <c r="C19" s="38" t="s">
        <v>1001</v>
      </c>
      <c r="D19" s="38" t="s">
        <v>1001</v>
      </c>
      <c r="E19" s="32">
        <v>0</v>
      </c>
      <c r="F19" s="32">
        <v>1</v>
      </c>
      <c r="G19" s="32" t="s">
        <v>1</v>
      </c>
      <c r="H19" s="32"/>
      <c r="I19" s="2"/>
    </row>
    <row r="20" spans="1:9" x14ac:dyDescent="0.75">
      <c r="A20" s="2">
        <v>14</v>
      </c>
      <c r="B20" s="53" t="s">
        <v>1018</v>
      </c>
      <c r="C20" s="38" t="s">
        <v>1043</v>
      </c>
      <c r="D20" s="38" t="s">
        <v>1022</v>
      </c>
      <c r="E20" s="32">
        <v>0</v>
      </c>
      <c r="F20" s="32">
        <v>1</v>
      </c>
      <c r="G20" s="32" t="s">
        <v>1027</v>
      </c>
      <c r="H20" s="32"/>
      <c r="I20" s="2"/>
    </row>
    <row r="21" spans="1:9" ht="29.5" x14ac:dyDescent="0.75">
      <c r="A21">
        <v>15</v>
      </c>
      <c r="B21" s="53" t="s">
        <v>1019</v>
      </c>
      <c r="C21" s="38" t="s">
        <v>1034</v>
      </c>
      <c r="D21" s="38" t="s">
        <v>1020</v>
      </c>
      <c r="E21" s="32">
        <v>0</v>
      </c>
      <c r="F21" s="32">
        <v>1</v>
      </c>
      <c r="G21" s="32" t="s">
        <v>1</v>
      </c>
      <c r="H21" s="32"/>
      <c r="I21" s="2"/>
    </row>
    <row r="22" spans="1:9" ht="191.75" x14ac:dyDescent="0.75">
      <c r="A22" s="2">
        <v>16</v>
      </c>
      <c r="B22" s="53" t="s">
        <v>998</v>
      </c>
      <c r="C22" s="38" t="s">
        <v>999</v>
      </c>
      <c r="D22" s="38" t="s">
        <v>1045</v>
      </c>
      <c r="E22" s="32">
        <v>1</v>
      </c>
      <c r="F22" s="32">
        <v>1</v>
      </c>
      <c r="G22" s="32" t="s">
        <v>1</v>
      </c>
      <c r="H22" s="32"/>
      <c r="I22" s="2"/>
    </row>
    <row r="23" spans="1:9" x14ac:dyDescent="0.75">
      <c r="A23" s="2"/>
      <c r="B23" s="2"/>
      <c r="C23" s="27"/>
      <c r="D23" s="27"/>
      <c r="E23" s="2"/>
      <c r="F23" s="2"/>
      <c r="G23" s="2"/>
    </row>
    <row r="24" spans="1:9" x14ac:dyDescent="0.75">
      <c r="A24" s="2"/>
      <c r="B24" s="2"/>
      <c r="C24" s="26"/>
      <c r="D24" s="26"/>
      <c r="E24" s="2"/>
      <c r="F24" s="2"/>
      <c r="G24" s="2"/>
    </row>
    <row r="25" spans="1:9" x14ac:dyDescent="0.75">
      <c r="A25" s="2"/>
      <c r="C25" s="26"/>
      <c r="D25" s="26"/>
      <c r="E25" s="2"/>
      <c r="F25" s="2"/>
      <c r="G25" s="2"/>
    </row>
    <row r="26" spans="1:9" x14ac:dyDescent="0.75">
      <c r="A26" s="2"/>
      <c r="B26" s="2"/>
      <c r="C26" s="26"/>
      <c r="D26" s="26"/>
      <c r="E26" s="2"/>
      <c r="F26" s="2"/>
      <c r="G26" s="2"/>
    </row>
    <row r="27" spans="1:9" x14ac:dyDescent="0.75">
      <c r="A27" s="2"/>
      <c r="B27" s="2"/>
      <c r="C27" s="26"/>
      <c r="D27" s="26"/>
      <c r="E27" s="2"/>
      <c r="F27" s="2"/>
      <c r="G27" s="2"/>
    </row>
    <row r="28" spans="1:9" x14ac:dyDescent="0.75">
      <c r="A28" s="2"/>
      <c r="B28" s="2"/>
      <c r="C28" s="26"/>
      <c r="D28" s="26"/>
      <c r="E28" s="2"/>
      <c r="F28" s="2"/>
      <c r="G28" s="2"/>
    </row>
    <row r="29" spans="1:9" x14ac:dyDescent="0.75">
      <c r="A29" s="2"/>
      <c r="B29" s="2"/>
      <c r="C29" s="7"/>
      <c r="D29" s="6"/>
      <c r="E29" s="2"/>
      <c r="F29" s="2"/>
      <c r="G29" s="2"/>
    </row>
    <row r="30" spans="1:9" x14ac:dyDescent="0.75">
      <c r="A30" s="2"/>
      <c r="B30" s="2"/>
      <c r="C30" s="7"/>
      <c r="D30" s="6"/>
      <c r="E30" s="2"/>
      <c r="F30" s="2"/>
      <c r="G30" s="2"/>
    </row>
    <row r="31" spans="1:9" x14ac:dyDescent="0.75">
      <c r="A31" s="2"/>
      <c r="B31" s="2"/>
      <c r="C31" s="7"/>
      <c r="D31" s="6"/>
      <c r="E31" s="11"/>
      <c r="F31" s="11"/>
      <c r="G31" s="2"/>
    </row>
    <row r="32" spans="1:9" x14ac:dyDescent="0.75">
      <c r="A32" s="2"/>
      <c r="B32" s="2"/>
      <c r="C32" s="7"/>
      <c r="D32" s="7"/>
      <c r="E32" s="11"/>
      <c r="F32" s="11"/>
      <c r="G32" s="2"/>
    </row>
    <row r="33" spans="1:7" x14ac:dyDescent="0.75">
      <c r="A33" s="2"/>
      <c r="B33" s="2"/>
      <c r="C33" s="7"/>
      <c r="D33" s="6"/>
      <c r="E33" s="11"/>
      <c r="F33" s="11"/>
      <c r="G33" s="2"/>
    </row>
    <row r="34" spans="1:7" x14ac:dyDescent="0.75">
      <c r="A34" s="2"/>
      <c r="B34" s="2"/>
      <c r="C34" s="7"/>
      <c r="D34" s="7"/>
      <c r="E34" s="11"/>
      <c r="F34" s="11"/>
      <c r="G34" s="2"/>
    </row>
    <row r="35" spans="1:7" x14ac:dyDescent="0.75">
      <c r="A35" s="2"/>
      <c r="B35" s="2"/>
      <c r="C35" s="7"/>
      <c r="D35" s="7"/>
      <c r="E35" s="11"/>
      <c r="F35" s="11"/>
      <c r="G35" s="2"/>
    </row>
    <row r="36" spans="1:7" x14ac:dyDescent="0.75">
      <c r="A36" s="2"/>
      <c r="B36" s="2"/>
      <c r="C36" s="5"/>
      <c r="D36" s="6"/>
      <c r="E36" s="11"/>
      <c r="F36" s="11"/>
      <c r="G36" s="2"/>
    </row>
    <row r="37" spans="1:7" x14ac:dyDescent="0.75">
      <c r="A37" s="2"/>
      <c r="B37" s="2"/>
      <c r="C37" s="6"/>
      <c r="D37" s="6"/>
      <c r="E37" s="11"/>
      <c r="F37" s="11"/>
      <c r="G37" s="2"/>
    </row>
    <row r="38" spans="1:7" x14ac:dyDescent="0.75">
      <c r="A38" s="2"/>
      <c r="B38" s="2"/>
      <c r="C38" s="7"/>
      <c r="D38" s="6"/>
      <c r="E38" s="11"/>
      <c r="F38" s="11"/>
      <c r="G38" s="2"/>
    </row>
    <row r="39" spans="1:7" x14ac:dyDescent="0.75">
      <c r="A39" s="2"/>
      <c r="B39" s="2"/>
      <c r="C39" s="7"/>
      <c r="D39" s="6"/>
      <c r="E39" s="11"/>
      <c r="F39" s="11"/>
      <c r="G39" s="2"/>
    </row>
    <row r="40" spans="1:7" x14ac:dyDescent="0.75">
      <c r="A40" s="2"/>
      <c r="B40" s="2"/>
      <c r="C40" s="7"/>
      <c r="D40" s="6"/>
      <c r="E40" s="11"/>
      <c r="F40" s="11"/>
      <c r="G40" s="2"/>
    </row>
    <row r="41" spans="1:7" x14ac:dyDescent="0.75">
      <c r="A41" s="2"/>
      <c r="B41" s="2"/>
      <c r="C41" s="7"/>
      <c r="D41" s="6"/>
      <c r="E41" s="11"/>
      <c r="F41" s="11"/>
      <c r="G41" s="2"/>
    </row>
    <row r="42" spans="1:7" x14ac:dyDescent="0.75">
      <c r="A42" s="2"/>
      <c r="B42" s="2"/>
      <c r="C42" s="7"/>
      <c r="D42" s="6"/>
      <c r="E42" s="11"/>
      <c r="F42" s="11"/>
      <c r="G42" s="2"/>
    </row>
  </sheetData>
  <hyperlinks>
    <hyperlink ref="B2" r:id="rId1" display="http://iso.org/fhir/ts-5384" xr:uid="{B870DDF6-7D39-457D-9008-250C69985628}"/>
    <hyperlink ref="H10" r:id="rId2" xr:uid="{13D24FC0-2688-452D-ADF9-AF812543D3AE}"/>
    <hyperlink ref="H17" r:id="rId3" xr:uid="{B410424B-428A-4AF8-A99C-321A96117130}"/>
  </hyperlinks>
  <pageMargins left="0.7" right="0.7" top="0.75" bottom="0.75" header="0.3" footer="0.3"/>
  <pageSetup paperSize="9" orientation="portrait" r:id="rId4"/>
  <drawing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160A5-C569-486A-B4DC-2A6D9ED51583}">
  <sheetPr codeName="Foglio33"/>
  <dimension ref="B1:J94"/>
  <sheetViews>
    <sheetView topLeftCell="D1" zoomScale="85" zoomScaleNormal="85" workbookViewId="0">
      <selection activeCell="B6" sqref="B6:H6"/>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5" t="str">
        <f>CONCATENATE("* differential.element[",'Radio-1'!A6,"].id = """,'Radio-1'!B6,"""")</f>
        <v>* differential.element[0].id = "Radiotherapy"</v>
      </c>
      <c r="C1" s="15" t="str">
        <f>CONCATENATE("* differential.element[",'Radio-1'!A6,"].path = """,'Radio-1'!$B$6,"""")</f>
        <v>* differential.element[0].path = "Radiotherapy"</v>
      </c>
      <c r="D1" s="15" t="str">
        <f>CONCATENATE("* differential.element[",'Radio-1'!A6,"].short = """,'Radio-1'!C6,"""")</f>
        <v>* differential.element[0].short = "Radiotherapy"</v>
      </c>
      <c r="E1" s="15" t="str">
        <f>CONCATENATE("* differential.element[",'Radio-1'!A6,"].definition = """,'Radio-1'!D6,"""")</f>
        <v>* differential.element[0].definition = "Radiotherapy"</v>
      </c>
      <c r="F1" s="15" t="str">
        <f>CONCATENATE("* differential.element[",'Radio-1'!A6,"].min = ",'Radio-1'!E6,"")</f>
        <v>* differential.element[0].min = 1</v>
      </c>
      <c r="G1" s="15" t="str">
        <f>CONCATENATE("* differential.element[",'Radio-1'!A6,"].max = """,'Radio-1'!F6,"""")</f>
        <v>* differential.element[0].max = "1"</v>
      </c>
      <c r="H1" s="15"/>
    </row>
    <row r="2" spans="2:10" ht="236" x14ac:dyDescent="0.75">
      <c r="B2" s="9" t="str">
        <f>CONCATENATE("* differential.element[",'Radio-1'!$A7,"].id = """,'Radio-1'!$B$6,".",'Radio-1'!B7,"""")</f>
        <v>* differential.element[1].id = "Radiotherapy.radiotherapy.type"</v>
      </c>
      <c r="C2" s="9" t="str">
        <f>CONCATENATE("* differential.element[",'Radio-1'!$A7,"].path = """,'Radio-1'!$B$6,".",'Radio-1'!B7,"""")</f>
        <v>* differential.element[1].path = "Radiotherapy.radiotherapy.type"</v>
      </c>
      <c r="D2" s="9" t="str">
        <f>CONCATENATE("* differential.element[",'Radio-1'!A7,"].short = """,'Radio-1'!C7,"""")</f>
        <v>* differential.element[1].short = "Type of radiotherapy"</v>
      </c>
      <c r="E2" s="9" t="str">
        <f>CONCATENATE("* differential.element[",'Radio-1'!A7,"].definition = """,'Radio-1'!D7,"""")</f>
        <v>* differential.element[1].definition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2" s="9" t="str">
        <f>CONCATENATE("* differential.element[",'Radio-1'!A7,"].min = ",'Radio-1'!E7,"")</f>
        <v>* differential.element[1].min = 1</v>
      </c>
      <c r="G2" s="9" t="str">
        <f>CONCATENATE("* differential.element[",'Radio-1'!A7,"].max = """,'Radio-1'!F7,"""")</f>
        <v>* differential.element[1].max = "1"</v>
      </c>
      <c r="H2" s="9" t="str">
        <f>CONCATENATE("* differential.element[",'Radio-1'!A7,"].type.code = #",'Radio-1'!G7,"")</f>
        <v>* differential.element[1].type.code = #CodeableConcept</v>
      </c>
      <c r="I2" s="10"/>
      <c r="J2" t="s">
        <v>9</v>
      </c>
    </row>
    <row r="3" spans="2:10" ht="73.75" x14ac:dyDescent="0.75">
      <c r="B3" s="38" t="str">
        <f>CONCATENATE("* differential.element[",'Radio-1'!$A8,"].id = """,'Radio-1'!$B$6,".",'Radio-1'!B8,"""")</f>
        <v>* differential.element[2].id = "Radiotherapy.radiotherapy.startDate"</v>
      </c>
      <c r="C3" s="38" t="str">
        <f>CONCATENATE("* differential.element[",'Radio-1'!$A8,"].path = """,'Radio-1'!$B$6,".",'Radio-1'!B8,"""")</f>
        <v>* differential.element[2].path = "Radiotherapy.radiotherapy.startDate"</v>
      </c>
      <c r="D3" s="38" t="str">
        <f>CONCATENATE("* differential.element[",'Radio-1'!A8,"].short = """,'Radio-1'!C8,"""")</f>
        <v>* differential.element[2].short = "Start date"</v>
      </c>
      <c r="E3" s="38" t="str">
        <f>CONCATENATE("* differential.element[",'Radio-1'!A8,"].definition = """,'Radio-1'!D8,"""")</f>
        <v>* differential.element[2].definition = "Enter the date on which the first treatment (fraction) of radiotherapy was given, in a DD/MM/YYYY format. If the date is unkown or partially missed insert the year at the best of your knowledge."</v>
      </c>
      <c r="F3" s="38" t="str">
        <f>CONCATENATE("* differential.element[",'Radio-1'!A8,"].min = ",'Radio-1'!E8,"")</f>
        <v>* differential.element[2].min = 1</v>
      </c>
      <c r="G3" s="38" t="str">
        <f>CONCATENATE("* differential.element[",'Radio-1'!A8,"].max = """,'Radio-1'!F8,"""")</f>
        <v>* differential.element[2].max = "1"</v>
      </c>
      <c r="H3" s="38" t="str">
        <f>CONCATENATE("* differential.element[",'Radio-1'!A8,"].type.code = #",'Radio-1'!G8,"")</f>
        <v>* differential.element[2].type.code = #dateTime</v>
      </c>
      <c r="I3" s="10"/>
      <c r="J3" t="s">
        <v>10</v>
      </c>
    </row>
    <row r="4" spans="2:10" ht="132.75" x14ac:dyDescent="0.75">
      <c r="B4" s="38" t="str">
        <f>CONCATENATE("* differential.element[",'Radio-1'!$A9,"].id = """,'Radio-1'!$B$6,".",'Radio-1'!B9,"""")</f>
        <v>* differential.element[3].id = "Radiotherapy.radiotherapy.target"</v>
      </c>
      <c r="C4" s="38" t="str">
        <f>CONCATENATE("* differential.element[",'Radio-1'!$A9,"].path = """,'Radio-1'!$B$6,".",'Radio-1'!B9,"""")</f>
        <v>* differential.element[3].path = "Radiotherapy.radiotherapy.target"</v>
      </c>
      <c r="D4" s="38" t="str">
        <f>CONCATENATE("* differential.element[",'Radio-1'!A9,"].short = """,'Radio-1'!C9,"""")</f>
        <v>* differential.element[3].short = "Target Body Site"</v>
      </c>
      <c r="E4" s="38" t="str">
        <f>CONCATENATE("* differential.element[",'Radio-1'!A9,"].definition = """,'Radio-1'!D9,"""")</f>
        <v>* differential.element[3].definition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4" s="38" t="str">
        <f>CONCATENATE("* differential.element[",'Radio-1'!A9,"].min = ",'Radio-1'!E9,"")</f>
        <v>* differential.element[3].min = 0</v>
      </c>
      <c r="G4" s="38" t="str">
        <f>CONCATENATE("* differential.element[",'Radio-1'!A9,"].max = """,'Radio-1'!F9,"""")</f>
        <v>* differential.element[3].max = "5"</v>
      </c>
      <c r="H4" s="38" t="str">
        <f>CONCATENATE("* differential.element[",'Radio-1'!A9,"].type.code = #",'Radio-1'!G9,"")</f>
        <v>* differential.element[3].type.code = #BackboneElement</v>
      </c>
      <c r="I4" s="10"/>
      <c r="J4" t="s">
        <v>11</v>
      </c>
    </row>
    <row r="5" spans="2:10" ht="280.25" x14ac:dyDescent="0.75">
      <c r="B5" s="38" t="str">
        <f>CONCATENATE("* differential.element[",'Radio-1'!$A10,"].id = """,'Radio-1'!$B$6,".",'Radio-1'!B10,"""")</f>
        <v>* differential.element[4].id = "Radiotherapy.radiotherapy.target.site"</v>
      </c>
      <c r="C5" s="38" t="str">
        <f>CONCATENATE("* differential.element[",'Radio-1'!$A10,"].path = """,'Radio-1'!$B$6,".",'Radio-1'!B10,"""")</f>
        <v>* differential.element[4].path = "Radiotherapy.radiotherapy.target.site"</v>
      </c>
      <c r="D5" s="38" t="str">
        <f>CONCATENATE("* differential.element[",'Radio-1'!A10,"].short = """,'Radio-1'!C10,"""")</f>
        <v>* differential.element[4].short = "Body Site"</v>
      </c>
      <c r="E5" s="38" t="str">
        <f>CONCATENATE("* differential.element[",'Radio-1'!A10,"].definition = """,'Radio-1'!D10,"""")</f>
        <v>* differential.element[4].definition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5" s="38" t="str">
        <f>CONCATENATE("* differential.element[",'Radio-1'!A10,"].min = ",'Radio-1'!E10,"")</f>
        <v>* differential.element[4].min = 1</v>
      </c>
      <c r="G5" s="38" t="str">
        <f>CONCATENATE("* differential.element[",'Radio-1'!A10,"].max = """,'Radio-1'!F10,"""")</f>
        <v>* differential.element[4].max = "1"</v>
      </c>
      <c r="H5" s="38" t="str">
        <f>CONCATENATE("* differential.element[",'Radio-1'!A10,"].type.code = #",'Radio-1'!G10,"")</f>
        <v>* differential.element[4].type.code = #CodeableConcept</v>
      </c>
      <c r="I5" s="10"/>
      <c r="J5" t="s">
        <v>12</v>
      </c>
    </row>
    <row r="6" spans="2:10" ht="59" x14ac:dyDescent="0.75">
      <c r="B6" s="38" t="str">
        <f>CONCATENATE("* differential.element[",'Radio-1'!$A11,"].id = """,'Radio-1'!$B$6,".",'Radio-1'!B11,"""")</f>
        <v>* differential.element[5].id = "Radiotherapy.radiotherapy.target.comulativeDose"</v>
      </c>
      <c r="C6" s="38" t="str">
        <f>CONCATENATE("* differential.element[",'Radio-1'!$A11,"].path = """,'Radio-1'!$B$6,".",'Radio-1'!B11,"""")</f>
        <v>* differential.element[5].path = "Radiotherapy.radiotherapy.target.comulativeDose"</v>
      </c>
      <c r="D6" s="38" t="str">
        <f>CONCATENATE("* differential.element[",'Radio-1'!A11,"].short = """,'Radio-1'!C11,"""")</f>
        <v>* differential.element[5].short = "Comulative dose"</v>
      </c>
      <c r="E6" s="38" t="str">
        <f>CONCATENATE("* differential.element[",'Radio-1'!A11,"].definition = """,'Radio-1'!D11,"""")</f>
        <v>* differential.element[5].definition = "Specify the cumulative / total dose given to the primary radiation therapy site.
If the dose is not known, write NK."</v>
      </c>
      <c r="F6" s="38" t="str">
        <f>CONCATENATE("* differential.element[",'Radio-1'!A11,"].min = ",'Radio-1'!E11,"")</f>
        <v>* differential.element[5].min = 0</v>
      </c>
      <c r="G6" s="38" t="str">
        <f>CONCATENATE("* differential.element[",'Radio-1'!A11,"].max = """,'Radio-1'!F11,"""")</f>
        <v>* differential.element[5].max = "1"</v>
      </c>
      <c r="H6" s="38" t="str">
        <f>CONCATENATE("* differential.element[",'Radio-1'!A11,"].type.code = #",'Radio-1'!G11,"")</f>
        <v>* differential.element[5].type.code = #BackboneElement</v>
      </c>
      <c r="I6" s="10"/>
      <c r="J6" t="s">
        <v>13</v>
      </c>
    </row>
    <row r="7" spans="2:10" x14ac:dyDescent="0.75">
      <c r="B7" s="38"/>
      <c r="C7" s="38"/>
      <c r="D7" s="38"/>
      <c r="E7" s="38"/>
      <c r="F7" s="38"/>
      <c r="G7" s="38"/>
      <c r="H7" s="38"/>
      <c r="I7" s="10"/>
    </row>
    <row r="8" spans="2:10" x14ac:dyDescent="0.75">
      <c r="B8" s="38"/>
      <c r="C8" s="38"/>
      <c r="D8" s="38"/>
      <c r="E8" s="38"/>
      <c r="F8" s="38"/>
      <c r="G8" s="38"/>
      <c r="H8" s="38"/>
      <c r="I8" s="10"/>
    </row>
    <row r="9" spans="2:10" x14ac:dyDescent="0.75">
      <c r="B9" s="38"/>
      <c r="C9" s="38"/>
      <c r="D9" s="38"/>
      <c r="E9" s="38"/>
      <c r="F9" s="38"/>
      <c r="G9" s="38"/>
      <c r="H9" s="38"/>
      <c r="I9" s="10"/>
    </row>
    <row r="10" spans="2:10" x14ac:dyDescent="0.75">
      <c r="B10" s="38"/>
      <c r="C10" s="38"/>
      <c r="D10" s="38"/>
      <c r="E10" s="38"/>
      <c r="F10" s="38"/>
      <c r="G10" s="38"/>
      <c r="H10" s="38"/>
      <c r="I10" s="10"/>
    </row>
    <row r="11" spans="2:10" x14ac:dyDescent="0.75">
      <c r="B11" s="38"/>
      <c r="C11" s="38"/>
      <c r="D11" s="38"/>
      <c r="E11" s="38"/>
      <c r="F11" s="38"/>
      <c r="G11" s="38"/>
      <c r="H11" s="38"/>
      <c r="I11" s="10"/>
    </row>
    <row r="12" spans="2:10" x14ac:dyDescent="0.75">
      <c r="B12" s="38"/>
      <c r="C12" s="38"/>
      <c r="D12" s="38"/>
      <c r="E12" s="38"/>
      <c r="F12" s="38"/>
      <c r="G12" s="38"/>
      <c r="H12" s="38"/>
      <c r="I12" s="10"/>
    </row>
    <row r="13" spans="2:10" x14ac:dyDescent="0.75">
      <c r="B13" s="38"/>
      <c r="C13" s="38"/>
      <c r="D13" s="38"/>
      <c r="E13" s="38"/>
      <c r="F13" s="38"/>
      <c r="G13" s="38"/>
      <c r="H13" s="38"/>
      <c r="I13" s="10"/>
    </row>
    <row r="14" spans="2:10" x14ac:dyDescent="0.75">
      <c r="B14" s="38"/>
      <c r="C14" s="38"/>
      <c r="D14" s="38"/>
      <c r="E14" s="38"/>
      <c r="F14" s="38"/>
      <c r="G14" s="38"/>
      <c r="H14" s="38"/>
      <c r="I14" s="10"/>
    </row>
    <row r="15" spans="2:10" x14ac:dyDescent="0.75">
      <c r="B15" s="9"/>
      <c r="C15" s="9"/>
      <c r="D15" s="9"/>
      <c r="E15" s="9"/>
      <c r="F15" s="9"/>
      <c r="G15" s="9"/>
      <c r="H15" s="9"/>
      <c r="I15" s="10"/>
    </row>
    <row r="16" spans="2:10" x14ac:dyDescent="0.75">
      <c r="B16" s="9"/>
      <c r="C16" s="9"/>
      <c r="D16" s="9"/>
      <c r="E16" s="9"/>
      <c r="F16" s="9"/>
      <c r="G16" s="9"/>
      <c r="H16" s="9"/>
      <c r="I16" s="10"/>
    </row>
    <row r="17" spans="2:9" x14ac:dyDescent="0.75">
      <c r="B17" s="9"/>
      <c r="C17" s="9"/>
      <c r="D17" s="9"/>
      <c r="E17" s="9"/>
      <c r="F17" s="9"/>
      <c r="G17" s="9"/>
      <c r="H17" s="9"/>
      <c r="I17" s="10"/>
    </row>
    <row r="18" spans="2:9" x14ac:dyDescent="0.75">
      <c r="B18" s="9"/>
      <c r="C18" s="9"/>
      <c r="D18" s="9"/>
      <c r="E18" s="9"/>
      <c r="F18" s="9"/>
      <c r="G18" s="9"/>
      <c r="H18" s="9"/>
      <c r="I18" s="10"/>
    </row>
    <row r="19" spans="2:9" x14ac:dyDescent="0.75">
      <c r="B19" s="9"/>
      <c r="C19" s="9"/>
      <c r="D19" s="9"/>
      <c r="E19" s="9"/>
      <c r="F19" s="9"/>
      <c r="G19" s="9"/>
      <c r="H19" s="9"/>
      <c r="I19" s="10"/>
    </row>
    <row r="20" spans="2:9" x14ac:dyDescent="0.75">
      <c r="B20" s="9"/>
      <c r="C20" s="9"/>
      <c r="D20" s="9"/>
      <c r="E20" s="9"/>
      <c r="F20" s="9"/>
      <c r="G20" s="9"/>
      <c r="H20" s="9"/>
      <c r="I20" s="10"/>
    </row>
    <row r="21" spans="2:9" x14ac:dyDescent="0.75">
      <c r="B21" s="9"/>
      <c r="C21" s="9"/>
      <c r="D21" s="9"/>
      <c r="E21" s="9"/>
      <c r="F21" s="9"/>
      <c r="G21" s="9"/>
      <c r="H21" s="9"/>
      <c r="I21" s="10"/>
    </row>
    <row r="22" spans="2:9" x14ac:dyDescent="0.75">
      <c r="B22" s="9"/>
      <c r="C22" s="9"/>
      <c r="D22" s="9"/>
      <c r="E22" s="9"/>
      <c r="F22" s="9"/>
      <c r="G22" s="9"/>
      <c r="H22" s="9"/>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6FA15-D862-4094-AD2A-D0962B7C7630}">
  <sheetPr codeName="Foglio34"/>
  <dimension ref="A2:G263"/>
  <sheetViews>
    <sheetView workbookViewId="0">
      <selection activeCell="D64" sqref="D2:D64"/>
    </sheetView>
  </sheetViews>
  <sheetFormatPr defaultRowHeight="14.75" x14ac:dyDescent="0.75"/>
  <cols>
    <col min="4" max="4" width="130.81640625" customWidth="1"/>
    <col min="5" max="5" width="19.86328125" customWidth="1"/>
    <col min="7" max="7" width="69.36328125" customWidth="1"/>
  </cols>
  <sheetData>
    <row r="2" spans="4:5" x14ac:dyDescent="0.75">
      <c r="D2" s="17" t="str">
        <f>CONCATENATE("Instance: ",'Radio-1'!B6)</f>
        <v>Instance: Radiotherapy</v>
      </c>
    </row>
    <row r="3" spans="4:5" x14ac:dyDescent="0.75">
      <c r="D3" s="17" t="s">
        <v>22</v>
      </c>
    </row>
    <row r="4" spans="4:5" x14ac:dyDescent="0.75">
      <c r="D4" s="17" t="str">
        <f>CONCATENATE("Description: """,'Radio-1'!D2,"""")</f>
        <v>Description: "Radiotherapy"</v>
      </c>
      <c r="E4" s="17"/>
    </row>
    <row r="5" spans="4:5" x14ac:dyDescent="0.75">
      <c r="D5" s="17" t="str">
        <f>CONCATENATE("Title: """,'Radio-1'!C2,"""")</f>
        <v>Title: "Radiotherapy"</v>
      </c>
      <c r="E5" s="17"/>
    </row>
    <row r="6" spans="4:5" x14ac:dyDescent="0.75">
      <c r="D6" s="17" t="s">
        <v>23</v>
      </c>
      <c r="E6" s="17"/>
    </row>
    <row r="7" spans="4:5" x14ac:dyDescent="0.75">
      <c r="D7" s="17"/>
      <c r="E7" s="17"/>
    </row>
    <row r="8" spans="4:5" x14ac:dyDescent="0.75">
      <c r="D8" s="17" t="str">
        <f>CONCATENATE("* publisher = """,'Radio-1'!B4,"""")</f>
        <v>* publisher = "PanCareSurPass project"</v>
      </c>
      <c r="E8" s="17"/>
    </row>
    <row r="9" spans="4:5" x14ac:dyDescent="0.75">
      <c r="D9" s="17" t="s">
        <v>24</v>
      </c>
      <c r="E9" s="17"/>
    </row>
    <row r="10" spans="4:5" x14ac:dyDescent="0.75">
      <c r="D10" s="17" t="str">
        <f>CONCATENATE("* url = """,'Radio-1'!B2,"/StructureDefinition/",'Radio-1'!B6,"""")</f>
        <v>* url = "http://hl7.eu/fhir/ig/pcsp/StructureDefinition/Radiotherapy"</v>
      </c>
      <c r="E10" s="17"/>
    </row>
    <row r="11" spans="4:5" x14ac:dyDescent="0.75">
      <c r="D11" s="17" t="str">
        <f>CONCATENATE("* name = """,'Radio-1'!B6,"""")</f>
        <v>* name = "Radiotherapy"</v>
      </c>
      <c r="E11" s="17"/>
    </row>
    <row r="12" spans="4:5" x14ac:dyDescent="0.75">
      <c r="D12" s="17" t="str">
        <f>CONCATENATE("* title = """,'Radio-1'!C2,"""")</f>
        <v>* title = "Radiotherapy"</v>
      </c>
      <c r="E12" s="17"/>
    </row>
    <row r="13" spans="4:5" x14ac:dyDescent="0.75">
      <c r="D13" s="17" t="s">
        <v>24</v>
      </c>
      <c r="E13" s="17"/>
    </row>
    <row r="14" spans="4:5" x14ac:dyDescent="0.75">
      <c r="D14" s="17" t="s">
        <v>25</v>
      </c>
      <c r="E14" s="17"/>
    </row>
    <row r="15" spans="4:5" x14ac:dyDescent="0.75">
      <c r="D15" s="17" t="str">
        <f>CONCATENATE("* description = """,'Radio-1'!D2,"""")</f>
        <v>* description = "Radiotherapy"</v>
      </c>
      <c r="E15" s="17"/>
    </row>
    <row r="16" spans="4:5" x14ac:dyDescent="0.75">
      <c r="D16" s="17" t="s">
        <v>26</v>
      </c>
      <c r="E16" s="17"/>
    </row>
    <row r="17" spans="1:5" x14ac:dyDescent="0.75">
      <c r="D17" s="17" t="s">
        <v>27</v>
      </c>
      <c r="E17" s="17"/>
    </row>
    <row r="18" spans="1:5" x14ac:dyDescent="0.75">
      <c r="D18" s="17" t="s">
        <v>28</v>
      </c>
      <c r="E18" s="17"/>
    </row>
    <row r="19" spans="1:5" x14ac:dyDescent="0.75">
      <c r="D19" s="17" t="str">
        <f>CONCATENATE("* type = """,'Radio-1'!B6,"""")</f>
        <v>* type = "Radiotherapy"</v>
      </c>
      <c r="E19" s="17"/>
    </row>
    <row r="20" spans="1:5" x14ac:dyDescent="0.75">
      <c r="D20" s="17" t="s">
        <v>29</v>
      </c>
    </row>
    <row r="21" spans="1:5" x14ac:dyDescent="0.75">
      <c r="D21" s="17" t="s">
        <v>30</v>
      </c>
    </row>
    <row r="23" spans="1:5" x14ac:dyDescent="0.75">
      <c r="D23" s="13" t="str">
        <f>'Radio-2'!B1</f>
        <v>* differential.element[0].id = "Radiotherapy"</v>
      </c>
    </row>
    <row r="24" spans="1:5" x14ac:dyDescent="0.75">
      <c r="D24" s="13" t="str">
        <f>'Radio-2'!C1</f>
        <v>* differential.element[0].path = "Radiotherapy"</v>
      </c>
    </row>
    <row r="25" spans="1:5" x14ac:dyDescent="0.75">
      <c r="D25" s="13" t="str">
        <f>'Radio-2'!D1</f>
        <v>* differential.element[0].short = "Radiotherapy"</v>
      </c>
    </row>
    <row r="26" spans="1:5" x14ac:dyDescent="0.75">
      <c r="D26" s="13" t="str">
        <f>'Radio-2'!E1</f>
        <v>* differential.element[0].definition = "Radiotherapy"</v>
      </c>
    </row>
    <row r="27" spans="1:5" x14ac:dyDescent="0.75">
      <c r="D27" s="13" t="str">
        <f>'Radio-2'!F1</f>
        <v>* differential.element[0].min = 1</v>
      </c>
    </row>
    <row r="28" spans="1:5" x14ac:dyDescent="0.75">
      <c r="D28" s="13" t="str">
        <f>'Radio-2'!G1</f>
        <v>* differential.element[0].max = "1"</v>
      </c>
    </row>
    <row r="29" spans="1:5" x14ac:dyDescent="0.75">
      <c r="D29" s="8"/>
    </row>
    <row r="30" spans="1:5" x14ac:dyDescent="0.75">
      <c r="A30" s="2">
        <v>1</v>
      </c>
      <c r="B30" s="2">
        <f>IF(MOD(A30,7)=0,A30/7-1,INT(A30/7))</f>
        <v>0</v>
      </c>
      <c r="C30" s="2">
        <f>IF(MOD(A30,7)=0,7,MOD(A30,7))</f>
        <v>1</v>
      </c>
      <c r="D30" s="9" t="str" cm="1">
        <f t="array" ref="D30">INDEX('Radio-2'!$B$2:$H$41,1+B30,C30)</f>
        <v>* differential.element[1].id = "Radiotherapy.radiotherapy.type"</v>
      </c>
    </row>
    <row r="31" spans="1:5" x14ac:dyDescent="0.75">
      <c r="A31" s="2">
        <v>2</v>
      </c>
      <c r="B31" s="2">
        <f t="shared" ref="B31:B94" si="0">IF(MOD(A31,7)=0,A31/7-1,INT(A31/7))</f>
        <v>0</v>
      </c>
      <c r="C31" s="2">
        <f t="shared" ref="C31:C94" si="1">IF(MOD(A31,7)=0,7,MOD(A31,7))</f>
        <v>2</v>
      </c>
      <c r="D31" s="38" t="str" cm="1">
        <f t="array" ref="D31">INDEX('Radio-2'!$B$2:$H$41,1+B31,C31)</f>
        <v>* differential.element[1].path = "Radiotherapy.radiotherapy.type"</v>
      </c>
    </row>
    <row r="32" spans="1:5" x14ac:dyDescent="0.75">
      <c r="A32" s="2">
        <v>3</v>
      </c>
      <c r="B32" s="2">
        <f t="shared" si="0"/>
        <v>0</v>
      </c>
      <c r="C32" s="2">
        <f t="shared" si="1"/>
        <v>3</v>
      </c>
      <c r="D32" s="38" t="str" cm="1">
        <f t="array" ref="D32">INDEX('Radio-2'!$B$2:$H$41,1+B32,C32)</f>
        <v>* differential.element[1].short = "Type of radiotherapy"</v>
      </c>
    </row>
    <row r="33" spans="1:4" ht="132.75" x14ac:dyDescent="0.75">
      <c r="A33" s="2">
        <v>4</v>
      </c>
      <c r="B33" s="2">
        <f t="shared" si="0"/>
        <v>0</v>
      </c>
      <c r="C33" s="2">
        <f t="shared" si="1"/>
        <v>4</v>
      </c>
      <c r="D33" s="38" t="str" cm="1">
        <f t="array" ref="D33">INDEX('Radio-2'!$B$2:$H$41,1+B33,C33)</f>
        <v>* differential.element[1].definition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34" spans="1:4" x14ac:dyDescent="0.75">
      <c r="A34" s="2">
        <v>5</v>
      </c>
      <c r="B34" s="2">
        <f t="shared" si="0"/>
        <v>0</v>
      </c>
      <c r="C34" s="2">
        <f t="shared" si="1"/>
        <v>5</v>
      </c>
      <c r="D34" s="38" t="str" cm="1">
        <f t="array" ref="D34">INDEX('Radio-2'!$B$2:$H$41,1+B34,C34)</f>
        <v>* differential.element[1].min = 1</v>
      </c>
    </row>
    <row r="35" spans="1:4" x14ac:dyDescent="0.75">
      <c r="A35" s="2">
        <v>6</v>
      </c>
      <c r="B35" s="2">
        <f t="shared" si="0"/>
        <v>0</v>
      </c>
      <c r="C35" s="2">
        <f t="shared" si="1"/>
        <v>6</v>
      </c>
      <c r="D35" s="38" t="str" cm="1">
        <f t="array" ref="D35">INDEX('Radio-2'!$B$2:$H$41,1+B35,C35)</f>
        <v>* differential.element[1].max = "1"</v>
      </c>
    </row>
    <row r="36" spans="1:4" x14ac:dyDescent="0.75">
      <c r="A36" s="2">
        <v>7</v>
      </c>
      <c r="B36" s="2">
        <f t="shared" si="0"/>
        <v>0</v>
      </c>
      <c r="C36" s="2">
        <f t="shared" si="1"/>
        <v>7</v>
      </c>
      <c r="D36" s="38" t="str" cm="1">
        <f t="array" ref="D36">INDEX('Radio-2'!$B$2:$H$41,1+B36,C36)</f>
        <v>* differential.element[1].type.code = #CodeableConcept</v>
      </c>
    </row>
    <row r="37" spans="1:4" x14ac:dyDescent="0.75">
      <c r="A37" s="2">
        <v>8</v>
      </c>
      <c r="B37" s="2">
        <f t="shared" si="0"/>
        <v>1</v>
      </c>
      <c r="C37" s="2">
        <f t="shared" si="1"/>
        <v>1</v>
      </c>
      <c r="D37" s="38" t="str" cm="1">
        <f t="array" ref="D37">INDEX('Radio-2'!$B$2:$H$41,1+B37,C37)</f>
        <v>* differential.element[2].id = "Radiotherapy.radiotherapy.startDate"</v>
      </c>
    </row>
    <row r="38" spans="1:4" x14ac:dyDescent="0.75">
      <c r="A38" s="2">
        <v>9</v>
      </c>
      <c r="B38" s="2">
        <f t="shared" si="0"/>
        <v>1</v>
      </c>
      <c r="C38" s="2">
        <f t="shared" si="1"/>
        <v>2</v>
      </c>
      <c r="D38" s="38" t="str" cm="1">
        <f t="array" ref="D38">INDEX('Radio-2'!$B$2:$H$41,1+B38,C38)</f>
        <v>* differential.element[2].path = "Radiotherapy.radiotherapy.startDate"</v>
      </c>
    </row>
    <row r="39" spans="1:4" x14ac:dyDescent="0.75">
      <c r="A39" s="2">
        <v>10</v>
      </c>
      <c r="B39" s="2">
        <f t="shared" si="0"/>
        <v>1</v>
      </c>
      <c r="C39" s="2">
        <f t="shared" si="1"/>
        <v>3</v>
      </c>
      <c r="D39" s="38" t="str" cm="1">
        <f t="array" ref="D39">INDEX('Radio-2'!$B$2:$H$41,1+B39,C39)</f>
        <v>* differential.element[2].short = "Start date"</v>
      </c>
    </row>
    <row r="40" spans="1:4" ht="29.5" x14ac:dyDescent="0.75">
      <c r="A40" s="2">
        <v>11</v>
      </c>
      <c r="B40" s="2">
        <f t="shared" si="0"/>
        <v>1</v>
      </c>
      <c r="C40" s="2">
        <f t="shared" si="1"/>
        <v>4</v>
      </c>
      <c r="D40" s="38" t="str" cm="1">
        <f t="array" ref="D40">INDEX('Radio-2'!$B$2:$H$41,1+B40,C40)</f>
        <v>* differential.element[2].definition = "Enter the date on which the first treatment (fraction) of radiotherapy was given, in a DD/MM/YYYY format. If the date is unkown or partially missed insert the year at the best of your knowledge."</v>
      </c>
    </row>
    <row r="41" spans="1:4" x14ac:dyDescent="0.75">
      <c r="A41" s="2">
        <v>12</v>
      </c>
      <c r="B41" s="2">
        <f t="shared" si="0"/>
        <v>1</v>
      </c>
      <c r="C41" s="2">
        <f t="shared" si="1"/>
        <v>5</v>
      </c>
      <c r="D41" s="38" t="str" cm="1">
        <f t="array" ref="D41">INDEX('Radio-2'!$B$2:$H$41,1+B41,C41)</f>
        <v>* differential.element[2].min = 1</v>
      </c>
    </row>
    <row r="42" spans="1:4" x14ac:dyDescent="0.75">
      <c r="A42" s="2">
        <v>13</v>
      </c>
      <c r="B42" s="2">
        <f t="shared" si="0"/>
        <v>1</v>
      </c>
      <c r="C42" s="2">
        <f t="shared" si="1"/>
        <v>6</v>
      </c>
      <c r="D42" s="38" t="str" cm="1">
        <f t="array" ref="D42">INDEX('Radio-2'!$B$2:$H$41,1+B42,C42)</f>
        <v>* differential.element[2].max = "1"</v>
      </c>
    </row>
    <row r="43" spans="1:4" x14ac:dyDescent="0.75">
      <c r="A43" s="2">
        <v>14</v>
      </c>
      <c r="B43" s="2">
        <f t="shared" si="0"/>
        <v>1</v>
      </c>
      <c r="C43" s="2">
        <f t="shared" si="1"/>
        <v>7</v>
      </c>
      <c r="D43" s="38" t="str" cm="1">
        <f t="array" ref="D43">INDEX('Radio-2'!$B$2:$H$41,1+B43,C43)</f>
        <v>* differential.element[2].type.code = #dateTime</v>
      </c>
    </row>
    <row r="44" spans="1:4" x14ac:dyDescent="0.75">
      <c r="A44" s="2">
        <v>15</v>
      </c>
      <c r="B44" s="2">
        <f t="shared" si="0"/>
        <v>2</v>
      </c>
      <c r="C44" s="2">
        <f t="shared" si="1"/>
        <v>1</v>
      </c>
      <c r="D44" s="38" t="str" cm="1">
        <f t="array" ref="D44">INDEX('Radio-2'!$B$2:$H$41,1+B44,C44)</f>
        <v>* differential.element[3].id = "Radiotherapy.radiotherapy.target"</v>
      </c>
    </row>
    <row r="45" spans="1:4" x14ac:dyDescent="0.75">
      <c r="A45" s="2">
        <v>16</v>
      </c>
      <c r="B45" s="2">
        <f t="shared" si="0"/>
        <v>2</v>
      </c>
      <c r="C45" s="2">
        <f t="shared" si="1"/>
        <v>2</v>
      </c>
      <c r="D45" s="38" t="str" cm="1">
        <f t="array" ref="D45">INDEX('Radio-2'!$B$2:$H$41,1+B45,C45)</f>
        <v>* differential.element[3].path = "Radiotherapy.radiotherapy.target"</v>
      </c>
    </row>
    <row r="46" spans="1:4" x14ac:dyDescent="0.75">
      <c r="A46" s="2">
        <v>17</v>
      </c>
      <c r="B46" s="2">
        <f t="shared" si="0"/>
        <v>2</v>
      </c>
      <c r="C46" s="2">
        <f t="shared" si="1"/>
        <v>3</v>
      </c>
      <c r="D46" s="38" t="str" cm="1">
        <f t="array" ref="D46">INDEX('Radio-2'!$B$2:$H$41,1+B46,C46)</f>
        <v>* differential.element[3].short = "Target Body Site"</v>
      </c>
    </row>
    <row r="47" spans="1:4" ht="59" x14ac:dyDescent="0.75">
      <c r="A47" s="2">
        <v>18</v>
      </c>
      <c r="B47" s="2">
        <f t="shared" si="0"/>
        <v>2</v>
      </c>
      <c r="C47" s="2">
        <f t="shared" si="1"/>
        <v>4</v>
      </c>
      <c r="D47" s="38" t="str" cm="1">
        <f t="array" ref="D47">INDEX('Radio-2'!$B$2:$H$41,1+B47,C47)</f>
        <v>* differential.element[3].definition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48" spans="1:4" x14ac:dyDescent="0.75">
      <c r="A48" s="2">
        <v>19</v>
      </c>
      <c r="B48" s="2">
        <f t="shared" si="0"/>
        <v>2</v>
      </c>
      <c r="C48" s="2">
        <f t="shared" si="1"/>
        <v>5</v>
      </c>
      <c r="D48" s="38" t="str" cm="1">
        <f t="array" ref="D48">INDEX('Radio-2'!$B$2:$H$41,1+B48,C48)</f>
        <v>* differential.element[3].min = 0</v>
      </c>
    </row>
    <row r="49" spans="1:4" x14ac:dyDescent="0.75">
      <c r="A49" s="2">
        <v>20</v>
      </c>
      <c r="B49" s="2">
        <f t="shared" si="0"/>
        <v>2</v>
      </c>
      <c r="C49" s="2">
        <f t="shared" si="1"/>
        <v>6</v>
      </c>
      <c r="D49" s="38" t="str" cm="1">
        <f t="array" ref="D49">INDEX('Radio-2'!$B$2:$H$41,1+B49,C49)</f>
        <v>* differential.element[3].max = "5"</v>
      </c>
    </row>
    <row r="50" spans="1:4" x14ac:dyDescent="0.75">
      <c r="A50" s="2">
        <v>21</v>
      </c>
      <c r="B50" s="2">
        <f t="shared" si="0"/>
        <v>2</v>
      </c>
      <c r="C50" s="2">
        <f t="shared" si="1"/>
        <v>7</v>
      </c>
      <c r="D50" s="38" t="str" cm="1">
        <f t="array" ref="D50">INDEX('Radio-2'!$B$2:$H$41,1+B50,C50)</f>
        <v>* differential.element[3].type.code = #BackboneElement</v>
      </c>
    </row>
    <row r="51" spans="1:4" x14ac:dyDescent="0.75">
      <c r="A51" s="2">
        <v>22</v>
      </c>
      <c r="B51" s="2">
        <f t="shared" si="0"/>
        <v>3</v>
      </c>
      <c r="C51" s="2">
        <f t="shared" si="1"/>
        <v>1</v>
      </c>
      <c r="D51" s="38" t="str" cm="1">
        <f t="array" ref="D51">INDEX('Radio-2'!$B$2:$H$41,1+B51,C51)</f>
        <v>* differential.element[4].id = "Radiotherapy.radiotherapy.target.site"</v>
      </c>
    </row>
    <row r="52" spans="1:4" x14ac:dyDescent="0.75">
      <c r="A52" s="2">
        <v>23</v>
      </c>
      <c r="B52" s="2">
        <f t="shared" si="0"/>
        <v>3</v>
      </c>
      <c r="C52" s="2">
        <f t="shared" si="1"/>
        <v>2</v>
      </c>
      <c r="D52" s="38" t="str" cm="1">
        <f t="array" ref="D52">INDEX('Radio-2'!$B$2:$H$41,1+B52,C52)</f>
        <v>* differential.element[4].path = "Radiotherapy.radiotherapy.target.site"</v>
      </c>
    </row>
    <row r="53" spans="1:4" x14ac:dyDescent="0.75">
      <c r="A53" s="2">
        <v>24</v>
      </c>
      <c r="B53" s="2">
        <f t="shared" si="0"/>
        <v>3</v>
      </c>
      <c r="C53" s="2">
        <f t="shared" si="1"/>
        <v>3</v>
      </c>
      <c r="D53" s="38" t="str" cm="1">
        <f t="array" ref="D53">INDEX('Radio-2'!$B$2:$H$41,1+B53,C53)</f>
        <v>* differential.element[4].short = "Body Site"</v>
      </c>
    </row>
    <row r="54" spans="1:4" ht="118" x14ac:dyDescent="0.75">
      <c r="A54" s="2">
        <v>25</v>
      </c>
      <c r="B54" s="2">
        <f t="shared" si="0"/>
        <v>3</v>
      </c>
      <c r="C54" s="2">
        <f t="shared" si="1"/>
        <v>4</v>
      </c>
      <c r="D54" s="38" t="str" cm="1">
        <f t="array" ref="D54">INDEX('Radio-2'!$B$2:$H$41,1+B54,C54)</f>
        <v>* differential.element[4].definition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55" spans="1:4" x14ac:dyDescent="0.75">
      <c r="A55" s="2">
        <v>26</v>
      </c>
      <c r="B55" s="2">
        <f t="shared" si="0"/>
        <v>3</v>
      </c>
      <c r="C55" s="2">
        <f t="shared" si="1"/>
        <v>5</v>
      </c>
      <c r="D55" s="38" t="str" cm="1">
        <f t="array" ref="D55">INDEX('Radio-2'!$B$2:$H$41,1+B55,C55)</f>
        <v>* differential.element[4].min = 1</v>
      </c>
    </row>
    <row r="56" spans="1:4" x14ac:dyDescent="0.75">
      <c r="A56" s="2">
        <v>27</v>
      </c>
      <c r="B56" s="2">
        <f t="shared" si="0"/>
        <v>3</v>
      </c>
      <c r="C56" s="2">
        <f t="shared" si="1"/>
        <v>6</v>
      </c>
      <c r="D56" s="38" t="str" cm="1">
        <f t="array" ref="D56">INDEX('Radio-2'!$B$2:$H$41,1+B56,C56)</f>
        <v>* differential.element[4].max = "1"</v>
      </c>
    </row>
    <row r="57" spans="1:4" x14ac:dyDescent="0.75">
      <c r="A57" s="2">
        <v>28</v>
      </c>
      <c r="B57" s="2">
        <f t="shared" si="0"/>
        <v>3</v>
      </c>
      <c r="C57" s="2">
        <f t="shared" si="1"/>
        <v>7</v>
      </c>
      <c r="D57" s="38" t="str" cm="1">
        <f t="array" ref="D57">INDEX('Radio-2'!$B$2:$H$41,1+B57,C57)</f>
        <v>* differential.element[4].type.code = #CodeableConcept</v>
      </c>
    </row>
    <row r="58" spans="1:4" x14ac:dyDescent="0.75">
      <c r="A58" s="2">
        <v>29</v>
      </c>
      <c r="B58" s="2">
        <f t="shared" si="0"/>
        <v>4</v>
      </c>
      <c r="C58" s="2">
        <f t="shared" si="1"/>
        <v>1</v>
      </c>
      <c r="D58" s="38" t="str" cm="1">
        <f t="array" ref="D58">INDEX('Radio-2'!$B$2:$H$41,1+B58,C58)</f>
        <v>* differential.element[5].id = "Radiotherapy.radiotherapy.target.comulativeDose"</v>
      </c>
    </row>
    <row r="59" spans="1:4" x14ac:dyDescent="0.75">
      <c r="A59" s="2">
        <v>30</v>
      </c>
      <c r="B59" s="2">
        <f t="shared" si="0"/>
        <v>4</v>
      </c>
      <c r="C59" s="2">
        <f t="shared" si="1"/>
        <v>2</v>
      </c>
      <c r="D59" s="38" t="str" cm="1">
        <f t="array" ref="D59">INDEX('Radio-2'!$B$2:$H$41,1+B59,C59)</f>
        <v>* differential.element[5].path = "Radiotherapy.radiotherapy.target.comulativeDose"</v>
      </c>
    </row>
    <row r="60" spans="1:4" x14ac:dyDescent="0.75">
      <c r="A60" s="2">
        <v>31</v>
      </c>
      <c r="B60" s="2">
        <f t="shared" si="0"/>
        <v>4</v>
      </c>
      <c r="C60" s="2">
        <f t="shared" si="1"/>
        <v>3</v>
      </c>
      <c r="D60" s="38" t="str" cm="1">
        <f t="array" ref="D60">INDEX('Radio-2'!$B$2:$H$41,1+B60,C60)</f>
        <v>* differential.element[5].short = "Comulative dose"</v>
      </c>
    </row>
    <row r="61" spans="1:4" ht="29.5" x14ac:dyDescent="0.75">
      <c r="A61" s="2">
        <v>32</v>
      </c>
      <c r="B61" s="2">
        <f t="shared" si="0"/>
        <v>4</v>
      </c>
      <c r="C61" s="2">
        <f t="shared" si="1"/>
        <v>4</v>
      </c>
      <c r="D61" s="38" t="str" cm="1">
        <f t="array" ref="D61">INDEX('Radio-2'!$B$2:$H$41,1+B61,C61)</f>
        <v>* differential.element[5].definition = "Specify the cumulative / total dose given to the primary radiation therapy site.
If the dose is not known, write NK."</v>
      </c>
    </row>
    <row r="62" spans="1:4" x14ac:dyDescent="0.75">
      <c r="A62" s="2">
        <v>33</v>
      </c>
      <c r="B62" s="2">
        <f t="shared" si="0"/>
        <v>4</v>
      </c>
      <c r="C62" s="2">
        <f t="shared" si="1"/>
        <v>5</v>
      </c>
      <c r="D62" s="38" t="str" cm="1">
        <f t="array" ref="D62">INDEX('Radio-2'!$B$2:$H$41,1+B62,C62)</f>
        <v>* differential.element[5].min = 0</v>
      </c>
    </row>
    <row r="63" spans="1:4" x14ac:dyDescent="0.75">
      <c r="A63" s="2">
        <v>34</v>
      </c>
      <c r="B63" s="2">
        <f t="shared" si="0"/>
        <v>4</v>
      </c>
      <c r="C63" s="2">
        <f t="shared" si="1"/>
        <v>6</v>
      </c>
      <c r="D63" s="38" t="str" cm="1">
        <f t="array" ref="D63">INDEX('Radio-2'!$B$2:$H$41,1+B63,C63)</f>
        <v>* differential.element[5].max = "1"</v>
      </c>
    </row>
    <row r="64" spans="1:4" x14ac:dyDescent="0.75">
      <c r="A64" s="2">
        <v>35</v>
      </c>
      <c r="B64" s="2">
        <f t="shared" si="0"/>
        <v>4</v>
      </c>
      <c r="C64" s="2">
        <f t="shared" si="1"/>
        <v>7</v>
      </c>
      <c r="D64" s="38" t="str" cm="1">
        <f t="array" ref="D64">INDEX('Radio-2'!$B$2:$H$41,1+B64,C64)</f>
        <v>* differential.element[5].type.code = #BackboneElement</v>
      </c>
    </row>
    <row r="65" spans="1:4" x14ac:dyDescent="0.75">
      <c r="A65" s="2">
        <v>36</v>
      </c>
      <c r="B65" s="2">
        <f t="shared" si="0"/>
        <v>5</v>
      </c>
      <c r="C65" s="2">
        <f t="shared" si="1"/>
        <v>1</v>
      </c>
      <c r="D65" s="38" cm="1">
        <f t="array" ref="D65">INDEX('Radio-2'!$B$2:$H$41,1+B65,C65)</f>
        <v>0</v>
      </c>
    </row>
    <row r="66" spans="1:4" x14ac:dyDescent="0.75">
      <c r="A66" s="2">
        <v>37</v>
      </c>
      <c r="B66" s="2">
        <f t="shared" si="0"/>
        <v>5</v>
      </c>
      <c r="C66" s="2">
        <f t="shared" si="1"/>
        <v>2</v>
      </c>
      <c r="D66" s="38" cm="1">
        <f t="array" ref="D66">INDEX('Radio-2'!$B$2:$H$41,1+B66,C66)</f>
        <v>0</v>
      </c>
    </row>
    <row r="67" spans="1:4" x14ac:dyDescent="0.75">
      <c r="A67" s="2">
        <v>38</v>
      </c>
      <c r="B67" s="2">
        <f t="shared" si="0"/>
        <v>5</v>
      </c>
      <c r="C67" s="2">
        <f t="shared" si="1"/>
        <v>3</v>
      </c>
      <c r="D67" s="38" cm="1">
        <f t="array" ref="D67">INDEX('Radio-2'!$B$2:$H$41,1+B67,C67)</f>
        <v>0</v>
      </c>
    </row>
    <row r="68" spans="1:4" x14ac:dyDescent="0.75">
      <c r="A68" s="2">
        <v>39</v>
      </c>
      <c r="B68" s="2">
        <f t="shared" si="0"/>
        <v>5</v>
      </c>
      <c r="C68" s="2">
        <f t="shared" si="1"/>
        <v>4</v>
      </c>
      <c r="D68" s="38" cm="1">
        <f t="array" ref="D68">INDEX('Radio-2'!$B$2:$H$41,1+B68,C68)</f>
        <v>0</v>
      </c>
    </row>
    <row r="69" spans="1:4" x14ac:dyDescent="0.75">
      <c r="A69" s="2">
        <v>40</v>
      </c>
      <c r="B69" s="2">
        <f t="shared" si="0"/>
        <v>5</v>
      </c>
      <c r="C69" s="2">
        <f t="shared" si="1"/>
        <v>5</v>
      </c>
      <c r="D69" s="38" cm="1">
        <f t="array" ref="D69">INDEX('Radio-2'!$B$2:$H$41,1+B69,C69)</f>
        <v>0</v>
      </c>
    </row>
    <row r="70" spans="1:4" x14ac:dyDescent="0.75">
      <c r="A70" s="2">
        <v>41</v>
      </c>
      <c r="B70" s="2">
        <f t="shared" si="0"/>
        <v>5</v>
      </c>
      <c r="C70" s="2">
        <f t="shared" si="1"/>
        <v>6</v>
      </c>
      <c r="D70" s="38" cm="1">
        <f t="array" ref="D70">INDEX('Radio-2'!$B$2:$H$41,1+B70,C70)</f>
        <v>0</v>
      </c>
    </row>
    <row r="71" spans="1:4" x14ac:dyDescent="0.75">
      <c r="A71" s="2">
        <v>42</v>
      </c>
      <c r="B71" s="2">
        <f t="shared" si="0"/>
        <v>5</v>
      </c>
      <c r="C71" s="2">
        <f t="shared" si="1"/>
        <v>7</v>
      </c>
      <c r="D71" s="38" cm="1">
        <f t="array" ref="D71">INDEX('Radio-2'!$B$2:$H$41,1+B71,C71)</f>
        <v>0</v>
      </c>
    </row>
    <row r="72" spans="1:4" x14ac:dyDescent="0.75">
      <c r="A72" s="2">
        <v>43</v>
      </c>
      <c r="B72" s="2">
        <f t="shared" si="0"/>
        <v>6</v>
      </c>
      <c r="C72" s="2">
        <f t="shared" si="1"/>
        <v>1</v>
      </c>
      <c r="D72" s="38" cm="1">
        <f t="array" ref="D72">INDEX('Radio-2'!$B$2:$H$41,1+B72,C72)</f>
        <v>0</v>
      </c>
    </row>
    <row r="73" spans="1:4" x14ac:dyDescent="0.75">
      <c r="A73" s="2">
        <v>44</v>
      </c>
      <c r="B73" s="2">
        <f t="shared" si="0"/>
        <v>6</v>
      </c>
      <c r="C73" s="2">
        <f t="shared" si="1"/>
        <v>2</v>
      </c>
      <c r="D73" s="38" cm="1">
        <f t="array" ref="D73">INDEX('Radio-2'!$B$2:$H$41,1+B73,C73)</f>
        <v>0</v>
      </c>
    </row>
    <row r="74" spans="1:4" x14ac:dyDescent="0.75">
      <c r="A74" s="2">
        <v>45</v>
      </c>
      <c r="B74" s="2">
        <f t="shared" si="0"/>
        <v>6</v>
      </c>
      <c r="C74" s="2">
        <f t="shared" si="1"/>
        <v>3</v>
      </c>
      <c r="D74" s="38" cm="1">
        <f t="array" ref="D74">INDEX('Radio-2'!$B$2:$H$41,1+B74,C74)</f>
        <v>0</v>
      </c>
    </row>
    <row r="75" spans="1:4" x14ac:dyDescent="0.75">
      <c r="A75" s="2">
        <v>46</v>
      </c>
      <c r="B75" s="2">
        <f t="shared" si="0"/>
        <v>6</v>
      </c>
      <c r="C75" s="2">
        <f t="shared" si="1"/>
        <v>4</v>
      </c>
      <c r="D75" s="38" cm="1">
        <f t="array" ref="D75">INDEX('Radio-2'!$B$2:$H$41,1+B75,C75)</f>
        <v>0</v>
      </c>
    </row>
    <row r="76" spans="1:4" x14ac:dyDescent="0.75">
      <c r="A76" s="2">
        <v>47</v>
      </c>
      <c r="B76" s="2">
        <f t="shared" si="0"/>
        <v>6</v>
      </c>
      <c r="C76" s="2">
        <f t="shared" si="1"/>
        <v>5</v>
      </c>
      <c r="D76" s="38" cm="1">
        <f t="array" ref="D76">INDEX('Radio-2'!$B$2:$H$41,1+B76,C76)</f>
        <v>0</v>
      </c>
    </row>
    <row r="77" spans="1:4" x14ac:dyDescent="0.75">
      <c r="A77" s="2">
        <v>48</v>
      </c>
      <c r="B77" s="2">
        <f t="shared" si="0"/>
        <v>6</v>
      </c>
      <c r="C77" s="2">
        <f t="shared" si="1"/>
        <v>6</v>
      </c>
      <c r="D77" s="38" cm="1">
        <f t="array" ref="D77">INDEX('Radio-2'!$B$2:$H$41,1+B77,C77)</f>
        <v>0</v>
      </c>
    </row>
    <row r="78" spans="1:4" x14ac:dyDescent="0.75">
      <c r="A78" s="2">
        <v>49</v>
      </c>
      <c r="B78" s="2">
        <f t="shared" si="0"/>
        <v>6</v>
      </c>
      <c r="C78" s="2">
        <f t="shared" si="1"/>
        <v>7</v>
      </c>
      <c r="D78" s="38" cm="1">
        <f t="array" ref="D78">INDEX('Radio-2'!$B$2:$H$41,1+B78,C78)</f>
        <v>0</v>
      </c>
    </row>
    <row r="79" spans="1:4" x14ac:dyDescent="0.75">
      <c r="A79" s="2">
        <v>50</v>
      </c>
      <c r="B79" s="2">
        <f t="shared" si="0"/>
        <v>7</v>
      </c>
      <c r="C79" s="2">
        <f t="shared" si="1"/>
        <v>1</v>
      </c>
      <c r="D79" s="38" cm="1">
        <f t="array" ref="D79">INDEX('Radio-2'!$B$2:$H$41,1+B79,C79)</f>
        <v>0</v>
      </c>
    </row>
    <row r="80" spans="1:4" x14ac:dyDescent="0.75">
      <c r="A80" s="2">
        <v>51</v>
      </c>
      <c r="B80" s="2">
        <f t="shared" si="0"/>
        <v>7</v>
      </c>
      <c r="C80" s="2">
        <f t="shared" si="1"/>
        <v>2</v>
      </c>
      <c r="D80" s="38" cm="1">
        <f t="array" ref="D80">INDEX('Radio-2'!$B$2:$H$41,1+B80,C80)</f>
        <v>0</v>
      </c>
    </row>
    <row r="81" spans="1:7" x14ac:dyDescent="0.75">
      <c r="A81" s="2">
        <v>52</v>
      </c>
      <c r="B81" s="2">
        <f t="shared" si="0"/>
        <v>7</v>
      </c>
      <c r="C81" s="2">
        <f t="shared" si="1"/>
        <v>3</v>
      </c>
      <c r="D81" s="38" cm="1">
        <f t="array" ref="D81">INDEX('Radio-2'!$B$2:$H$41,1+B81,C81)</f>
        <v>0</v>
      </c>
    </row>
    <row r="82" spans="1:7" x14ac:dyDescent="0.75">
      <c r="A82" s="2">
        <v>53</v>
      </c>
      <c r="B82" s="2">
        <f t="shared" si="0"/>
        <v>7</v>
      </c>
      <c r="C82" s="2">
        <f t="shared" si="1"/>
        <v>4</v>
      </c>
      <c r="D82" s="38" cm="1">
        <f t="array" ref="D82">INDEX('Radio-2'!$B$2:$H$41,1+B82,C82)</f>
        <v>0</v>
      </c>
      <c r="G82" s="16"/>
    </row>
    <row r="83" spans="1:7" x14ac:dyDescent="0.75">
      <c r="A83" s="2">
        <v>54</v>
      </c>
      <c r="B83" s="2">
        <f t="shared" si="0"/>
        <v>7</v>
      </c>
      <c r="C83" s="2">
        <f t="shared" si="1"/>
        <v>5</v>
      </c>
      <c r="D83" s="38" cm="1">
        <f t="array" ref="D83">INDEX('Radio-2'!$B$2:$H$41,1+B83,C83)</f>
        <v>0</v>
      </c>
    </row>
    <row r="84" spans="1:7" x14ac:dyDescent="0.75">
      <c r="A84" s="2">
        <v>55</v>
      </c>
      <c r="B84" s="2">
        <f t="shared" si="0"/>
        <v>7</v>
      </c>
      <c r="C84" s="2">
        <f t="shared" si="1"/>
        <v>6</v>
      </c>
      <c r="D84" s="38" cm="1">
        <f t="array" ref="D84">INDEX('Radio-2'!$B$2:$H$41,1+B84,C84)</f>
        <v>0</v>
      </c>
    </row>
    <row r="85" spans="1:7" x14ac:dyDescent="0.75">
      <c r="A85" s="2">
        <v>56</v>
      </c>
      <c r="B85" s="2">
        <f t="shared" si="0"/>
        <v>7</v>
      </c>
      <c r="C85" s="2">
        <f t="shared" si="1"/>
        <v>7</v>
      </c>
      <c r="D85" s="38" cm="1">
        <f t="array" ref="D85">INDEX('Radio-2'!$B$2:$H$41,1+B85,C85)</f>
        <v>0</v>
      </c>
    </row>
    <row r="86" spans="1:7" x14ac:dyDescent="0.75">
      <c r="A86" s="2">
        <v>57</v>
      </c>
      <c r="B86" s="2">
        <f t="shared" si="0"/>
        <v>8</v>
      </c>
      <c r="C86" s="2">
        <f t="shared" si="1"/>
        <v>1</v>
      </c>
      <c r="D86" s="38" cm="1">
        <f t="array" ref="D86">INDEX('Radio-2'!$B$2:$H$41,1+B86,C86)</f>
        <v>0</v>
      </c>
    </row>
    <row r="87" spans="1:7" x14ac:dyDescent="0.75">
      <c r="A87" s="2">
        <v>58</v>
      </c>
      <c r="B87" s="2">
        <f t="shared" si="0"/>
        <v>8</v>
      </c>
      <c r="C87" s="2">
        <f t="shared" si="1"/>
        <v>2</v>
      </c>
      <c r="D87" s="38" cm="1">
        <f t="array" ref="D87">INDEX('Radio-2'!$B$2:$H$41,1+B87,C87)</f>
        <v>0</v>
      </c>
    </row>
    <row r="88" spans="1:7" x14ac:dyDescent="0.75">
      <c r="A88" s="2">
        <v>59</v>
      </c>
      <c r="B88" s="2">
        <f t="shared" si="0"/>
        <v>8</v>
      </c>
      <c r="C88" s="2">
        <f t="shared" si="1"/>
        <v>3</v>
      </c>
      <c r="D88" s="38" cm="1">
        <f t="array" ref="D88">INDEX('Radio-2'!$B$2:$H$41,1+B88,C88)</f>
        <v>0</v>
      </c>
    </row>
    <row r="89" spans="1:7" x14ac:dyDescent="0.75">
      <c r="A89" s="2">
        <v>60</v>
      </c>
      <c r="B89" s="2">
        <f t="shared" si="0"/>
        <v>8</v>
      </c>
      <c r="C89" s="2">
        <f t="shared" si="1"/>
        <v>4</v>
      </c>
      <c r="D89" s="38" cm="1">
        <f t="array" ref="D89">INDEX('Radio-2'!$B$2:$H$41,1+B89,C89)</f>
        <v>0</v>
      </c>
    </row>
    <row r="90" spans="1:7" x14ac:dyDescent="0.75">
      <c r="A90" s="2">
        <v>61</v>
      </c>
      <c r="B90" s="2">
        <f t="shared" si="0"/>
        <v>8</v>
      </c>
      <c r="C90" s="2">
        <f t="shared" si="1"/>
        <v>5</v>
      </c>
      <c r="D90" s="38" cm="1">
        <f t="array" ref="D90">INDEX('Radio-2'!$B$2:$H$41,1+B90,C90)</f>
        <v>0</v>
      </c>
    </row>
    <row r="91" spans="1:7" x14ac:dyDescent="0.75">
      <c r="A91" s="2">
        <v>62</v>
      </c>
      <c r="B91" s="2">
        <f t="shared" si="0"/>
        <v>8</v>
      </c>
      <c r="C91" s="2">
        <f t="shared" si="1"/>
        <v>6</v>
      </c>
      <c r="D91" s="38" cm="1">
        <f t="array" ref="D91">INDEX('Radio-2'!$B$2:$H$41,1+B91,C91)</f>
        <v>0</v>
      </c>
    </row>
    <row r="92" spans="1:7" x14ac:dyDescent="0.75">
      <c r="A92" s="2">
        <v>63</v>
      </c>
      <c r="B92" s="2">
        <f t="shared" si="0"/>
        <v>8</v>
      </c>
      <c r="C92" s="2">
        <f t="shared" si="1"/>
        <v>7</v>
      </c>
      <c r="D92" s="38" cm="1">
        <f t="array" ref="D92">INDEX('Radio-2'!$B$2:$H$41,1+B92,C92)</f>
        <v>0</v>
      </c>
    </row>
    <row r="93" spans="1:7" x14ac:dyDescent="0.75">
      <c r="A93" s="2">
        <v>64</v>
      </c>
      <c r="B93" s="2">
        <f t="shared" si="0"/>
        <v>9</v>
      </c>
      <c r="C93" s="2">
        <f t="shared" si="1"/>
        <v>1</v>
      </c>
      <c r="D93" s="38" cm="1">
        <f t="array" ref="D93">INDEX('Radio-2'!$B$2:$H$41,1+B93,C93)</f>
        <v>0</v>
      </c>
    </row>
    <row r="94" spans="1:7" x14ac:dyDescent="0.75">
      <c r="A94" s="2">
        <v>65</v>
      </c>
      <c r="B94" s="2">
        <f t="shared" si="0"/>
        <v>9</v>
      </c>
      <c r="C94" s="2">
        <f t="shared" si="1"/>
        <v>2</v>
      </c>
      <c r="D94" s="38" cm="1">
        <f t="array" ref="D94">INDEX('Radio-2'!$B$2:$H$41,1+B94,C94)</f>
        <v>0</v>
      </c>
    </row>
    <row r="95" spans="1:7" x14ac:dyDescent="0.75">
      <c r="A95" s="2">
        <v>66</v>
      </c>
      <c r="B95" s="2">
        <f t="shared" ref="B95:B158" si="2">IF(MOD(A95,7)=0,A95/7-1,INT(A95/7))</f>
        <v>9</v>
      </c>
      <c r="C95" s="2">
        <f t="shared" ref="C95:C158" si="3">IF(MOD(A95,7)=0,7,MOD(A95,7))</f>
        <v>3</v>
      </c>
      <c r="D95" s="38" cm="1">
        <f t="array" ref="D95">INDEX('Radio-2'!$B$2:$H$41,1+B95,C95)</f>
        <v>0</v>
      </c>
    </row>
    <row r="96" spans="1:7" x14ac:dyDescent="0.75">
      <c r="A96" s="2">
        <v>67</v>
      </c>
      <c r="B96" s="2">
        <f t="shared" si="2"/>
        <v>9</v>
      </c>
      <c r="C96" s="2">
        <f t="shared" si="3"/>
        <v>4</v>
      </c>
      <c r="D96" s="38" cm="1">
        <f t="array" ref="D96">INDEX('Radio-2'!$B$2:$H$41,1+B96,C96)</f>
        <v>0</v>
      </c>
    </row>
    <row r="97" spans="1:4" x14ac:dyDescent="0.75">
      <c r="A97" s="2">
        <v>68</v>
      </c>
      <c r="B97" s="2">
        <f t="shared" si="2"/>
        <v>9</v>
      </c>
      <c r="C97" s="2">
        <f t="shared" si="3"/>
        <v>5</v>
      </c>
      <c r="D97" s="38" cm="1">
        <f t="array" ref="D97">INDEX('Radio-2'!$B$2:$H$41,1+B97,C97)</f>
        <v>0</v>
      </c>
    </row>
    <row r="98" spans="1:4" x14ac:dyDescent="0.75">
      <c r="A98" s="2">
        <v>69</v>
      </c>
      <c r="B98" s="2">
        <f t="shared" si="2"/>
        <v>9</v>
      </c>
      <c r="C98" s="2">
        <f t="shared" si="3"/>
        <v>6</v>
      </c>
      <c r="D98" s="38" cm="1">
        <f t="array" ref="D98">INDEX('Radio-2'!$B$2:$H$41,1+B98,C98)</f>
        <v>0</v>
      </c>
    </row>
    <row r="99" spans="1:4" x14ac:dyDescent="0.75">
      <c r="A99" s="2">
        <v>70</v>
      </c>
      <c r="B99" s="2">
        <f t="shared" si="2"/>
        <v>9</v>
      </c>
      <c r="C99" s="2">
        <f t="shared" si="3"/>
        <v>7</v>
      </c>
      <c r="D99" s="38" cm="1">
        <f t="array" ref="D99">INDEX('Radio-2'!$B$2:$H$41,1+B99,C99)</f>
        <v>0</v>
      </c>
    </row>
    <row r="100" spans="1:4" x14ac:dyDescent="0.75">
      <c r="A100" s="2">
        <v>71</v>
      </c>
      <c r="B100" s="2">
        <f t="shared" si="2"/>
        <v>10</v>
      </c>
      <c r="C100" s="2">
        <f t="shared" si="3"/>
        <v>1</v>
      </c>
      <c r="D100" s="38" cm="1">
        <f t="array" ref="D100">INDEX('Radio-2'!$B$2:$H$41,1+B100,C100)</f>
        <v>0</v>
      </c>
    </row>
    <row r="101" spans="1:4" x14ac:dyDescent="0.75">
      <c r="A101" s="2">
        <v>72</v>
      </c>
      <c r="B101" s="2">
        <f t="shared" si="2"/>
        <v>10</v>
      </c>
      <c r="C101" s="2">
        <f t="shared" si="3"/>
        <v>2</v>
      </c>
      <c r="D101" s="38" cm="1">
        <f t="array" ref="D101">INDEX('Radio-2'!$B$2:$H$41,1+B101,C101)</f>
        <v>0</v>
      </c>
    </row>
    <row r="102" spans="1:4" x14ac:dyDescent="0.75">
      <c r="A102" s="2">
        <v>73</v>
      </c>
      <c r="B102" s="2">
        <f t="shared" si="2"/>
        <v>10</v>
      </c>
      <c r="C102" s="2">
        <f t="shared" si="3"/>
        <v>3</v>
      </c>
      <c r="D102" s="38" cm="1">
        <f t="array" ref="D102">INDEX('Radio-2'!$B$2:$H$41,1+B102,C102)</f>
        <v>0</v>
      </c>
    </row>
    <row r="103" spans="1:4" x14ac:dyDescent="0.75">
      <c r="A103" s="2">
        <v>74</v>
      </c>
      <c r="B103" s="2">
        <f t="shared" si="2"/>
        <v>10</v>
      </c>
      <c r="C103" s="2">
        <f t="shared" si="3"/>
        <v>4</v>
      </c>
      <c r="D103" s="38" cm="1">
        <f t="array" ref="D103">INDEX('Radio-2'!$B$2:$H$41,1+B103,C103)</f>
        <v>0</v>
      </c>
    </row>
    <row r="104" spans="1:4" x14ac:dyDescent="0.75">
      <c r="A104" s="2">
        <v>75</v>
      </c>
      <c r="B104" s="2">
        <f t="shared" si="2"/>
        <v>10</v>
      </c>
      <c r="C104" s="2">
        <f t="shared" si="3"/>
        <v>5</v>
      </c>
      <c r="D104" s="38" cm="1">
        <f t="array" ref="D104">INDEX('Radio-2'!$B$2:$H$41,1+B104,C104)</f>
        <v>0</v>
      </c>
    </row>
    <row r="105" spans="1:4" x14ac:dyDescent="0.75">
      <c r="A105" s="2">
        <v>76</v>
      </c>
      <c r="B105" s="2">
        <f t="shared" si="2"/>
        <v>10</v>
      </c>
      <c r="C105" s="2">
        <f t="shared" si="3"/>
        <v>6</v>
      </c>
      <c r="D105" s="38" cm="1">
        <f t="array" ref="D105">INDEX('Radio-2'!$B$2:$H$41,1+B105,C105)</f>
        <v>0</v>
      </c>
    </row>
    <row r="106" spans="1:4" x14ac:dyDescent="0.75">
      <c r="A106" s="2">
        <v>77</v>
      </c>
      <c r="B106" s="2">
        <f t="shared" si="2"/>
        <v>10</v>
      </c>
      <c r="C106" s="2">
        <f t="shared" si="3"/>
        <v>7</v>
      </c>
      <c r="D106" s="38" cm="1">
        <f t="array" ref="D106">INDEX('Radio-2'!$B$2:$H$41,1+B106,C106)</f>
        <v>0</v>
      </c>
    </row>
    <row r="107" spans="1:4" x14ac:dyDescent="0.75">
      <c r="A107" s="2">
        <v>78</v>
      </c>
      <c r="B107" s="2">
        <f t="shared" si="2"/>
        <v>11</v>
      </c>
      <c r="C107" s="2">
        <f t="shared" si="3"/>
        <v>1</v>
      </c>
      <c r="D107" s="38" cm="1">
        <f t="array" ref="D107">INDEX('Radio-2'!$B$2:$H$41,1+B107,C107)</f>
        <v>0</v>
      </c>
    </row>
    <row r="108" spans="1:4" x14ac:dyDescent="0.75">
      <c r="A108" s="2">
        <v>79</v>
      </c>
      <c r="B108" s="2">
        <f t="shared" si="2"/>
        <v>11</v>
      </c>
      <c r="C108" s="2">
        <f t="shared" si="3"/>
        <v>2</v>
      </c>
      <c r="D108" s="38" cm="1">
        <f t="array" ref="D108">INDEX('Radio-2'!$B$2:$H$41,1+B108,C108)</f>
        <v>0</v>
      </c>
    </row>
    <row r="109" spans="1:4" x14ac:dyDescent="0.75">
      <c r="A109" s="2">
        <v>80</v>
      </c>
      <c r="B109" s="2">
        <f t="shared" si="2"/>
        <v>11</v>
      </c>
      <c r="C109" s="2">
        <f t="shared" si="3"/>
        <v>3</v>
      </c>
      <c r="D109" s="38" cm="1">
        <f t="array" ref="D109">INDEX('Radio-2'!$B$2:$H$41,1+B109,C109)</f>
        <v>0</v>
      </c>
    </row>
    <row r="110" spans="1:4" x14ac:dyDescent="0.75">
      <c r="A110" s="2">
        <v>81</v>
      </c>
      <c r="B110" s="2">
        <f t="shared" si="2"/>
        <v>11</v>
      </c>
      <c r="C110" s="2">
        <f t="shared" si="3"/>
        <v>4</v>
      </c>
      <c r="D110" s="38" cm="1">
        <f t="array" ref="D110">INDEX('Radio-2'!$B$2:$H$41,1+B110,C110)</f>
        <v>0</v>
      </c>
    </row>
    <row r="111" spans="1:4" x14ac:dyDescent="0.75">
      <c r="A111" s="2">
        <v>82</v>
      </c>
      <c r="B111" s="2">
        <f t="shared" si="2"/>
        <v>11</v>
      </c>
      <c r="C111" s="2">
        <f t="shared" si="3"/>
        <v>5</v>
      </c>
      <c r="D111" s="38" cm="1">
        <f t="array" ref="D111">INDEX('Radio-2'!$B$2:$H$41,1+B111,C111)</f>
        <v>0</v>
      </c>
    </row>
    <row r="112" spans="1:4" x14ac:dyDescent="0.75">
      <c r="A112" s="2">
        <v>83</v>
      </c>
      <c r="B112" s="2">
        <f t="shared" si="2"/>
        <v>11</v>
      </c>
      <c r="C112" s="2">
        <f t="shared" si="3"/>
        <v>6</v>
      </c>
      <c r="D112" s="38" cm="1">
        <f t="array" ref="D112">INDEX('Radio-2'!$B$2:$H$41,1+B112,C112)</f>
        <v>0</v>
      </c>
    </row>
    <row r="113" spans="1:4" x14ac:dyDescent="0.75">
      <c r="A113" s="2">
        <v>84</v>
      </c>
      <c r="B113" s="2">
        <f t="shared" si="2"/>
        <v>11</v>
      </c>
      <c r="C113" s="2">
        <f t="shared" si="3"/>
        <v>7</v>
      </c>
      <c r="D113" s="38" cm="1">
        <f t="array" ref="D113">INDEX('Radio-2'!$B$2:$H$41,1+B113,C113)</f>
        <v>0</v>
      </c>
    </row>
    <row r="114" spans="1:4" x14ac:dyDescent="0.75">
      <c r="A114" s="2">
        <v>85</v>
      </c>
      <c r="B114" s="2">
        <f t="shared" si="2"/>
        <v>12</v>
      </c>
      <c r="C114" s="2">
        <f t="shared" si="3"/>
        <v>1</v>
      </c>
      <c r="D114" s="38" cm="1">
        <f t="array" ref="D114">INDEX('Radio-2'!$B$2:$H$41,1+B114,C114)</f>
        <v>0</v>
      </c>
    </row>
    <row r="115" spans="1:4" x14ac:dyDescent="0.75">
      <c r="A115" s="2">
        <v>86</v>
      </c>
      <c r="B115" s="2">
        <f t="shared" si="2"/>
        <v>12</v>
      </c>
      <c r="C115" s="2">
        <f t="shared" si="3"/>
        <v>2</v>
      </c>
      <c r="D115" s="38" cm="1">
        <f t="array" ref="D115">INDEX('Radio-2'!$B$2:$H$41,1+B115,C115)</f>
        <v>0</v>
      </c>
    </row>
    <row r="116" spans="1:4" x14ac:dyDescent="0.75">
      <c r="A116" s="2">
        <v>87</v>
      </c>
      <c r="B116" s="2">
        <f t="shared" si="2"/>
        <v>12</v>
      </c>
      <c r="C116" s="2">
        <f t="shared" si="3"/>
        <v>3</v>
      </c>
      <c r="D116" s="38" cm="1">
        <f t="array" ref="D116">INDEX('Radio-2'!$B$2:$H$41,1+B116,C116)</f>
        <v>0</v>
      </c>
    </row>
    <row r="117" spans="1:4" x14ac:dyDescent="0.75">
      <c r="A117" s="2">
        <v>88</v>
      </c>
      <c r="B117" s="2">
        <f t="shared" si="2"/>
        <v>12</v>
      </c>
      <c r="C117" s="2">
        <f t="shared" si="3"/>
        <v>4</v>
      </c>
      <c r="D117" s="38" cm="1">
        <f t="array" ref="D117">INDEX('Radio-2'!$B$2:$H$41,1+B117,C117)</f>
        <v>0</v>
      </c>
    </row>
    <row r="118" spans="1:4" x14ac:dyDescent="0.75">
      <c r="A118" s="2">
        <v>89</v>
      </c>
      <c r="B118" s="2">
        <f t="shared" si="2"/>
        <v>12</v>
      </c>
      <c r="C118" s="2">
        <f t="shared" si="3"/>
        <v>5</v>
      </c>
      <c r="D118" s="38" cm="1">
        <f t="array" ref="D118">INDEX('Radio-2'!$B$2:$H$41,1+B118,C118)</f>
        <v>0</v>
      </c>
    </row>
    <row r="119" spans="1:4" x14ac:dyDescent="0.75">
      <c r="A119" s="2">
        <v>90</v>
      </c>
      <c r="B119" s="2">
        <f t="shared" si="2"/>
        <v>12</v>
      </c>
      <c r="C119" s="2">
        <f t="shared" si="3"/>
        <v>6</v>
      </c>
      <c r="D119" s="38" cm="1">
        <f t="array" ref="D119">INDEX('Radio-2'!$B$2:$H$41,1+B119,C119)</f>
        <v>0</v>
      </c>
    </row>
    <row r="120" spans="1:4" x14ac:dyDescent="0.75">
      <c r="A120" s="2">
        <v>91</v>
      </c>
      <c r="B120" s="2">
        <f t="shared" si="2"/>
        <v>12</v>
      </c>
      <c r="C120" s="2">
        <f t="shared" si="3"/>
        <v>7</v>
      </c>
      <c r="D120" s="38" cm="1">
        <f t="array" ref="D120">INDEX('Radio-2'!$B$2:$H$41,1+B120,C120)</f>
        <v>0</v>
      </c>
    </row>
    <row r="121" spans="1:4" x14ac:dyDescent="0.75">
      <c r="A121" s="2">
        <v>92</v>
      </c>
      <c r="B121" s="2">
        <f t="shared" si="2"/>
        <v>13</v>
      </c>
      <c r="C121" s="2">
        <f t="shared" si="3"/>
        <v>1</v>
      </c>
      <c r="D121" s="38" cm="1">
        <f t="array" ref="D121">INDEX('Radio-2'!$B$2:$H$41,1+B121,C121)</f>
        <v>0</v>
      </c>
    </row>
    <row r="122" spans="1:4" x14ac:dyDescent="0.75">
      <c r="A122" s="2">
        <v>93</v>
      </c>
      <c r="B122" s="2">
        <f t="shared" si="2"/>
        <v>13</v>
      </c>
      <c r="C122" s="2">
        <f t="shared" si="3"/>
        <v>2</v>
      </c>
      <c r="D122" s="38" cm="1">
        <f t="array" ref="D122">INDEX('Radio-2'!$B$2:$H$41,1+B122,C122)</f>
        <v>0</v>
      </c>
    </row>
    <row r="123" spans="1:4" x14ac:dyDescent="0.75">
      <c r="A123" s="2">
        <v>94</v>
      </c>
      <c r="B123" s="2">
        <f t="shared" si="2"/>
        <v>13</v>
      </c>
      <c r="C123" s="2">
        <f t="shared" si="3"/>
        <v>3</v>
      </c>
      <c r="D123" s="38" cm="1">
        <f t="array" ref="D123">INDEX('Radio-2'!$B$2:$H$41,1+B123,C123)</f>
        <v>0</v>
      </c>
    </row>
    <row r="124" spans="1:4" x14ac:dyDescent="0.75">
      <c r="A124" s="2">
        <v>95</v>
      </c>
      <c r="B124" s="2">
        <f t="shared" si="2"/>
        <v>13</v>
      </c>
      <c r="C124" s="2">
        <f t="shared" si="3"/>
        <v>4</v>
      </c>
      <c r="D124" s="38" cm="1">
        <f t="array" ref="D124">INDEX('Radio-2'!$B$2:$H$41,1+B124,C124)</f>
        <v>0</v>
      </c>
    </row>
    <row r="125" spans="1:4" x14ac:dyDescent="0.75">
      <c r="A125" s="2">
        <v>96</v>
      </c>
      <c r="B125" s="2">
        <f t="shared" si="2"/>
        <v>13</v>
      </c>
      <c r="C125" s="2">
        <f t="shared" si="3"/>
        <v>5</v>
      </c>
      <c r="D125" s="38" cm="1">
        <f t="array" ref="D125">INDEX('Radio-2'!$B$2:$H$41,1+B125,C125)</f>
        <v>0</v>
      </c>
    </row>
    <row r="126" spans="1:4" x14ac:dyDescent="0.75">
      <c r="A126" s="2">
        <v>97</v>
      </c>
      <c r="B126" s="2">
        <f t="shared" si="2"/>
        <v>13</v>
      </c>
      <c r="C126" s="2">
        <f t="shared" si="3"/>
        <v>6</v>
      </c>
      <c r="D126" s="38" cm="1">
        <f t="array" ref="D126">INDEX('Radio-2'!$B$2:$H$41,1+B126,C126)</f>
        <v>0</v>
      </c>
    </row>
    <row r="127" spans="1:4" x14ac:dyDescent="0.75">
      <c r="A127" s="2">
        <v>98</v>
      </c>
      <c r="B127" s="2">
        <f t="shared" si="2"/>
        <v>13</v>
      </c>
      <c r="C127" s="2">
        <f t="shared" si="3"/>
        <v>7</v>
      </c>
      <c r="D127" s="38" cm="1">
        <f t="array" ref="D127">INDEX('Radio-2'!$B$2:$H$41,1+B127,C127)</f>
        <v>0</v>
      </c>
    </row>
    <row r="128" spans="1:4" x14ac:dyDescent="0.75">
      <c r="A128" s="2">
        <v>99</v>
      </c>
      <c r="B128" s="2">
        <f t="shared" si="2"/>
        <v>14</v>
      </c>
      <c r="C128" s="2">
        <f t="shared" si="3"/>
        <v>1</v>
      </c>
      <c r="D128" s="38" cm="1">
        <f t="array" ref="D128">INDEX('Radio-2'!$B$2:$H$41,1+B128,C128)</f>
        <v>0</v>
      </c>
    </row>
    <row r="129" spans="1:4" x14ac:dyDescent="0.75">
      <c r="A129" s="2">
        <v>100</v>
      </c>
      <c r="B129" s="2">
        <f t="shared" si="2"/>
        <v>14</v>
      </c>
      <c r="C129" s="2">
        <f t="shared" si="3"/>
        <v>2</v>
      </c>
      <c r="D129" s="38" cm="1">
        <f t="array" ref="D129">INDEX('Radio-2'!$B$2:$H$41,1+B129,C129)</f>
        <v>0</v>
      </c>
    </row>
    <row r="130" spans="1:4" x14ac:dyDescent="0.75">
      <c r="A130" s="2">
        <v>101</v>
      </c>
      <c r="B130" s="2">
        <f t="shared" si="2"/>
        <v>14</v>
      </c>
      <c r="C130" s="2">
        <f t="shared" si="3"/>
        <v>3</v>
      </c>
      <c r="D130" s="38" cm="1">
        <f t="array" ref="D130">INDEX('Radio-2'!$B$2:$H$41,1+B130,C130)</f>
        <v>0</v>
      </c>
    </row>
    <row r="131" spans="1:4" x14ac:dyDescent="0.75">
      <c r="A131" s="2">
        <v>102</v>
      </c>
      <c r="B131" s="2">
        <f t="shared" si="2"/>
        <v>14</v>
      </c>
      <c r="C131" s="2">
        <f t="shared" si="3"/>
        <v>4</v>
      </c>
      <c r="D131" s="38" cm="1">
        <f t="array" ref="D131">INDEX('Radio-2'!$B$2:$H$41,1+B131,C131)</f>
        <v>0</v>
      </c>
    </row>
    <row r="132" spans="1:4" x14ac:dyDescent="0.75">
      <c r="A132" s="2">
        <v>103</v>
      </c>
      <c r="B132" s="2">
        <f t="shared" si="2"/>
        <v>14</v>
      </c>
      <c r="C132" s="2">
        <f t="shared" si="3"/>
        <v>5</v>
      </c>
      <c r="D132" s="38" cm="1">
        <f t="array" ref="D132">INDEX('Radio-2'!$B$2:$H$41,1+B132,C132)</f>
        <v>0</v>
      </c>
    </row>
    <row r="133" spans="1:4" x14ac:dyDescent="0.75">
      <c r="A133" s="2">
        <v>104</v>
      </c>
      <c r="B133" s="2">
        <f t="shared" si="2"/>
        <v>14</v>
      </c>
      <c r="C133" s="2">
        <f t="shared" si="3"/>
        <v>6</v>
      </c>
      <c r="D133" s="38" cm="1">
        <f t="array" ref="D133">INDEX('Radio-2'!$B$2:$H$41,1+B133,C133)</f>
        <v>0</v>
      </c>
    </row>
    <row r="134" spans="1:4" x14ac:dyDescent="0.75">
      <c r="A134" s="2">
        <v>105</v>
      </c>
      <c r="B134" s="2">
        <f t="shared" si="2"/>
        <v>14</v>
      </c>
      <c r="C134" s="2">
        <f t="shared" si="3"/>
        <v>7</v>
      </c>
      <c r="D134" s="38" cm="1">
        <f t="array" ref="D134">INDEX('Radio-2'!$B$2:$H$41,1+B134,C134)</f>
        <v>0</v>
      </c>
    </row>
    <row r="135" spans="1:4" x14ac:dyDescent="0.75">
      <c r="A135" s="2">
        <v>106</v>
      </c>
      <c r="B135" s="2">
        <f t="shared" si="2"/>
        <v>15</v>
      </c>
      <c r="C135" s="2">
        <f t="shared" si="3"/>
        <v>1</v>
      </c>
      <c r="D135" s="38" cm="1">
        <f t="array" ref="D135">INDEX('Radio-2'!$B$2:$H$41,1+B135,C135)</f>
        <v>0</v>
      </c>
    </row>
    <row r="136" spans="1:4" x14ac:dyDescent="0.75">
      <c r="A136" s="2">
        <v>107</v>
      </c>
      <c r="B136" s="2">
        <f t="shared" si="2"/>
        <v>15</v>
      </c>
      <c r="C136" s="2">
        <f t="shared" si="3"/>
        <v>2</v>
      </c>
      <c r="D136" s="38" cm="1">
        <f t="array" ref="D136">INDEX('Radio-2'!$B$2:$H$41,1+B136,C136)</f>
        <v>0</v>
      </c>
    </row>
    <row r="137" spans="1:4" x14ac:dyDescent="0.75">
      <c r="A137" s="2">
        <v>108</v>
      </c>
      <c r="B137" s="2">
        <f t="shared" si="2"/>
        <v>15</v>
      </c>
      <c r="C137" s="2">
        <f t="shared" si="3"/>
        <v>3</v>
      </c>
      <c r="D137" s="38" cm="1">
        <f t="array" ref="D137">INDEX('Radio-2'!$B$2:$H$41,1+B137,C137)</f>
        <v>0</v>
      </c>
    </row>
    <row r="138" spans="1:4" x14ac:dyDescent="0.75">
      <c r="A138" s="2">
        <v>109</v>
      </c>
      <c r="B138" s="2">
        <f t="shared" si="2"/>
        <v>15</v>
      </c>
      <c r="C138" s="2">
        <f t="shared" si="3"/>
        <v>4</v>
      </c>
      <c r="D138" s="38" cm="1">
        <f t="array" ref="D138">INDEX('Radio-2'!$B$2:$H$41,1+B138,C138)</f>
        <v>0</v>
      </c>
    </row>
    <row r="139" spans="1:4" x14ac:dyDescent="0.75">
      <c r="A139" s="2">
        <v>110</v>
      </c>
      <c r="B139" s="2">
        <f t="shared" si="2"/>
        <v>15</v>
      </c>
      <c r="C139" s="2">
        <f t="shared" si="3"/>
        <v>5</v>
      </c>
      <c r="D139" s="38" cm="1">
        <f t="array" ref="D139">INDEX('Radio-2'!$B$2:$H$41,1+B139,C139)</f>
        <v>0</v>
      </c>
    </row>
    <row r="140" spans="1:4" x14ac:dyDescent="0.75">
      <c r="A140" s="2">
        <v>111</v>
      </c>
      <c r="B140" s="2">
        <f t="shared" si="2"/>
        <v>15</v>
      </c>
      <c r="C140" s="2">
        <f t="shared" si="3"/>
        <v>6</v>
      </c>
      <c r="D140" s="38" cm="1">
        <f t="array" ref="D140">INDEX('Radio-2'!$B$2:$H$41,1+B140,C140)</f>
        <v>0</v>
      </c>
    </row>
    <row r="141" spans="1:4" x14ac:dyDescent="0.75">
      <c r="A141" s="2">
        <v>112</v>
      </c>
      <c r="B141" s="2">
        <f t="shared" si="2"/>
        <v>15</v>
      </c>
      <c r="C141" s="2">
        <f t="shared" si="3"/>
        <v>7</v>
      </c>
      <c r="D141" s="38" cm="1">
        <f t="array" ref="D141">INDEX('Radio-2'!$B$2:$H$41,1+B141,C141)</f>
        <v>0</v>
      </c>
    </row>
    <row r="142" spans="1:4" x14ac:dyDescent="0.75">
      <c r="A142" s="2">
        <v>113</v>
      </c>
      <c r="B142" s="2">
        <f t="shared" si="2"/>
        <v>16</v>
      </c>
      <c r="C142" s="2">
        <f t="shared" si="3"/>
        <v>1</v>
      </c>
      <c r="D142" s="38" cm="1">
        <f t="array" ref="D142">INDEX('Radio-2'!$B$2:$H$41,1+B142,C142)</f>
        <v>0</v>
      </c>
    </row>
    <row r="143" spans="1:4" x14ac:dyDescent="0.75">
      <c r="A143" s="2">
        <v>114</v>
      </c>
      <c r="B143" s="2">
        <f t="shared" si="2"/>
        <v>16</v>
      </c>
      <c r="C143" s="2">
        <f t="shared" si="3"/>
        <v>2</v>
      </c>
      <c r="D143" s="38" cm="1">
        <f t="array" ref="D143">INDEX('Radio-2'!$B$2:$H$41,1+B143,C143)</f>
        <v>0</v>
      </c>
    </row>
    <row r="144" spans="1:4" x14ac:dyDescent="0.75">
      <c r="A144" s="2">
        <v>115</v>
      </c>
      <c r="B144" s="2">
        <f t="shared" si="2"/>
        <v>16</v>
      </c>
      <c r="C144" s="2">
        <f t="shared" si="3"/>
        <v>3</v>
      </c>
      <c r="D144" s="38" cm="1">
        <f t="array" ref="D144">INDEX('Radio-2'!$B$2:$H$41,1+B144,C144)</f>
        <v>0</v>
      </c>
    </row>
    <row r="145" spans="1:4" x14ac:dyDescent="0.75">
      <c r="A145" s="2">
        <v>116</v>
      </c>
      <c r="B145" s="2">
        <f t="shared" si="2"/>
        <v>16</v>
      </c>
      <c r="C145" s="2">
        <f t="shared" si="3"/>
        <v>4</v>
      </c>
      <c r="D145" s="38" cm="1">
        <f t="array" ref="D145">INDEX('Radio-2'!$B$2:$H$41,1+B145,C145)</f>
        <v>0</v>
      </c>
    </row>
    <row r="146" spans="1:4" x14ac:dyDescent="0.75">
      <c r="A146" s="2">
        <v>117</v>
      </c>
      <c r="B146" s="2">
        <f t="shared" si="2"/>
        <v>16</v>
      </c>
      <c r="C146" s="2">
        <f t="shared" si="3"/>
        <v>5</v>
      </c>
      <c r="D146" s="38" cm="1">
        <f t="array" ref="D146">INDEX('Radio-2'!$B$2:$H$41,1+B146,C146)</f>
        <v>0</v>
      </c>
    </row>
    <row r="147" spans="1:4" x14ac:dyDescent="0.75">
      <c r="A147" s="2">
        <v>118</v>
      </c>
      <c r="B147" s="2">
        <f t="shared" si="2"/>
        <v>16</v>
      </c>
      <c r="C147" s="2">
        <f t="shared" si="3"/>
        <v>6</v>
      </c>
      <c r="D147" s="38" cm="1">
        <f t="array" ref="D147">INDEX('Radio-2'!$B$2:$H$41,1+B147,C147)</f>
        <v>0</v>
      </c>
    </row>
    <row r="148" spans="1:4" x14ac:dyDescent="0.75">
      <c r="A148" s="2">
        <v>119</v>
      </c>
      <c r="B148" s="2">
        <f t="shared" si="2"/>
        <v>16</v>
      </c>
      <c r="C148" s="2">
        <f t="shared" si="3"/>
        <v>7</v>
      </c>
      <c r="D148" s="38" cm="1">
        <f t="array" ref="D148">INDEX('Radio-2'!$B$2:$H$41,1+B148,C148)</f>
        <v>0</v>
      </c>
    </row>
    <row r="149" spans="1:4" x14ac:dyDescent="0.75">
      <c r="A149" s="2">
        <v>120</v>
      </c>
      <c r="B149" s="2">
        <f t="shared" si="2"/>
        <v>17</v>
      </c>
      <c r="C149" s="2">
        <f t="shared" si="3"/>
        <v>1</v>
      </c>
      <c r="D149" s="38" cm="1">
        <f t="array" ref="D149">INDEX('Radio-2'!$B$2:$H$41,1+B149,C149)</f>
        <v>0</v>
      </c>
    </row>
    <row r="150" spans="1:4" x14ac:dyDescent="0.75">
      <c r="A150" s="2">
        <v>121</v>
      </c>
      <c r="B150" s="2">
        <f t="shared" si="2"/>
        <v>17</v>
      </c>
      <c r="C150" s="2">
        <f t="shared" si="3"/>
        <v>2</v>
      </c>
      <c r="D150" s="38" cm="1">
        <f t="array" ref="D150">INDEX('Radio-2'!$B$2:$H$41,1+B150,C150)</f>
        <v>0</v>
      </c>
    </row>
    <row r="151" spans="1:4" x14ac:dyDescent="0.75">
      <c r="A151" s="2">
        <v>122</v>
      </c>
      <c r="B151" s="2">
        <f t="shared" si="2"/>
        <v>17</v>
      </c>
      <c r="C151" s="2">
        <f t="shared" si="3"/>
        <v>3</v>
      </c>
      <c r="D151" s="38" cm="1">
        <f t="array" ref="D151">INDEX('Radio-2'!$B$2:$H$41,1+B151,C151)</f>
        <v>0</v>
      </c>
    </row>
    <row r="152" spans="1:4" x14ac:dyDescent="0.75">
      <c r="A152" s="2">
        <v>123</v>
      </c>
      <c r="B152" s="2">
        <f t="shared" si="2"/>
        <v>17</v>
      </c>
      <c r="C152" s="2">
        <f t="shared" si="3"/>
        <v>4</v>
      </c>
      <c r="D152" s="38" cm="1">
        <f t="array" ref="D152">INDEX('Radio-2'!$B$2:$H$41,1+B152,C152)</f>
        <v>0</v>
      </c>
    </row>
    <row r="153" spans="1:4" x14ac:dyDescent="0.75">
      <c r="A153" s="2">
        <v>124</v>
      </c>
      <c r="B153" s="2">
        <f t="shared" si="2"/>
        <v>17</v>
      </c>
      <c r="C153" s="2">
        <f t="shared" si="3"/>
        <v>5</v>
      </c>
      <c r="D153" s="38" cm="1">
        <f t="array" ref="D153">INDEX('Radio-2'!$B$2:$H$41,1+B153,C153)</f>
        <v>0</v>
      </c>
    </row>
    <row r="154" spans="1:4" x14ac:dyDescent="0.75">
      <c r="A154" s="2">
        <v>125</v>
      </c>
      <c r="B154" s="2">
        <f t="shared" si="2"/>
        <v>17</v>
      </c>
      <c r="C154" s="2">
        <f t="shared" si="3"/>
        <v>6</v>
      </c>
      <c r="D154" s="38" cm="1">
        <f t="array" ref="D154">INDEX('Radio-2'!$B$2:$H$41,1+B154,C154)</f>
        <v>0</v>
      </c>
    </row>
    <row r="155" spans="1:4" x14ac:dyDescent="0.75">
      <c r="A155" s="2">
        <v>126</v>
      </c>
      <c r="B155" s="2">
        <f t="shared" si="2"/>
        <v>17</v>
      </c>
      <c r="C155" s="2">
        <f t="shared" si="3"/>
        <v>7</v>
      </c>
      <c r="D155" s="38" cm="1">
        <f t="array" ref="D155">INDEX('Radio-2'!$B$2:$H$41,1+B155,C155)</f>
        <v>0</v>
      </c>
    </row>
    <row r="156" spans="1:4" x14ac:dyDescent="0.75">
      <c r="A156" s="2">
        <v>127</v>
      </c>
      <c r="B156" s="2">
        <f t="shared" si="2"/>
        <v>18</v>
      </c>
      <c r="C156" s="2">
        <f t="shared" si="3"/>
        <v>1</v>
      </c>
      <c r="D156" s="38" cm="1">
        <f t="array" ref="D156">INDEX('Radio-2'!$B$2:$H$41,1+B156,C156)</f>
        <v>0</v>
      </c>
    </row>
    <row r="157" spans="1:4" x14ac:dyDescent="0.75">
      <c r="A157" s="2">
        <v>128</v>
      </c>
      <c r="B157" s="2">
        <f t="shared" si="2"/>
        <v>18</v>
      </c>
      <c r="C157" s="2">
        <f t="shared" si="3"/>
        <v>2</v>
      </c>
      <c r="D157" s="38" cm="1">
        <f t="array" ref="D157">INDEX('Radio-2'!$B$2:$H$41,1+B157,C157)</f>
        <v>0</v>
      </c>
    </row>
    <row r="158" spans="1:4" x14ac:dyDescent="0.75">
      <c r="A158" s="2">
        <v>129</v>
      </c>
      <c r="B158" s="2">
        <f t="shared" si="2"/>
        <v>18</v>
      </c>
      <c r="C158" s="2">
        <f t="shared" si="3"/>
        <v>3</v>
      </c>
      <c r="D158" s="38" cm="1">
        <f t="array" ref="D158">INDEX('Radio-2'!$B$2:$H$41,1+B158,C158)</f>
        <v>0</v>
      </c>
    </row>
    <row r="159" spans="1:4" x14ac:dyDescent="0.75">
      <c r="A159" s="2">
        <v>130</v>
      </c>
      <c r="B159" s="2">
        <f t="shared" ref="B159:B222" si="4">IF(MOD(A159,7)=0,A159/7-1,INT(A159/7))</f>
        <v>18</v>
      </c>
      <c r="C159" s="2">
        <f t="shared" ref="C159:C222" si="5">IF(MOD(A159,7)=0,7,MOD(A159,7))</f>
        <v>4</v>
      </c>
      <c r="D159" s="38" cm="1">
        <f t="array" ref="D159">INDEX('Radio-2'!$B$2:$H$41,1+B159,C159)</f>
        <v>0</v>
      </c>
    </row>
    <row r="160" spans="1:4" x14ac:dyDescent="0.75">
      <c r="A160" s="2">
        <v>131</v>
      </c>
      <c r="B160" s="2">
        <f t="shared" si="4"/>
        <v>18</v>
      </c>
      <c r="C160" s="2">
        <f t="shared" si="5"/>
        <v>5</v>
      </c>
      <c r="D160" s="38" cm="1">
        <f t="array" ref="D160">INDEX('Radio-2'!$B$2:$H$41,1+B160,C160)</f>
        <v>0</v>
      </c>
    </row>
    <row r="161" spans="1:4" x14ac:dyDescent="0.75">
      <c r="A161" s="2">
        <v>132</v>
      </c>
      <c r="B161" s="2">
        <f t="shared" si="4"/>
        <v>18</v>
      </c>
      <c r="C161" s="2">
        <f t="shared" si="5"/>
        <v>6</v>
      </c>
      <c r="D161" s="38" cm="1">
        <f t="array" ref="D161">INDEX('Radio-2'!$B$2:$H$41,1+B161,C161)</f>
        <v>0</v>
      </c>
    </row>
    <row r="162" spans="1:4" x14ac:dyDescent="0.75">
      <c r="A162" s="2">
        <v>133</v>
      </c>
      <c r="B162" s="2">
        <f t="shared" si="4"/>
        <v>18</v>
      </c>
      <c r="C162" s="2">
        <f t="shared" si="5"/>
        <v>7</v>
      </c>
      <c r="D162" s="38" cm="1">
        <f t="array" ref="D162">INDEX('Radio-2'!$B$2:$H$41,1+B162,C162)</f>
        <v>0</v>
      </c>
    </row>
    <row r="163" spans="1:4" x14ac:dyDescent="0.75">
      <c r="A163" s="2">
        <v>134</v>
      </c>
      <c r="B163" s="2">
        <f t="shared" si="4"/>
        <v>19</v>
      </c>
      <c r="C163" s="2">
        <f t="shared" si="5"/>
        <v>1</v>
      </c>
      <c r="D163" s="38" cm="1">
        <f t="array" ref="D163">INDEX('Radio-2'!$B$2:$H$41,1+B163,C163)</f>
        <v>0</v>
      </c>
    </row>
    <row r="164" spans="1:4" x14ac:dyDescent="0.75">
      <c r="A164" s="2">
        <v>135</v>
      </c>
      <c r="B164" s="2">
        <f t="shared" si="4"/>
        <v>19</v>
      </c>
      <c r="C164" s="2">
        <f t="shared" si="5"/>
        <v>2</v>
      </c>
      <c r="D164" s="38" cm="1">
        <f t="array" ref="D164">INDEX('Radio-2'!$B$2:$H$41,1+B164,C164)</f>
        <v>0</v>
      </c>
    </row>
    <row r="165" spans="1:4" x14ac:dyDescent="0.75">
      <c r="A165" s="2">
        <v>136</v>
      </c>
      <c r="B165" s="2">
        <f t="shared" si="4"/>
        <v>19</v>
      </c>
      <c r="C165" s="2">
        <f t="shared" si="5"/>
        <v>3</v>
      </c>
      <c r="D165" s="38" cm="1">
        <f t="array" ref="D165">INDEX('Radio-2'!$B$2:$H$41,1+B165,C165)</f>
        <v>0</v>
      </c>
    </row>
    <row r="166" spans="1:4" x14ac:dyDescent="0.75">
      <c r="A166" s="2">
        <v>137</v>
      </c>
      <c r="B166" s="2">
        <f t="shared" si="4"/>
        <v>19</v>
      </c>
      <c r="C166" s="2">
        <f t="shared" si="5"/>
        <v>4</v>
      </c>
      <c r="D166" s="38" cm="1">
        <f t="array" ref="D166">INDEX('Radio-2'!$B$2:$H$41,1+B166,C166)</f>
        <v>0</v>
      </c>
    </row>
    <row r="167" spans="1:4" x14ac:dyDescent="0.75">
      <c r="A167" s="2">
        <v>138</v>
      </c>
      <c r="B167" s="2">
        <f t="shared" si="4"/>
        <v>19</v>
      </c>
      <c r="C167" s="2">
        <f t="shared" si="5"/>
        <v>5</v>
      </c>
      <c r="D167" s="38" cm="1">
        <f t="array" ref="D167">INDEX('Radio-2'!$B$2:$H$41,1+B167,C167)</f>
        <v>0</v>
      </c>
    </row>
    <row r="168" spans="1:4" x14ac:dyDescent="0.75">
      <c r="A168" s="2">
        <v>139</v>
      </c>
      <c r="B168" s="2">
        <f t="shared" si="4"/>
        <v>19</v>
      </c>
      <c r="C168" s="2">
        <f t="shared" si="5"/>
        <v>6</v>
      </c>
      <c r="D168" s="38" cm="1">
        <f t="array" ref="D168">INDEX('Radio-2'!$B$2:$H$41,1+B168,C168)</f>
        <v>0</v>
      </c>
    </row>
    <row r="169" spans="1:4" x14ac:dyDescent="0.75">
      <c r="A169" s="2">
        <v>140</v>
      </c>
      <c r="B169" s="2">
        <f t="shared" si="4"/>
        <v>19</v>
      </c>
      <c r="C169" s="2">
        <f t="shared" si="5"/>
        <v>7</v>
      </c>
      <c r="D169" s="38" cm="1">
        <f t="array" ref="D169">INDEX('Radio-2'!$B$2:$H$41,1+B169,C169)</f>
        <v>0</v>
      </c>
    </row>
    <row r="170" spans="1:4" x14ac:dyDescent="0.75">
      <c r="A170" s="2">
        <v>141</v>
      </c>
      <c r="B170" s="2">
        <f t="shared" si="4"/>
        <v>20</v>
      </c>
      <c r="C170" s="2">
        <f t="shared" si="5"/>
        <v>1</v>
      </c>
      <c r="D170" s="38" cm="1">
        <f t="array" ref="D170">INDEX('Radio-2'!$B$2:$H$41,1+B170,C170)</f>
        <v>0</v>
      </c>
    </row>
    <row r="171" spans="1:4" x14ac:dyDescent="0.75">
      <c r="A171" s="2">
        <v>142</v>
      </c>
      <c r="B171" s="2">
        <f t="shared" si="4"/>
        <v>20</v>
      </c>
      <c r="C171" s="2">
        <f t="shared" si="5"/>
        <v>2</v>
      </c>
      <c r="D171" s="38" cm="1">
        <f t="array" ref="D171">INDEX('Radio-2'!$B$2:$H$41,1+B171,C171)</f>
        <v>0</v>
      </c>
    </row>
    <row r="172" spans="1:4" x14ac:dyDescent="0.75">
      <c r="A172" s="2">
        <v>143</v>
      </c>
      <c r="B172" s="2">
        <f t="shared" si="4"/>
        <v>20</v>
      </c>
      <c r="C172" s="2">
        <f t="shared" si="5"/>
        <v>3</v>
      </c>
      <c r="D172" s="38" cm="1">
        <f t="array" ref="D172">INDEX('Radio-2'!$B$2:$H$41,1+B172,C172)</f>
        <v>0</v>
      </c>
    </row>
    <row r="173" spans="1:4" x14ac:dyDescent="0.75">
      <c r="A173" s="2">
        <v>144</v>
      </c>
      <c r="B173" s="2">
        <f t="shared" si="4"/>
        <v>20</v>
      </c>
      <c r="C173" s="2">
        <f t="shared" si="5"/>
        <v>4</v>
      </c>
      <c r="D173" s="38" cm="1">
        <f t="array" ref="D173">INDEX('Radio-2'!$B$2:$H$41,1+B173,C173)</f>
        <v>0</v>
      </c>
    </row>
    <row r="174" spans="1:4" x14ac:dyDescent="0.75">
      <c r="A174" s="2">
        <v>145</v>
      </c>
      <c r="B174" s="2">
        <f t="shared" si="4"/>
        <v>20</v>
      </c>
      <c r="C174" s="2">
        <f t="shared" si="5"/>
        <v>5</v>
      </c>
      <c r="D174" s="38" cm="1">
        <f t="array" ref="D174">INDEX('Radio-2'!$B$2:$H$41,1+B174,C174)</f>
        <v>0</v>
      </c>
    </row>
    <row r="175" spans="1:4" x14ac:dyDescent="0.75">
      <c r="A175" s="2">
        <v>146</v>
      </c>
      <c r="B175" s="2">
        <f t="shared" si="4"/>
        <v>20</v>
      </c>
      <c r="C175" s="2">
        <f t="shared" si="5"/>
        <v>6</v>
      </c>
      <c r="D175" s="38" cm="1">
        <f t="array" ref="D175">INDEX('Radio-2'!$B$2:$H$41,1+B175,C175)</f>
        <v>0</v>
      </c>
    </row>
    <row r="176" spans="1:4" x14ac:dyDescent="0.75">
      <c r="A176" s="2">
        <v>147</v>
      </c>
      <c r="B176" s="2">
        <f t="shared" si="4"/>
        <v>20</v>
      </c>
      <c r="C176" s="2">
        <f t="shared" si="5"/>
        <v>7</v>
      </c>
      <c r="D176" s="38" cm="1">
        <f t="array" ref="D176">INDEX('Radio-2'!$B$2:$H$41,1+B176,C176)</f>
        <v>0</v>
      </c>
    </row>
    <row r="177" spans="1:4" x14ac:dyDescent="0.75">
      <c r="A177" s="2">
        <v>148</v>
      </c>
      <c r="B177" s="2">
        <f t="shared" si="4"/>
        <v>21</v>
      </c>
      <c r="C177" s="2">
        <f t="shared" si="5"/>
        <v>1</v>
      </c>
      <c r="D177" s="38" cm="1">
        <f t="array" ref="D177">INDEX('Radio-2'!$B$2:$H$41,1+B177,C177)</f>
        <v>0</v>
      </c>
    </row>
    <row r="178" spans="1:4" x14ac:dyDescent="0.75">
      <c r="A178" s="2">
        <v>149</v>
      </c>
      <c r="B178" s="2">
        <f t="shared" si="4"/>
        <v>21</v>
      </c>
      <c r="C178" s="2">
        <f t="shared" si="5"/>
        <v>2</v>
      </c>
      <c r="D178" s="38" cm="1">
        <f t="array" ref="D178">INDEX('Radio-2'!$B$2:$H$41,1+B178,C178)</f>
        <v>0</v>
      </c>
    </row>
    <row r="179" spans="1:4" x14ac:dyDescent="0.75">
      <c r="A179" s="2">
        <v>150</v>
      </c>
      <c r="B179" s="2">
        <f t="shared" si="4"/>
        <v>21</v>
      </c>
      <c r="C179" s="2">
        <f t="shared" si="5"/>
        <v>3</v>
      </c>
      <c r="D179" s="38" cm="1">
        <f t="array" ref="D179">INDEX('Radio-2'!$B$2:$H$41,1+B179,C179)</f>
        <v>0</v>
      </c>
    </row>
    <row r="180" spans="1:4" x14ac:dyDescent="0.75">
      <c r="A180" s="2">
        <v>151</v>
      </c>
      <c r="B180" s="2">
        <f t="shared" si="4"/>
        <v>21</v>
      </c>
      <c r="C180" s="2">
        <f t="shared" si="5"/>
        <v>4</v>
      </c>
      <c r="D180" s="38" cm="1">
        <f t="array" ref="D180">INDEX('Radio-2'!$B$2:$H$41,1+B180,C180)</f>
        <v>0</v>
      </c>
    </row>
    <row r="181" spans="1:4" x14ac:dyDescent="0.75">
      <c r="A181" s="2">
        <v>152</v>
      </c>
      <c r="B181" s="2">
        <f t="shared" si="4"/>
        <v>21</v>
      </c>
      <c r="C181" s="2">
        <f t="shared" si="5"/>
        <v>5</v>
      </c>
      <c r="D181" s="38" cm="1">
        <f t="array" ref="D181">INDEX('Radio-2'!$B$2:$H$41,1+B181,C181)</f>
        <v>0</v>
      </c>
    </row>
    <row r="182" spans="1:4" x14ac:dyDescent="0.75">
      <c r="A182" s="2">
        <v>153</v>
      </c>
      <c r="B182" s="2">
        <f t="shared" si="4"/>
        <v>21</v>
      </c>
      <c r="C182" s="2">
        <f t="shared" si="5"/>
        <v>6</v>
      </c>
      <c r="D182" s="38" cm="1">
        <f t="array" ref="D182">INDEX('Radio-2'!$B$2:$H$41,1+B182,C182)</f>
        <v>0</v>
      </c>
    </row>
    <row r="183" spans="1:4" x14ac:dyDescent="0.75">
      <c r="A183" s="2">
        <v>154</v>
      </c>
      <c r="B183" s="2">
        <f t="shared" si="4"/>
        <v>21</v>
      </c>
      <c r="C183" s="2">
        <f t="shared" si="5"/>
        <v>7</v>
      </c>
      <c r="D183" s="38" cm="1">
        <f t="array" ref="D183">INDEX('Radio-2'!$B$2:$H$41,1+B183,C183)</f>
        <v>0</v>
      </c>
    </row>
    <row r="184" spans="1:4" x14ac:dyDescent="0.75">
      <c r="A184" s="2">
        <v>155</v>
      </c>
      <c r="B184" s="2">
        <f t="shared" si="4"/>
        <v>22</v>
      </c>
      <c r="C184" s="2">
        <f t="shared" si="5"/>
        <v>1</v>
      </c>
      <c r="D184" s="9" cm="1">
        <f t="array" ref="D184">INDEX('Radio-2'!$B$2:$H$41,1+B184,C184)</f>
        <v>0</v>
      </c>
    </row>
    <row r="185" spans="1:4" x14ac:dyDescent="0.75">
      <c r="A185" s="2">
        <v>156</v>
      </c>
      <c r="B185" s="2">
        <f t="shared" si="4"/>
        <v>22</v>
      </c>
      <c r="C185" s="2">
        <f t="shared" si="5"/>
        <v>2</v>
      </c>
      <c r="D185" s="9" cm="1">
        <f t="array" ref="D185">INDEX('Radio-2'!$B$2:$H$41,1+B185,C185)</f>
        <v>0</v>
      </c>
    </row>
    <row r="186" spans="1:4" x14ac:dyDescent="0.75">
      <c r="A186" s="2">
        <v>157</v>
      </c>
      <c r="B186" s="2">
        <f t="shared" si="4"/>
        <v>22</v>
      </c>
      <c r="C186" s="2">
        <f t="shared" si="5"/>
        <v>3</v>
      </c>
      <c r="D186" s="9" cm="1">
        <f t="array" ref="D186">INDEX('Radio-2'!$B$2:$H$41,1+B186,C186)</f>
        <v>0</v>
      </c>
    </row>
    <row r="187" spans="1:4" x14ac:dyDescent="0.75">
      <c r="A187" s="2">
        <v>158</v>
      </c>
      <c r="B187" s="2">
        <f t="shared" si="4"/>
        <v>22</v>
      </c>
      <c r="C187" s="2">
        <f t="shared" si="5"/>
        <v>4</v>
      </c>
      <c r="D187" s="9" cm="1">
        <f t="array" ref="D187">INDEX('Radio-2'!$B$2:$H$41,1+B187,C187)</f>
        <v>0</v>
      </c>
    </row>
    <row r="188" spans="1:4" x14ac:dyDescent="0.75">
      <c r="A188" s="2">
        <v>159</v>
      </c>
      <c r="B188" s="2">
        <f t="shared" si="4"/>
        <v>22</v>
      </c>
      <c r="C188" s="2">
        <f t="shared" si="5"/>
        <v>5</v>
      </c>
      <c r="D188" s="9" cm="1">
        <f t="array" ref="D188">INDEX('Radio-2'!$B$2:$H$41,1+B188,C188)</f>
        <v>0</v>
      </c>
    </row>
    <row r="189" spans="1:4" x14ac:dyDescent="0.75">
      <c r="A189" s="2">
        <v>160</v>
      </c>
      <c r="B189" s="2">
        <f t="shared" si="4"/>
        <v>22</v>
      </c>
      <c r="C189" s="2">
        <f t="shared" si="5"/>
        <v>6</v>
      </c>
      <c r="D189" s="9" cm="1">
        <f t="array" ref="D189">INDEX('Radio-2'!$B$2:$H$41,1+B189,C189)</f>
        <v>0</v>
      </c>
    </row>
    <row r="190" spans="1:4" x14ac:dyDescent="0.75">
      <c r="A190" s="2">
        <v>161</v>
      </c>
      <c r="B190" s="2">
        <f t="shared" si="4"/>
        <v>22</v>
      </c>
      <c r="C190" s="2">
        <f t="shared" si="5"/>
        <v>7</v>
      </c>
      <c r="D190" s="9" cm="1">
        <f t="array" ref="D190">INDEX('Radio-2'!$B$2:$H$41,1+B190,C190)</f>
        <v>0</v>
      </c>
    </row>
    <row r="191" spans="1:4" x14ac:dyDescent="0.75">
      <c r="A191" s="2">
        <v>162</v>
      </c>
      <c r="B191" s="2">
        <f t="shared" si="4"/>
        <v>23</v>
      </c>
      <c r="C191" s="2">
        <f t="shared" si="5"/>
        <v>1</v>
      </c>
      <c r="D191" s="9" cm="1">
        <f t="array" ref="D191">INDEX('Radio-2'!$B$2:$H$41,1+B191,C191)</f>
        <v>0</v>
      </c>
    </row>
    <row r="192" spans="1:4" x14ac:dyDescent="0.75">
      <c r="A192" s="2">
        <v>163</v>
      </c>
      <c r="B192" s="2">
        <f t="shared" si="4"/>
        <v>23</v>
      </c>
      <c r="C192" s="2">
        <f t="shared" si="5"/>
        <v>2</v>
      </c>
      <c r="D192" s="9" cm="1">
        <f t="array" ref="D192">INDEX('Radio-2'!$B$2:$H$41,1+B192,C192)</f>
        <v>0</v>
      </c>
    </row>
    <row r="193" spans="1:4" x14ac:dyDescent="0.75">
      <c r="A193" s="2">
        <v>164</v>
      </c>
      <c r="B193" s="2">
        <f t="shared" si="4"/>
        <v>23</v>
      </c>
      <c r="C193" s="2">
        <f t="shared" si="5"/>
        <v>3</v>
      </c>
      <c r="D193" s="9" cm="1">
        <f t="array" ref="D193">INDEX('Radio-2'!$B$2:$H$41,1+B193,C193)</f>
        <v>0</v>
      </c>
    </row>
    <row r="194" spans="1:4" x14ac:dyDescent="0.75">
      <c r="A194" s="2">
        <v>165</v>
      </c>
      <c r="B194" s="2">
        <f t="shared" si="4"/>
        <v>23</v>
      </c>
      <c r="C194" s="2">
        <f t="shared" si="5"/>
        <v>4</v>
      </c>
      <c r="D194" s="9" cm="1">
        <f t="array" ref="D194">INDEX('Radio-2'!$B$2:$H$41,1+B194,C194)</f>
        <v>0</v>
      </c>
    </row>
    <row r="195" spans="1:4" x14ac:dyDescent="0.75">
      <c r="A195" s="2">
        <v>166</v>
      </c>
      <c r="B195" s="2">
        <f t="shared" si="4"/>
        <v>23</v>
      </c>
      <c r="C195" s="2">
        <f t="shared" si="5"/>
        <v>5</v>
      </c>
      <c r="D195" s="9" cm="1">
        <f t="array" ref="D195">INDEX('Radio-2'!$B$2:$H$41,1+B195,C195)</f>
        <v>0</v>
      </c>
    </row>
    <row r="196" spans="1:4" x14ac:dyDescent="0.75">
      <c r="A196" s="2">
        <v>167</v>
      </c>
      <c r="B196" s="2">
        <f t="shared" si="4"/>
        <v>23</v>
      </c>
      <c r="C196" s="2">
        <f t="shared" si="5"/>
        <v>6</v>
      </c>
      <c r="D196" s="9" cm="1">
        <f t="array" ref="D196">INDEX('Radio-2'!$B$2:$H$41,1+B196,C196)</f>
        <v>0</v>
      </c>
    </row>
    <row r="197" spans="1:4" x14ac:dyDescent="0.75">
      <c r="A197" s="2">
        <v>168</v>
      </c>
      <c r="B197" s="2">
        <f t="shared" si="4"/>
        <v>23</v>
      </c>
      <c r="C197" s="2">
        <f t="shared" si="5"/>
        <v>7</v>
      </c>
      <c r="D197" s="9" cm="1">
        <f t="array" ref="D197">INDEX('Radio-2'!$B$2:$H$41,1+B197,C197)</f>
        <v>0</v>
      </c>
    </row>
    <row r="198" spans="1:4" x14ac:dyDescent="0.75">
      <c r="A198" s="2">
        <v>169</v>
      </c>
      <c r="B198" s="2">
        <f t="shared" si="4"/>
        <v>24</v>
      </c>
      <c r="C198" s="2">
        <f t="shared" si="5"/>
        <v>1</v>
      </c>
      <c r="D198" s="9" cm="1">
        <f t="array" ref="D198">INDEX('Radio-2'!$B$2:$H$41,1+B198,C198)</f>
        <v>0</v>
      </c>
    </row>
    <row r="199" spans="1:4" x14ac:dyDescent="0.75">
      <c r="A199" s="2">
        <v>170</v>
      </c>
      <c r="B199" s="2">
        <f t="shared" si="4"/>
        <v>24</v>
      </c>
      <c r="C199" s="2">
        <f t="shared" si="5"/>
        <v>2</v>
      </c>
      <c r="D199" s="9" cm="1">
        <f t="array" ref="D199">INDEX('Radio-2'!$B$2:$H$41,1+B199,C199)</f>
        <v>0</v>
      </c>
    </row>
    <row r="200" spans="1:4" x14ac:dyDescent="0.75">
      <c r="A200" s="2">
        <v>171</v>
      </c>
      <c r="B200" s="2">
        <f t="shared" si="4"/>
        <v>24</v>
      </c>
      <c r="C200" s="2">
        <f t="shared" si="5"/>
        <v>3</v>
      </c>
      <c r="D200" s="9" cm="1">
        <f t="array" ref="D200">INDEX('Radio-2'!$B$2:$H$41,1+B200,C200)</f>
        <v>0</v>
      </c>
    </row>
    <row r="201" spans="1:4" x14ac:dyDescent="0.75">
      <c r="A201" s="2">
        <v>172</v>
      </c>
      <c r="B201" s="2">
        <f t="shared" si="4"/>
        <v>24</v>
      </c>
      <c r="C201" s="2">
        <f t="shared" si="5"/>
        <v>4</v>
      </c>
      <c r="D201" s="9" cm="1">
        <f t="array" ref="D201">INDEX('Radio-2'!$B$2:$H$41,1+B201,C201)</f>
        <v>0</v>
      </c>
    </row>
    <row r="202" spans="1:4" x14ac:dyDescent="0.75">
      <c r="A202" s="2">
        <v>173</v>
      </c>
      <c r="B202" s="2">
        <f t="shared" si="4"/>
        <v>24</v>
      </c>
      <c r="C202" s="2">
        <f t="shared" si="5"/>
        <v>5</v>
      </c>
      <c r="D202" s="9" cm="1">
        <f t="array" ref="D202">INDEX('Radio-2'!$B$2:$H$41,1+B202,C202)</f>
        <v>0</v>
      </c>
    </row>
    <row r="203" spans="1:4" x14ac:dyDescent="0.75">
      <c r="A203" s="2">
        <v>174</v>
      </c>
      <c r="B203" s="2">
        <f t="shared" si="4"/>
        <v>24</v>
      </c>
      <c r="C203" s="2">
        <f t="shared" si="5"/>
        <v>6</v>
      </c>
      <c r="D203" s="9" cm="1">
        <f t="array" ref="D203">INDEX('Radio-2'!$B$2:$H$41,1+B203,C203)</f>
        <v>0</v>
      </c>
    </row>
    <row r="204" spans="1:4" x14ac:dyDescent="0.75">
      <c r="A204" s="2">
        <v>175</v>
      </c>
      <c r="B204" s="2">
        <f t="shared" si="4"/>
        <v>24</v>
      </c>
      <c r="C204" s="2">
        <f t="shared" si="5"/>
        <v>7</v>
      </c>
      <c r="D204" s="9" cm="1">
        <f t="array" ref="D204">INDEX('Radio-2'!$B$2:$H$41,1+B204,C204)</f>
        <v>0</v>
      </c>
    </row>
    <row r="205" spans="1:4" x14ac:dyDescent="0.75">
      <c r="A205" s="2">
        <v>176</v>
      </c>
      <c r="B205" s="2">
        <f t="shared" si="4"/>
        <v>25</v>
      </c>
      <c r="C205" s="2">
        <f t="shared" si="5"/>
        <v>1</v>
      </c>
      <c r="D205" s="9" cm="1">
        <f t="array" ref="D205">INDEX('Radio-2'!$B$2:$H$41,1+B205,C205)</f>
        <v>0</v>
      </c>
    </row>
    <row r="206" spans="1:4" x14ac:dyDescent="0.75">
      <c r="A206" s="2">
        <v>177</v>
      </c>
      <c r="B206" s="2">
        <f t="shared" si="4"/>
        <v>25</v>
      </c>
      <c r="C206" s="2">
        <f t="shared" si="5"/>
        <v>2</v>
      </c>
      <c r="D206" s="9" cm="1">
        <f t="array" ref="D206">INDEX('Radio-2'!$B$2:$H$41,1+B206,C206)</f>
        <v>0</v>
      </c>
    </row>
    <row r="207" spans="1:4" x14ac:dyDescent="0.75">
      <c r="A207" s="2">
        <v>178</v>
      </c>
      <c r="B207" s="2">
        <f t="shared" si="4"/>
        <v>25</v>
      </c>
      <c r="C207" s="2">
        <f t="shared" si="5"/>
        <v>3</v>
      </c>
      <c r="D207" s="9" cm="1">
        <f t="array" ref="D207">INDEX('Radio-2'!$B$2:$H$41,1+B207,C207)</f>
        <v>0</v>
      </c>
    </row>
    <row r="208" spans="1:4" x14ac:dyDescent="0.75">
      <c r="A208" s="2">
        <v>179</v>
      </c>
      <c r="B208" s="2">
        <f t="shared" si="4"/>
        <v>25</v>
      </c>
      <c r="C208" s="2">
        <f t="shared" si="5"/>
        <v>4</v>
      </c>
      <c r="D208" s="9" cm="1">
        <f t="array" ref="D208">INDEX('Radio-2'!$B$2:$H$41,1+B208,C208)</f>
        <v>0</v>
      </c>
    </row>
    <row r="209" spans="1:4" x14ac:dyDescent="0.75">
      <c r="A209" s="2">
        <v>180</v>
      </c>
      <c r="B209" s="2">
        <f t="shared" si="4"/>
        <v>25</v>
      </c>
      <c r="C209" s="2">
        <f t="shared" si="5"/>
        <v>5</v>
      </c>
      <c r="D209" s="9" cm="1">
        <f t="array" ref="D209">INDEX('Radio-2'!$B$2:$H$41,1+B209,C209)</f>
        <v>0</v>
      </c>
    </row>
    <row r="210" spans="1:4" x14ac:dyDescent="0.75">
      <c r="A210" s="2">
        <v>181</v>
      </c>
      <c r="B210" s="2">
        <f t="shared" si="4"/>
        <v>25</v>
      </c>
      <c r="C210" s="2">
        <f t="shared" si="5"/>
        <v>6</v>
      </c>
      <c r="D210" s="9" cm="1">
        <f t="array" ref="D210">INDEX('Radio-2'!$B$2:$H$41,1+B210,C210)</f>
        <v>0</v>
      </c>
    </row>
    <row r="211" spans="1:4" x14ac:dyDescent="0.75">
      <c r="A211" s="2">
        <v>182</v>
      </c>
      <c r="B211" s="2">
        <f t="shared" si="4"/>
        <v>25</v>
      </c>
      <c r="C211" s="2">
        <f t="shared" si="5"/>
        <v>7</v>
      </c>
      <c r="D211" s="9" cm="1">
        <f t="array" ref="D211">INDEX('Radio-2'!$B$2:$H$41,1+B211,C211)</f>
        <v>0</v>
      </c>
    </row>
    <row r="212" spans="1:4" x14ac:dyDescent="0.75">
      <c r="A212" s="2">
        <v>183</v>
      </c>
      <c r="B212" s="2">
        <f t="shared" si="4"/>
        <v>26</v>
      </c>
      <c r="C212" s="2">
        <f t="shared" si="5"/>
        <v>1</v>
      </c>
      <c r="D212" s="9" cm="1">
        <f t="array" ref="D212">INDEX('Radio-2'!$B$2:$H$41,1+B212,C212)</f>
        <v>0</v>
      </c>
    </row>
    <row r="213" spans="1:4" x14ac:dyDescent="0.75">
      <c r="A213" s="2">
        <v>184</v>
      </c>
      <c r="B213" s="2">
        <f t="shared" si="4"/>
        <v>26</v>
      </c>
      <c r="C213" s="2">
        <f t="shared" si="5"/>
        <v>2</v>
      </c>
      <c r="D213" s="9" cm="1">
        <f t="array" ref="D213">INDEX('Radio-2'!$B$2:$H$41,1+B213,C213)</f>
        <v>0</v>
      </c>
    </row>
    <row r="214" spans="1:4" x14ac:dyDescent="0.75">
      <c r="A214" s="2">
        <v>185</v>
      </c>
      <c r="B214" s="2">
        <f t="shared" si="4"/>
        <v>26</v>
      </c>
      <c r="C214" s="2">
        <f t="shared" si="5"/>
        <v>3</v>
      </c>
      <c r="D214" s="9" cm="1">
        <f t="array" ref="D214">INDEX('Radio-2'!$B$2:$H$41,1+B214,C214)</f>
        <v>0</v>
      </c>
    </row>
    <row r="215" spans="1:4" x14ac:dyDescent="0.75">
      <c r="A215" s="2">
        <v>186</v>
      </c>
      <c r="B215" s="2">
        <f t="shared" si="4"/>
        <v>26</v>
      </c>
      <c r="C215" s="2">
        <f t="shared" si="5"/>
        <v>4</v>
      </c>
      <c r="D215" s="9" cm="1">
        <f t="array" ref="D215">INDEX('Radio-2'!$B$2:$H$41,1+B215,C215)</f>
        <v>0</v>
      </c>
    </row>
    <row r="216" spans="1:4" x14ac:dyDescent="0.75">
      <c r="A216" s="2">
        <v>187</v>
      </c>
      <c r="B216" s="2">
        <f t="shared" si="4"/>
        <v>26</v>
      </c>
      <c r="C216" s="2">
        <f t="shared" si="5"/>
        <v>5</v>
      </c>
      <c r="D216" s="9" cm="1">
        <f t="array" ref="D216">INDEX('Radio-2'!$B$2:$H$41,1+B216,C216)</f>
        <v>0</v>
      </c>
    </row>
    <row r="217" spans="1:4" x14ac:dyDescent="0.75">
      <c r="A217" s="2">
        <v>188</v>
      </c>
      <c r="B217" s="2">
        <f t="shared" si="4"/>
        <v>26</v>
      </c>
      <c r="C217" s="2">
        <f t="shared" si="5"/>
        <v>6</v>
      </c>
      <c r="D217" s="9" cm="1">
        <f t="array" ref="D217">INDEX('Radio-2'!$B$2:$H$41,1+B217,C217)</f>
        <v>0</v>
      </c>
    </row>
    <row r="218" spans="1:4" x14ac:dyDescent="0.75">
      <c r="A218" s="2">
        <v>189</v>
      </c>
      <c r="B218" s="2">
        <f t="shared" si="4"/>
        <v>26</v>
      </c>
      <c r="C218" s="2">
        <f t="shared" si="5"/>
        <v>7</v>
      </c>
      <c r="D218" s="9" cm="1">
        <f t="array" ref="D218">INDEX('Radio-2'!$B$2:$H$41,1+B218,C218)</f>
        <v>0</v>
      </c>
    </row>
    <row r="219" spans="1:4" x14ac:dyDescent="0.75">
      <c r="A219" s="2">
        <v>190</v>
      </c>
      <c r="B219" s="2">
        <f t="shared" si="4"/>
        <v>27</v>
      </c>
      <c r="C219" s="2">
        <f t="shared" si="5"/>
        <v>1</v>
      </c>
      <c r="D219" s="9" cm="1">
        <f t="array" ref="D219">INDEX('Radio-2'!$B$2:$H$41,1+B219,C219)</f>
        <v>0</v>
      </c>
    </row>
    <row r="220" spans="1:4" x14ac:dyDescent="0.75">
      <c r="A220" s="2">
        <v>191</v>
      </c>
      <c r="B220" s="2">
        <f t="shared" si="4"/>
        <v>27</v>
      </c>
      <c r="C220" s="2">
        <f t="shared" si="5"/>
        <v>2</v>
      </c>
      <c r="D220" s="9" cm="1">
        <f t="array" ref="D220">INDEX('Radio-2'!$B$2:$H$41,1+B220,C220)</f>
        <v>0</v>
      </c>
    </row>
    <row r="221" spans="1:4" x14ac:dyDescent="0.75">
      <c r="A221" s="2">
        <v>192</v>
      </c>
      <c r="B221" s="2">
        <f t="shared" si="4"/>
        <v>27</v>
      </c>
      <c r="C221" s="2">
        <f t="shared" si="5"/>
        <v>3</v>
      </c>
      <c r="D221" s="9" cm="1">
        <f t="array" ref="D221">INDEX('Radio-2'!$B$2:$H$41,1+B221,C221)</f>
        <v>0</v>
      </c>
    </row>
    <row r="222" spans="1:4" x14ac:dyDescent="0.75">
      <c r="A222" s="2">
        <v>193</v>
      </c>
      <c r="B222" s="2">
        <f t="shared" si="4"/>
        <v>27</v>
      </c>
      <c r="C222" s="2">
        <f t="shared" si="5"/>
        <v>4</v>
      </c>
      <c r="D222" s="9" cm="1">
        <f t="array" ref="D222">INDEX('Radio-2'!$B$2:$H$41,1+B222,C222)</f>
        <v>0</v>
      </c>
    </row>
    <row r="223" spans="1:4" x14ac:dyDescent="0.75">
      <c r="A223" s="2">
        <v>194</v>
      </c>
      <c r="B223" s="2">
        <f t="shared" ref="B223:B246" si="6">IF(MOD(A223,7)=0,A223/7-1,INT(A223/7))</f>
        <v>27</v>
      </c>
      <c r="C223" s="2">
        <f t="shared" ref="C223:C246" si="7">IF(MOD(A223,7)=0,7,MOD(A223,7))</f>
        <v>5</v>
      </c>
      <c r="D223" s="9" cm="1">
        <f t="array" ref="D223">INDEX('Radio-2'!$B$2:$H$41,1+B223,C223)</f>
        <v>0</v>
      </c>
    </row>
    <row r="224" spans="1:4" x14ac:dyDescent="0.75">
      <c r="A224" s="2">
        <v>195</v>
      </c>
      <c r="B224" s="2">
        <f t="shared" si="6"/>
        <v>27</v>
      </c>
      <c r="C224" s="2">
        <f t="shared" si="7"/>
        <v>6</v>
      </c>
      <c r="D224" s="9" cm="1">
        <f t="array" ref="D224">INDEX('Radio-2'!$B$2:$H$41,1+B224,C224)</f>
        <v>0</v>
      </c>
    </row>
    <row r="225" spans="1:4" x14ac:dyDescent="0.75">
      <c r="A225" s="2">
        <v>196</v>
      </c>
      <c r="B225" s="2">
        <f t="shared" si="6"/>
        <v>27</v>
      </c>
      <c r="C225" s="2">
        <f t="shared" si="7"/>
        <v>7</v>
      </c>
      <c r="D225" s="9" cm="1">
        <f t="array" ref="D225">INDEX('Radio-2'!$B$2:$H$41,1+B225,C225)</f>
        <v>0</v>
      </c>
    </row>
    <row r="226" spans="1:4" x14ac:dyDescent="0.75">
      <c r="A226" s="2">
        <v>197</v>
      </c>
      <c r="B226" s="2">
        <f t="shared" si="6"/>
        <v>28</v>
      </c>
      <c r="C226" s="2">
        <f t="shared" si="7"/>
        <v>1</v>
      </c>
      <c r="D226" s="9" cm="1">
        <f t="array" ref="D226">INDEX('Radio-2'!$B$2:$H$41,1+B226,C226)</f>
        <v>0</v>
      </c>
    </row>
    <row r="227" spans="1:4" x14ac:dyDescent="0.75">
      <c r="A227" s="2">
        <v>198</v>
      </c>
      <c r="B227" s="2">
        <f t="shared" si="6"/>
        <v>28</v>
      </c>
      <c r="C227" s="2">
        <f t="shared" si="7"/>
        <v>2</v>
      </c>
      <c r="D227" s="9" cm="1">
        <f t="array" ref="D227">INDEX('Radio-2'!$B$2:$H$41,1+B227,C227)</f>
        <v>0</v>
      </c>
    </row>
    <row r="228" spans="1:4" x14ac:dyDescent="0.75">
      <c r="A228" s="2">
        <v>199</v>
      </c>
      <c r="B228" s="2">
        <f t="shared" si="6"/>
        <v>28</v>
      </c>
      <c r="C228" s="2">
        <f t="shared" si="7"/>
        <v>3</v>
      </c>
      <c r="D228" s="9" cm="1">
        <f t="array" ref="D228">INDEX('Radio-2'!$B$2:$H$41,1+B228,C228)</f>
        <v>0</v>
      </c>
    </row>
    <row r="229" spans="1:4" x14ac:dyDescent="0.75">
      <c r="A229" s="2">
        <v>200</v>
      </c>
      <c r="B229" s="2">
        <f t="shared" si="6"/>
        <v>28</v>
      </c>
      <c r="C229" s="2">
        <f t="shared" si="7"/>
        <v>4</v>
      </c>
      <c r="D229" s="9" cm="1">
        <f t="array" ref="D229">INDEX('Radio-2'!$B$2:$H$41,1+B229,C229)</f>
        <v>0</v>
      </c>
    </row>
    <row r="230" spans="1:4" x14ac:dyDescent="0.75">
      <c r="A230" s="2">
        <v>201</v>
      </c>
      <c r="B230" s="2">
        <f t="shared" si="6"/>
        <v>28</v>
      </c>
      <c r="C230" s="2">
        <f t="shared" si="7"/>
        <v>5</v>
      </c>
      <c r="D230" s="9" cm="1">
        <f t="array" ref="D230">INDEX('Radio-2'!$B$2:$H$41,1+B230,C230)</f>
        <v>0</v>
      </c>
    </row>
    <row r="231" spans="1:4" x14ac:dyDescent="0.75">
      <c r="A231" s="2">
        <v>202</v>
      </c>
      <c r="B231" s="2">
        <f t="shared" si="6"/>
        <v>28</v>
      </c>
      <c r="C231" s="2">
        <f t="shared" si="7"/>
        <v>6</v>
      </c>
      <c r="D231" s="9" cm="1">
        <f t="array" ref="D231">INDEX('Radio-2'!$B$2:$H$41,1+B231,C231)</f>
        <v>0</v>
      </c>
    </row>
    <row r="232" spans="1:4" x14ac:dyDescent="0.75">
      <c r="A232" s="2">
        <v>203</v>
      </c>
      <c r="B232" s="2">
        <f t="shared" si="6"/>
        <v>28</v>
      </c>
      <c r="C232" s="2">
        <f t="shared" si="7"/>
        <v>7</v>
      </c>
      <c r="D232" s="9" cm="1">
        <f t="array" ref="D232">INDEX('Radio-2'!$B$2:$H$41,1+B232,C232)</f>
        <v>0</v>
      </c>
    </row>
    <row r="233" spans="1:4" x14ac:dyDescent="0.75">
      <c r="A233" s="2">
        <v>204</v>
      </c>
      <c r="B233" s="2">
        <f t="shared" si="6"/>
        <v>29</v>
      </c>
      <c r="C233" s="2">
        <f t="shared" si="7"/>
        <v>1</v>
      </c>
      <c r="D233" s="9" cm="1">
        <f t="array" ref="D233">INDEX('Radio-2'!$B$2:$H$41,1+B233,C233)</f>
        <v>0</v>
      </c>
    </row>
    <row r="234" spans="1:4" x14ac:dyDescent="0.75">
      <c r="A234" s="2">
        <v>205</v>
      </c>
      <c r="B234" s="2">
        <f t="shared" si="6"/>
        <v>29</v>
      </c>
      <c r="C234" s="2">
        <f t="shared" si="7"/>
        <v>2</v>
      </c>
      <c r="D234" s="9" cm="1">
        <f t="array" ref="D234">INDEX('Radio-2'!$B$2:$H$41,1+B234,C234)</f>
        <v>0</v>
      </c>
    </row>
    <row r="235" spans="1:4" x14ac:dyDescent="0.75">
      <c r="A235" s="2">
        <v>206</v>
      </c>
      <c r="B235" s="2">
        <f t="shared" si="6"/>
        <v>29</v>
      </c>
      <c r="C235" s="2">
        <f t="shared" si="7"/>
        <v>3</v>
      </c>
      <c r="D235" s="9" cm="1">
        <f t="array" ref="D235">INDEX('Radio-2'!$B$2:$H$41,1+B235,C235)</f>
        <v>0</v>
      </c>
    </row>
    <row r="236" spans="1:4" x14ac:dyDescent="0.75">
      <c r="A236" s="2">
        <v>207</v>
      </c>
      <c r="B236" s="2">
        <f t="shared" si="6"/>
        <v>29</v>
      </c>
      <c r="C236" s="2">
        <f t="shared" si="7"/>
        <v>4</v>
      </c>
      <c r="D236" s="9" cm="1">
        <f t="array" ref="D236">INDEX('Radio-2'!$B$2:$H$41,1+B236,C236)</f>
        <v>0</v>
      </c>
    </row>
    <row r="237" spans="1:4" x14ac:dyDescent="0.75">
      <c r="A237" s="2">
        <v>208</v>
      </c>
      <c r="B237" s="2">
        <f t="shared" si="6"/>
        <v>29</v>
      </c>
      <c r="C237" s="2">
        <f t="shared" si="7"/>
        <v>5</v>
      </c>
      <c r="D237" s="9" cm="1">
        <f t="array" ref="D237">INDEX('Radio-2'!$B$2:$H$41,1+B237,C237)</f>
        <v>0</v>
      </c>
    </row>
    <row r="238" spans="1:4" x14ac:dyDescent="0.75">
      <c r="A238" s="2">
        <v>209</v>
      </c>
      <c r="B238" s="2">
        <f t="shared" si="6"/>
        <v>29</v>
      </c>
      <c r="C238" s="2">
        <f t="shared" si="7"/>
        <v>6</v>
      </c>
      <c r="D238" s="9" cm="1">
        <f t="array" ref="D238">INDEX('Radio-2'!$B$2:$H$41,1+B238,C238)</f>
        <v>0</v>
      </c>
    </row>
    <row r="239" spans="1:4" x14ac:dyDescent="0.75">
      <c r="A239" s="2">
        <v>210</v>
      </c>
      <c r="B239" s="2">
        <f t="shared" si="6"/>
        <v>29</v>
      </c>
      <c r="C239" s="2">
        <f t="shared" si="7"/>
        <v>7</v>
      </c>
      <c r="D239" s="9" cm="1">
        <f t="array" ref="D239">INDEX('Radio-2'!$B$2:$H$41,1+B239,C239)</f>
        <v>0</v>
      </c>
    </row>
    <row r="240" spans="1:4" x14ac:dyDescent="0.75">
      <c r="A240" s="2">
        <v>211</v>
      </c>
      <c r="B240" s="2">
        <f t="shared" si="6"/>
        <v>30</v>
      </c>
      <c r="C240" s="2">
        <f t="shared" si="7"/>
        <v>1</v>
      </c>
      <c r="D240" s="9" cm="1">
        <f t="array" ref="D240">INDEX('Radio-2'!$B$2:$H$41,1+B240,C240)</f>
        <v>0</v>
      </c>
    </row>
    <row r="241" spans="1:4" x14ac:dyDescent="0.75">
      <c r="A241" s="2">
        <v>212</v>
      </c>
      <c r="B241" s="2">
        <f t="shared" si="6"/>
        <v>30</v>
      </c>
      <c r="C241" s="2">
        <f t="shared" si="7"/>
        <v>2</v>
      </c>
      <c r="D241" s="9" cm="1">
        <f t="array" ref="D241">INDEX('Radio-2'!$B$2:$H$41,1+B241,C241)</f>
        <v>0</v>
      </c>
    </row>
    <row r="242" spans="1:4" x14ac:dyDescent="0.75">
      <c r="A242" s="2">
        <v>213</v>
      </c>
      <c r="B242" s="2">
        <f t="shared" si="6"/>
        <v>30</v>
      </c>
      <c r="C242" s="2">
        <f t="shared" si="7"/>
        <v>3</v>
      </c>
      <c r="D242" s="9" cm="1">
        <f t="array" ref="D242">INDEX('Radio-2'!$B$2:$H$41,1+B242,C242)</f>
        <v>0</v>
      </c>
    </row>
    <row r="243" spans="1:4" x14ac:dyDescent="0.75">
      <c r="A243" s="2">
        <v>214</v>
      </c>
      <c r="B243" s="2">
        <f t="shared" si="6"/>
        <v>30</v>
      </c>
      <c r="C243" s="2">
        <f t="shared" si="7"/>
        <v>4</v>
      </c>
      <c r="D243" s="9" cm="1">
        <f t="array" ref="D243">INDEX('Radio-2'!$B$2:$H$41,1+B243,C243)</f>
        <v>0</v>
      </c>
    </row>
    <row r="244" spans="1:4" x14ac:dyDescent="0.75">
      <c r="A244" s="2">
        <v>215</v>
      </c>
      <c r="B244" s="2">
        <f t="shared" si="6"/>
        <v>30</v>
      </c>
      <c r="C244" s="2">
        <f t="shared" si="7"/>
        <v>5</v>
      </c>
      <c r="D244" s="9" cm="1">
        <f t="array" ref="D244">INDEX('Radio-2'!$B$2:$H$41,1+B244,C244)</f>
        <v>0</v>
      </c>
    </row>
    <row r="245" spans="1:4" x14ac:dyDescent="0.75">
      <c r="A245" s="2">
        <v>216</v>
      </c>
      <c r="B245" s="2">
        <f t="shared" si="6"/>
        <v>30</v>
      </c>
      <c r="C245" s="2">
        <f t="shared" si="7"/>
        <v>6</v>
      </c>
      <c r="D245" s="9" cm="1">
        <f t="array" ref="D245">INDEX('Radio-2'!$B$2:$H$41,1+B245,C245)</f>
        <v>0</v>
      </c>
    </row>
    <row r="246" spans="1:4" x14ac:dyDescent="0.75">
      <c r="A246" s="2">
        <v>217</v>
      </c>
      <c r="B246" s="2">
        <f t="shared" si="6"/>
        <v>30</v>
      </c>
      <c r="C246" s="2">
        <f t="shared" si="7"/>
        <v>7</v>
      </c>
      <c r="D246" s="9" cm="1">
        <f t="array" ref="D246">INDEX('Radio-2'!$B$2:$H$41,1+B246,C246)</f>
        <v>0</v>
      </c>
    </row>
    <row r="247" spans="1:4" x14ac:dyDescent="0.75">
      <c r="A247" s="2">
        <v>218</v>
      </c>
      <c r="B247" s="2">
        <f>IF(MOD(A247,7)=0,A247/7-1,INT(A247/7))</f>
        <v>31</v>
      </c>
      <c r="C247" s="2">
        <f>IF(MOD(A247,7)=0,7,MOD(A247,7))</f>
        <v>1</v>
      </c>
      <c r="D247" s="9" cm="1">
        <f t="array" ref="D247">INDEX('Radio-2'!$B$2:$H$41,1+B247,C247)</f>
        <v>0</v>
      </c>
    </row>
    <row r="248" spans="1:4" x14ac:dyDescent="0.75">
      <c r="A248" s="2">
        <v>219</v>
      </c>
      <c r="B248" s="2">
        <f t="shared" ref="B248:B251" si="8">IF(MOD(A248,7)=0,A248/7-1,INT(A248/7))</f>
        <v>31</v>
      </c>
      <c r="C248" s="2">
        <f t="shared" ref="C248:C251" si="9">IF(MOD(A248,7)=0,7,MOD(A248,7))</f>
        <v>2</v>
      </c>
      <c r="D248" s="9" cm="1">
        <f t="array" ref="D248">INDEX('Radio-2'!$B$2:$H$41,1+B248,C248)</f>
        <v>0</v>
      </c>
    </row>
    <row r="249" spans="1:4" x14ac:dyDescent="0.75">
      <c r="A249" s="2">
        <v>220</v>
      </c>
      <c r="B249" s="2">
        <f t="shared" si="8"/>
        <v>31</v>
      </c>
      <c r="C249" s="2">
        <f t="shared" si="9"/>
        <v>3</v>
      </c>
      <c r="D249" s="9" cm="1">
        <f t="array" ref="D249">INDEX('Radio-2'!$B$2:$H$41,1+B249,C249)</f>
        <v>0</v>
      </c>
    </row>
    <row r="250" spans="1:4" x14ac:dyDescent="0.75">
      <c r="A250" s="2">
        <v>221</v>
      </c>
      <c r="B250" s="2">
        <f t="shared" si="8"/>
        <v>31</v>
      </c>
      <c r="C250" s="2">
        <f t="shared" si="9"/>
        <v>4</v>
      </c>
      <c r="D250" s="9" cm="1">
        <f t="array" ref="D250">INDEX('Radio-2'!$B$2:$H$41,1+B250,C250)</f>
        <v>0</v>
      </c>
    </row>
    <row r="251" spans="1:4" x14ac:dyDescent="0.75">
      <c r="A251" s="2">
        <v>222</v>
      </c>
      <c r="B251" s="2">
        <f t="shared" si="8"/>
        <v>31</v>
      </c>
      <c r="C251" s="2">
        <f t="shared" si="9"/>
        <v>5</v>
      </c>
      <c r="D251" s="9" cm="1">
        <f t="array" ref="D251">INDEX('Radio-2'!$B$2:$H$41,1+B251,C251)</f>
        <v>0</v>
      </c>
    </row>
    <row r="252" spans="1:4" x14ac:dyDescent="0.75">
      <c r="A252" s="2">
        <v>223</v>
      </c>
      <c r="B252" s="2">
        <f>IF(MOD(A252,7)=0,A252/7-1,INT(A252/7))</f>
        <v>31</v>
      </c>
      <c r="C252" s="2">
        <f>IF(MOD(A252,7)=0,7,MOD(A252,7))</f>
        <v>6</v>
      </c>
      <c r="D252" s="9" cm="1">
        <f t="array" ref="D252">INDEX('Radio-2'!$B$2:$H$41,1+B252,C252)</f>
        <v>0</v>
      </c>
    </row>
    <row r="253" spans="1:4" x14ac:dyDescent="0.75">
      <c r="A253" s="2">
        <v>224</v>
      </c>
      <c r="B253" s="2">
        <f t="shared" ref="B253:B259" si="10">IF(MOD(A253,7)=0,A253/7-1,INT(A253/7))</f>
        <v>31</v>
      </c>
      <c r="C253" s="2">
        <f t="shared" ref="C253:C259" si="11">IF(MOD(A253,7)=0,7,MOD(A253,7))</f>
        <v>7</v>
      </c>
      <c r="D253" s="9" cm="1">
        <f t="array" ref="D253">INDEX('Radio-2'!$B$2:$H$41,1+B253,C253)</f>
        <v>0</v>
      </c>
    </row>
    <row r="254" spans="1:4" x14ac:dyDescent="0.75">
      <c r="A254" s="2">
        <v>225</v>
      </c>
      <c r="B254" s="2">
        <f t="shared" si="10"/>
        <v>32</v>
      </c>
      <c r="C254" s="2">
        <f t="shared" si="11"/>
        <v>1</v>
      </c>
      <c r="D254" s="9" cm="1">
        <f t="array" ref="D254">INDEX('Radio-2'!$B$2:$H$41,1+B254,C254)</f>
        <v>0</v>
      </c>
    </row>
    <row r="255" spans="1:4" x14ac:dyDescent="0.75">
      <c r="A255" s="2">
        <v>226</v>
      </c>
      <c r="B255" s="2">
        <f t="shared" si="10"/>
        <v>32</v>
      </c>
      <c r="C255" s="2">
        <f t="shared" si="11"/>
        <v>2</v>
      </c>
      <c r="D255" s="9" cm="1">
        <f t="array" ref="D255">INDEX('Radio-2'!$B$2:$H$41,1+B255,C255)</f>
        <v>0</v>
      </c>
    </row>
    <row r="256" spans="1:4" x14ac:dyDescent="0.75">
      <c r="A256" s="2">
        <v>227</v>
      </c>
      <c r="B256" s="2">
        <f t="shared" si="10"/>
        <v>32</v>
      </c>
      <c r="C256" s="2">
        <f t="shared" si="11"/>
        <v>3</v>
      </c>
      <c r="D256" s="9" cm="1">
        <f t="array" ref="D256">INDEX('Radio-2'!$B$2:$H$41,1+B256,C256)</f>
        <v>0</v>
      </c>
    </row>
    <row r="257" spans="1:4" x14ac:dyDescent="0.75">
      <c r="A257" s="2">
        <v>228</v>
      </c>
      <c r="B257" s="2">
        <f t="shared" si="10"/>
        <v>32</v>
      </c>
      <c r="C257" s="2">
        <f t="shared" si="11"/>
        <v>4</v>
      </c>
      <c r="D257" s="9" cm="1">
        <f t="array" ref="D257">INDEX('Radio-2'!$B$2:$H$41,1+B257,C257)</f>
        <v>0</v>
      </c>
    </row>
    <row r="258" spans="1:4" x14ac:dyDescent="0.75">
      <c r="A258" s="2">
        <v>229</v>
      </c>
      <c r="B258" s="2">
        <f t="shared" si="10"/>
        <v>32</v>
      </c>
      <c r="C258" s="2">
        <f t="shared" si="11"/>
        <v>5</v>
      </c>
      <c r="D258" s="9" cm="1">
        <f t="array" ref="D258">INDEX('Radio-2'!$B$2:$H$41,1+B258,C258)</f>
        <v>0</v>
      </c>
    </row>
    <row r="259" spans="1:4" x14ac:dyDescent="0.75">
      <c r="A259" s="2">
        <v>230</v>
      </c>
      <c r="B259" s="2">
        <f t="shared" si="10"/>
        <v>32</v>
      </c>
      <c r="C259" s="2">
        <f t="shared" si="11"/>
        <v>6</v>
      </c>
      <c r="D259" s="9" cm="1">
        <f t="array" ref="D259">INDEX('Radio-2'!$B$2:$H$41,1+B259,C259)</f>
        <v>0</v>
      </c>
    </row>
    <row r="260" spans="1:4" x14ac:dyDescent="0.75">
      <c r="A260" s="2">
        <v>231</v>
      </c>
      <c r="B260" s="2">
        <f>IF(MOD(A260,7)=0,A260/7-1,INT(A260/7))</f>
        <v>32</v>
      </c>
      <c r="C260" s="2">
        <f>IF(MOD(A260,7)=0,7,MOD(A260,7))</f>
        <v>7</v>
      </c>
      <c r="D260" s="9" cm="1">
        <f t="array" ref="D260">INDEX('Radio-2'!$B$2:$H$41,1+B260,C260)</f>
        <v>0</v>
      </c>
    </row>
    <row r="261" spans="1:4" x14ac:dyDescent="0.75">
      <c r="A261" s="2">
        <v>232</v>
      </c>
      <c r="B261" s="2">
        <f t="shared" ref="B261:B263" si="12">IF(MOD(A261,7)=0,A261/7-1,INT(A261/7))</f>
        <v>33</v>
      </c>
      <c r="C261" s="2">
        <f t="shared" ref="C261:C263" si="13">IF(MOD(A261,7)=0,7,MOD(A261,7))</f>
        <v>1</v>
      </c>
      <c r="D261" s="9" cm="1">
        <f t="array" ref="D261">INDEX('Radio-2'!$B$2:$H$41,1+B261,C261)</f>
        <v>0</v>
      </c>
    </row>
    <row r="262" spans="1:4" x14ac:dyDescent="0.75">
      <c r="A262" s="2">
        <v>233</v>
      </c>
      <c r="B262" s="2">
        <f t="shared" si="12"/>
        <v>33</v>
      </c>
      <c r="C262" s="2">
        <f t="shared" si="13"/>
        <v>2</v>
      </c>
      <c r="D262" s="9" cm="1">
        <f t="array" ref="D262">INDEX('Radio-2'!$B$2:$H$41,1+B262,C262)</f>
        <v>0</v>
      </c>
    </row>
    <row r="263" spans="1:4" x14ac:dyDescent="0.75">
      <c r="A263" s="2">
        <v>234</v>
      </c>
      <c r="B263" s="2">
        <f t="shared" si="12"/>
        <v>33</v>
      </c>
      <c r="C263" s="2">
        <f t="shared" si="13"/>
        <v>3</v>
      </c>
      <c r="D263" s="9" cm="1">
        <f t="array" ref="D263">INDEX('Radio-2'!$B$2:$H$41,1+B263,C263)</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F11FA-31AE-43DE-BA08-0E5C82A44828}">
  <sheetPr codeName="Foglio35"/>
  <dimension ref="A1:I42"/>
  <sheetViews>
    <sheetView workbookViewId="0">
      <selection activeCell="D39" sqref="D39"/>
    </sheetView>
  </sheetViews>
  <sheetFormatPr defaultRowHeight="14.75" x14ac:dyDescent="0.75"/>
  <cols>
    <col min="1" max="1" width="8.7265625" style="31"/>
    <col min="2" max="2" width="41.953125" style="31" bestFit="1" customWidth="1"/>
    <col min="3" max="3" width="44.6328125" style="31" customWidth="1"/>
    <col min="4" max="4" width="71.58984375" style="31" bestFit="1" customWidth="1"/>
    <col min="5" max="5" width="12.1796875" style="31" customWidth="1"/>
    <col min="6" max="6" width="20.7265625" style="31" customWidth="1"/>
    <col min="7" max="7" width="15.2265625" style="31" bestFit="1" customWidth="1"/>
    <col min="8" max="8" width="33.90625" style="31" customWidth="1"/>
    <col min="9" max="9" width="19.31640625" style="31" customWidth="1"/>
    <col min="10" max="16384" width="8.7265625" style="31"/>
  </cols>
  <sheetData>
    <row r="1" spans="1:9" x14ac:dyDescent="0.75">
      <c r="B1" s="19" t="s">
        <v>32</v>
      </c>
      <c r="C1" s="20" t="s">
        <v>31</v>
      </c>
      <c r="D1" s="21" t="s">
        <v>6</v>
      </c>
    </row>
    <row r="2" spans="1:9" x14ac:dyDescent="0.75">
      <c r="B2" s="30" t="s">
        <v>45</v>
      </c>
      <c r="C2" s="40" t="s">
        <v>63</v>
      </c>
      <c r="D2" s="40" t="s">
        <v>63</v>
      </c>
    </row>
    <row r="3" spans="1:9" x14ac:dyDescent="0.75">
      <c r="B3" s="22" t="s">
        <v>33</v>
      </c>
      <c r="C3" s="23"/>
      <c r="D3" s="45"/>
    </row>
    <row r="4" spans="1:9" ht="15.5" thickBot="1" x14ac:dyDescent="0.9">
      <c r="B4" s="24" t="s">
        <v>44</v>
      </c>
      <c r="C4" s="25"/>
      <c r="D4" s="46"/>
    </row>
    <row r="5" spans="1:9" x14ac:dyDescent="0.75">
      <c r="C5" s="3" t="s">
        <v>7</v>
      </c>
      <c r="D5" s="4" t="s">
        <v>8</v>
      </c>
      <c r="E5" s="12" t="s">
        <v>14</v>
      </c>
      <c r="F5" s="12" t="s">
        <v>15</v>
      </c>
      <c r="G5" s="12" t="s">
        <v>16</v>
      </c>
    </row>
    <row r="6" spans="1:9" x14ac:dyDescent="0.75">
      <c r="A6" s="31">
        <v>0</v>
      </c>
      <c r="B6" s="40" t="s">
        <v>62</v>
      </c>
      <c r="C6" s="40" t="s">
        <v>36</v>
      </c>
      <c r="D6" s="40" t="s">
        <v>36</v>
      </c>
      <c r="E6" s="41">
        <v>1</v>
      </c>
      <c r="F6" s="41">
        <v>1</v>
      </c>
      <c r="G6" s="41" t="s">
        <v>18</v>
      </c>
    </row>
    <row r="7" spans="1:9" x14ac:dyDescent="0.75">
      <c r="A7" s="32">
        <v>1</v>
      </c>
      <c r="B7" s="32" t="s">
        <v>34</v>
      </c>
      <c r="C7" s="32" t="s">
        <v>20</v>
      </c>
      <c r="D7" s="32" t="s">
        <v>20</v>
      </c>
      <c r="E7" s="32">
        <v>0</v>
      </c>
      <c r="F7" s="32" t="s">
        <v>17</v>
      </c>
      <c r="G7" s="32" t="s">
        <v>0</v>
      </c>
      <c r="H7" s="32"/>
      <c r="I7" s="32"/>
    </row>
    <row r="8" spans="1:9" x14ac:dyDescent="0.75">
      <c r="A8" s="32">
        <v>2</v>
      </c>
      <c r="B8" s="32" t="s">
        <v>35</v>
      </c>
      <c r="C8" s="32" t="s">
        <v>66</v>
      </c>
      <c r="D8" s="32" t="s">
        <v>67</v>
      </c>
      <c r="E8" s="32">
        <v>0</v>
      </c>
      <c r="F8" s="32" t="s">
        <v>17</v>
      </c>
      <c r="G8" s="32" t="s">
        <v>3</v>
      </c>
      <c r="H8" s="32"/>
      <c r="I8" s="32"/>
    </row>
    <row r="9" spans="1:9" x14ac:dyDescent="0.75">
      <c r="A9" s="31">
        <v>3</v>
      </c>
      <c r="B9" s="32"/>
      <c r="C9" s="50"/>
      <c r="D9" s="50"/>
      <c r="E9" s="32"/>
      <c r="F9" s="32"/>
      <c r="G9" s="32"/>
      <c r="H9" s="32"/>
      <c r="I9" s="32"/>
    </row>
    <row r="10" spans="1:9" x14ac:dyDescent="0.75">
      <c r="A10" s="32">
        <v>4</v>
      </c>
      <c r="B10" s="32"/>
      <c r="C10" s="32"/>
      <c r="D10" s="32"/>
      <c r="E10" s="32"/>
      <c r="F10" s="32"/>
      <c r="G10" s="32"/>
      <c r="H10" s="32"/>
      <c r="I10" s="32"/>
    </row>
    <row r="11" spans="1:9" x14ac:dyDescent="0.75">
      <c r="A11" s="32">
        <v>5</v>
      </c>
      <c r="B11" s="32"/>
      <c r="C11" s="32"/>
      <c r="D11" s="32"/>
      <c r="E11" s="32"/>
      <c r="F11" s="32"/>
      <c r="G11" s="32"/>
      <c r="H11" s="32"/>
      <c r="I11" s="32"/>
    </row>
    <row r="12" spans="1:9" x14ac:dyDescent="0.75">
      <c r="A12" s="31">
        <v>6</v>
      </c>
      <c r="B12" s="32"/>
      <c r="C12" s="26"/>
      <c r="D12" s="26"/>
      <c r="E12" s="32"/>
      <c r="F12" s="32"/>
      <c r="G12" s="32"/>
      <c r="H12" s="32"/>
      <c r="I12" s="32"/>
    </row>
    <row r="13" spans="1:9" x14ac:dyDescent="0.75">
      <c r="A13" s="32">
        <v>7</v>
      </c>
      <c r="B13" s="32"/>
      <c r="C13" s="26"/>
      <c r="D13" s="26"/>
      <c r="E13" s="32"/>
      <c r="F13" s="32"/>
      <c r="G13" s="32"/>
      <c r="H13" s="32"/>
      <c r="I13" s="32"/>
    </row>
    <row r="14" spans="1:9" x14ac:dyDescent="0.75">
      <c r="A14" s="32">
        <v>8</v>
      </c>
      <c r="B14" s="32"/>
      <c r="C14" s="26"/>
      <c r="D14" s="26"/>
      <c r="E14" s="32"/>
      <c r="F14" s="32"/>
      <c r="G14" s="32"/>
      <c r="H14" s="32"/>
      <c r="I14" s="32"/>
    </row>
    <row r="15" spans="1:9" x14ac:dyDescent="0.75">
      <c r="A15" s="31">
        <v>9</v>
      </c>
      <c r="B15" s="32"/>
      <c r="C15" s="26"/>
      <c r="D15" s="26"/>
      <c r="E15" s="39"/>
      <c r="F15" s="32"/>
      <c r="G15" s="32"/>
      <c r="H15" s="32"/>
      <c r="I15" s="32"/>
    </row>
    <row r="16" spans="1:9" x14ac:dyDescent="0.75">
      <c r="A16" s="32">
        <v>10</v>
      </c>
      <c r="B16" s="32"/>
      <c r="C16" s="26"/>
      <c r="D16" s="26"/>
      <c r="E16" s="39"/>
      <c r="F16" s="32"/>
      <c r="G16" s="32"/>
      <c r="H16" s="32"/>
      <c r="I16" s="32"/>
    </row>
    <row r="17" spans="1:9" x14ac:dyDescent="0.75">
      <c r="A17" s="32">
        <v>11</v>
      </c>
      <c r="B17" s="32"/>
      <c r="C17" s="26"/>
      <c r="D17" s="26"/>
      <c r="E17" s="39"/>
      <c r="F17" s="32"/>
      <c r="G17" s="32"/>
      <c r="H17" s="32"/>
      <c r="I17" s="32"/>
    </row>
    <row r="18" spans="1:9" x14ac:dyDescent="0.75">
      <c r="A18" s="31">
        <v>12</v>
      </c>
      <c r="B18" s="32"/>
      <c r="C18" s="26"/>
      <c r="D18" s="26"/>
      <c r="E18" s="39"/>
      <c r="F18" s="32"/>
      <c r="G18" s="32"/>
      <c r="H18" s="32"/>
      <c r="I18" s="32"/>
    </row>
    <row r="19" spans="1:9" x14ac:dyDescent="0.75">
      <c r="A19" s="32">
        <v>13</v>
      </c>
      <c r="B19" s="32"/>
      <c r="C19" s="26"/>
      <c r="D19" s="26"/>
      <c r="E19" s="39"/>
      <c r="F19" s="32"/>
      <c r="G19" s="32"/>
      <c r="H19" s="32"/>
      <c r="I19" s="32"/>
    </row>
    <row r="20" spans="1:9" x14ac:dyDescent="0.75">
      <c r="A20" s="32">
        <v>14</v>
      </c>
      <c r="B20" s="32"/>
      <c r="C20" s="26"/>
      <c r="D20" s="26"/>
      <c r="E20" s="39"/>
      <c r="F20" s="32"/>
      <c r="G20" s="32"/>
      <c r="H20" s="32"/>
      <c r="I20" s="32"/>
    </row>
    <row r="21" spans="1:9" x14ac:dyDescent="0.75">
      <c r="A21" s="31">
        <v>15</v>
      </c>
      <c r="B21" s="32"/>
      <c r="C21" s="26"/>
      <c r="D21" s="26"/>
      <c r="E21" s="39"/>
      <c r="F21" s="32"/>
      <c r="G21" s="32"/>
      <c r="H21" s="32"/>
      <c r="I21" s="32"/>
    </row>
    <row r="22" spans="1:9" x14ac:dyDescent="0.75">
      <c r="A22" s="32">
        <v>16</v>
      </c>
      <c r="B22" s="32"/>
      <c r="C22" s="26"/>
      <c r="D22" s="26"/>
      <c r="E22" s="39"/>
      <c r="F22" s="32"/>
      <c r="G22" s="32"/>
      <c r="H22" s="32"/>
      <c r="I22" s="32"/>
    </row>
    <row r="23" spans="1:9" x14ac:dyDescent="0.75">
      <c r="A23" s="32"/>
      <c r="B23" s="32"/>
      <c r="C23" s="36"/>
      <c r="D23" s="36"/>
      <c r="E23" s="32"/>
      <c r="F23" s="32"/>
      <c r="G23" s="32"/>
    </row>
    <row r="24" spans="1:9" x14ac:dyDescent="0.75">
      <c r="A24" s="32"/>
      <c r="B24" s="32"/>
      <c r="C24" s="26"/>
      <c r="D24" s="26"/>
      <c r="E24" s="32"/>
      <c r="F24" s="32"/>
      <c r="G24" s="32"/>
    </row>
    <row r="25" spans="1:9" x14ac:dyDescent="0.75">
      <c r="A25" s="32"/>
      <c r="C25" s="26"/>
      <c r="D25" s="26"/>
      <c r="E25" s="32"/>
      <c r="F25" s="32"/>
      <c r="G25" s="32"/>
    </row>
    <row r="26" spans="1:9" x14ac:dyDescent="0.75">
      <c r="A26" s="32"/>
      <c r="B26" s="32"/>
      <c r="C26" s="26"/>
      <c r="D26" s="26"/>
      <c r="E26" s="32"/>
      <c r="F26" s="32"/>
      <c r="G26" s="32"/>
    </row>
    <row r="27" spans="1:9" x14ac:dyDescent="0.75">
      <c r="A27" s="32"/>
      <c r="B27" s="32"/>
      <c r="C27" s="26"/>
      <c r="D27" s="26"/>
      <c r="E27" s="32"/>
      <c r="F27" s="32"/>
      <c r="G27" s="32"/>
    </row>
    <row r="28" spans="1:9" x14ac:dyDescent="0.75">
      <c r="A28" s="32"/>
      <c r="B28" s="32"/>
      <c r="C28" s="26"/>
      <c r="D28" s="26"/>
      <c r="E28" s="32"/>
      <c r="F28" s="32"/>
      <c r="G28" s="32"/>
    </row>
    <row r="29" spans="1:9" x14ac:dyDescent="0.75">
      <c r="A29" s="32"/>
      <c r="B29" s="32"/>
      <c r="C29" s="35"/>
      <c r="D29" s="34"/>
      <c r="E29" s="32"/>
      <c r="F29" s="32"/>
      <c r="G29" s="32"/>
    </row>
    <row r="30" spans="1:9" x14ac:dyDescent="0.75">
      <c r="A30" s="32"/>
      <c r="B30" s="32"/>
      <c r="C30" s="35"/>
      <c r="D30" s="34"/>
      <c r="E30" s="32"/>
      <c r="F30" s="32"/>
      <c r="G30" s="32"/>
    </row>
    <row r="31" spans="1:9" x14ac:dyDescent="0.75">
      <c r="A31" s="32"/>
      <c r="B31" s="32"/>
      <c r="C31" s="35"/>
      <c r="D31" s="34"/>
      <c r="E31" s="39"/>
      <c r="F31" s="39"/>
      <c r="G31" s="32"/>
    </row>
    <row r="32" spans="1:9" x14ac:dyDescent="0.75">
      <c r="A32" s="32"/>
      <c r="B32" s="32"/>
      <c r="C32" s="35"/>
      <c r="D32" s="35"/>
      <c r="E32" s="39"/>
      <c r="F32" s="39"/>
      <c r="G32" s="32"/>
    </row>
    <row r="33" spans="1:7" x14ac:dyDescent="0.75">
      <c r="A33" s="32"/>
      <c r="B33" s="32"/>
      <c r="C33" s="35"/>
      <c r="D33" s="34"/>
      <c r="E33" s="39"/>
      <c r="F33" s="39"/>
      <c r="G33" s="32"/>
    </row>
    <row r="34" spans="1:7" x14ac:dyDescent="0.75">
      <c r="A34" s="32"/>
      <c r="B34" s="32"/>
      <c r="C34" s="35"/>
      <c r="D34" s="35"/>
      <c r="E34" s="39"/>
      <c r="F34" s="39"/>
      <c r="G34" s="32"/>
    </row>
    <row r="35" spans="1:7" x14ac:dyDescent="0.75">
      <c r="A35" s="32"/>
      <c r="B35" s="32"/>
      <c r="C35" s="35"/>
      <c r="D35" s="35"/>
      <c r="E35" s="39"/>
      <c r="F35" s="39"/>
      <c r="G35" s="32"/>
    </row>
    <row r="36" spans="1:7" x14ac:dyDescent="0.75">
      <c r="A36" s="32"/>
      <c r="B36" s="32"/>
      <c r="C36" s="33"/>
      <c r="D36" s="34"/>
      <c r="E36" s="39"/>
      <c r="F36" s="39"/>
      <c r="G36" s="32"/>
    </row>
    <row r="37" spans="1:7" x14ac:dyDescent="0.75">
      <c r="A37" s="32"/>
      <c r="B37" s="32"/>
      <c r="C37" s="34"/>
      <c r="D37" s="34"/>
      <c r="E37" s="39"/>
      <c r="F37" s="39"/>
      <c r="G37" s="32"/>
    </row>
    <row r="38" spans="1:7" x14ac:dyDescent="0.75">
      <c r="A38" s="32"/>
      <c r="B38" s="32"/>
      <c r="C38" s="35"/>
      <c r="D38" s="34"/>
      <c r="E38" s="39"/>
      <c r="F38" s="39"/>
      <c r="G38" s="32"/>
    </row>
    <row r="39" spans="1:7" x14ac:dyDescent="0.75">
      <c r="A39" s="32"/>
      <c r="B39" s="32"/>
      <c r="C39" s="35"/>
      <c r="D39" s="34"/>
      <c r="E39" s="39"/>
      <c r="F39" s="39"/>
      <c r="G39" s="32"/>
    </row>
    <row r="40" spans="1:7" x14ac:dyDescent="0.75">
      <c r="A40" s="32"/>
      <c r="B40" s="32"/>
      <c r="C40" s="35"/>
      <c r="D40" s="34"/>
      <c r="E40" s="39"/>
      <c r="F40" s="39"/>
      <c r="G40" s="32"/>
    </row>
    <row r="41" spans="1:7" x14ac:dyDescent="0.75">
      <c r="A41" s="32"/>
      <c r="B41" s="32"/>
      <c r="C41" s="35"/>
      <c r="D41" s="34"/>
      <c r="E41" s="39"/>
      <c r="F41" s="39"/>
      <c r="G41" s="32"/>
    </row>
    <row r="42" spans="1:7" x14ac:dyDescent="0.75">
      <c r="A42" s="32"/>
      <c r="B42" s="32"/>
      <c r="C42" s="35"/>
      <c r="D42" s="34"/>
      <c r="E42" s="39"/>
      <c r="F42" s="39"/>
      <c r="G42" s="32"/>
    </row>
  </sheetData>
  <hyperlinks>
    <hyperlink ref="B2" r:id="rId1" xr:uid="{DC2A84DB-0F47-47CE-8E09-C63E7A7ABFD1}"/>
  </hyperlinks>
  <pageMargins left="0.7" right="0.7" top="0.75" bottom="0.75" header="0.3" footer="0.3"/>
  <pageSetup paperSize="9" orientation="portrait" r:id="rId2"/>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281B-69E3-4175-8A31-DC48FE0EA32C}">
  <sheetPr codeName="Foglio36"/>
  <dimension ref="B1:I94"/>
  <sheetViews>
    <sheetView zoomScale="85" zoomScaleNormal="85" workbookViewId="0">
      <selection activeCell="F29" sqref="F29"/>
    </sheetView>
  </sheetViews>
  <sheetFormatPr defaultRowHeight="14.75" x14ac:dyDescent="0.75"/>
  <cols>
    <col min="1" max="1" width="8.7265625" style="31"/>
    <col min="2" max="2" width="44.26953125" style="1" customWidth="1"/>
    <col min="3" max="3" width="51.6796875" style="1" customWidth="1"/>
    <col min="4" max="4" width="45.86328125" style="1" customWidth="1"/>
    <col min="5" max="5" width="45.953125" style="1" customWidth="1"/>
    <col min="6" max="9" width="19.54296875" style="31" customWidth="1"/>
    <col min="10" max="10" width="89.90625" style="31" customWidth="1"/>
    <col min="11" max="16384" width="8.7265625" style="31"/>
  </cols>
  <sheetData>
    <row r="1" spans="2:9" ht="44.25" x14ac:dyDescent="0.75">
      <c r="B1" s="15" t="str">
        <f>CONCATENATE("* differential.element[",'SimpleOrg-1'!A6,"].id = """,'SimpleOrg-1'!B6,"""")</f>
        <v>* differential.element[0].id = "SimpleOrganization"</v>
      </c>
      <c r="C1" s="15" t="str">
        <f>CONCATENATE("* differential.element[",'SimpleOrg-1'!A6,"].path = """,'SimpleOrg-1'!$B$6,"""")</f>
        <v>* differential.element[0].path = "SimpleOrganization"</v>
      </c>
      <c r="D1" s="15" t="str">
        <f>CONCATENATE("* differential.element[",'SimpleOrg-1'!A6,"].short = """,'SimpleOrg-1'!C6,"""")</f>
        <v>* differential.element[0].short = "Organization"</v>
      </c>
      <c r="E1" s="15" t="str">
        <f>CONCATENATE("* differential.element[",'SimpleOrg-1'!A6,"].definition = """,'SimpleOrg-1'!D6,"""")</f>
        <v>* differential.element[0].definition = "Organization"</v>
      </c>
      <c r="F1" s="15" t="str">
        <f>CONCATENATE("* differential.element[",'SimpleOrg-1'!A6,"].min = ",'SimpleOrg-1'!E6,"")</f>
        <v>* differential.element[0].min = 1</v>
      </c>
      <c r="G1" s="15" t="str">
        <f>CONCATENATE("* differential.element[",'SimpleOrg-1'!A6,"].max = """,'SimpleOrg-1'!F6,"""")</f>
        <v>* differential.element[0].max = "1"</v>
      </c>
      <c r="H1" s="15"/>
    </row>
    <row r="2" spans="2:9" ht="59" x14ac:dyDescent="0.75">
      <c r="B2" s="38" t="str">
        <f>CONCATENATE("* differential.element[",'SimpleOrg-1'!$A7,"].id = """,'SimpleOrg-1'!$B$6,".",'SimpleOrg-1'!B7,"""")</f>
        <v>* differential.element[1].id = "SimpleOrganization.identifier"</v>
      </c>
      <c r="C2" s="38" t="str">
        <f>CONCATENATE("* differential.element[",'SimpleOrg-1'!$A7,"].path = """,'SimpleOrg-1'!$B$6,".",'SimpleOrg-1'!B7,"""")</f>
        <v>* differential.element[1].path = "SimpleOrganization.identifier"</v>
      </c>
      <c r="D2" s="38" t="str">
        <f>CONCATENATE("* differential.element[",'SimpleOrg-1'!A7,"].short = """,'SimpleOrg-1'!C7,"""")</f>
        <v>* differential.element[1].short = "ID"</v>
      </c>
      <c r="E2" s="38" t="str">
        <f>CONCATENATE("* differential.element[",'SimpleOrg-1'!A7,"].definition = """,'SimpleOrg-1'!D7,"""")</f>
        <v>* differential.element[1].definition = "ID"</v>
      </c>
      <c r="F2" s="38" t="str">
        <f>CONCATENATE("* differential.element[",'SimpleOrg-1'!A7,"].min = ",'SimpleOrg-1'!E7,"")</f>
        <v>* differential.element[1].min = 0</v>
      </c>
      <c r="G2" s="38" t="str">
        <f>CONCATENATE("* differential.element[",'SimpleOrg-1'!A7,"].max = """,'SimpleOrg-1'!F7,"""")</f>
        <v>* differential.element[1].max = "*"</v>
      </c>
      <c r="H2" s="38" t="str">
        <f>CONCATENATE("* differential.element[",'SimpleOrg-1'!A7,"].type.code = #",'SimpleOrg-1'!G7,"")</f>
        <v>* differential.element[1].type.code = #Identifier</v>
      </c>
      <c r="I2" s="10"/>
    </row>
    <row r="3" spans="2:9" ht="44.25" x14ac:dyDescent="0.75">
      <c r="B3" s="38" t="str">
        <f>CONCATENATE("* differential.element[",'SimpleOrg-1'!$A8,"].id = """,'SimpleOrg-1'!$B$6,".",'SimpleOrg-1'!B8,"""")</f>
        <v>* differential.element[2].id = "SimpleOrganization.name"</v>
      </c>
      <c r="C3" s="38" t="str">
        <f>CONCATENATE("* differential.element[",'SimpleOrg-1'!$A8,"].path = """,'SimpleOrg-1'!$B$6,".",'SimpleOrg-1'!B8,"""")</f>
        <v>* differential.element[2].path = "SimpleOrganization.name"</v>
      </c>
      <c r="D3" s="38" t="str">
        <f>CONCATENATE("* differential.element[",'SimpleOrg-1'!A8,"].short = """,'SimpleOrg-1'!C8,"""")</f>
        <v>* differential.element[2].short = "Name"</v>
      </c>
      <c r="E3" s="38" t="str">
        <f>CONCATENATE("* differential.element[",'SimpleOrg-1'!A8,"].definition = """,'SimpleOrg-1'!D8,"""")</f>
        <v>* differential.element[2].definition = "Name used for the organization"</v>
      </c>
      <c r="F3" s="38" t="str">
        <f>CONCATENATE("* differential.element[",'SimpleOrg-1'!A8,"].min = ",'SimpleOrg-1'!E8,"")</f>
        <v>* differential.element[2].min = 0</v>
      </c>
      <c r="G3" s="38" t="str">
        <f>CONCATENATE("* differential.element[",'SimpleOrg-1'!A8,"].max = """,'SimpleOrg-1'!F8,"""")</f>
        <v>* differential.element[2].max = "*"</v>
      </c>
      <c r="H3" s="38" t="str">
        <f>CONCATENATE("* differential.element[",'SimpleOrg-1'!A8,"].type.code = #",'SimpleOrg-1'!G8,"")</f>
        <v>* differential.element[2].type.code = #string</v>
      </c>
      <c r="I3" s="10"/>
    </row>
    <row r="4" spans="2:9" x14ac:dyDescent="0.75">
      <c r="B4" s="38"/>
      <c r="C4" s="38"/>
      <c r="D4" s="38"/>
      <c r="E4" s="38"/>
      <c r="F4" s="38"/>
      <c r="G4" s="38"/>
      <c r="H4" s="38"/>
      <c r="I4" s="10"/>
    </row>
    <row r="5" spans="2:9" x14ac:dyDescent="0.75">
      <c r="B5" s="38"/>
      <c r="C5" s="38"/>
      <c r="D5" s="38"/>
      <c r="E5" s="38"/>
      <c r="F5" s="38"/>
      <c r="G5" s="38"/>
      <c r="H5" s="38"/>
      <c r="I5" s="10"/>
    </row>
    <row r="6" spans="2:9" x14ac:dyDescent="0.75">
      <c r="B6" s="38"/>
      <c r="C6" s="38"/>
      <c r="D6" s="38"/>
      <c r="E6" s="38"/>
      <c r="F6" s="38"/>
      <c r="G6" s="38"/>
      <c r="H6" s="38"/>
      <c r="I6" s="10"/>
    </row>
    <row r="7" spans="2:9" x14ac:dyDescent="0.75">
      <c r="B7" s="38"/>
      <c r="C7" s="38"/>
      <c r="D7" s="38"/>
      <c r="E7" s="38"/>
      <c r="F7" s="38"/>
      <c r="G7" s="38"/>
      <c r="H7" s="38"/>
      <c r="I7" s="10"/>
    </row>
    <row r="8" spans="2:9" x14ac:dyDescent="0.75">
      <c r="B8" s="38"/>
      <c r="C8" s="38"/>
      <c r="D8" s="38"/>
      <c r="E8" s="38"/>
      <c r="F8" s="38"/>
      <c r="G8" s="38"/>
      <c r="H8" s="38"/>
      <c r="I8" s="10"/>
    </row>
    <row r="9" spans="2:9" x14ac:dyDescent="0.75">
      <c r="B9" s="38"/>
      <c r="C9" s="38"/>
      <c r="D9" s="38"/>
      <c r="E9" s="38"/>
      <c r="F9" s="38"/>
      <c r="G9" s="38"/>
      <c r="H9" s="38"/>
      <c r="I9" s="10"/>
    </row>
    <row r="10" spans="2:9" x14ac:dyDescent="0.75">
      <c r="B10" s="38"/>
      <c r="C10" s="38"/>
      <c r="D10" s="38"/>
      <c r="E10" s="38"/>
      <c r="F10" s="38"/>
      <c r="G10" s="38"/>
      <c r="H10" s="38"/>
      <c r="I10" s="10"/>
    </row>
    <row r="11" spans="2:9" x14ac:dyDescent="0.75">
      <c r="B11" s="38"/>
      <c r="C11" s="38"/>
      <c r="D11" s="38"/>
      <c r="E11" s="38"/>
      <c r="F11" s="38"/>
      <c r="G11" s="38"/>
      <c r="H11" s="38"/>
      <c r="I11" s="10"/>
    </row>
    <row r="12" spans="2:9" x14ac:dyDescent="0.75">
      <c r="B12" s="38"/>
      <c r="C12" s="38"/>
      <c r="D12" s="38"/>
      <c r="E12" s="38"/>
      <c r="F12" s="38"/>
      <c r="G12" s="38"/>
      <c r="H12" s="38"/>
      <c r="I12" s="10"/>
    </row>
    <row r="13" spans="2:9" x14ac:dyDescent="0.75">
      <c r="B13" s="38"/>
      <c r="C13" s="38"/>
      <c r="D13" s="38"/>
      <c r="E13" s="38"/>
      <c r="F13" s="38"/>
      <c r="G13" s="38"/>
      <c r="H13" s="38"/>
      <c r="I13" s="10"/>
    </row>
    <row r="14" spans="2:9" x14ac:dyDescent="0.75">
      <c r="B14" s="38"/>
      <c r="C14" s="38"/>
      <c r="D14" s="38"/>
      <c r="E14" s="38"/>
      <c r="F14" s="38"/>
      <c r="G14" s="38"/>
      <c r="H14" s="38"/>
      <c r="I14" s="10"/>
    </row>
    <row r="15" spans="2:9" x14ac:dyDescent="0.75">
      <c r="B15" s="38"/>
      <c r="C15" s="38"/>
      <c r="D15" s="38"/>
      <c r="E15" s="38"/>
      <c r="F15" s="38"/>
      <c r="G15" s="38"/>
      <c r="H15" s="38"/>
      <c r="I15" s="10"/>
    </row>
    <row r="16" spans="2:9" x14ac:dyDescent="0.75">
      <c r="B16" s="38"/>
      <c r="C16" s="38"/>
      <c r="D16" s="38"/>
      <c r="E16" s="38"/>
      <c r="F16" s="38"/>
      <c r="G16" s="38"/>
      <c r="H16" s="38"/>
      <c r="I16" s="10"/>
    </row>
    <row r="17" spans="2:9" x14ac:dyDescent="0.75">
      <c r="B17" s="38"/>
      <c r="C17" s="38"/>
      <c r="D17" s="38"/>
      <c r="E17" s="38"/>
      <c r="F17" s="38"/>
      <c r="G17" s="38"/>
      <c r="H17" s="38"/>
      <c r="I17" s="10"/>
    </row>
    <row r="18" spans="2:9" x14ac:dyDescent="0.75">
      <c r="B18" s="38"/>
      <c r="C18" s="38"/>
      <c r="D18" s="38"/>
      <c r="E18" s="38"/>
      <c r="F18" s="38"/>
      <c r="G18" s="38"/>
      <c r="H18" s="38"/>
      <c r="I18" s="10"/>
    </row>
    <row r="19" spans="2:9" x14ac:dyDescent="0.75">
      <c r="B19" s="38"/>
      <c r="C19" s="38"/>
      <c r="D19" s="38"/>
      <c r="E19" s="38"/>
      <c r="F19" s="38"/>
      <c r="G19" s="38"/>
      <c r="H19" s="38"/>
      <c r="I19" s="10"/>
    </row>
    <row r="20" spans="2:9" x14ac:dyDescent="0.75">
      <c r="B20" s="38"/>
      <c r="C20" s="38"/>
      <c r="D20" s="38"/>
      <c r="E20" s="38"/>
      <c r="F20" s="38"/>
      <c r="G20" s="38"/>
      <c r="H20" s="38"/>
      <c r="I20" s="10"/>
    </row>
    <row r="21" spans="2:9" x14ac:dyDescent="0.75">
      <c r="B21" s="38"/>
      <c r="C21" s="38"/>
      <c r="D21" s="38"/>
      <c r="E21" s="38"/>
      <c r="F21" s="38"/>
      <c r="G21" s="38"/>
      <c r="H21" s="38"/>
      <c r="I21" s="10"/>
    </row>
    <row r="22" spans="2:9" x14ac:dyDescent="0.75">
      <c r="B22" s="38"/>
      <c r="C22" s="38"/>
      <c r="D22" s="38"/>
      <c r="E22" s="38"/>
      <c r="F22" s="38"/>
      <c r="G22" s="38"/>
      <c r="H22" s="38"/>
      <c r="I22" s="10"/>
    </row>
    <row r="23" spans="2:9" x14ac:dyDescent="0.75">
      <c r="B23" s="38"/>
      <c r="C23" s="38"/>
      <c r="D23" s="38"/>
      <c r="E23" s="38"/>
      <c r="F23" s="38"/>
      <c r="G23" s="38"/>
      <c r="H23" s="38"/>
      <c r="I23" s="10"/>
    </row>
    <row r="24" spans="2:9" x14ac:dyDescent="0.75">
      <c r="B24" s="38"/>
      <c r="C24" s="38"/>
      <c r="D24" s="38"/>
      <c r="E24" s="38"/>
      <c r="F24" s="38"/>
      <c r="G24" s="38"/>
      <c r="H24" s="38"/>
      <c r="I24" s="10"/>
    </row>
    <row r="25" spans="2:9" x14ac:dyDescent="0.75">
      <c r="B25" s="38"/>
      <c r="C25" s="38"/>
      <c r="D25" s="38"/>
      <c r="E25" s="38"/>
      <c r="F25" s="38"/>
      <c r="G25" s="38"/>
      <c r="H25" s="38"/>
      <c r="I25" s="10"/>
    </row>
    <row r="26" spans="2:9" x14ac:dyDescent="0.75">
      <c r="B26" s="38"/>
      <c r="C26" s="38"/>
      <c r="D26" s="38"/>
      <c r="E26" s="38"/>
      <c r="F26" s="38"/>
      <c r="G26" s="38"/>
      <c r="H26" s="38"/>
    </row>
    <row r="27" spans="2:9" x14ac:dyDescent="0.75">
      <c r="B27" s="38"/>
      <c r="C27" s="38"/>
      <c r="D27" s="38"/>
      <c r="E27" s="38"/>
      <c r="F27" s="38"/>
      <c r="G27" s="38"/>
      <c r="H27" s="38"/>
    </row>
    <row r="28" spans="2:9" x14ac:dyDescent="0.75">
      <c r="B28" s="38"/>
      <c r="C28" s="38"/>
      <c r="D28" s="38"/>
      <c r="E28" s="38"/>
      <c r="F28" s="38"/>
      <c r="G28" s="38"/>
      <c r="H28" s="38"/>
    </row>
    <row r="29" spans="2:9" x14ac:dyDescent="0.75">
      <c r="B29" s="38"/>
      <c r="C29" s="38"/>
      <c r="D29" s="38"/>
      <c r="E29" s="38"/>
      <c r="F29" s="38"/>
      <c r="G29" s="38"/>
      <c r="H29" s="38"/>
    </row>
    <row r="30" spans="2:9" x14ac:dyDescent="0.75">
      <c r="B30" s="38"/>
      <c r="C30" s="38"/>
      <c r="D30" s="38"/>
      <c r="E30" s="38"/>
      <c r="F30" s="38"/>
      <c r="G30" s="38"/>
      <c r="H30" s="38"/>
    </row>
    <row r="31" spans="2:9" x14ac:dyDescent="0.75">
      <c r="B31" s="38"/>
      <c r="C31" s="38"/>
      <c r="D31" s="38"/>
      <c r="E31" s="38"/>
      <c r="F31" s="38"/>
      <c r="G31" s="38"/>
      <c r="H31" s="38"/>
    </row>
    <row r="32" spans="2:9" x14ac:dyDescent="0.75">
      <c r="B32" s="38"/>
      <c r="C32" s="38"/>
      <c r="D32" s="38"/>
      <c r="E32" s="38"/>
      <c r="F32" s="38"/>
      <c r="G32" s="38"/>
      <c r="H32" s="38"/>
    </row>
    <row r="33" spans="2:8" x14ac:dyDescent="0.75">
      <c r="B33" s="38"/>
      <c r="C33" s="38"/>
      <c r="D33" s="38"/>
      <c r="E33" s="38"/>
      <c r="F33" s="38"/>
      <c r="G33" s="38"/>
      <c r="H33" s="38"/>
    </row>
    <row r="34" spans="2:8" x14ac:dyDescent="0.75">
      <c r="B34" s="38"/>
      <c r="C34" s="38"/>
      <c r="D34" s="38"/>
      <c r="E34" s="38"/>
      <c r="F34" s="38"/>
      <c r="G34" s="38"/>
      <c r="H34" s="38"/>
    </row>
    <row r="35" spans="2:8" x14ac:dyDescent="0.75">
      <c r="B35" s="38"/>
      <c r="C35" s="38"/>
      <c r="D35" s="38"/>
      <c r="E35" s="38"/>
      <c r="F35" s="38"/>
      <c r="G35" s="38"/>
      <c r="H35" s="38"/>
    </row>
    <row r="36" spans="2:8" x14ac:dyDescent="0.75">
      <c r="B36" s="38"/>
      <c r="C36" s="38"/>
      <c r="D36" s="38"/>
      <c r="E36" s="38"/>
      <c r="F36" s="38"/>
      <c r="G36" s="38"/>
      <c r="H36" s="38"/>
    </row>
    <row r="37" spans="2:8" x14ac:dyDescent="0.75">
      <c r="B37" s="38"/>
      <c r="C37" s="38"/>
      <c r="D37" s="38"/>
      <c r="E37" s="38"/>
      <c r="F37" s="38"/>
      <c r="G37" s="38"/>
      <c r="H37" s="38"/>
    </row>
    <row r="38" spans="2:8" x14ac:dyDescent="0.75">
      <c r="B38" s="38"/>
      <c r="C38" s="38"/>
      <c r="D38" s="38"/>
      <c r="E38" s="38"/>
      <c r="F38" s="38"/>
      <c r="G38" s="38"/>
      <c r="H38" s="38"/>
    </row>
    <row r="39" spans="2:8" x14ac:dyDescent="0.75">
      <c r="B39" s="38"/>
      <c r="C39" s="38"/>
      <c r="D39" s="38"/>
      <c r="E39" s="38"/>
      <c r="F39" s="38"/>
      <c r="G39" s="38"/>
      <c r="H39" s="38"/>
    </row>
    <row r="40" spans="2:8" x14ac:dyDescent="0.75">
      <c r="B40" s="38"/>
      <c r="C40" s="38"/>
      <c r="D40" s="38"/>
      <c r="E40" s="38"/>
      <c r="F40" s="38"/>
      <c r="G40" s="38"/>
      <c r="H40" s="38"/>
    </row>
    <row r="41" spans="2:8" x14ac:dyDescent="0.75">
      <c r="B41" s="38"/>
      <c r="C41" s="38"/>
      <c r="D41" s="38"/>
      <c r="E41" s="38"/>
      <c r="F41" s="38"/>
      <c r="G41" s="38"/>
      <c r="H41" s="38"/>
    </row>
    <row r="42" spans="2:8" x14ac:dyDescent="0.75">
      <c r="B42" s="38"/>
      <c r="C42" s="38"/>
      <c r="D42" s="38"/>
      <c r="E42" s="38"/>
      <c r="F42" s="38"/>
      <c r="G42" s="38"/>
      <c r="H42" s="38"/>
    </row>
    <row r="43" spans="2:8" x14ac:dyDescent="0.75">
      <c r="B43" s="38"/>
      <c r="C43" s="38"/>
      <c r="D43" s="38"/>
      <c r="E43" s="38"/>
      <c r="F43" s="38"/>
      <c r="G43" s="38"/>
      <c r="H43" s="38"/>
    </row>
    <row r="44" spans="2:8" x14ac:dyDescent="0.75">
      <c r="B44" s="38"/>
      <c r="C44" s="38"/>
      <c r="D44" s="38"/>
      <c r="E44" s="38"/>
      <c r="F44" s="38"/>
      <c r="G44" s="38"/>
      <c r="H44" s="38"/>
    </row>
    <row r="45" spans="2:8" x14ac:dyDescent="0.75">
      <c r="B45" s="38"/>
      <c r="C45" s="38"/>
      <c r="D45" s="38"/>
      <c r="E45" s="38"/>
      <c r="F45" s="38"/>
      <c r="G45" s="38"/>
      <c r="H45" s="38"/>
    </row>
    <row r="46" spans="2:8" x14ac:dyDescent="0.75">
      <c r="B46" s="38"/>
      <c r="C46" s="38"/>
      <c r="D46" s="38"/>
      <c r="E46" s="38"/>
      <c r="F46" s="38"/>
      <c r="G46" s="38"/>
      <c r="H46" s="38"/>
    </row>
    <row r="47" spans="2:8" x14ac:dyDescent="0.75">
      <c r="B47" s="38"/>
      <c r="C47" s="38"/>
      <c r="D47" s="38"/>
      <c r="E47" s="38"/>
      <c r="F47" s="38"/>
      <c r="G47" s="38"/>
      <c r="H47" s="38"/>
    </row>
    <row r="48" spans="2:8" x14ac:dyDescent="0.75">
      <c r="B48" s="38"/>
      <c r="C48" s="38"/>
      <c r="D48" s="38"/>
      <c r="E48" s="38"/>
      <c r="F48" s="38"/>
      <c r="G48" s="38"/>
      <c r="H48" s="38"/>
    </row>
    <row r="49" spans="2:8" x14ac:dyDescent="0.75">
      <c r="B49" s="38"/>
      <c r="C49" s="38"/>
      <c r="D49" s="38"/>
      <c r="E49" s="38"/>
      <c r="F49" s="38"/>
      <c r="G49" s="38"/>
      <c r="H49" s="38"/>
    </row>
    <row r="50" spans="2:8" x14ac:dyDescent="0.75">
      <c r="B50" s="38"/>
      <c r="C50" s="38"/>
      <c r="D50" s="38"/>
      <c r="E50" s="38"/>
      <c r="F50" s="38"/>
      <c r="G50" s="38"/>
      <c r="H50" s="38"/>
    </row>
    <row r="51" spans="2:8" x14ac:dyDescent="0.75">
      <c r="B51" s="38"/>
      <c r="C51" s="38"/>
      <c r="D51" s="38"/>
      <c r="E51" s="38"/>
      <c r="F51" s="38"/>
      <c r="G51" s="38"/>
      <c r="H51" s="38"/>
    </row>
    <row r="52" spans="2:8" x14ac:dyDescent="0.75">
      <c r="B52" s="38"/>
      <c r="C52" s="38"/>
      <c r="D52" s="38"/>
      <c r="E52" s="38"/>
      <c r="F52" s="38"/>
      <c r="G52" s="38"/>
      <c r="H52" s="38"/>
    </row>
    <row r="53" spans="2:8" x14ac:dyDescent="0.75">
      <c r="B53" s="38"/>
      <c r="C53" s="38"/>
      <c r="D53" s="38"/>
      <c r="E53" s="38"/>
      <c r="F53" s="38"/>
      <c r="G53" s="38"/>
      <c r="H53" s="38"/>
    </row>
    <row r="54" spans="2:8" x14ac:dyDescent="0.75">
      <c r="B54" s="38"/>
      <c r="C54" s="38"/>
      <c r="D54" s="38"/>
      <c r="E54" s="38"/>
      <c r="F54" s="38"/>
      <c r="G54" s="38"/>
      <c r="H54" s="38"/>
    </row>
    <row r="55" spans="2:8" x14ac:dyDescent="0.75">
      <c r="B55" s="38"/>
      <c r="C55" s="38"/>
      <c r="D55" s="38"/>
      <c r="E55" s="38"/>
      <c r="F55" s="38"/>
      <c r="G55" s="38"/>
      <c r="H55" s="38"/>
    </row>
    <row r="56" spans="2:8" x14ac:dyDescent="0.75">
      <c r="B56" s="38"/>
      <c r="C56" s="38"/>
      <c r="D56" s="38"/>
      <c r="E56" s="38"/>
      <c r="F56" s="38"/>
      <c r="G56" s="38"/>
      <c r="H56" s="38"/>
    </row>
    <row r="57" spans="2:8" x14ac:dyDescent="0.75">
      <c r="B57" s="38"/>
      <c r="C57" s="38"/>
      <c r="D57" s="38"/>
      <c r="E57" s="38"/>
      <c r="F57" s="38"/>
      <c r="G57" s="38"/>
      <c r="H57" s="38"/>
    </row>
    <row r="58" spans="2:8" x14ac:dyDescent="0.75">
      <c r="B58" s="38"/>
      <c r="C58" s="38"/>
      <c r="D58" s="38"/>
      <c r="E58" s="38"/>
      <c r="F58" s="38"/>
      <c r="G58" s="38"/>
      <c r="H58" s="38"/>
    </row>
    <row r="59" spans="2:8" x14ac:dyDescent="0.75">
      <c r="B59" s="38"/>
      <c r="C59" s="38"/>
      <c r="D59" s="38"/>
      <c r="E59" s="38"/>
      <c r="F59" s="38"/>
      <c r="G59" s="38"/>
      <c r="H59" s="38"/>
    </row>
    <row r="60" spans="2:8" x14ac:dyDescent="0.75">
      <c r="B60" s="38"/>
      <c r="C60" s="38"/>
      <c r="D60" s="38"/>
      <c r="E60" s="38"/>
      <c r="F60" s="38"/>
      <c r="G60" s="38"/>
      <c r="H60" s="38"/>
    </row>
    <row r="61" spans="2:8" x14ac:dyDescent="0.75">
      <c r="B61" s="38"/>
      <c r="C61" s="38"/>
      <c r="D61" s="38"/>
      <c r="E61" s="38"/>
      <c r="F61" s="38"/>
      <c r="G61" s="38"/>
      <c r="H61" s="38"/>
    </row>
    <row r="62" spans="2:8" x14ac:dyDescent="0.75">
      <c r="B62" s="38"/>
      <c r="C62" s="38"/>
      <c r="D62" s="38"/>
      <c r="E62" s="38"/>
      <c r="F62" s="38"/>
      <c r="G62" s="38"/>
      <c r="H62" s="38"/>
    </row>
    <row r="63" spans="2:8" x14ac:dyDescent="0.75">
      <c r="B63" s="38"/>
      <c r="C63" s="38"/>
      <c r="D63" s="38"/>
      <c r="E63" s="38"/>
      <c r="F63" s="38"/>
      <c r="G63" s="38"/>
      <c r="H63" s="38"/>
    </row>
    <row r="64" spans="2:8" x14ac:dyDescent="0.75">
      <c r="B64" s="38"/>
      <c r="C64" s="38"/>
      <c r="D64" s="38"/>
      <c r="E64" s="38"/>
      <c r="F64" s="38"/>
      <c r="G64" s="38"/>
      <c r="H64" s="38"/>
    </row>
    <row r="65" spans="2:8" x14ac:dyDescent="0.75">
      <c r="B65" s="38"/>
      <c r="C65" s="38"/>
      <c r="D65" s="38"/>
      <c r="E65" s="38"/>
      <c r="F65" s="38"/>
      <c r="G65" s="38"/>
      <c r="H65" s="38"/>
    </row>
    <row r="66" spans="2:8" x14ac:dyDescent="0.75">
      <c r="B66" s="38"/>
      <c r="C66" s="38"/>
      <c r="D66" s="38"/>
      <c r="E66" s="38"/>
      <c r="F66" s="38"/>
      <c r="G66" s="38"/>
      <c r="H66" s="38"/>
    </row>
    <row r="67" spans="2:8" x14ac:dyDescent="0.75">
      <c r="B67" s="38"/>
      <c r="C67" s="38"/>
      <c r="D67" s="38"/>
      <c r="E67" s="38"/>
      <c r="F67" s="38"/>
      <c r="G67" s="38"/>
      <c r="H67" s="38"/>
    </row>
    <row r="68" spans="2:8" x14ac:dyDescent="0.75">
      <c r="B68" s="38"/>
      <c r="C68" s="38"/>
      <c r="D68" s="38"/>
      <c r="E68" s="38"/>
      <c r="F68" s="38"/>
      <c r="G68" s="38"/>
      <c r="H68" s="38"/>
    </row>
    <row r="69" spans="2:8" x14ac:dyDescent="0.75">
      <c r="B69" s="38"/>
      <c r="C69" s="38"/>
      <c r="D69" s="38"/>
      <c r="E69" s="38"/>
      <c r="F69" s="38"/>
      <c r="G69" s="38"/>
      <c r="H69" s="38"/>
    </row>
    <row r="70" spans="2:8" x14ac:dyDescent="0.75">
      <c r="B70" s="38"/>
      <c r="C70" s="38"/>
      <c r="D70" s="38"/>
      <c r="E70" s="38"/>
      <c r="F70" s="38"/>
      <c r="G70" s="38"/>
      <c r="H70" s="38"/>
    </row>
    <row r="71" spans="2:8" x14ac:dyDescent="0.75">
      <c r="B71" s="38"/>
      <c r="C71" s="38"/>
      <c r="D71" s="38"/>
      <c r="E71" s="38"/>
      <c r="F71" s="38"/>
      <c r="G71" s="38"/>
      <c r="H71" s="38"/>
    </row>
    <row r="72" spans="2:8" x14ac:dyDescent="0.75">
      <c r="B72" s="38"/>
      <c r="C72" s="38"/>
      <c r="D72" s="38"/>
      <c r="E72" s="38"/>
      <c r="F72" s="38"/>
      <c r="G72" s="38"/>
      <c r="H72" s="38"/>
    </row>
    <row r="73" spans="2:8" x14ac:dyDescent="0.75">
      <c r="B73" s="38"/>
      <c r="C73" s="38"/>
      <c r="D73" s="38"/>
      <c r="E73" s="38"/>
      <c r="F73" s="38"/>
      <c r="G73" s="38"/>
      <c r="H73" s="38"/>
    </row>
    <row r="74" spans="2:8" x14ac:dyDescent="0.75">
      <c r="B74" s="38"/>
      <c r="C74" s="38"/>
      <c r="D74" s="38"/>
      <c r="E74" s="38"/>
      <c r="F74" s="38"/>
      <c r="G74" s="38"/>
      <c r="H74" s="38"/>
    </row>
    <row r="75" spans="2:8" x14ac:dyDescent="0.75">
      <c r="B75" s="38"/>
      <c r="C75" s="38"/>
      <c r="D75" s="38"/>
      <c r="E75" s="38"/>
      <c r="F75" s="38"/>
      <c r="G75" s="38"/>
      <c r="H75" s="38"/>
    </row>
    <row r="76" spans="2:8" x14ac:dyDescent="0.75">
      <c r="B76" s="38"/>
      <c r="C76" s="38"/>
      <c r="D76" s="38"/>
      <c r="E76" s="38"/>
      <c r="F76" s="38"/>
      <c r="G76" s="38"/>
      <c r="H76" s="38"/>
    </row>
    <row r="77" spans="2:8" x14ac:dyDescent="0.75">
      <c r="B77" s="38"/>
      <c r="C77" s="38"/>
      <c r="D77" s="38"/>
      <c r="E77" s="38"/>
      <c r="F77" s="38"/>
      <c r="G77" s="38"/>
      <c r="H77" s="38"/>
    </row>
    <row r="78" spans="2:8" x14ac:dyDescent="0.75">
      <c r="B78" s="38"/>
      <c r="C78" s="38"/>
      <c r="D78" s="38"/>
      <c r="E78" s="38"/>
      <c r="F78" s="38"/>
      <c r="G78" s="38"/>
      <c r="H78" s="38"/>
    </row>
    <row r="79" spans="2:8" x14ac:dyDescent="0.75">
      <c r="B79" s="38"/>
      <c r="C79" s="38"/>
      <c r="D79" s="38"/>
      <c r="E79" s="38"/>
      <c r="F79" s="38"/>
      <c r="G79" s="38"/>
      <c r="H79" s="38"/>
    </row>
    <row r="80" spans="2:8" x14ac:dyDescent="0.75">
      <c r="B80" s="38"/>
      <c r="C80" s="38"/>
      <c r="D80" s="38"/>
      <c r="E80" s="38"/>
      <c r="F80" s="38"/>
      <c r="G80" s="38"/>
      <c r="H80" s="38"/>
    </row>
    <row r="81" spans="2:8" x14ac:dyDescent="0.75">
      <c r="B81" s="38"/>
      <c r="C81" s="38"/>
      <c r="D81" s="38"/>
      <c r="E81" s="38"/>
      <c r="F81" s="38"/>
      <c r="G81" s="38"/>
      <c r="H81" s="38"/>
    </row>
    <row r="82" spans="2:8" x14ac:dyDescent="0.75">
      <c r="B82" s="38"/>
      <c r="C82" s="38"/>
      <c r="D82" s="38"/>
      <c r="E82" s="38"/>
      <c r="F82" s="38"/>
      <c r="G82" s="38"/>
      <c r="H82" s="38"/>
    </row>
    <row r="83" spans="2:8" x14ac:dyDescent="0.75">
      <c r="B83" s="38"/>
      <c r="C83" s="38"/>
      <c r="D83" s="38"/>
      <c r="E83" s="38"/>
      <c r="F83" s="38"/>
      <c r="G83" s="38"/>
      <c r="H83" s="38"/>
    </row>
    <row r="84" spans="2:8" x14ac:dyDescent="0.75">
      <c r="B84" s="38"/>
      <c r="C84" s="38"/>
      <c r="D84" s="38"/>
      <c r="E84" s="38"/>
      <c r="F84" s="38"/>
      <c r="G84" s="38"/>
      <c r="H84" s="38"/>
    </row>
    <row r="85" spans="2:8" x14ac:dyDescent="0.75">
      <c r="B85" s="38"/>
      <c r="C85" s="38"/>
      <c r="D85" s="38"/>
      <c r="E85" s="38"/>
      <c r="F85" s="38"/>
      <c r="G85" s="38"/>
      <c r="H85" s="38"/>
    </row>
    <row r="86" spans="2:8" x14ac:dyDescent="0.75">
      <c r="B86" s="38"/>
      <c r="C86" s="38"/>
      <c r="D86" s="38"/>
      <c r="E86" s="38"/>
      <c r="F86" s="38"/>
      <c r="G86" s="38"/>
      <c r="H86" s="38"/>
    </row>
    <row r="87" spans="2:8" x14ac:dyDescent="0.75">
      <c r="B87" s="38"/>
      <c r="C87" s="38"/>
      <c r="D87" s="38"/>
      <c r="E87" s="38"/>
      <c r="F87" s="38"/>
      <c r="G87" s="38"/>
      <c r="H87" s="38"/>
    </row>
    <row r="88" spans="2:8" x14ac:dyDescent="0.75">
      <c r="B88" s="38"/>
      <c r="C88" s="38"/>
      <c r="D88" s="38"/>
      <c r="E88" s="38"/>
      <c r="F88" s="38"/>
      <c r="G88" s="38"/>
      <c r="H88" s="38"/>
    </row>
    <row r="89" spans="2:8" x14ac:dyDescent="0.75">
      <c r="B89" s="38"/>
      <c r="C89" s="38"/>
      <c r="D89" s="38"/>
      <c r="E89" s="38"/>
      <c r="F89" s="38"/>
      <c r="G89" s="38"/>
      <c r="H89" s="38"/>
    </row>
    <row r="90" spans="2:8" x14ac:dyDescent="0.75">
      <c r="B90" s="38"/>
      <c r="C90" s="38"/>
      <c r="D90" s="38"/>
      <c r="E90" s="38"/>
      <c r="F90" s="38"/>
      <c r="G90" s="38"/>
      <c r="H90" s="38"/>
    </row>
    <row r="91" spans="2:8" x14ac:dyDescent="0.75">
      <c r="B91" s="38"/>
      <c r="C91" s="38"/>
      <c r="D91" s="38"/>
      <c r="E91" s="38"/>
      <c r="F91" s="38"/>
      <c r="G91" s="38"/>
      <c r="H91" s="38"/>
    </row>
    <row r="92" spans="2:8" x14ac:dyDescent="0.75">
      <c r="B92" s="38"/>
      <c r="C92" s="38"/>
      <c r="D92" s="38"/>
      <c r="E92" s="38"/>
      <c r="F92" s="38"/>
      <c r="G92" s="38"/>
      <c r="H92" s="38"/>
    </row>
    <row r="93" spans="2:8" x14ac:dyDescent="0.75">
      <c r="B93" s="38"/>
      <c r="C93" s="38"/>
      <c r="D93" s="38"/>
      <c r="E93" s="38"/>
      <c r="F93" s="38"/>
      <c r="G93" s="38"/>
      <c r="H93" s="38"/>
    </row>
    <row r="94" spans="2:8" x14ac:dyDescent="0.75">
      <c r="B94" s="38"/>
      <c r="C94" s="38"/>
      <c r="D94" s="38"/>
      <c r="E94" s="38"/>
      <c r="F94" s="38"/>
      <c r="G94" s="38"/>
      <c r="H94" s="38"/>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7608B-C8A7-4FDF-94ED-A920F972C866}">
  <sheetPr codeName="Foglio37"/>
  <dimension ref="A2:G263"/>
  <sheetViews>
    <sheetView workbookViewId="0">
      <selection activeCell="D43" sqref="D2:D43"/>
    </sheetView>
  </sheetViews>
  <sheetFormatPr defaultRowHeight="14.75" x14ac:dyDescent="0.75"/>
  <cols>
    <col min="1" max="3" width="8.7265625" style="31"/>
    <col min="4" max="4" width="130.81640625" style="31" customWidth="1"/>
    <col min="5" max="5" width="19.86328125" style="31" customWidth="1"/>
    <col min="6" max="6" width="8.7265625" style="31"/>
    <col min="7" max="7" width="69.36328125" style="31" customWidth="1"/>
    <col min="8" max="16384" width="8.7265625" style="31"/>
  </cols>
  <sheetData>
    <row r="2" spans="4:5" x14ac:dyDescent="0.75">
      <c r="D2" s="17" t="str">
        <f>CONCATENATE("Instance: ",'SimpleOrg-1'!B6)</f>
        <v>Instance: SimpleOrganization</v>
      </c>
    </row>
    <row r="3" spans="4:5" x14ac:dyDescent="0.75">
      <c r="D3" s="17" t="s">
        <v>22</v>
      </c>
    </row>
    <row r="4" spans="4:5" x14ac:dyDescent="0.75">
      <c r="D4" s="17" t="str">
        <f>CONCATENATE("Description: """,'SimpleOrg-1'!D2,"""")</f>
        <v>Description: "Simple Organization"</v>
      </c>
      <c r="E4" s="17"/>
    </row>
    <row r="5" spans="4:5" x14ac:dyDescent="0.75">
      <c r="D5" s="17" t="str">
        <f>CONCATENATE("Title: """,'SimpleOrg-1'!C2,"""")</f>
        <v>Title: "Simple Organization"</v>
      </c>
      <c r="E5" s="17"/>
    </row>
    <row r="6" spans="4:5" x14ac:dyDescent="0.75">
      <c r="D6" s="17" t="s">
        <v>23</v>
      </c>
      <c r="E6" s="17"/>
    </row>
    <row r="7" spans="4:5" x14ac:dyDescent="0.75">
      <c r="D7" s="17"/>
      <c r="E7" s="17"/>
    </row>
    <row r="8" spans="4:5" x14ac:dyDescent="0.75">
      <c r="D8" s="17" t="str">
        <f>CONCATENATE("* publisher = """,'SimpleOrg-1'!B4,"""")</f>
        <v>* publisher = "ISO/TC 521 WG3"</v>
      </c>
      <c r="E8" s="17"/>
    </row>
    <row r="9" spans="4:5" x14ac:dyDescent="0.75">
      <c r="D9" s="17" t="s">
        <v>24</v>
      </c>
      <c r="E9" s="17"/>
    </row>
    <row r="10" spans="4:5" x14ac:dyDescent="0.75">
      <c r="D10" s="17" t="str">
        <f>CONCATENATE("* url = """,'SimpleOrg-1'!B2,"/StructureDefinition/",'SimpleOrg-1'!B6,"""")</f>
        <v>* url = "http://iso.org/fhir/ts-5384/StructureDefinition/SimpleOrganization"</v>
      </c>
      <c r="E10" s="17"/>
    </row>
    <row r="11" spans="4:5" x14ac:dyDescent="0.75">
      <c r="D11" s="17" t="str">
        <f>CONCATENATE("* name = """,'SimpleOrg-1'!B6,"""")</f>
        <v>* name = "SimpleOrganization"</v>
      </c>
      <c r="E11" s="17"/>
    </row>
    <row r="12" spans="4:5" x14ac:dyDescent="0.75">
      <c r="D12" s="17" t="str">
        <f>CONCATENATE("* title = """,'SimpleOrg-1'!C2,"""")</f>
        <v>* title = "Simple Organization"</v>
      </c>
      <c r="E12" s="17"/>
    </row>
    <row r="13" spans="4:5" x14ac:dyDescent="0.75">
      <c r="D13" s="17" t="s">
        <v>24</v>
      </c>
      <c r="E13" s="17"/>
    </row>
    <row r="14" spans="4:5" x14ac:dyDescent="0.75">
      <c r="D14" s="17" t="s">
        <v>25</v>
      </c>
      <c r="E14" s="17"/>
    </row>
    <row r="15" spans="4:5" x14ac:dyDescent="0.75">
      <c r="D15" s="17" t="str">
        <f>CONCATENATE("* description = """,'SimpleOrg-1'!D2,"""")</f>
        <v>* description = "Simple Organization"</v>
      </c>
      <c r="E15" s="17"/>
    </row>
    <row r="16" spans="4:5" x14ac:dyDescent="0.75">
      <c r="D16" s="17" t="s">
        <v>26</v>
      </c>
      <c r="E16" s="17"/>
    </row>
    <row r="17" spans="1:5" x14ac:dyDescent="0.75">
      <c r="D17" s="17" t="s">
        <v>27</v>
      </c>
      <c r="E17" s="17"/>
    </row>
    <row r="18" spans="1:5" x14ac:dyDescent="0.75">
      <c r="D18" s="17" t="s">
        <v>28</v>
      </c>
      <c r="E18" s="17"/>
    </row>
    <row r="19" spans="1:5" x14ac:dyDescent="0.75">
      <c r="D19" s="17" t="str">
        <f>CONCATENATE("* type = """,'SimpleOrg-1'!B6,"""")</f>
        <v>* type = "SimpleOrganization"</v>
      </c>
      <c r="E19" s="17"/>
    </row>
    <row r="20" spans="1:5" x14ac:dyDescent="0.75">
      <c r="D20" s="17" t="s">
        <v>29</v>
      </c>
    </row>
    <row r="21" spans="1:5" x14ac:dyDescent="0.75">
      <c r="D21" s="17" t="s">
        <v>30</v>
      </c>
    </row>
    <row r="23" spans="1:5" x14ac:dyDescent="0.75">
      <c r="D23" s="40" t="str">
        <f>'SimpleOrg-2'!B1</f>
        <v>* differential.element[0].id = "SimpleOrganization"</v>
      </c>
    </row>
    <row r="24" spans="1:5" x14ac:dyDescent="0.75">
      <c r="D24" s="40" t="str">
        <f>'SimpleOrg-2'!C1</f>
        <v>* differential.element[0].path = "SimpleOrganization"</v>
      </c>
    </row>
    <row r="25" spans="1:5" x14ac:dyDescent="0.75">
      <c r="D25" s="40" t="str">
        <f>'SimpleOrg-2'!D1</f>
        <v>* differential.element[0].short = "Organization"</v>
      </c>
    </row>
    <row r="26" spans="1:5" x14ac:dyDescent="0.75">
      <c r="D26" s="40" t="str">
        <f>'SimpleOrg-2'!E1</f>
        <v>* differential.element[0].definition = "Organization"</v>
      </c>
    </row>
    <row r="27" spans="1:5" x14ac:dyDescent="0.75">
      <c r="D27" s="40" t="str">
        <f>'SimpleOrg-2'!F1</f>
        <v>* differential.element[0].min = 1</v>
      </c>
    </row>
    <row r="28" spans="1:5" x14ac:dyDescent="0.75">
      <c r="D28" s="40" t="str">
        <f>'SimpleOrg-2'!G1</f>
        <v>* differential.element[0].max = "1"</v>
      </c>
    </row>
    <row r="29" spans="1:5" x14ac:dyDescent="0.75">
      <c r="D29" s="8"/>
    </row>
    <row r="30" spans="1:5" x14ac:dyDescent="0.75">
      <c r="A30" s="32">
        <v>1</v>
      </c>
      <c r="B30" s="32">
        <f>IF(MOD(A30,7)=0,A30/7-1,INT(A30/7))</f>
        <v>0</v>
      </c>
      <c r="C30" s="32">
        <f>IF(MOD(A30,7)=0,7,MOD(A30,7))</f>
        <v>1</v>
      </c>
      <c r="D30" s="38" t="str" cm="1">
        <f t="array" ref="D30">INDEX('SimpleOrg-2'!$B$2:$H$41,1+B30,C30)</f>
        <v>* differential.element[1].id = "SimpleOrganization.identifier"</v>
      </c>
    </row>
    <row r="31" spans="1:5" x14ac:dyDescent="0.75">
      <c r="A31" s="32">
        <v>2</v>
      </c>
      <c r="B31" s="32">
        <f t="shared" ref="B31:B94" si="0">IF(MOD(A31,7)=0,A31/7-1,INT(A31/7))</f>
        <v>0</v>
      </c>
      <c r="C31" s="32">
        <f t="shared" ref="C31:C94" si="1">IF(MOD(A31,7)=0,7,MOD(A31,7))</f>
        <v>2</v>
      </c>
      <c r="D31" s="38" t="str" cm="1">
        <f t="array" ref="D31">INDEX('SimpleOrg-2'!$B$2:$H$41,1+B31,C31)</f>
        <v>* differential.element[1].path = "SimpleOrganization.identifier"</v>
      </c>
    </row>
    <row r="32" spans="1:5" x14ac:dyDescent="0.75">
      <c r="A32" s="32">
        <v>3</v>
      </c>
      <c r="B32" s="32">
        <f t="shared" si="0"/>
        <v>0</v>
      </c>
      <c r="C32" s="32">
        <f t="shared" si="1"/>
        <v>3</v>
      </c>
      <c r="D32" s="38" t="str" cm="1">
        <f t="array" ref="D32">INDEX('SimpleOrg-2'!$B$2:$H$41,1+B32,C32)</f>
        <v>* differential.element[1].short = "ID"</v>
      </c>
    </row>
    <row r="33" spans="1:4" x14ac:dyDescent="0.75">
      <c r="A33" s="32">
        <v>4</v>
      </c>
      <c r="B33" s="32">
        <f t="shared" si="0"/>
        <v>0</v>
      </c>
      <c r="C33" s="32">
        <f t="shared" si="1"/>
        <v>4</v>
      </c>
      <c r="D33" s="38" t="str" cm="1">
        <f t="array" ref="D33">INDEX('SimpleOrg-2'!$B$2:$H$41,1+B33,C33)</f>
        <v>* differential.element[1].definition = "ID"</v>
      </c>
    </row>
    <row r="34" spans="1:4" x14ac:dyDescent="0.75">
      <c r="A34" s="32">
        <v>5</v>
      </c>
      <c r="B34" s="32">
        <f t="shared" si="0"/>
        <v>0</v>
      </c>
      <c r="C34" s="32">
        <f t="shared" si="1"/>
        <v>5</v>
      </c>
      <c r="D34" s="38" t="str" cm="1">
        <f t="array" ref="D34">INDEX('SimpleOrg-2'!$B$2:$H$41,1+B34,C34)</f>
        <v>* differential.element[1].min = 0</v>
      </c>
    </row>
    <row r="35" spans="1:4" x14ac:dyDescent="0.75">
      <c r="A35" s="32">
        <v>6</v>
      </c>
      <c r="B35" s="32">
        <f t="shared" si="0"/>
        <v>0</v>
      </c>
      <c r="C35" s="32">
        <f t="shared" si="1"/>
        <v>6</v>
      </c>
      <c r="D35" s="38" t="str" cm="1">
        <f t="array" ref="D35">INDEX('SimpleOrg-2'!$B$2:$H$41,1+B35,C35)</f>
        <v>* differential.element[1].max = "*"</v>
      </c>
    </row>
    <row r="36" spans="1:4" x14ac:dyDescent="0.75">
      <c r="A36" s="32">
        <v>7</v>
      </c>
      <c r="B36" s="32">
        <f t="shared" si="0"/>
        <v>0</v>
      </c>
      <c r="C36" s="32">
        <f t="shared" si="1"/>
        <v>7</v>
      </c>
      <c r="D36" s="38" t="str" cm="1">
        <f t="array" ref="D36">INDEX('SimpleOrg-2'!$B$2:$H$41,1+B36,C36)</f>
        <v>* differential.element[1].type.code = #Identifier</v>
      </c>
    </row>
    <row r="37" spans="1:4" x14ac:dyDescent="0.75">
      <c r="A37" s="32">
        <v>8</v>
      </c>
      <c r="B37" s="32">
        <f t="shared" si="0"/>
        <v>1</v>
      </c>
      <c r="C37" s="32">
        <f t="shared" si="1"/>
        <v>1</v>
      </c>
      <c r="D37" s="38" t="str" cm="1">
        <f t="array" ref="D37">INDEX('SimpleOrg-2'!$B$2:$H$41,1+B37,C37)</f>
        <v>* differential.element[2].id = "SimpleOrganization.name"</v>
      </c>
    </row>
    <row r="38" spans="1:4" x14ac:dyDescent="0.75">
      <c r="A38" s="32">
        <v>9</v>
      </c>
      <c r="B38" s="32">
        <f t="shared" si="0"/>
        <v>1</v>
      </c>
      <c r="C38" s="32">
        <f t="shared" si="1"/>
        <v>2</v>
      </c>
      <c r="D38" s="38" t="str" cm="1">
        <f t="array" ref="D38">INDEX('SimpleOrg-2'!$B$2:$H$41,1+B38,C38)</f>
        <v>* differential.element[2].path = "SimpleOrganization.name"</v>
      </c>
    </row>
    <row r="39" spans="1:4" x14ac:dyDescent="0.75">
      <c r="A39" s="32">
        <v>10</v>
      </c>
      <c r="B39" s="32">
        <f t="shared" si="0"/>
        <v>1</v>
      </c>
      <c r="C39" s="32">
        <f t="shared" si="1"/>
        <v>3</v>
      </c>
      <c r="D39" s="38" t="str" cm="1">
        <f t="array" ref="D39">INDEX('SimpleOrg-2'!$B$2:$H$41,1+B39,C39)</f>
        <v>* differential.element[2].short = "Name"</v>
      </c>
    </row>
    <row r="40" spans="1:4" x14ac:dyDescent="0.75">
      <c r="A40" s="32">
        <v>11</v>
      </c>
      <c r="B40" s="32">
        <f t="shared" si="0"/>
        <v>1</v>
      </c>
      <c r="C40" s="32">
        <f t="shared" si="1"/>
        <v>4</v>
      </c>
      <c r="D40" s="38" t="str" cm="1">
        <f t="array" ref="D40">INDEX('SimpleOrg-2'!$B$2:$H$41,1+B40,C40)</f>
        <v>* differential.element[2].definition = "Name used for the organization"</v>
      </c>
    </row>
    <row r="41" spans="1:4" x14ac:dyDescent="0.75">
      <c r="A41" s="32">
        <v>12</v>
      </c>
      <c r="B41" s="32">
        <f t="shared" si="0"/>
        <v>1</v>
      </c>
      <c r="C41" s="32">
        <f t="shared" si="1"/>
        <v>5</v>
      </c>
      <c r="D41" s="38" t="str" cm="1">
        <f t="array" ref="D41">INDEX('SimpleOrg-2'!$B$2:$H$41,1+B41,C41)</f>
        <v>* differential.element[2].min = 0</v>
      </c>
    </row>
    <row r="42" spans="1:4" x14ac:dyDescent="0.75">
      <c r="A42" s="32">
        <v>13</v>
      </c>
      <c r="B42" s="32">
        <f t="shared" si="0"/>
        <v>1</v>
      </c>
      <c r="C42" s="32">
        <f t="shared" si="1"/>
        <v>6</v>
      </c>
      <c r="D42" s="38" t="str" cm="1">
        <f t="array" ref="D42">INDEX('SimpleOrg-2'!$B$2:$H$41,1+B42,C42)</f>
        <v>* differential.element[2].max = "*"</v>
      </c>
    </row>
    <row r="43" spans="1:4" x14ac:dyDescent="0.75">
      <c r="A43" s="32">
        <v>14</v>
      </c>
      <c r="B43" s="32">
        <f t="shared" si="0"/>
        <v>1</v>
      </c>
      <c r="C43" s="32">
        <f t="shared" si="1"/>
        <v>7</v>
      </c>
      <c r="D43" s="38" t="str" cm="1">
        <f t="array" ref="D43">INDEX('SimpleOrg-2'!$B$2:$H$41,1+B43,C43)</f>
        <v>* differential.element[2].type.code = #string</v>
      </c>
    </row>
    <row r="44" spans="1:4" x14ac:dyDescent="0.75">
      <c r="A44" s="32">
        <v>15</v>
      </c>
      <c r="B44" s="32">
        <f t="shared" si="0"/>
        <v>2</v>
      </c>
      <c r="C44" s="32">
        <f t="shared" si="1"/>
        <v>1</v>
      </c>
      <c r="D44" s="38" cm="1">
        <f t="array" ref="D44">INDEX('SimpleOrg-2'!$B$2:$H$41,1+B44,C44)</f>
        <v>0</v>
      </c>
    </row>
    <row r="45" spans="1:4" x14ac:dyDescent="0.75">
      <c r="A45" s="32">
        <v>16</v>
      </c>
      <c r="B45" s="32">
        <f t="shared" si="0"/>
        <v>2</v>
      </c>
      <c r="C45" s="32">
        <f t="shared" si="1"/>
        <v>2</v>
      </c>
      <c r="D45" s="38" cm="1">
        <f t="array" ref="D45">INDEX('SimpleOrg-2'!$B$2:$H$41,1+B45,C45)</f>
        <v>0</v>
      </c>
    </row>
    <row r="46" spans="1:4" x14ac:dyDescent="0.75">
      <c r="A46" s="32">
        <v>17</v>
      </c>
      <c r="B46" s="32">
        <f t="shared" si="0"/>
        <v>2</v>
      </c>
      <c r="C46" s="32">
        <f t="shared" si="1"/>
        <v>3</v>
      </c>
      <c r="D46" s="38" cm="1">
        <f t="array" ref="D46">INDEX('SimpleOrg-2'!$B$2:$H$41,1+B46,C46)</f>
        <v>0</v>
      </c>
    </row>
    <row r="47" spans="1:4" x14ac:dyDescent="0.75">
      <c r="A47" s="32">
        <v>18</v>
      </c>
      <c r="B47" s="32">
        <f t="shared" si="0"/>
        <v>2</v>
      </c>
      <c r="C47" s="32">
        <f t="shared" si="1"/>
        <v>4</v>
      </c>
      <c r="D47" s="38" cm="1">
        <f t="array" ref="D47">INDEX('SimpleOrg-2'!$B$2:$H$41,1+B47,C47)</f>
        <v>0</v>
      </c>
    </row>
    <row r="48" spans="1:4" x14ac:dyDescent="0.75">
      <c r="A48" s="32">
        <v>19</v>
      </c>
      <c r="B48" s="32">
        <f t="shared" si="0"/>
        <v>2</v>
      </c>
      <c r="C48" s="32">
        <f t="shared" si="1"/>
        <v>5</v>
      </c>
      <c r="D48" s="38" cm="1">
        <f t="array" ref="D48">INDEX('SimpleOrg-2'!$B$2:$H$41,1+B48,C48)</f>
        <v>0</v>
      </c>
    </row>
    <row r="49" spans="1:4" x14ac:dyDescent="0.75">
      <c r="A49" s="32">
        <v>20</v>
      </c>
      <c r="B49" s="32">
        <f t="shared" si="0"/>
        <v>2</v>
      </c>
      <c r="C49" s="32">
        <f t="shared" si="1"/>
        <v>6</v>
      </c>
      <c r="D49" s="38" cm="1">
        <f t="array" ref="D49">INDEX('SimpleOrg-2'!$B$2:$H$41,1+B49,C49)</f>
        <v>0</v>
      </c>
    </row>
    <row r="50" spans="1:4" x14ac:dyDescent="0.75">
      <c r="A50" s="32">
        <v>21</v>
      </c>
      <c r="B50" s="32">
        <f t="shared" si="0"/>
        <v>2</v>
      </c>
      <c r="C50" s="32">
        <f t="shared" si="1"/>
        <v>7</v>
      </c>
      <c r="D50" s="38" cm="1">
        <f t="array" ref="D50">INDEX('SimpleOrg-2'!$B$2:$H$41,1+B50,C50)</f>
        <v>0</v>
      </c>
    </row>
    <row r="51" spans="1:4" x14ac:dyDescent="0.75">
      <c r="A51" s="32">
        <v>22</v>
      </c>
      <c r="B51" s="32">
        <f t="shared" si="0"/>
        <v>3</v>
      </c>
      <c r="C51" s="32">
        <f t="shared" si="1"/>
        <v>1</v>
      </c>
      <c r="D51" s="38" cm="1">
        <f t="array" ref="D51">INDEX('SimpleOrg-2'!$B$2:$H$41,1+B51,C51)</f>
        <v>0</v>
      </c>
    </row>
    <row r="52" spans="1:4" x14ac:dyDescent="0.75">
      <c r="A52" s="32">
        <v>23</v>
      </c>
      <c r="B52" s="32">
        <f t="shared" si="0"/>
        <v>3</v>
      </c>
      <c r="C52" s="32">
        <f t="shared" si="1"/>
        <v>2</v>
      </c>
      <c r="D52" s="38" cm="1">
        <f t="array" ref="D52">INDEX('SimpleOrg-2'!$B$2:$H$41,1+B52,C52)</f>
        <v>0</v>
      </c>
    </row>
    <row r="53" spans="1:4" x14ac:dyDescent="0.75">
      <c r="A53" s="32">
        <v>24</v>
      </c>
      <c r="B53" s="32">
        <f t="shared" si="0"/>
        <v>3</v>
      </c>
      <c r="C53" s="32">
        <f t="shared" si="1"/>
        <v>3</v>
      </c>
      <c r="D53" s="38" cm="1">
        <f t="array" ref="D53">INDEX('SimpleOrg-2'!$B$2:$H$41,1+B53,C53)</f>
        <v>0</v>
      </c>
    </row>
    <row r="54" spans="1:4" x14ac:dyDescent="0.75">
      <c r="A54" s="32">
        <v>25</v>
      </c>
      <c r="B54" s="32">
        <f t="shared" si="0"/>
        <v>3</v>
      </c>
      <c r="C54" s="32">
        <f t="shared" si="1"/>
        <v>4</v>
      </c>
      <c r="D54" s="38" cm="1">
        <f t="array" ref="D54">INDEX('SimpleOrg-2'!$B$2:$H$41,1+B54,C54)</f>
        <v>0</v>
      </c>
    </row>
    <row r="55" spans="1:4" x14ac:dyDescent="0.75">
      <c r="A55" s="32">
        <v>26</v>
      </c>
      <c r="B55" s="32">
        <f t="shared" si="0"/>
        <v>3</v>
      </c>
      <c r="C55" s="32">
        <f t="shared" si="1"/>
        <v>5</v>
      </c>
      <c r="D55" s="38" cm="1">
        <f t="array" ref="D55">INDEX('SimpleOrg-2'!$B$2:$H$41,1+B55,C55)</f>
        <v>0</v>
      </c>
    </row>
    <row r="56" spans="1:4" x14ac:dyDescent="0.75">
      <c r="A56" s="32">
        <v>27</v>
      </c>
      <c r="B56" s="32">
        <f t="shared" si="0"/>
        <v>3</v>
      </c>
      <c r="C56" s="32">
        <f t="shared" si="1"/>
        <v>6</v>
      </c>
      <c r="D56" s="38" cm="1">
        <f t="array" ref="D56">INDEX('SimpleOrg-2'!$B$2:$H$41,1+B56,C56)</f>
        <v>0</v>
      </c>
    </row>
    <row r="57" spans="1:4" x14ac:dyDescent="0.75">
      <c r="A57" s="32">
        <v>28</v>
      </c>
      <c r="B57" s="32">
        <f t="shared" si="0"/>
        <v>3</v>
      </c>
      <c r="C57" s="32">
        <f t="shared" si="1"/>
        <v>7</v>
      </c>
      <c r="D57" s="38" cm="1">
        <f t="array" ref="D57">INDEX('SimpleOrg-2'!$B$2:$H$41,1+B57,C57)</f>
        <v>0</v>
      </c>
    </row>
    <row r="58" spans="1:4" x14ac:dyDescent="0.75">
      <c r="A58" s="32">
        <v>29</v>
      </c>
      <c r="B58" s="32">
        <f t="shared" si="0"/>
        <v>4</v>
      </c>
      <c r="C58" s="32">
        <f t="shared" si="1"/>
        <v>1</v>
      </c>
      <c r="D58" s="38" cm="1">
        <f t="array" ref="D58">INDEX('SimpleOrg-2'!$B$2:$H$41,1+B58,C58)</f>
        <v>0</v>
      </c>
    </row>
    <row r="59" spans="1:4" x14ac:dyDescent="0.75">
      <c r="A59" s="32">
        <v>30</v>
      </c>
      <c r="B59" s="32">
        <f t="shared" si="0"/>
        <v>4</v>
      </c>
      <c r="C59" s="32">
        <f t="shared" si="1"/>
        <v>2</v>
      </c>
      <c r="D59" s="38" cm="1">
        <f t="array" ref="D59">INDEX('SimpleOrg-2'!$B$2:$H$41,1+B59,C59)</f>
        <v>0</v>
      </c>
    </row>
    <row r="60" spans="1:4" x14ac:dyDescent="0.75">
      <c r="A60" s="32">
        <v>31</v>
      </c>
      <c r="B60" s="32">
        <f t="shared" si="0"/>
        <v>4</v>
      </c>
      <c r="C60" s="32">
        <f t="shared" si="1"/>
        <v>3</v>
      </c>
      <c r="D60" s="38" cm="1">
        <f t="array" ref="D60">INDEX('SimpleOrg-2'!$B$2:$H$41,1+B60,C60)</f>
        <v>0</v>
      </c>
    </row>
    <row r="61" spans="1:4" x14ac:dyDescent="0.75">
      <c r="A61" s="32">
        <v>32</v>
      </c>
      <c r="B61" s="32">
        <f t="shared" si="0"/>
        <v>4</v>
      </c>
      <c r="C61" s="32">
        <f t="shared" si="1"/>
        <v>4</v>
      </c>
      <c r="D61" s="38" cm="1">
        <f t="array" ref="D61">INDEX('SimpleOrg-2'!$B$2:$H$41,1+B61,C61)</f>
        <v>0</v>
      </c>
    </row>
    <row r="62" spans="1:4" x14ac:dyDescent="0.75">
      <c r="A62" s="32">
        <v>33</v>
      </c>
      <c r="B62" s="32">
        <f t="shared" si="0"/>
        <v>4</v>
      </c>
      <c r="C62" s="32">
        <f t="shared" si="1"/>
        <v>5</v>
      </c>
      <c r="D62" s="38" cm="1">
        <f t="array" ref="D62">INDEX('SimpleOrg-2'!$B$2:$H$41,1+B62,C62)</f>
        <v>0</v>
      </c>
    </row>
    <row r="63" spans="1:4" x14ac:dyDescent="0.75">
      <c r="A63" s="32">
        <v>34</v>
      </c>
      <c r="B63" s="32">
        <f t="shared" si="0"/>
        <v>4</v>
      </c>
      <c r="C63" s="32">
        <f t="shared" si="1"/>
        <v>6</v>
      </c>
      <c r="D63" s="38" cm="1">
        <f t="array" ref="D63">INDEX('SimpleOrg-2'!$B$2:$H$41,1+B63,C63)</f>
        <v>0</v>
      </c>
    </row>
    <row r="64" spans="1:4" x14ac:dyDescent="0.75">
      <c r="A64" s="32">
        <v>35</v>
      </c>
      <c r="B64" s="32">
        <f t="shared" si="0"/>
        <v>4</v>
      </c>
      <c r="C64" s="32">
        <f t="shared" si="1"/>
        <v>7</v>
      </c>
      <c r="D64" s="38" cm="1">
        <f t="array" ref="D64">INDEX('SimpleOrg-2'!$B$2:$H$41,1+B64,C64)</f>
        <v>0</v>
      </c>
    </row>
    <row r="65" spans="1:4" x14ac:dyDescent="0.75">
      <c r="A65" s="32">
        <v>36</v>
      </c>
      <c r="B65" s="32">
        <f t="shared" si="0"/>
        <v>5</v>
      </c>
      <c r="C65" s="32">
        <f t="shared" si="1"/>
        <v>1</v>
      </c>
      <c r="D65" s="38" cm="1">
        <f t="array" ref="D65">INDEX('SimpleOrg-2'!$B$2:$H$41,1+B65,C65)</f>
        <v>0</v>
      </c>
    </row>
    <row r="66" spans="1:4" x14ac:dyDescent="0.75">
      <c r="A66" s="32">
        <v>37</v>
      </c>
      <c r="B66" s="32">
        <f t="shared" si="0"/>
        <v>5</v>
      </c>
      <c r="C66" s="32">
        <f t="shared" si="1"/>
        <v>2</v>
      </c>
      <c r="D66" s="38" cm="1">
        <f t="array" ref="D66">INDEX('SimpleOrg-2'!$B$2:$H$41,1+B66,C66)</f>
        <v>0</v>
      </c>
    </row>
    <row r="67" spans="1:4" x14ac:dyDescent="0.75">
      <c r="A67" s="32">
        <v>38</v>
      </c>
      <c r="B67" s="32">
        <f t="shared" si="0"/>
        <v>5</v>
      </c>
      <c r="C67" s="32">
        <f t="shared" si="1"/>
        <v>3</v>
      </c>
      <c r="D67" s="38" cm="1">
        <f t="array" ref="D67">INDEX('SimpleOrg-2'!$B$2:$H$41,1+B67,C67)</f>
        <v>0</v>
      </c>
    </row>
    <row r="68" spans="1:4" x14ac:dyDescent="0.75">
      <c r="A68" s="32">
        <v>39</v>
      </c>
      <c r="B68" s="32">
        <f t="shared" si="0"/>
        <v>5</v>
      </c>
      <c r="C68" s="32">
        <f t="shared" si="1"/>
        <v>4</v>
      </c>
      <c r="D68" s="38" cm="1">
        <f t="array" ref="D68">INDEX('SimpleOrg-2'!$B$2:$H$41,1+B68,C68)</f>
        <v>0</v>
      </c>
    </row>
    <row r="69" spans="1:4" x14ac:dyDescent="0.75">
      <c r="A69" s="32">
        <v>40</v>
      </c>
      <c r="B69" s="32">
        <f t="shared" si="0"/>
        <v>5</v>
      </c>
      <c r="C69" s="32">
        <f t="shared" si="1"/>
        <v>5</v>
      </c>
      <c r="D69" s="38" cm="1">
        <f t="array" ref="D69">INDEX('SimpleOrg-2'!$B$2:$H$41,1+B69,C69)</f>
        <v>0</v>
      </c>
    </row>
    <row r="70" spans="1:4" x14ac:dyDescent="0.75">
      <c r="A70" s="32">
        <v>41</v>
      </c>
      <c r="B70" s="32">
        <f t="shared" si="0"/>
        <v>5</v>
      </c>
      <c r="C70" s="32">
        <f t="shared" si="1"/>
        <v>6</v>
      </c>
      <c r="D70" s="38" cm="1">
        <f t="array" ref="D70">INDEX('SimpleOrg-2'!$B$2:$H$41,1+B70,C70)</f>
        <v>0</v>
      </c>
    </row>
    <row r="71" spans="1:4" x14ac:dyDescent="0.75">
      <c r="A71" s="32">
        <v>42</v>
      </c>
      <c r="B71" s="32">
        <f t="shared" si="0"/>
        <v>5</v>
      </c>
      <c r="C71" s="32">
        <f t="shared" si="1"/>
        <v>7</v>
      </c>
      <c r="D71" s="38" cm="1">
        <f t="array" ref="D71">INDEX('SimpleOrg-2'!$B$2:$H$41,1+B71,C71)</f>
        <v>0</v>
      </c>
    </row>
    <row r="72" spans="1:4" x14ac:dyDescent="0.75">
      <c r="A72" s="32">
        <v>43</v>
      </c>
      <c r="B72" s="32">
        <f t="shared" si="0"/>
        <v>6</v>
      </c>
      <c r="C72" s="32">
        <f t="shared" si="1"/>
        <v>1</v>
      </c>
      <c r="D72" s="38" cm="1">
        <f t="array" ref="D72">INDEX('SimpleOrg-2'!$B$2:$H$41,1+B72,C72)</f>
        <v>0</v>
      </c>
    </row>
    <row r="73" spans="1:4" x14ac:dyDescent="0.75">
      <c r="A73" s="32">
        <v>44</v>
      </c>
      <c r="B73" s="32">
        <f t="shared" si="0"/>
        <v>6</v>
      </c>
      <c r="C73" s="32">
        <f t="shared" si="1"/>
        <v>2</v>
      </c>
      <c r="D73" s="38" cm="1">
        <f t="array" ref="D73">INDEX('SimpleOrg-2'!$B$2:$H$41,1+B73,C73)</f>
        <v>0</v>
      </c>
    </row>
    <row r="74" spans="1:4" x14ac:dyDescent="0.75">
      <c r="A74" s="32">
        <v>45</v>
      </c>
      <c r="B74" s="32">
        <f t="shared" si="0"/>
        <v>6</v>
      </c>
      <c r="C74" s="32">
        <f t="shared" si="1"/>
        <v>3</v>
      </c>
      <c r="D74" s="38" cm="1">
        <f t="array" ref="D74">INDEX('SimpleOrg-2'!$B$2:$H$41,1+B74,C74)</f>
        <v>0</v>
      </c>
    </row>
    <row r="75" spans="1:4" x14ac:dyDescent="0.75">
      <c r="A75" s="32">
        <v>46</v>
      </c>
      <c r="B75" s="32">
        <f t="shared" si="0"/>
        <v>6</v>
      </c>
      <c r="C75" s="32">
        <f t="shared" si="1"/>
        <v>4</v>
      </c>
      <c r="D75" s="38" cm="1">
        <f t="array" ref="D75">INDEX('SimpleOrg-2'!$B$2:$H$41,1+B75,C75)</f>
        <v>0</v>
      </c>
    </row>
    <row r="76" spans="1:4" x14ac:dyDescent="0.75">
      <c r="A76" s="32">
        <v>47</v>
      </c>
      <c r="B76" s="32">
        <f t="shared" si="0"/>
        <v>6</v>
      </c>
      <c r="C76" s="32">
        <f t="shared" si="1"/>
        <v>5</v>
      </c>
      <c r="D76" s="38" cm="1">
        <f t="array" ref="D76">INDEX('SimpleOrg-2'!$B$2:$H$41,1+B76,C76)</f>
        <v>0</v>
      </c>
    </row>
    <row r="77" spans="1:4" x14ac:dyDescent="0.75">
      <c r="A77" s="32">
        <v>48</v>
      </c>
      <c r="B77" s="32">
        <f t="shared" si="0"/>
        <v>6</v>
      </c>
      <c r="C77" s="32">
        <f t="shared" si="1"/>
        <v>6</v>
      </c>
      <c r="D77" s="38" cm="1">
        <f t="array" ref="D77">INDEX('SimpleOrg-2'!$B$2:$H$41,1+B77,C77)</f>
        <v>0</v>
      </c>
    </row>
    <row r="78" spans="1:4" x14ac:dyDescent="0.75">
      <c r="A78" s="32">
        <v>49</v>
      </c>
      <c r="B78" s="32">
        <f t="shared" si="0"/>
        <v>6</v>
      </c>
      <c r="C78" s="32">
        <f t="shared" si="1"/>
        <v>7</v>
      </c>
      <c r="D78" s="38" cm="1">
        <f t="array" ref="D78">INDEX('SimpleOrg-2'!$B$2:$H$41,1+B78,C78)</f>
        <v>0</v>
      </c>
    </row>
    <row r="79" spans="1:4" x14ac:dyDescent="0.75">
      <c r="A79" s="32">
        <v>50</v>
      </c>
      <c r="B79" s="32">
        <f t="shared" si="0"/>
        <v>7</v>
      </c>
      <c r="C79" s="32">
        <f t="shared" si="1"/>
        <v>1</v>
      </c>
      <c r="D79" s="38" cm="1">
        <f t="array" ref="D79">INDEX('SimpleOrg-2'!$B$2:$H$41,1+B79,C79)</f>
        <v>0</v>
      </c>
    </row>
    <row r="80" spans="1:4" x14ac:dyDescent="0.75">
      <c r="A80" s="32">
        <v>51</v>
      </c>
      <c r="B80" s="32">
        <f t="shared" si="0"/>
        <v>7</v>
      </c>
      <c r="C80" s="32">
        <f t="shared" si="1"/>
        <v>2</v>
      </c>
      <c r="D80" s="38" cm="1">
        <f t="array" ref="D80">INDEX('SimpleOrg-2'!$B$2:$H$41,1+B80,C80)</f>
        <v>0</v>
      </c>
    </row>
    <row r="81" spans="1:7" x14ac:dyDescent="0.75">
      <c r="A81" s="32">
        <v>52</v>
      </c>
      <c r="B81" s="32">
        <f t="shared" si="0"/>
        <v>7</v>
      </c>
      <c r="C81" s="32">
        <f t="shared" si="1"/>
        <v>3</v>
      </c>
      <c r="D81" s="38" cm="1">
        <f t="array" ref="D81">INDEX('SimpleOrg-2'!$B$2:$H$41,1+B81,C81)</f>
        <v>0</v>
      </c>
    </row>
    <row r="82" spans="1:7" x14ac:dyDescent="0.75">
      <c r="A82" s="32">
        <v>53</v>
      </c>
      <c r="B82" s="32">
        <f t="shared" si="0"/>
        <v>7</v>
      </c>
      <c r="C82" s="32">
        <f t="shared" si="1"/>
        <v>4</v>
      </c>
      <c r="D82" s="38" cm="1">
        <f t="array" ref="D82">INDEX('SimpleOrg-2'!$B$2:$H$41,1+B82,C82)</f>
        <v>0</v>
      </c>
      <c r="G82" s="16"/>
    </row>
    <row r="83" spans="1:7" x14ac:dyDescent="0.75">
      <c r="A83" s="32">
        <v>54</v>
      </c>
      <c r="B83" s="32">
        <f t="shared" si="0"/>
        <v>7</v>
      </c>
      <c r="C83" s="32">
        <f t="shared" si="1"/>
        <v>5</v>
      </c>
      <c r="D83" s="38" cm="1">
        <f t="array" ref="D83">INDEX('SimpleOrg-2'!$B$2:$H$41,1+B83,C83)</f>
        <v>0</v>
      </c>
    </row>
    <row r="84" spans="1:7" x14ac:dyDescent="0.75">
      <c r="A84" s="32">
        <v>55</v>
      </c>
      <c r="B84" s="32">
        <f t="shared" si="0"/>
        <v>7</v>
      </c>
      <c r="C84" s="32">
        <f t="shared" si="1"/>
        <v>6</v>
      </c>
      <c r="D84" s="38" cm="1">
        <f t="array" ref="D84">INDEX('SimpleOrg-2'!$B$2:$H$41,1+B84,C84)</f>
        <v>0</v>
      </c>
    </row>
    <row r="85" spans="1:7" x14ac:dyDescent="0.75">
      <c r="A85" s="32">
        <v>56</v>
      </c>
      <c r="B85" s="32">
        <f t="shared" si="0"/>
        <v>7</v>
      </c>
      <c r="C85" s="32">
        <f t="shared" si="1"/>
        <v>7</v>
      </c>
      <c r="D85" s="38" cm="1">
        <f t="array" ref="D85">INDEX('SimpleOrg-2'!$B$2:$H$41,1+B85,C85)</f>
        <v>0</v>
      </c>
    </row>
    <row r="86" spans="1:7" x14ac:dyDescent="0.75">
      <c r="A86" s="32">
        <v>57</v>
      </c>
      <c r="B86" s="32">
        <f t="shared" si="0"/>
        <v>8</v>
      </c>
      <c r="C86" s="32">
        <f t="shared" si="1"/>
        <v>1</v>
      </c>
      <c r="D86" s="38" cm="1">
        <f t="array" ref="D86">INDEX('SimpleOrg-2'!$B$2:$H$41,1+B86,C86)</f>
        <v>0</v>
      </c>
    </row>
    <row r="87" spans="1:7" x14ac:dyDescent="0.75">
      <c r="A87" s="32">
        <v>58</v>
      </c>
      <c r="B87" s="32">
        <f t="shared" si="0"/>
        <v>8</v>
      </c>
      <c r="C87" s="32">
        <f t="shared" si="1"/>
        <v>2</v>
      </c>
      <c r="D87" s="38" cm="1">
        <f t="array" ref="D87">INDEX('SimpleOrg-2'!$B$2:$H$41,1+B87,C87)</f>
        <v>0</v>
      </c>
    </row>
    <row r="88" spans="1:7" x14ac:dyDescent="0.75">
      <c r="A88" s="32">
        <v>59</v>
      </c>
      <c r="B88" s="32">
        <f t="shared" si="0"/>
        <v>8</v>
      </c>
      <c r="C88" s="32">
        <f t="shared" si="1"/>
        <v>3</v>
      </c>
      <c r="D88" s="38" cm="1">
        <f t="array" ref="D88">INDEX('SimpleOrg-2'!$B$2:$H$41,1+B88,C88)</f>
        <v>0</v>
      </c>
    </row>
    <row r="89" spans="1:7" x14ac:dyDescent="0.75">
      <c r="A89" s="32">
        <v>60</v>
      </c>
      <c r="B89" s="32">
        <f t="shared" si="0"/>
        <v>8</v>
      </c>
      <c r="C89" s="32">
        <f t="shared" si="1"/>
        <v>4</v>
      </c>
      <c r="D89" s="38" cm="1">
        <f t="array" ref="D89">INDEX('SimpleOrg-2'!$B$2:$H$41,1+B89,C89)</f>
        <v>0</v>
      </c>
    </row>
    <row r="90" spans="1:7" x14ac:dyDescent="0.75">
      <c r="A90" s="32">
        <v>61</v>
      </c>
      <c r="B90" s="32">
        <f t="shared" si="0"/>
        <v>8</v>
      </c>
      <c r="C90" s="32">
        <f t="shared" si="1"/>
        <v>5</v>
      </c>
      <c r="D90" s="38" cm="1">
        <f t="array" ref="D90">INDEX('SimpleOrg-2'!$B$2:$H$41,1+B90,C90)</f>
        <v>0</v>
      </c>
    </row>
    <row r="91" spans="1:7" x14ac:dyDescent="0.75">
      <c r="A91" s="32">
        <v>62</v>
      </c>
      <c r="B91" s="32">
        <f t="shared" si="0"/>
        <v>8</v>
      </c>
      <c r="C91" s="32">
        <f t="shared" si="1"/>
        <v>6</v>
      </c>
      <c r="D91" s="38" cm="1">
        <f t="array" ref="D91">INDEX('SimpleOrg-2'!$B$2:$H$41,1+B91,C91)</f>
        <v>0</v>
      </c>
    </row>
    <row r="92" spans="1:7" x14ac:dyDescent="0.75">
      <c r="A92" s="32">
        <v>63</v>
      </c>
      <c r="B92" s="32">
        <f t="shared" si="0"/>
        <v>8</v>
      </c>
      <c r="C92" s="32">
        <f t="shared" si="1"/>
        <v>7</v>
      </c>
      <c r="D92" s="38" cm="1">
        <f t="array" ref="D92">INDEX('SimpleOrg-2'!$B$2:$H$41,1+B92,C92)</f>
        <v>0</v>
      </c>
    </row>
    <row r="93" spans="1:7" x14ac:dyDescent="0.75">
      <c r="A93" s="32">
        <v>64</v>
      </c>
      <c r="B93" s="32">
        <f t="shared" si="0"/>
        <v>9</v>
      </c>
      <c r="C93" s="32">
        <f t="shared" si="1"/>
        <v>1</v>
      </c>
      <c r="D93" s="38" cm="1">
        <f t="array" ref="D93">INDEX('SimpleOrg-2'!$B$2:$H$41,1+B93,C93)</f>
        <v>0</v>
      </c>
    </row>
    <row r="94" spans="1:7" x14ac:dyDescent="0.75">
      <c r="A94" s="32">
        <v>65</v>
      </c>
      <c r="B94" s="32">
        <f t="shared" si="0"/>
        <v>9</v>
      </c>
      <c r="C94" s="32">
        <f t="shared" si="1"/>
        <v>2</v>
      </c>
      <c r="D94" s="38" cm="1">
        <f t="array" ref="D94">INDEX('SimpleOrg-2'!$B$2:$H$41,1+B94,C94)</f>
        <v>0</v>
      </c>
    </row>
    <row r="95" spans="1:7" x14ac:dyDescent="0.75">
      <c r="A95" s="32">
        <v>66</v>
      </c>
      <c r="B95" s="32">
        <f t="shared" ref="B95:B158" si="2">IF(MOD(A95,7)=0,A95/7-1,INT(A95/7))</f>
        <v>9</v>
      </c>
      <c r="C95" s="32">
        <f t="shared" ref="C95:C158" si="3">IF(MOD(A95,7)=0,7,MOD(A95,7))</f>
        <v>3</v>
      </c>
      <c r="D95" s="38" cm="1">
        <f t="array" ref="D95">INDEX('SimpleOrg-2'!$B$2:$H$41,1+B95,C95)</f>
        <v>0</v>
      </c>
    </row>
    <row r="96" spans="1:7" x14ac:dyDescent="0.75">
      <c r="A96" s="32">
        <v>67</v>
      </c>
      <c r="B96" s="32">
        <f t="shared" si="2"/>
        <v>9</v>
      </c>
      <c r="C96" s="32">
        <f t="shared" si="3"/>
        <v>4</v>
      </c>
      <c r="D96" s="38" cm="1">
        <f t="array" ref="D96">INDEX('SimpleOrg-2'!$B$2:$H$41,1+B96,C96)</f>
        <v>0</v>
      </c>
    </row>
    <row r="97" spans="1:4" x14ac:dyDescent="0.75">
      <c r="A97" s="32">
        <v>68</v>
      </c>
      <c r="B97" s="32">
        <f t="shared" si="2"/>
        <v>9</v>
      </c>
      <c r="C97" s="32">
        <f t="shared" si="3"/>
        <v>5</v>
      </c>
      <c r="D97" s="38" cm="1">
        <f t="array" ref="D97">INDEX('SimpleOrg-2'!$B$2:$H$41,1+B97,C97)</f>
        <v>0</v>
      </c>
    </row>
    <row r="98" spans="1:4" x14ac:dyDescent="0.75">
      <c r="A98" s="32">
        <v>69</v>
      </c>
      <c r="B98" s="32">
        <f t="shared" si="2"/>
        <v>9</v>
      </c>
      <c r="C98" s="32">
        <f t="shared" si="3"/>
        <v>6</v>
      </c>
      <c r="D98" s="38" cm="1">
        <f t="array" ref="D98">INDEX('SimpleOrg-2'!$B$2:$H$41,1+B98,C98)</f>
        <v>0</v>
      </c>
    </row>
    <row r="99" spans="1:4" x14ac:dyDescent="0.75">
      <c r="A99" s="32">
        <v>70</v>
      </c>
      <c r="B99" s="32">
        <f t="shared" si="2"/>
        <v>9</v>
      </c>
      <c r="C99" s="32">
        <f t="shared" si="3"/>
        <v>7</v>
      </c>
      <c r="D99" s="38" cm="1">
        <f t="array" ref="D99">INDEX('SimpleOrg-2'!$B$2:$H$41,1+B99,C99)</f>
        <v>0</v>
      </c>
    </row>
    <row r="100" spans="1:4" x14ac:dyDescent="0.75">
      <c r="A100" s="32">
        <v>71</v>
      </c>
      <c r="B100" s="32">
        <f t="shared" si="2"/>
        <v>10</v>
      </c>
      <c r="C100" s="32">
        <f t="shared" si="3"/>
        <v>1</v>
      </c>
      <c r="D100" s="38" cm="1">
        <f t="array" ref="D100">INDEX('SimpleOrg-2'!$B$2:$H$41,1+B100,C100)</f>
        <v>0</v>
      </c>
    </row>
    <row r="101" spans="1:4" x14ac:dyDescent="0.75">
      <c r="A101" s="32">
        <v>72</v>
      </c>
      <c r="B101" s="32">
        <f t="shared" si="2"/>
        <v>10</v>
      </c>
      <c r="C101" s="32">
        <f t="shared" si="3"/>
        <v>2</v>
      </c>
      <c r="D101" s="38" cm="1">
        <f t="array" ref="D101">INDEX('SimpleOrg-2'!$B$2:$H$41,1+B101,C101)</f>
        <v>0</v>
      </c>
    </row>
    <row r="102" spans="1:4" x14ac:dyDescent="0.75">
      <c r="A102" s="32">
        <v>73</v>
      </c>
      <c r="B102" s="32">
        <f t="shared" si="2"/>
        <v>10</v>
      </c>
      <c r="C102" s="32">
        <f t="shared" si="3"/>
        <v>3</v>
      </c>
      <c r="D102" s="38" cm="1">
        <f t="array" ref="D102">INDEX('SimpleOrg-2'!$B$2:$H$41,1+B102,C102)</f>
        <v>0</v>
      </c>
    </row>
    <row r="103" spans="1:4" x14ac:dyDescent="0.75">
      <c r="A103" s="32">
        <v>74</v>
      </c>
      <c r="B103" s="32">
        <f t="shared" si="2"/>
        <v>10</v>
      </c>
      <c r="C103" s="32">
        <f t="shared" si="3"/>
        <v>4</v>
      </c>
      <c r="D103" s="38" cm="1">
        <f t="array" ref="D103">INDEX('SimpleOrg-2'!$B$2:$H$41,1+B103,C103)</f>
        <v>0</v>
      </c>
    </row>
    <row r="104" spans="1:4" x14ac:dyDescent="0.75">
      <c r="A104" s="32">
        <v>75</v>
      </c>
      <c r="B104" s="32">
        <f t="shared" si="2"/>
        <v>10</v>
      </c>
      <c r="C104" s="32">
        <f t="shared" si="3"/>
        <v>5</v>
      </c>
      <c r="D104" s="38" cm="1">
        <f t="array" ref="D104">INDEX('SimpleOrg-2'!$B$2:$H$41,1+B104,C104)</f>
        <v>0</v>
      </c>
    </row>
    <row r="105" spans="1:4" x14ac:dyDescent="0.75">
      <c r="A105" s="32">
        <v>76</v>
      </c>
      <c r="B105" s="32">
        <f t="shared" si="2"/>
        <v>10</v>
      </c>
      <c r="C105" s="32">
        <f t="shared" si="3"/>
        <v>6</v>
      </c>
      <c r="D105" s="38" cm="1">
        <f t="array" ref="D105">INDEX('SimpleOrg-2'!$B$2:$H$41,1+B105,C105)</f>
        <v>0</v>
      </c>
    </row>
    <row r="106" spans="1:4" x14ac:dyDescent="0.75">
      <c r="A106" s="32">
        <v>77</v>
      </c>
      <c r="B106" s="32">
        <f t="shared" si="2"/>
        <v>10</v>
      </c>
      <c r="C106" s="32">
        <f t="shared" si="3"/>
        <v>7</v>
      </c>
      <c r="D106" s="38" cm="1">
        <f t="array" ref="D106">INDEX('SimpleOrg-2'!$B$2:$H$41,1+B106,C106)</f>
        <v>0</v>
      </c>
    </row>
    <row r="107" spans="1:4" x14ac:dyDescent="0.75">
      <c r="A107" s="32">
        <v>78</v>
      </c>
      <c r="B107" s="32">
        <f t="shared" si="2"/>
        <v>11</v>
      </c>
      <c r="C107" s="32">
        <f t="shared" si="3"/>
        <v>1</v>
      </c>
      <c r="D107" s="38" cm="1">
        <f t="array" ref="D107">INDEX('SimpleOrg-2'!$B$2:$H$41,1+B107,C107)</f>
        <v>0</v>
      </c>
    </row>
    <row r="108" spans="1:4" x14ac:dyDescent="0.75">
      <c r="A108" s="32">
        <v>79</v>
      </c>
      <c r="B108" s="32">
        <f t="shared" si="2"/>
        <v>11</v>
      </c>
      <c r="C108" s="32">
        <f t="shared" si="3"/>
        <v>2</v>
      </c>
      <c r="D108" s="38" cm="1">
        <f t="array" ref="D108">INDEX('SimpleOrg-2'!$B$2:$H$41,1+B108,C108)</f>
        <v>0</v>
      </c>
    </row>
    <row r="109" spans="1:4" x14ac:dyDescent="0.75">
      <c r="A109" s="32">
        <v>80</v>
      </c>
      <c r="B109" s="32">
        <f t="shared" si="2"/>
        <v>11</v>
      </c>
      <c r="C109" s="32">
        <f t="shared" si="3"/>
        <v>3</v>
      </c>
      <c r="D109" s="38" cm="1">
        <f t="array" ref="D109">INDEX('SimpleOrg-2'!$B$2:$H$41,1+B109,C109)</f>
        <v>0</v>
      </c>
    </row>
    <row r="110" spans="1:4" x14ac:dyDescent="0.75">
      <c r="A110" s="32">
        <v>81</v>
      </c>
      <c r="B110" s="32">
        <f t="shared" si="2"/>
        <v>11</v>
      </c>
      <c r="C110" s="32">
        <f t="shared" si="3"/>
        <v>4</v>
      </c>
      <c r="D110" s="38" cm="1">
        <f t="array" ref="D110">INDEX('SimpleOrg-2'!$B$2:$H$41,1+B110,C110)</f>
        <v>0</v>
      </c>
    </row>
    <row r="111" spans="1:4" x14ac:dyDescent="0.75">
      <c r="A111" s="32">
        <v>82</v>
      </c>
      <c r="B111" s="32">
        <f t="shared" si="2"/>
        <v>11</v>
      </c>
      <c r="C111" s="32">
        <f t="shared" si="3"/>
        <v>5</v>
      </c>
      <c r="D111" s="38" cm="1">
        <f t="array" ref="D111">INDEX('SimpleOrg-2'!$B$2:$H$41,1+B111,C111)</f>
        <v>0</v>
      </c>
    </row>
    <row r="112" spans="1:4" x14ac:dyDescent="0.75">
      <c r="A112" s="32">
        <v>83</v>
      </c>
      <c r="B112" s="32">
        <f t="shared" si="2"/>
        <v>11</v>
      </c>
      <c r="C112" s="32">
        <f t="shared" si="3"/>
        <v>6</v>
      </c>
      <c r="D112" s="38" cm="1">
        <f t="array" ref="D112">INDEX('SimpleOrg-2'!$B$2:$H$41,1+B112,C112)</f>
        <v>0</v>
      </c>
    </row>
    <row r="113" spans="1:4" x14ac:dyDescent="0.75">
      <c r="A113" s="32">
        <v>84</v>
      </c>
      <c r="B113" s="32">
        <f t="shared" si="2"/>
        <v>11</v>
      </c>
      <c r="C113" s="32">
        <f t="shared" si="3"/>
        <v>7</v>
      </c>
      <c r="D113" s="38" cm="1">
        <f t="array" ref="D113">INDEX('SimpleOrg-2'!$B$2:$H$41,1+B113,C113)</f>
        <v>0</v>
      </c>
    </row>
    <row r="114" spans="1:4" x14ac:dyDescent="0.75">
      <c r="A114" s="32">
        <v>85</v>
      </c>
      <c r="B114" s="32">
        <f t="shared" si="2"/>
        <v>12</v>
      </c>
      <c r="C114" s="32">
        <f t="shared" si="3"/>
        <v>1</v>
      </c>
      <c r="D114" s="38" cm="1">
        <f t="array" ref="D114">INDEX('SimpleOrg-2'!$B$2:$H$41,1+B114,C114)</f>
        <v>0</v>
      </c>
    </row>
    <row r="115" spans="1:4" x14ac:dyDescent="0.75">
      <c r="A115" s="32">
        <v>86</v>
      </c>
      <c r="B115" s="32">
        <f t="shared" si="2"/>
        <v>12</v>
      </c>
      <c r="C115" s="32">
        <f t="shared" si="3"/>
        <v>2</v>
      </c>
      <c r="D115" s="38" cm="1">
        <f t="array" ref="D115">INDEX('SimpleOrg-2'!$B$2:$H$41,1+B115,C115)</f>
        <v>0</v>
      </c>
    </row>
    <row r="116" spans="1:4" x14ac:dyDescent="0.75">
      <c r="A116" s="32">
        <v>87</v>
      </c>
      <c r="B116" s="32">
        <f t="shared" si="2"/>
        <v>12</v>
      </c>
      <c r="C116" s="32">
        <f t="shared" si="3"/>
        <v>3</v>
      </c>
      <c r="D116" s="38" cm="1">
        <f t="array" ref="D116">INDEX('SimpleOrg-2'!$B$2:$H$41,1+B116,C116)</f>
        <v>0</v>
      </c>
    </row>
    <row r="117" spans="1:4" x14ac:dyDescent="0.75">
      <c r="A117" s="32">
        <v>88</v>
      </c>
      <c r="B117" s="32">
        <f t="shared" si="2"/>
        <v>12</v>
      </c>
      <c r="C117" s="32">
        <f t="shared" si="3"/>
        <v>4</v>
      </c>
      <c r="D117" s="38" cm="1">
        <f t="array" ref="D117">INDEX('SimpleOrg-2'!$B$2:$H$41,1+B117,C117)</f>
        <v>0</v>
      </c>
    </row>
    <row r="118" spans="1:4" x14ac:dyDescent="0.75">
      <c r="A118" s="32">
        <v>89</v>
      </c>
      <c r="B118" s="32">
        <f t="shared" si="2"/>
        <v>12</v>
      </c>
      <c r="C118" s="32">
        <f t="shared" si="3"/>
        <v>5</v>
      </c>
      <c r="D118" s="38" cm="1">
        <f t="array" ref="D118">INDEX('SimpleOrg-2'!$B$2:$H$41,1+B118,C118)</f>
        <v>0</v>
      </c>
    </row>
    <row r="119" spans="1:4" x14ac:dyDescent="0.75">
      <c r="A119" s="32">
        <v>90</v>
      </c>
      <c r="B119" s="32">
        <f t="shared" si="2"/>
        <v>12</v>
      </c>
      <c r="C119" s="32">
        <f t="shared" si="3"/>
        <v>6</v>
      </c>
      <c r="D119" s="38" cm="1">
        <f t="array" ref="D119">INDEX('SimpleOrg-2'!$B$2:$H$41,1+B119,C119)</f>
        <v>0</v>
      </c>
    </row>
    <row r="120" spans="1:4" x14ac:dyDescent="0.75">
      <c r="A120" s="32">
        <v>91</v>
      </c>
      <c r="B120" s="32">
        <f t="shared" si="2"/>
        <v>12</v>
      </c>
      <c r="C120" s="32">
        <f t="shared" si="3"/>
        <v>7</v>
      </c>
      <c r="D120" s="38" cm="1">
        <f t="array" ref="D120">INDEX('SimpleOrg-2'!$B$2:$H$41,1+B120,C120)</f>
        <v>0</v>
      </c>
    </row>
    <row r="121" spans="1:4" x14ac:dyDescent="0.75">
      <c r="A121" s="32">
        <v>92</v>
      </c>
      <c r="B121" s="32">
        <f t="shared" si="2"/>
        <v>13</v>
      </c>
      <c r="C121" s="32">
        <f t="shared" si="3"/>
        <v>1</v>
      </c>
      <c r="D121" s="38" cm="1">
        <f t="array" ref="D121">INDEX('SimpleOrg-2'!$B$2:$H$41,1+B121,C121)</f>
        <v>0</v>
      </c>
    </row>
    <row r="122" spans="1:4" x14ac:dyDescent="0.75">
      <c r="A122" s="32">
        <v>93</v>
      </c>
      <c r="B122" s="32">
        <f t="shared" si="2"/>
        <v>13</v>
      </c>
      <c r="C122" s="32">
        <f t="shared" si="3"/>
        <v>2</v>
      </c>
      <c r="D122" s="38" cm="1">
        <f t="array" ref="D122">INDEX('SimpleOrg-2'!$B$2:$H$41,1+B122,C122)</f>
        <v>0</v>
      </c>
    </row>
    <row r="123" spans="1:4" x14ac:dyDescent="0.75">
      <c r="A123" s="32">
        <v>94</v>
      </c>
      <c r="B123" s="32">
        <f t="shared" si="2"/>
        <v>13</v>
      </c>
      <c r="C123" s="32">
        <f t="shared" si="3"/>
        <v>3</v>
      </c>
      <c r="D123" s="38" cm="1">
        <f t="array" ref="D123">INDEX('SimpleOrg-2'!$B$2:$H$41,1+B123,C123)</f>
        <v>0</v>
      </c>
    </row>
    <row r="124" spans="1:4" x14ac:dyDescent="0.75">
      <c r="A124" s="32">
        <v>95</v>
      </c>
      <c r="B124" s="32">
        <f t="shared" si="2"/>
        <v>13</v>
      </c>
      <c r="C124" s="32">
        <f t="shared" si="3"/>
        <v>4</v>
      </c>
      <c r="D124" s="38" cm="1">
        <f t="array" ref="D124">INDEX('SimpleOrg-2'!$B$2:$H$41,1+B124,C124)</f>
        <v>0</v>
      </c>
    </row>
    <row r="125" spans="1:4" x14ac:dyDescent="0.75">
      <c r="A125" s="32">
        <v>96</v>
      </c>
      <c r="B125" s="32">
        <f t="shared" si="2"/>
        <v>13</v>
      </c>
      <c r="C125" s="32">
        <f t="shared" si="3"/>
        <v>5</v>
      </c>
      <c r="D125" s="38" cm="1">
        <f t="array" ref="D125">INDEX('SimpleOrg-2'!$B$2:$H$41,1+B125,C125)</f>
        <v>0</v>
      </c>
    </row>
    <row r="126" spans="1:4" x14ac:dyDescent="0.75">
      <c r="A126" s="32">
        <v>97</v>
      </c>
      <c r="B126" s="32">
        <f t="shared" si="2"/>
        <v>13</v>
      </c>
      <c r="C126" s="32">
        <f t="shared" si="3"/>
        <v>6</v>
      </c>
      <c r="D126" s="38" cm="1">
        <f t="array" ref="D126">INDEX('SimpleOrg-2'!$B$2:$H$41,1+B126,C126)</f>
        <v>0</v>
      </c>
    </row>
    <row r="127" spans="1:4" x14ac:dyDescent="0.75">
      <c r="A127" s="32">
        <v>98</v>
      </c>
      <c r="B127" s="32">
        <f t="shared" si="2"/>
        <v>13</v>
      </c>
      <c r="C127" s="32">
        <f t="shared" si="3"/>
        <v>7</v>
      </c>
      <c r="D127" s="38" cm="1">
        <f t="array" ref="D127">INDEX('SimpleOrg-2'!$B$2:$H$41,1+B127,C127)</f>
        <v>0</v>
      </c>
    </row>
    <row r="128" spans="1:4" x14ac:dyDescent="0.75">
      <c r="A128" s="32">
        <v>99</v>
      </c>
      <c r="B128" s="32">
        <f t="shared" si="2"/>
        <v>14</v>
      </c>
      <c r="C128" s="32">
        <f t="shared" si="3"/>
        <v>1</v>
      </c>
      <c r="D128" s="38" cm="1">
        <f t="array" ref="D128">INDEX('SimpleOrg-2'!$B$2:$H$41,1+B128,C128)</f>
        <v>0</v>
      </c>
    </row>
    <row r="129" spans="1:4" x14ac:dyDescent="0.75">
      <c r="A129" s="32">
        <v>100</v>
      </c>
      <c r="B129" s="32">
        <f t="shared" si="2"/>
        <v>14</v>
      </c>
      <c r="C129" s="32">
        <f t="shared" si="3"/>
        <v>2</v>
      </c>
      <c r="D129" s="38" cm="1">
        <f t="array" ref="D129">INDEX('SimpleOrg-2'!$B$2:$H$41,1+B129,C129)</f>
        <v>0</v>
      </c>
    </row>
    <row r="130" spans="1:4" x14ac:dyDescent="0.75">
      <c r="A130" s="32">
        <v>101</v>
      </c>
      <c r="B130" s="32">
        <f t="shared" si="2"/>
        <v>14</v>
      </c>
      <c r="C130" s="32">
        <f t="shared" si="3"/>
        <v>3</v>
      </c>
      <c r="D130" s="38" cm="1">
        <f t="array" ref="D130">INDEX('SimpleOrg-2'!$B$2:$H$41,1+B130,C130)</f>
        <v>0</v>
      </c>
    </row>
    <row r="131" spans="1:4" x14ac:dyDescent="0.75">
      <c r="A131" s="32">
        <v>102</v>
      </c>
      <c r="B131" s="32">
        <f t="shared" si="2"/>
        <v>14</v>
      </c>
      <c r="C131" s="32">
        <f t="shared" si="3"/>
        <v>4</v>
      </c>
      <c r="D131" s="38" cm="1">
        <f t="array" ref="D131">INDEX('SimpleOrg-2'!$B$2:$H$41,1+B131,C131)</f>
        <v>0</v>
      </c>
    </row>
    <row r="132" spans="1:4" x14ac:dyDescent="0.75">
      <c r="A132" s="32">
        <v>103</v>
      </c>
      <c r="B132" s="32">
        <f t="shared" si="2"/>
        <v>14</v>
      </c>
      <c r="C132" s="32">
        <f t="shared" si="3"/>
        <v>5</v>
      </c>
      <c r="D132" s="38" cm="1">
        <f t="array" ref="D132">INDEX('SimpleOrg-2'!$B$2:$H$41,1+B132,C132)</f>
        <v>0</v>
      </c>
    </row>
    <row r="133" spans="1:4" x14ac:dyDescent="0.75">
      <c r="A133" s="32">
        <v>104</v>
      </c>
      <c r="B133" s="32">
        <f t="shared" si="2"/>
        <v>14</v>
      </c>
      <c r="C133" s="32">
        <f t="shared" si="3"/>
        <v>6</v>
      </c>
      <c r="D133" s="38" cm="1">
        <f t="array" ref="D133">INDEX('SimpleOrg-2'!$B$2:$H$41,1+B133,C133)</f>
        <v>0</v>
      </c>
    </row>
    <row r="134" spans="1:4" x14ac:dyDescent="0.75">
      <c r="A134" s="32">
        <v>105</v>
      </c>
      <c r="B134" s="32">
        <f t="shared" si="2"/>
        <v>14</v>
      </c>
      <c r="C134" s="32">
        <f t="shared" si="3"/>
        <v>7</v>
      </c>
      <c r="D134" s="38" cm="1">
        <f t="array" ref="D134">INDEX('SimpleOrg-2'!$B$2:$H$41,1+B134,C134)</f>
        <v>0</v>
      </c>
    </row>
    <row r="135" spans="1:4" x14ac:dyDescent="0.75">
      <c r="A135" s="32">
        <v>106</v>
      </c>
      <c r="B135" s="32">
        <f t="shared" si="2"/>
        <v>15</v>
      </c>
      <c r="C135" s="32">
        <f t="shared" si="3"/>
        <v>1</v>
      </c>
      <c r="D135" s="38" cm="1">
        <f t="array" ref="D135">INDEX('SimpleOrg-2'!$B$2:$H$41,1+B135,C135)</f>
        <v>0</v>
      </c>
    </row>
    <row r="136" spans="1:4" x14ac:dyDescent="0.75">
      <c r="A136" s="32">
        <v>107</v>
      </c>
      <c r="B136" s="32">
        <f t="shared" si="2"/>
        <v>15</v>
      </c>
      <c r="C136" s="32">
        <f t="shared" si="3"/>
        <v>2</v>
      </c>
      <c r="D136" s="38" cm="1">
        <f t="array" ref="D136">INDEX('SimpleOrg-2'!$B$2:$H$41,1+B136,C136)</f>
        <v>0</v>
      </c>
    </row>
    <row r="137" spans="1:4" x14ac:dyDescent="0.75">
      <c r="A137" s="32">
        <v>108</v>
      </c>
      <c r="B137" s="32">
        <f t="shared" si="2"/>
        <v>15</v>
      </c>
      <c r="C137" s="32">
        <f t="shared" si="3"/>
        <v>3</v>
      </c>
      <c r="D137" s="38" cm="1">
        <f t="array" ref="D137">INDEX('SimpleOrg-2'!$B$2:$H$41,1+B137,C137)</f>
        <v>0</v>
      </c>
    </row>
    <row r="138" spans="1:4" x14ac:dyDescent="0.75">
      <c r="A138" s="32">
        <v>109</v>
      </c>
      <c r="B138" s="32">
        <f t="shared" si="2"/>
        <v>15</v>
      </c>
      <c r="C138" s="32">
        <f t="shared" si="3"/>
        <v>4</v>
      </c>
      <c r="D138" s="38" cm="1">
        <f t="array" ref="D138">INDEX('SimpleOrg-2'!$B$2:$H$41,1+B138,C138)</f>
        <v>0</v>
      </c>
    </row>
    <row r="139" spans="1:4" x14ac:dyDescent="0.75">
      <c r="A139" s="32">
        <v>110</v>
      </c>
      <c r="B139" s="32">
        <f t="shared" si="2"/>
        <v>15</v>
      </c>
      <c r="C139" s="32">
        <f t="shared" si="3"/>
        <v>5</v>
      </c>
      <c r="D139" s="38" cm="1">
        <f t="array" ref="D139">INDEX('SimpleOrg-2'!$B$2:$H$41,1+B139,C139)</f>
        <v>0</v>
      </c>
    </row>
    <row r="140" spans="1:4" x14ac:dyDescent="0.75">
      <c r="A140" s="32">
        <v>111</v>
      </c>
      <c r="B140" s="32">
        <f t="shared" si="2"/>
        <v>15</v>
      </c>
      <c r="C140" s="32">
        <f t="shared" si="3"/>
        <v>6</v>
      </c>
      <c r="D140" s="38" cm="1">
        <f t="array" ref="D140">INDEX('SimpleOrg-2'!$B$2:$H$41,1+B140,C140)</f>
        <v>0</v>
      </c>
    </row>
    <row r="141" spans="1:4" x14ac:dyDescent="0.75">
      <c r="A141" s="32">
        <v>112</v>
      </c>
      <c r="B141" s="32">
        <f t="shared" si="2"/>
        <v>15</v>
      </c>
      <c r="C141" s="32">
        <f t="shared" si="3"/>
        <v>7</v>
      </c>
      <c r="D141" s="38" cm="1">
        <f t="array" ref="D141">INDEX('SimpleOrg-2'!$B$2:$H$41,1+B141,C141)</f>
        <v>0</v>
      </c>
    </row>
    <row r="142" spans="1:4" x14ac:dyDescent="0.75">
      <c r="A142" s="32">
        <v>113</v>
      </c>
      <c r="B142" s="32">
        <f t="shared" si="2"/>
        <v>16</v>
      </c>
      <c r="C142" s="32">
        <f t="shared" si="3"/>
        <v>1</v>
      </c>
      <c r="D142" s="38" cm="1">
        <f t="array" ref="D142">INDEX('SimpleOrg-2'!$B$2:$H$41,1+B142,C142)</f>
        <v>0</v>
      </c>
    </row>
    <row r="143" spans="1:4" x14ac:dyDescent="0.75">
      <c r="A143" s="32">
        <v>114</v>
      </c>
      <c r="B143" s="32">
        <f t="shared" si="2"/>
        <v>16</v>
      </c>
      <c r="C143" s="32">
        <f t="shared" si="3"/>
        <v>2</v>
      </c>
      <c r="D143" s="38" cm="1">
        <f t="array" ref="D143">INDEX('SimpleOrg-2'!$B$2:$H$41,1+B143,C143)</f>
        <v>0</v>
      </c>
    </row>
    <row r="144" spans="1:4" x14ac:dyDescent="0.75">
      <c r="A144" s="32">
        <v>115</v>
      </c>
      <c r="B144" s="32">
        <f t="shared" si="2"/>
        <v>16</v>
      </c>
      <c r="C144" s="32">
        <f t="shared" si="3"/>
        <v>3</v>
      </c>
      <c r="D144" s="38" cm="1">
        <f t="array" ref="D144">INDEX('SimpleOrg-2'!$B$2:$H$41,1+B144,C144)</f>
        <v>0</v>
      </c>
    </row>
    <row r="145" spans="1:4" x14ac:dyDescent="0.75">
      <c r="A145" s="32">
        <v>116</v>
      </c>
      <c r="B145" s="32">
        <f t="shared" si="2"/>
        <v>16</v>
      </c>
      <c r="C145" s="32">
        <f t="shared" si="3"/>
        <v>4</v>
      </c>
      <c r="D145" s="38" cm="1">
        <f t="array" ref="D145">INDEX('SimpleOrg-2'!$B$2:$H$41,1+B145,C145)</f>
        <v>0</v>
      </c>
    </row>
    <row r="146" spans="1:4" x14ac:dyDescent="0.75">
      <c r="A146" s="32">
        <v>117</v>
      </c>
      <c r="B146" s="32">
        <f t="shared" si="2"/>
        <v>16</v>
      </c>
      <c r="C146" s="32">
        <f t="shared" si="3"/>
        <v>5</v>
      </c>
      <c r="D146" s="38" cm="1">
        <f t="array" ref="D146">INDEX('SimpleOrg-2'!$B$2:$H$41,1+B146,C146)</f>
        <v>0</v>
      </c>
    </row>
    <row r="147" spans="1:4" x14ac:dyDescent="0.75">
      <c r="A147" s="32">
        <v>118</v>
      </c>
      <c r="B147" s="32">
        <f t="shared" si="2"/>
        <v>16</v>
      </c>
      <c r="C147" s="32">
        <f t="shared" si="3"/>
        <v>6</v>
      </c>
      <c r="D147" s="38" cm="1">
        <f t="array" ref="D147">INDEX('SimpleOrg-2'!$B$2:$H$41,1+B147,C147)</f>
        <v>0</v>
      </c>
    </row>
    <row r="148" spans="1:4" x14ac:dyDescent="0.75">
      <c r="A148" s="32">
        <v>119</v>
      </c>
      <c r="B148" s="32">
        <f t="shared" si="2"/>
        <v>16</v>
      </c>
      <c r="C148" s="32">
        <f t="shared" si="3"/>
        <v>7</v>
      </c>
      <c r="D148" s="38" cm="1">
        <f t="array" ref="D148">INDEX('SimpleOrg-2'!$B$2:$H$41,1+B148,C148)</f>
        <v>0</v>
      </c>
    </row>
    <row r="149" spans="1:4" x14ac:dyDescent="0.75">
      <c r="A149" s="32">
        <v>120</v>
      </c>
      <c r="B149" s="32">
        <f t="shared" si="2"/>
        <v>17</v>
      </c>
      <c r="C149" s="32">
        <f t="shared" si="3"/>
        <v>1</v>
      </c>
      <c r="D149" s="38" cm="1">
        <f t="array" ref="D149">INDEX('SimpleOrg-2'!$B$2:$H$41,1+B149,C149)</f>
        <v>0</v>
      </c>
    </row>
    <row r="150" spans="1:4" x14ac:dyDescent="0.75">
      <c r="A150" s="32">
        <v>121</v>
      </c>
      <c r="B150" s="32">
        <f t="shared" si="2"/>
        <v>17</v>
      </c>
      <c r="C150" s="32">
        <f t="shared" si="3"/>
        <v>2</v>
      </c>
      <c r="D150" s="38" cm="1">
        <f t="array" ref="D150">INDEX('SimpleOrg-2'!$B$2:$H$41,1+B150,C150)</f>
        <v>0</v>
      </c>
    </row>
    <row r="151" spans="1:4" x14ac:dyDescent="0.75">
      <c r="A151" s="32">
        <v>122</v>
      </c>
      <c r="B151" s="32">
        <f t="shared" si="2"/>
        <v>17</v>
      </c>
      <c r="C151" s="32">
        <f t="shared" si="3"/>
        <v>3</v>
      </c>
      <c r="D151" s="38" cm="1">
        <f t="array" ref="D151">INDEX('SimpleOrg-2'!$B$2:$H$41,1+B151,C151)</f>
        <v>0</v>
      </c>
    </row>
    <row r="152" spans="1:4" x14ac:dyDescent="0.75">
      <c r="A152" s="32">
        <v>123</v>
      </c>
      <c r="B152" s="32">
        <f t="shared" si="2"/>
        <v>17</v>
      </c>
      <c r="C152" s="32">
        <f t="shared" si="3"/>
        <v>4</v>
      </c>
      <c r="D152" s="38" cm="1">
        <f t="array" ref="D152">INDEX('SimpleOrg-2'!$B$2:$H$41,1+B152,C152)</f>
        <v>0</v>
      </c>
    </row>
    <row r="153" spans="1:4" x14ac:dyDescent="0.75">
      <c r="A153" s="32">
        <v>124</v>
      </c>
      <c r="B153" s="32">
        <f t="shared" si="2"/>
        <v>17</v>
      </c>
      <c r="C153" s="32">
        <f t="shared" si="3"/>
        <v>5</v>
      </c>
      <c r="D153" s="38" cm="1">
        <f t="array" ref="D153">INDEX('SimpleOrg-2'!$B$2:$H$41,1+B153,C153)</f>
        <v>0</v>
      </c>
    </row>
    <row r="154" spans="1:4" x14ac:dyDescent="0.75">
      <c r="A154" s="32">
        <v>125</v>
      </c>
      <c r="B154" s="32">
        <f t="shared" si="2"/>
        <v>17</v>
      </c>
      <c r="C154" s="32">
        <f t="shared" si="3"/>
        <v>6</v>
      </c>
      <c r="D154" s="38" cm="1">
        <f t="array" ref="D154">INDEX('SimpleOrg-2'!$B$2:$H$41,1+B154,C154)</f>
        <v>0</v>
      </c>
    </row>
    <row r="155" spans="1:4" x14ac:dyDescent="0.75">
      <c r="A155" s="32">
        <v>126</v>
      </c>
      <c r="B155" s="32">
        <f t="shared" si="2"/>
        <v>17</v>
      </c>
      <c r="C155" s="32">
        <f t="shared" si="3"/>
        <v>7</v>
      </c>
      <c r="D155" s="38" cm="1">
        <f t="array" ref="D155">INDEX('SimpleOrg-2'!$B$2:$H$41,1+B155,C155)</f>
        <v>0</v>
      </c>
    </row>
    <row r="156" spans="1:4" x14ac:dyDescent="0.75">
      <c r="A156" s="32">
        <v>127</v>
      </c>
      <c r="B156" s="32">
        <f t="shared" si="2"/>
        <v>18</v>
      </c>
      <c r="C156" s="32">
        <f t="shared" si="3"/>
        <v>1</v>
      </c>
      <c r="D156" s="38" cm="1">
        <f t="array" ref="D156">INDEX('SimpleOrg-2'!$B$2:$H$41,1+B156,C156)</f>
        <v>0</v>
      </c>
    </row>
    <row r="157" spans="1:4" x14ac:dyDescent="0.75">
      <c r="A157" s="32">
        <v>128</v>
      </c>
      <c r="B157" s="32">
        <f t="shared" si="2"/>
        <v>18</v>
      </c>
      <c r="C157" s="32">
        <f t="shared" si="3"/>
        <v>2</v>
      </c>
      <c r="D157" s="38" cm="1">
        <f t="array" ref="D157">INDEX('SimpleOrg-2'!$B$2:$H$41,1+B157,C157)</f>
        <v>0</v>
      </c>
    </row>
    <row r="158" spans="1:4" x14ac:dyDescent="0.75">
      <c r="A158" s="32">
        <v>129</v>
      </c>
      <c r="B158" s="32">
        <f t="shared" si="2"/>
        <v>18</v>
      </c>
      <c r="C158" s="32">
        <f t="shared" si="3"/>
        <v>3</v>
      </c>
      <c r="D158" s="38" cm="1">
        <f t="array" ref="D158">INDEX('SimpleOrg-2'!$B$2:$H$41,1+B158,C158)</f>
        <v>0</v>
      </c>
    </row>
    <row r="159" spans="1:4" x14ac:dyDescent="0.75">
      <c r="A159" s="32">
        <v>130</v>
      </c>
      <c r="B159" s="32">
        <f t="shared" ref="B159:B222" si="4">IF(MOD(A159,7)=0,A159/7-1,INT(A159/7))</f>
        <v>18</v>
      </c>
      <c r="C159" s="32">
        <f t="shared" ref="C159:C222" si="5">IF(MOD(A159,7)=0,7,MOD(A159,7))</f>
        <v>4</v>
      </c>
      <c r="D159" s="38" cm="1">
        <f t="array" ref="D159">INDEX('SimpleOrg-2'!$B$2:$H$41,1+B159,C159)</f>
        <v>0</v>
      </c>
    </row>
    <row r="160" spans="1:4" x14ac:dyDescent="0.75">
      <c r="A160" s="32">
        <v>131</v>
      </c>
      <c r="B160" s="32">
        <f t="shared" si="4"/>
        <v>18</v>
      </c>
      <c r="C160" s="32">
        <f t="shared" si="5"/>
        <v>5</v>
      </c>
      <c r="D160" s="38" cm="1">
        <f t="array" ref="D160">INDEX('SimpleOrg-2'!$B$2:$H$41,1+B160,C160)</f>
        <v>0</v>
      </c>
    </row>
    <row r="161" spans="1:4" x14ac:dyDescent="0.75">
      <c r="A161" s="32">
        <v>132</v>
      </c>
      <c r="B161" s="32">
        <f t="shared" si="4"/>
        <v>18</v>
      </c>
      <c r="C161" s="32">
        <f t="shared" si="5"/>
        <v>6</v>
      </c>
      <c r="D161" s="38" cm="1">
        <f t="array" ref="D161">INDEX('SimpleOrg-2'!$B$2:$H$41,1+B161,C161)</f>
        <v>0</v>
      </c>
    </row>
    <row r="162" spans="1:4" x14ac:dyDescent="0.75">
      <c r="A162" s="32">
        <v>133</v>
      </c>
      <c r="B162" s="32">
        <f t="shared" si="4"/>
        <v>18</v>
      </c>
      <c r="C162" s="32">
        <f t="shared" si="5"/>
        <v>7</v>
      </c>
      <c r="D162" s="38" cm="1">
        <f t="array" ref="D162">INDEX('SimpleOrg-2'!$B$2:$H$41,1+B162,C162)</f>
        <v>0</v>
      </c>
    </row>
    <row r="163" spans="1:4" x14ac:dyDescent="0.75">
      <c r="A163" s="32">
        <v>134</v>
      </c>
      <c r="B163" s="32">
        <f t="shared" si="4"/>
        <v>19</v>
      </c>
      <c r="C163" s="32">
        <f t="shared" si="5"/>
        <v>1</v>
      </c>
      <c r="D163" s="38" cm="1">
        <f t="array" ref="D163">INDEX('SimpleOrg-2'!$B$2:$H$41,1+B163,C163)</f>
        <v>0</v>
      </c>
    </row>
    <row r="164" spans="1:4" x14ac:dyDescent="0.75">
      <c r="A164" s="32">
        <v>135</v>
      </c>
      <c r="B164" s="32">
        <f t="shared" si="4"/>
        <v>19</v>
      </c>
      <c r="C164" s="32">
        <f t="shared" si="5"/>
        <v>2</v>
      </c>
      <c r="D164" s="38" cm="1">
        <f t="array" ref="D164">INDEX('SimpleOrg-2'!$B$2:$H$41,1+B164,C164)</f>
        <v>0</v>
      </c>
    </row>
    <row r="165" spans="1:4" x14ac:dyDescent="0.75">
      <c r="A165" s="32">
        <v>136</v>
      </c>
      <c r="B165" s="32">
        <f t="shared" si="4"/>
        <v>19</v>
      </c>
      <c r="C165" s="32">
        <f t="shared" si="5"/>
        <v>3</v>
      </c>
      <c r="D165" s="38" cm="1">
        <f t="array" ref="D165">INDEX('SimpleOrg-2'!$B$2:$H$41,1+B165,C165)</f>
        <v>0</v>
      </c>
    </row>
    <row r="166" spans="1:4" x14ac:dyDescent="0.75">
      <c r="A166" s="32">
        <v>137</v>
      </c>
      <c r="B166" s="32">
        <f t="shared" si="4"/>
        <v>19</v>
      </c>
      <c r="C166" s="32">
        <f t="shared" si="5"/>
        <v>4</v>
      </c>
      <c r="D166" s="38" cm="1">
        <f t="array" ref="D166">INDEX('SimpleOrg-2'!$B$2:$H$41,1+B166,C166)</f>
        <v>0</v>
      </c>
    </row>
    <row r="167" spans="1:4" x14ac:dyDescent="0.75">
      <c r="A167" s="32">
        <v>138</v>
      </c>
      <c r="B167" s="32">
        <f t="shared" si="4"/>
        <v>19</v>
      </c>
      <c r="C167" s="32">
        <f t="shared" si="5"/>
        <v>5</v>
      </c>
      <c r="D167" s="38" cm="1">
        <f t="array" ref="D167">INDEX('SimpleOrg-2'!$B$2:$H$41,1+B167,C167)</f>
        <v>0</v>
      </c>
    </row>
    <row r="168" spans="1:4" x14ac:dyDescent="0.75">
      <c r="A168" s="32">
        <v>139</v>
      </c>
      <c r="B168" s="32">
        <f t="shared" si="4"/>
        <v>19</v>
      </c>
      <c r="C168" s="32">
        <f t="shared" si="5"/>
        <v>6</v>
      </c>
      <c r="D168" s="38" cm="1">
        <f t="array" ref="D168">INDEX('SimpleOrg-2'!$B$2:$H$41,1+B168,C168)</f>
        <v>0</v>
      </c>
    </row>
    <row r="169" spans="1:4" x14ac:dyDescent="0.75">
      <c r="A169" s="32">
        <v>140</v>
      </c>
      <c r="B169" s="32">
        <f t="shared" si="4"/>
        <v>19</v>
      </c>
      <c r="C169" s="32">
        <f t="shared" si="5"/>
        <v>7</v>
      </c>
      <c r="D169" s="38" cm="1">
        <f t="array" ref="D169">INDEX('SimpleOrg-2'!$B$2:$H$41,1+B169,C169)</f>
        <v>0</v>
      </c>
    </row>
    <row r="170" spans="1:4" x14ac:dyDescent="0.75">
      <c r="A170" s="32">
        <v>141</v>
      </c>
      <c r="B170" s="32">
        <f t="shared" si="4"/>
        <v>20</v>
      </c>
      <c r="C170" s="32">
        <f t="shared" si="5"/>
        <v>1</v>
      </c>
      <c r="D170" s="38" cm="1">
        <f t="array" ref="D170">INDEX('SimpleOrg-2'!$B$2:$H$41,1+B170,C170)</f>
        <v>0</v>
      </c>
    </row>
    <row r="171" spans="1:4" x14ac:dyDescent="0.75">
      <c r="A171" s="32">
        <v>142</v>
      </c>
      <c r="B171" s="32">
        <f t="shared" si="4"/>
        <v>20</v>
      </c>
      <c r="C171" s="32">
        <f t="shared" si="5"/>
        <v>2</v>
      </c>
      <c r="D171" s="38" cm="1">
        <f t="array" ref="D171">INDEX('SimpleOrg-2'!$B$2:$H$41,1+B171,C171)</f>
        <v>0</v>
      </c>
    </row>
    <row r="172" spans="1:4" x14ac:dyDescent="0.75">
      <c r="A172" s="32">
        <v>143</v>
      </c>
      <c r="B172" s="32">
        <f t="shared" si="4"/>
        <v>20</v>
      </c>
      <c r="C172" s="32">
        <f t="shared" si="5"/>
        <v>3</v>
      </c>
      <c r="D172" s="38" cm="1">
        <f t="array" ref="D172">INDEX('SimpleOrg-2'!$B$2:$H$41,1+B172,C172)</f>
        <v>0</v>
      </c>
    </row>
    <row r="173" spans="1:4" x14ac:dyDescent="0.75">
      <c r="A173" s="32">
        <v>144</v>
      </c>
      <c r="B173" s="32">
        <f t="shared" si="4"/>
        <v>20</v>
      </c>
      <c r="C173" s="32">
        <f t="shared" si="5"/>
        <v>4</v>
      </c>
      <c r="D173" s="38" cm="1">
        <f t="array" ref="D173">INDEX('SimpleOrg-2'!$B$2:$H$41,1+B173,C173)</f>
        <v>0</v>
      </c>
    </row>
    <row r="174" spans="1:4" x14ac:dyDescent="0.75">
      <c r="A174" s="32">
        <v>145</v>
      </c>
      <c r="B174" s="32">
        <f t="shared" si="4"/>
        <v>20</v>
      </c>
      <c r="C174" s="32">
        <f t="shared" si="5"/>
        <v>5</v>
      </c>
      <c r="D174" s="38" cm="1">
        <f t="array" ref="D174">INDEX('SimpleOrg-2'!$B$2:$H$41,1+B174,C174)</f>
        <v>0</v>
      </c>
    </row>
    <row r="175" spans="1:4" x14ac:dyDescent="0.75">
      <c r="A175" s="32">
        <v>146</v>
      </c>
      <c r="B175" s="32">
        <f t="shared" si="4"/>
        <v>20</v>
      </c>
      <c r="C175" s="32">
        <f t="shared" si="5"/>
        <v>6</v>
      </c>
      <c r="D175" s="38" cm="1">
        <f t="array" ref="D175">INDEX('SimpleOrg-2'!$B$2:$H$41,1+B175,C175)</f>
        <v>0</v>
      </c>
    </row>
    <row r="176" spans="1:4" x14ac:dyDescent="0.75">
      <c r="A176" s="32">
        <v>147</v>
      </c>
      <c r="B176" s="32">
        <f t="shared" si="4"/>
        <v>20</v>
      </c>
      <c r="C176" s="32">
        <f t="shared" si="5"/>
        <v>7</v>
      </c>
      <c r="D176" s="38" cm="1">
        <f t="array" ref="D176">INDEX('SimpleOrg-2'!$B$2:$H$41,1+B176,C176)</f>
        <v>0</v>
      </c>
    </row>
    <row r="177" spans="1:4" x14ac:dyDescent="0.75">
      <c r="A177" s="32">
        <v>148</v>
      </c>
      <c r="B177" s="32">
        <f t="shared" si="4"/>
        <v>21</v>
      </c>
      <c r="C177" s="32">
        <f t="shared" si="5"/>
        <v>1</v>
      </c>
      <c r="D177" s="38" cm="1">
        <f t="array" ref="D177">INDEX('SimpleOrg-2'!$B$2:$H$41,1+B177,C177)</f>
        <v>0</v>
      </c>
    </row>
    <row r="178" spans="1:4" x14ac:dyDescent="0.75">
      <c r="A178" s="32">
        <v>149</v>
      </c>
      <c r="B178" s="32">
        <f t="shared" si="4"/>
        <v>21</v>
      </c>
      <c r="C178" s="32">
        <f t="shared" si="5"/>
        <v>2</v>
      </c>
      <c r="D178" s="38" cm="1">
        <f t="array" ref="D178">INDEX('SimpleOrg-2'!$B$2:$H$41,1+B178,C178)</f>
        <v>0</v>
      </c>
    </row>
    <row r="179" spans="1:4" x14ac:dyDescent="0.75">
      <c r="A179" s="32">
        <v>150</v>
      </c>
      <c r="B179" s="32">
        <f t="shared" si="4"/>
        <v>21</v>
      </c>
      <c r="C179" s="32">
        <f t="shared" si="5"/>
        <v>3</v>
      </c>
      <c r="D179" s="38" cm="1">
        <f t="array" ref="D179">INDEX('SimpleOrg-2'!$B$2:$H$41,1+B179,C179)</f>
        <v>0</v>
      </c>
    </row>
    <row r="180" spans="1:4" x14ac:dyDescent="0.75">
      <c r="A180" s="32">
        <v>151</v>
      </c>
      <c r="B180" s="32">
        <f t="shared" si="4"/>
        <v>21</v>
      </c>
      <c r="C180" s="32">
        <f t="shared" si="5"/>
        <v>4</v>
      </c>
      <c r="D180" s="38" cm="1">
        <f t="array" ref="D180">INDEX('SimpleOrg-2'!$B$2:$H$41,1+B180,C180)</f>
        <v>0</v>
      </c>
    </row>
    <row r="181" spans="1:4" x14ac:dyDescent="0.75">
      <c r="A181" s="32">
        <v>152</v>
      </c>
      <c r="B181" s="32">
        <f t="shared" si="4"/>
        <v>21</v>
      </c>
      <c r="C181" s="32">
        <f t="shared" si="5"/>
        <v>5</v>
      </c>
      <c r="D181" s="38" cm="1">
        <f t="array" ref="D181">INDEX('SimpleOrg-2'!$B$2:$H$41,1+B181,C181)</f>
        <v>0</v>
      </c>
    </row>
    <row r="182" spans="1:4" x14ac:dyDescent="0.75">
      <c r="A182" s="32">
        <v>153</v>
      </c>
      <c r="B182" s="32">
        <f t="shared" si="4"/>
        <v>21</v>
      </c>
      <c r="C182" s="32">
        <f t="shared" si="5"/>
        <v>6</v>
      </c>
      <c r="D182" s="38" cm="1">
        <f t="array" ref="D182">INDEX('SimpleOrg-2'!$B$2:$H$41,1+B182,C182)</f>
        <v>0</v>
      </c>
    </row>
    <row r="183" spans="1:4" x14ac:dyDescent="0.75">
      <c r="A183" s="32">
        <v>154</v>
      </c>
      <c r="B183" s="32">
        <f t="shared" si="4"/>
        <v>21</v>
      </c>
      <c r="C183" s="32">
        <f t="shared" si="5"/>
        <v>7</v>
      </c>
      <c r="D183" s="38" cm="1">
        <f t="array" ref="D183">INDEX('SimpleOrg-2'!$B$2:$H$41,1+B183,C183)</f>
        <v>0</v>
      </c>
    </row>
    <row r="184" spans="1:4" x14ac:dyDescent="0.75">
      <c r="A184" s="32">
        <v>155</v>
      </c>
      <c r="B184" s="32">
        <f t="shared" si="4"/>
        <v>22</v>
      </c>
      <c r="C184" s="32">
        <f t="shared" si="5"/>
        <v>1</v>
      </c>
      <c r="D184" s="38" cm="1">
        <f t="array" ref="D184">INDEX('SimpleOrg-2'!$B$2:$H$41,1+B184,C184)</f>
        <v>0</v>
      </c>
    </row>
    <row r="185" spans="1:4" x14ac:dyDescent="0.75">
      <c r="A185" s="32">
        <v>156</v>
      </c>
      <c r="B185" s="32">
        <f t="shared" si="4"/>
        <v>22</v>
      </c>
      <c r="C185" s="32">
        <f t="shared" si="5"/>
        <v>2</v>
      </c>
      <c r="D185" s="38" cm="1">
        <f t="array" ref="D185">INDEX('SimpleOrg-2'!$B$2:$H$41,1+B185,C185)</f>
        <v>0</v>
      </c>
    </row>
    <row r="186" spans="1:4" x14ac:dyDescent="0.75">
      <c r="A186" s="32">
        <v>157</v>
      </c>
      <c r="B186" s="32">
        <f t="shared" si="4"/>
        <v>22</v>
      </c>
      <c r="C186" s="32">
        <f t="shared" si="5"/>
        <v>3</v>
      </c>
      <c r="D186" s="38" cm="1">
        <f t="array" ref="D186">INDEX('SimpleOrg-2'!$B$2:$H$41,1+B186,C186)</f>
        <v>0</v>
      </c>
    </row>
    <row r="187" spans="1:4" x14ac:dyDescent="0.75">
      <c r="A187" s="32">
        <v>158</v>
      </c>
      <c r="B187" s="32">
        <f t="shared" si="4"/>
        <v>22</v>
      </c>
      <c r="C187" s="32">
        <f t="shared" si="5"/>
        <v>4</v>
      </c>
      <c r="D187" s="38" cm="1">
        <f t="array" ref="D187">INDEX('SimpleOrg-2'!$B$2:$H$41,1+B187,C187)</f>
        <v>0</v>
      </c>
    </row>
    <row r="188" spans="1:4" x14ac:dyDescent="0.75">
      <c r="A188" s="32">
        <v>159</v>
      </c>
      <c r="B188" s="32">
        <f t="shared" si="4"/>
        <v>22</v>
      </c>
      <c r="C188" s="32">
        <f t="shared" si="5"/>
        <v>5</v>
      </c>
      <c r="D188" s="38" cm="1">
        <f t="array" ref="D188">INDEX('SimpleOrg-2'!$B$2:$H$41,1+B188,C188)</f>
        <v>0</v>
      </c>
    </row>
    <row r="189" spans="1:4" x14ac:dyDescent="0.75">
      <c r="A189" s="32">
        <v>160</v>
      </c>
      <c r="B189" s="32">
        <f t="shared" si="4"/>
        <v>22</v>
      </c>
      <c r="C189" s="32">
        <f t="shared" si="5"/>
        <v>6</v>
      </c>
      <c r="D189" s="38" cm="1">
        <f t="array" ref="D189">INDEX('SimpleOrg-2'!$B$2:$H$41,1+B189,C189)</f>
        <v>0</v>
      </c>
    </row>
    <row r="190" spans="1:4" x14ac:dyDescent="0.75">
      <c r="A190" s="32">
        <v>161</v>
      </c>
      <c r="B190" s="32">
        <f t="shared" si="4"/>
        <v>22</v>
      </c>
      <c r="C190" s="32">
        <f t="shared" si="5"/>
        <v>7</v>
      </c>
      <c r="D190" s="38" cm="1">
        <f t="array" ref="D190">INDEX('SimpleOrg-2'!$B$2:$H$41,1+B190,C190)</f>
        <v>0</v>
      </c>
    </row>
    <row r="191" spans="1:4" x14ac:dyDescent="0.75">
      <c r="A191" s="32">
        <v>162</v>
      </c>
      <c r="B191" s="32">
        <f t="shared" si="4"/>
        <v>23</v>
      </c>
      <c r="C191" s="32">
        <f t="shared" si="5"/>
        <v>1</v>
      </c>
      <c r="D191" s="38" cm="1">
        <f t="array" ref="D191">INDEX('SimpleOrg-2'!$B$2:$H$41,1+B191,C191)</f>
        <v>0</v>
      </c>
    </row>
    <row r="192" spans="1:4" x14ac:dyDescent="0.75">
      <c r="A192" s="32">
        <v>163</v>
      </c>
      <c r="B192" s="32">
        <f t="shared" si="4"/>
        <v>23</v>
      </c>
      <c r="C192" s="32">
        <f t="shared" si="5"/>
        <v>2</v>
      </c>
      <c r="D192" s="38" cm="1">
        <f t="array" ref="D192">INDEX('SimpleOrg-2'!$B$2:$H$41,1+B192,C192)</f>
        <v>0</v>
      </c>
    </row>
    <row r="193" spans="1:4" x14ac:dyDescent="0.75">
      <c r="A193" s="32">
        <v>164</v>
      </c>
      <c r="B193" s="32">
        <f t="shared" si="4"/>
        <v>23</v>
      </c>
      <c r="C193" s="32">
        <f t="shared" si="5"/>
        <v>3</v>
      </c>
      <c r="D193" s="38" cm="1">
        <f t="array" ref="D193">INDEX('SimpleOrg-2'!$B$2:$H$41,1+B193,C193)</f>
        <v>0</v>
      </c>
    </row>
    <row r="194" spans="1:4" x14ac:dyDescent="0.75">
      <c r="A194" s="32">
        <v>165</v>
      </c>
      <c r="B194" s="32">
        <f t="shared" si="4"/>
        <v>23</v>
      </c>
      <c r="C194" s="32">
        <f t="shared" si="5"/>
        <v>4</v>
      </c>
      <c r="D194" s="38" cm="1">
        <f t="array" ref="D194">INDEX('SimpleOrg-2'!$B$2:$H$41,1+B194,C194)</f>
        <v>0</v>
      </c>
    </row>
    <row r="195" spans="1:4" x14ac:dyDescent="0.75">
      <c r="A195" s="32">
        <v>166</v>
      </c>
      <c r="B195" s="32">
        <f t="shared" si="4"/>
        <v>23</v>
      </c>
      <c r="C195" s="32">
        <f t="shared" si="5"/>
        <v>5</v>
      </c>
      <c r="D195" s="38" cm="1">
        <f t="array" ref="D195">INDEX('SimpleOrg-2'!$B$2:$H$41,1+B195,C195)</f>
        <v>0</v>
      </c>
    </row>
    <row r="196" spans="1:4" x14ac:dyDescent="0.75">
      <c r="A196" s="32">
        <v>167</v>
      </c>
      <c r="B196" s="32">
        <f t="shared" si="4"/>
        <v>23</v>
      </c>
      <c r="C196" s="32">
        <f t="shared" si="5"/>
        <v>6</v>
      </c>
      <c r="D196" s="38" cm="1">
        <f t="array" ref="D196">INDEX('SimpleOrg-2'!$B$2:$H$41,1+B196,C196)</f>
        <v>0</v>
      </c>
    </row>
    <row r="197" spans="1:4" x14ac:dyDescent="0.75">
      <c r="A197" s="32">
        <v>168</v>
      </c>
      <c r="B197" s="32">
        <f t="shared" si="4"/>
        <v>23</v>
      </c>
      <c r="C197" s="32">
        <f t="shared" si="5"/>
        <v>7</v>
      </c>
      <c r="D197" s="38" cm="1">
        <f t="array" ref="D197">INDEX('SimpleOrg-2'!$B$2:$H$41,1+B197,C197)</f>
        <v>0</v>
      </c>
    </row>
    <row r="198" spans="1:4" x14ac:dyDescent="0.75">
      <c r="A198" s="32">
        <v>169</v>
      </c>
      <c r="B198" s="32">
        <f t="shared" si="4"/>
        <v>24</v>
      </c>
      <c r="C198" s="32">
        <f t="shared" si="5"/>
        <v>1</v>
      </c>
      <c r="D198" s="38" cm="1">
        <f t="array" ref="D198">INDEX('SimpleOrg-2'!$B$2:$H$41,1+B198,C198)</f>
        <v>0</v>
      </c>
    </row>
    <row r="199" spans="1:4" x14ac:dyDescent="0.75">
      <c r="A199" s="32">
        <v>170</v>
      </c>
      <c r="B199" s="32">
        <f t="shared" si="4"/>
        <v>24</v>
      </c>
      <c r="C199" s="32">
        <f t="shared" si="5"/>
        <v>2</v>
      </c>
      <c r="D199" s="38" cm="1">
        <f t="array" ref="D199">INDEX('SimpleOrg-2'!$B$2:$H$41,1+B199,C199)</f>
        <v>0</v>
      </c>
    </row>
    <row r="200" spans="1:4" x14ac:dyDescent="0.75">
      <c r="A200" s="32">
        <v>171</v>
      </c>
      <c r="B200" s="32">
        <f t="shared" si="4"/>
        <v>24</v>
      </c>
      <c r="C200" s="32">
        <f t="shared" si="5"/>
        <v>3</v>
      </c>
      <c r="D200" s="38" cm="1">
        <f t="array" ref="D200">INDEX('SimpleOrg-2'!$B$2:$H$41,1+B200,C200)</f>
        <v>0</v>
      </c>
    </row>
    <row r="201" spans="1:4" x14ac:dyDescent="0.75">
      <c r="A201" s="32">
        <v>172</v>
      </c>
      <c r="B201" s="32">
        <f t="shared" si="4"/>
        <v>24</v>
      </c>
      <c r="C201" s="32">
        <f t="shared" si="5"/>
        <v>4</v>
      </c>
      <c r="D201" s="38" cm="1">
        <f t="array" ref="D201">INDEX('SimpleOrg-2'!$B$2:$H$41,1+B201,C201)</f>
        <v>0</v>
      </c>
    </row>
    <row r="202" spans="1:4" x14ac:dyDescent="0.75">
      <c r="A202" s="32">
        <v>173</v>
      </c>
      <c r="B202" s="32">
        <f t="shared" si="4"/>
        <v>24</v>
      </c>
      <c r="C202" s="32">
        <f t="shared" si="5"/>
        <v>5</v>
      </c>
      <c r="D202" s="38" cm="1">
        <f t="array" ref="D202">INDEX('SimpleOrg-2'!$B$2:$H$41,1+B202,C202)</f>
        <v>0</v>
      </c>
    </row>
    <row r="203" spans="1:4" x14ac:dyDescent="0.75">
      <c r="A203" s="32">
        <v>174</v>
      </c>
      <c r="B203" s="32">
        <f t="shared" si="4"/>
        <v>24</v>
      </c>
      <c r="C203" s="32">
        <f t="shared" si="5"/>
        <v>6</v>
      </c>
      <c r="D203" s="38" cm="1">
        <f t="array" ref="D203">INDEX('SimpleOrg-2'!$B$2:$H$41,1+B203,C203)</f>
        <v>0</v>
      </c>
    </row>
    <row r="204" spans="1:4" x14ac:dyDescent="0.75">
      <c r="A204" s="32">
        <v>175</v>
      </c>
      <c r="B204" s="32">
        <f t="shared" si="4"/>
        <v>24</v>
      </c>
      <c r="C204" s="32">
        <f t="shared" si="5"/>
        <v>7</v>
      </c>
      <c r="D204" s="38" cm="1">
        <f t="array" ref="D204">INDEX('SimpleOrg-2'!$B$2:$H$41,1+B204,C204)</f>
        <v>0</v>
      </c>
    </row>
    <row r="205" spans="1:4" x14ac:dyDescent="0.75">
      <c r="A205" s="32">
        <v>176</v>
      </c>
      <c r="B205" s="32">
        <f t="shared" si="4"/>
        <v>25</v>
      </c>
      <c r="C205" s="32">
        <f t="shared" si="5"/>
        <v>1</v>
      </c>
      <c r="D205" s="38" cm="1">
        <f t="array" ref="D205">INDEX('SimpleOrg-2'!$B$2:$H$41,1+B205,C205)</f>
        <v>0</v>
      </c>
    </row>
    <row r="206" spans="1:4" x14ac:dyDescent="0.75">
      <c r="A206" s="32">
        <v>177</v>
      </c>
      <c r="B206" s="32">
        <f t="shared" si="4"/>
        <v>25</v>
      </c>
      <c r="C206" s="32">
        <f t="shared" si="5"/>
        <v>2</v>
      </c>
      <c r="D206" s="38" cm="1">
        <f t="array" ref="D206">INDEX('SimpleOrg-2'!$B$2:$H$41,1+B206,C206)</f>
        <v>0</v>
      </c>
    </row>
    <row r="207" spans="1:4" x14ac:dyDescent="0.75">
      <c r="A207" s="32">
        <v>178</v>
      </c>
      <c r="B207" s="32">
        <f t="shared" si="4"/>
        <v>25</v>
      </c>
      <c r="C207" s="32">
        <f t="shared" si="5"/>
        <v>3</v>
      </c>
      <c r="D207" s="38" cm="1">
        <f t="array" ref="D207">INDEX('SimpleOrg-2'!$B$2:$H$41,1+B207,C207)</f>
        <v>0</v>
      </c>
    </row>
    <row r="208" spans="1:4" x14ac:dyDescent="0.75">
      <c r="A208" s="32">
        <v>179</v>
      </c>
      <c r="B208" s="32">
        <f t="shared" si="4"/>
        <v>25</v>
      </c>
      <c r="C208" s="32">
        <f t="shared" si="5"/>
        <v>4</v>
      </c>
      <c r="D208" s="38" cm="1">
        <f t="array" ref="D208">INDEX('SimpleOrg-2'!$B$2:$H$41,1+B208,C208)</f>
        <v>0</v>
      </c>
    </row>
    <row r="209" spans="1:4" x14ac:dyDescent="0.75">
      <c r="A209" s="32">
        <v>180</v>
      </c>
      <c r="B209" s="32">
        <f t="shared" si="4"/>
        <v>25</v>
      </c>
      <c r="C209" s="32">
        <f t="shared" si="5"/>
        <v>5</v>
      </c>
      <c r="D209" s="38" cm="1">
        <f t="array" ref="D209">INDEX('SimpleOrg-2'!$B$2:$H$41,1+B209,C209)</f>
        <v>0</v>
      </c>
    </row>
    <row r="210" spans="1:4" x14ac:dyDescent="0.75">
      <c r="A210" s="32">
        <v>181</v>
      </c>
      <c r="B210" s="32">
        <f t="shared" si="4"/>
        <v>25</v>
      </c>
      <c r="C210" s="32">
        <f t="shared" si="5"/>
        <v>6</v>
      </c>
      <c r="D210" s="38" cm="1">
        <f t="array" ref="D210">INDEX('SimpleOrg-2'!$B$2:$H$41,1+B210,C210)</f>
        <v>0</v>
      </c>
    </row>
    <row r="211" spans="1:4" x14ac:dyDescent="0.75">
      <c r="A211" s="32">
        <v>182</v>
      </c>
      <c r="B211" s="32">
        <f t="shared" si="4"/>
        <v>25</v>
      </c>
      <c r="C211" s="32">
        <f t="shared" si="5"/>
        <v>7</v>
      </c>
      <c r="D211" s="38" cm="1">
        <f t="array" ref="D211">INDEX('SimpleOrg-2'!$B$2:$H$41,1+B211,C211)</f>
        <v>0</v>
      </c>
    </row>
    <row r="212" spans="1:4" x14ac:dyDescent="0.75">
      <c r="A212" s="32">
        <v>183</v>
      </c>
      <c r="B212" s="32">
        <f t="shared" si="4"/>
        <v>26</v>
      </c>
      <c r="C212" s="32">
        <f t="shared" si="5"/>
        <v>1</v>
      </c>
      <c r="D212" s="38" cm="1">
        <f t="array" ref="D212">INDEX('SimpleOrg-2'!$B$2:$H$41,1+B212,C212)</f>
        <v>0</v>
      </c>
    </row>
    <row r="213" spans="1:4" x14ac:dyDescent="0.75">
      <c r="A213" s="32">
        <v>184</v>
      </c>
      <c r="B213" s="32">
        <f t="shared" si="4"/>
        <v>26</v>
      </c>
      <c r="C213" s="32">
        <f t="shared" si="5"/>
        <v>2</v>
      </c>
      <c r="D213" s="38" cm="1">
        <f t="array" ref="D213">INDEX('SimpleOrg-2'!$B$2:$H$41,1+B213,C213)</f>
        <v>0</v>
      </c>
    </row>
    <row r="214" spans="1:4" x14ac:dyDescent="0.75">
      <c r="A214" s="32">
        <v>185</v>
      </c>
      <c r="B214" s="32">
        <f t="shared" si="4"/>
        <v>26</v>
      </c>
      <c r="C214" s="32">
        <f t="shared" si="5"/>
        <v>3</v>
      </c>
      <c r="D214" s="38" cm="1">
        <f t="array" ref="D214">INDEX('SimpleOrg-2'!$B$2:$H$41,1+B214,C214)</f>
        <v>0</v>
      </c>
    </row>
    <row r="215" spans="1:4" x14ac:dyDescent="0.75">
      <c r="A215" s="32">
        <v>186</v>
      </c>
      <c r="B215" s="32">
        <f t="shared" si="4"/>
        <v>26</v>
      </c>
      <c r="C215" s="32">
        <f t="shared" si="5"/>
        <v>4</v>
      </c>
      <c r="D215" s="38" cm="1">
        <f t="array" ref="D215">INDEX('SimpleOrg-2'!$B$2:$H$41,1+B215,C215)</f>
        <v>0</v>
      </c>
    </row>
    <row r="216" spans="1:4" x14ac:dyDescent="0.75">
      <c r="A216" s="32">
        <v>187</v>
      </c>
      <c r="B216" s="32">
        <f t="shared" si="4"/>
        <v>26</v>
      </c>
      <c r="C216" s="32">
        <f t="shared" si="5"/>
        <v>5</v>
      </c>
      <c r="D216" s="38" cm="1">
        <f t="array" ref="D216">INDEX('SimpleOrg-2'!$B$2:$H$41,1+B216,C216)</f>
        <v>0</v>
      </c>
    </row>
    <row r="217" spans="1:4" x14ac:dyDescent="0.75">
      <c r="A217" s="32">
        <v>188</v>
      </c>
      <c r="B217" s="32">
        <f t="shared" si="4"/>
        <v>26</v>
      </c>
      <c r="C217" s="32">
        <f t="shared" si="5"/>
        <v>6</v>
      </c>
      <c r="D217" s="38" cm="1">
        <f t="array" ref="D217">INDEX('SimpleOrg-2'!$B$2:$H$41,1+B217,C217)</f>
        <v>0</v>
      </c>
    </row>
    <row r="218" spans="1:4" x14ac:dyDescent="0.75">
      <c r="A218" s="32">
        <v>189</v>
      </c>
      <c r="B218" s="32">
        <f t="shared" si="4"/>
        <v>26</v>
      </c>
      <c r="C218" s="32">
        <f t="shared" si="5"/>
        <v>7</v>
      </c>
      <c r="D218" s="38" cm="1">
        <f t="array" ref="D218">INDEX('SimpleOrg-2'!$B$2:$H$41,1+B218,C218)</f>
        <v>0</v>
      </c>
    </row>
    <row r="219" spans="1:4" x14ac:dyDescent="0.75">
      <c r="A219" s="32">
        <v>190</v>
      </c>
      <c r="B219" s="32">
        <f t="shared" si="4"/>
        <v>27</v>
      </c>
      <c r="C219" s="32">
        <f t="shared" si="5"/>
        <v>1</v>
      </c>
      <c r="D219" s="38" cm="1">
        <f t="array" ref="D219">INDEX('SimpleOrg-2'!$B$2:$H$41,1+B219,C219)</f>
        <v>0</v>
      </c>
    </row>
    <row r="220" spans="1:4" x14ac:dyDescent="0.75">
      <c r="A220" s="32">
        <v>191</v>
      </c>
      <c r="B220" s="32">
        <f t="shared" si="4"/>
        <v>27</v>
      </c>
      <c r="C220" s="32">
        <f t="shared" si="5"/>
        <v>2</v>
      </c>
      <c r="D220" s="38" cm="1">
        <f t="array" ref="D220">INDEX('SimpleOrg-2'!$B$2:$H$41,1+B220,C220)</f>
        <v>0</v>
      </c>
    </row>
    <row r="221" spans="1:4" x14ac:dyDescent="0.75">
      <c r="A221" s="32">
        <v>192</v>
      </c>
      <c r="B221" s="32">
        <f t="shared" si="4"/>
        <v>27</v>
      </c>
      <c r="C221" s="32">
        <f t="shared" si="5"/>
        <v>3</v>
      </c>
      <c r="D221" s="38" cm="1">
        <f t="array" ref="D221">INDEX('SimpleOrg-2'!$B$2:$H$41,1+B221,C221)</f>
        <v>0</v>
      </c>
    </row>
    <row r="222" spans="1:4" x14ac:dyDescent="0.75">
      <c r="A222" s="32">
        <v>193</v>
      </c>
      <c r="B222" s="32">
        <f t="shared" si="4"/>
        <v>27</v>
      </c>
      <c r="C222" s="32">
        <f t="shared" si="5"/>
        <v>4</v>
      </c>
      <c r="D222" s="38" cm="1">
        <f t="array" ref="D222">INDEX('SimpleOrg-2'!$B$2:$H$41,1+B222,C222)</f>
        <v>0</v>
      </c>
    </row>
    <row r="223" spans="1:4" x14ac:dyDescent="0.75">
      <c r="A223" s="32">
        <v>194</v>
      </c>
      <c r="B223" s="32">
        <f t="shared" ref="B223:B246" si="6">IF(MOD(A223,7)=0,A223/7-1,INT(A223/7))</f>
        <v>27</v>
      </c>
      <c r="C223" s="32">
        <f t="shared" ref="C223:C246" si="7">IF(MOD(A223,7)=0,7,MOD(A223,7))</f>
        <v>5</v>
      </c>
      <c r="D223" s="38" cm="1">
        <f t="array" ref="D223">INDEX('SimpleOrg-2'!$B$2:$H$41,1+B223,C223)</f>
        <v>0</v>
      </c>
    </row>
    <row r="224" spans="1:4" x14ac:dyDescent="0.75">
      <c r="A224" s="32">
        <v>195</v>
      </c>
      <c r="B224" s="32">
        <f t="shared" si="6"/>
        <v>27</v>
      </c>
      <c r="C224" s="32">
        <f t="shared" si="7"/>
        <v>6</v>
      </c>
      <c r="D224" s="38" cm="1">
        <f t="array" ref="D224">INDEX('SimpleOrg-2'!$B$2:$H$41,1+B224,C224)</f>
        <v>0</v>
      </c>
    </row>
    <row r="225" spans="1:4" x14ac:dyDescent="0.75">
      <c r="A225" s="32">
        <v>196</v>
      </c>
      <c r="B225" s="32">
        <f t="shared" si="6"/>
        <v>27</v>
      </c>
      <c r="C225" s="32">
        <f t="shared" si="7"/>
        <v>7</v>
      </c>
      <c r="D225" s="38" cm="1">
        <f t="array" ref="D225">INDEX('SimpleOrg-2'!$B$2:$H$41,1+B225,C225)</f>
        <v>0</v>
      </c>
    </row>
    <row r="226" spans="1:4" x14ac:dyDescent="0.75">
      <c r="A226" s="32">
        <v>197</v>
      </c>
      <c r="B226" s="32">
        <f t="shared" si="6"/>
        <v>28</v>
      </c>
      <c r="C226" s="32">
        <f t="shared" si="7"/>
        <v>1</v>
      </c>
      <c r="D226" s="38" cm="1">
        <f t="array" ref="D226">INDEX('SimpleOrg-2'!$B$2:$H$41,1+B226,C226)</f>
        <v>0</v>
      </c>
    </row>
    <row r="227" spans="1:4" x14ac:dyDescent="0.75">
      <c r="A227" s="32">
        <v>198</v>
      </c>
      <c r="B227" s="32">
        <f t="shared" si="6"/>
        <v>28</v>
      </c>
      <c r="C227" s="32">
        <f t="shared" si="7"/>
        <v>2</v>
      </c>
      <c r="D227" s="38" cm="1">
        <f t="array" ref="D227">INDEX('SimpleOrg-2'!$B$2:$H$41,1+B227,C227)</f>
        <v>0</v>
      </c>
    </row>
    <row r="228" spans="1:4" x14ac:dyDescent="0.75">
      <c r="A228" s="32">
        <v>199</v>
      </c>
      <c r="B228" s="32">
        <f t="shared" si="6"/>
        <v>28</v>
      </c>
      <c r="C228" s="32">
        <f t="shared" si="7"/>
        <v>3</v>
      </c>
      <c r="D228" s="38" cm="1">
        <f t="array" ref="D228">INDEX('SimpleOrg-2'!$B$2:$H$41,1+B228,C228)</f>
        <v>0</v>
      </c>
    </row>
    <row r="229" spans="1:4" x14ac:dyDescent="0.75">
      <c r="A229" s="32">
        <v>200</v>
      </c>
      <c r="B229" s="32">
        <f t="shared" si="6"/>
        <v>28</v>
      </c>
      <c r="C229" s="32">
        <f t="shared" si="7"/>
        <v>4</v>
      </c>
      <c r="D229" s="38" cm="1">
        <f t="array" ref="D229">INDEX('SimpleOrg-2'!$B$2:$H$41,1+B229,C229)</f>
        <v>0</v>
      </c>
    </row>
    <row r="230" spans="1:4" x14ac:dyDescent="0.75">
      <c r="A230" s="32">
        <v>201</v>
      </c>
      <c r="B230" s="32">
        <f t="shared" si="6"/>
        <v>28</v>
      </c>
      <c r="C230" s="32">
        <f t="shared" si="7"/>
        <v>5</v>
      </c>
      <c r="D230" s="38" cm="1">
        <f t="array" ref="D230">INDEX('SimpleOrg-2'!$B$2:$H$41,1+B230,C230)</f>
        <v>0</v>
      </c>
    </row>
    <row r="231" spans="1:4" x14ac:dyDescent="0.75">
      <c r="A231" s="32">
        <v>202</v>
      </c>
      <c r="B231" s="32">
        <f t="shared" si="6"/>
        <v>28</v>
      </c>
      <c r="C231" s="32">
        <f t="shared" si="7"/>
        <v>6</v>
      </c>
      <c r="D231" s="38" cm="1">
        <f t="array" ref="D231">INDEX('SimpleOrg-2'!$B$2:$H$41,1+B231,C231)</f>
        <v>0</v>
      </c>
    </row>
    <row r="232" spans="1:4" x14ac:dyDescent="0.75">
      <c r="A232" s="32">
        <v>203</v>
      </c>
      <c r="B232" s="32">
        <f t="shared" si="6"/>
        <v>28</v>
      </c>
      <c r="C232" s="32">
        <f t="shared" si="7"/>
        <v>7</v>
      </c>
      <c r="D232" s="38" cm="1">
        <f t="array" ref="D232">INDEX('SimpleOrg-2'!$B$2:$H$41,1+B232,C232)</f>
        <v>0</v>
      </c>
    </row>
    <row r="233" spans="1:4" x14ac:dyDescent="0.75">
      <c r="A233" s="32">
        <v>204</v>
      </c>
      <c r="B233" s="32">
        <f t="shared" si="6"/>
        <v>29</v>
      </c>
      <c r="C233" s="32">
        <f t="shared" si="7"/>
        <v>1</v>
      </c>
      <c r="D233" s="38" cm="1">
        <f t="array" ref="D233">INDEX('SimpleOrg-2'!$B$2:$H$41,1+B233,C233)</f>
        <v>0</v>
      </c>
    </row>
    <row r="234" spans="1:4" x14ac:dyDescent="0.75">
      <c r="A234" s="32">
        <v>205</v>
      </c>
      <c r="B234" s="32">
        <f t="shared" si="6"/>
        <v>29</v>
      </c>
      <c r="C234" s="32">
        <f t="shared" si="7"/>
        <v>2</v>
      </c>
      <c r="D234" s="38" cm="1">
        <f t="array" ref="D234">INDEX('SimpleOrg-2'!$B$2:$H$41,1+B234,C234)</f>
        <v>0</v>
      </c>
    </row>
    <row r="235" spans="1:4" x14ac:dyDescent="0.75">
      <c r="A235" s="32">
        <v>206</v>
      </c>
      <c r="B235" s="32">
        <f t="shared" si="6"/>
        <v>29</v>
      </c>
      <c r="C235" s="32">
        <f t="shared" si="7"/>
        <v>3</v>
      </c>
      <c r="D235" s="38" cm="1">
        <f t="array" ref="D235">INDEX('SimpleOrg-2'!$B$2:$H$41,1+B235,C235)</f>
        <v>0</v>
      </c>
    </row>
    <row r="236" spans="1:4" x14ac:dyDescent="0.75">
      <c r="A236" s="32">
        <v>207</v>
      </c>
      <c r="B236" s="32">
        <f t="shared" si="6"/>
        <v>29</v>
      </c>
      <c r="C236" s="32">
        <f t="shared" si="7"/>
        <v>4</v>
      </c>
      <c r="D236" s="38" cm="1">
        <f t="array" ref="D236">INDEX('SimpleOrg-2'!$B$2:$H$41,1+B236,C236)</f>
        <v>0</v>
      </c>
    </row>
    <row r="237" spans="1:4" x14ac:dyDescent="0.75">
      <c r="A237" s="32">
        <v>208</v>
      </c>
      <c r="B237" s="32">
        <f t="shared" si="6"/>
        <v>29</v>
      </c>
      <c r="C237" s="32">
        <f t="shared" si="7"/>
        <v>5</v>
      </c>
      <c r="D237" s="38" cm="1">
        <f t="array" ref="D237">INDEX('SimpleOrg-2'!$B$2:$H$41,1+B237,C237)</f>
        <v>0</v>
      </c>
    </row>
    <row r="238" spans="1:4" x14ac:dyDescent="0.75">
      <c r="A238" s="32">
        <v>209</v>
      </c>
      <c r="B238" s="32">
        <f t="shared" si="6"/>
        <v>29</v>
      </c>
      <c r="C238" s="32">
        <f t="shared" si="7"/>
        <v>6</v>
      </c>
      <c r="D238" s="38" cm="1">
        <f t="array" ref="D238">INDEX('SimpleOrg-2'!$B$2:$H$41,1+B238,C238)</f>
        <v>0</v>
      </c>
    </row>
    <row r="239" spans="1:4" x14ac:dyDescent="0.75">
      <c r="A239" s="32">
        <v>210</v>
      </c>
      <c r="B239" s="32">
        <f t="shared" si="6"/>
        <v>29</v>
      </c>
      <c r="C239" s="32">
        <f t="shared" si="7"/>
        <v>7</v>
      </c>
      <c r="D239" s="38" cm="1">
        <f t="array" ref="D239">INDEX('SimpleOrg-2'!$B$2:$H$41,1+B239,C239)</f>
        <v>0</v>
      </c>
    </row>
    <row r="240" spans="1:4" x14ac:dyDescent="0.75">
      <c r="A240" s="32">
        <v>211</v>
      </c>
      <c r="B240" s="32">
        <f t="shared" si="6"/>
        <v>30</v>
      </c>
      <c r="C240" s="32">
        <f t="shared" si="7"/>
        <v>1</v>
      </c>
      <c r="D240" s="38" cm="1">
        <f t="array" ref="D240">INDEX('SimpleOrg-2'!$B$2:$H$41,1+B240,C240)</f>
        <v>0</v>
      </c>
    </row>
    <row r="241" spans="1:4" x14ac:dyDescent="0.75">
      <c r="A241" s="32">
        <v>212</v>
      </c>
      <c r="B241" s="32">
        <f t="shared" si="6"/>
        <v>30</v>
      </c>
      <c r="C241" s="32">
        <f t="shared" si="7"/>
        <v>2</v>
      </c>
      <c r="D241" s="38" cm="1">
        <f t="array" ref="D241">INDEX('SimpleOrg-2'!$B$2:$H$41,1+B241,C241)</f>
        <v>0</v>
      </c>
    </row>
    <row r="242" spans="1:4" x14ac:dyDescent="0.75">
      <c r="A242" s="32">
        <v>213</v>
      </c>
      <c r="B242" s="32">
        <f t="shared" si="6"/>
        <v>30</v>
      </c>
      <c r="C242" s="32">
        <f t="shared" si="7"/>
        <v>3</v>
      </c>
      <c r="D242" s="38" cm="1">
        <f t="array" ref="D242">INDEX('SimpleOrg-2'!$B$2:$H$41,1+B242,C242)</f>
        <v>0</v>
      </c>
    </row>
    <row r="243" spans="1:4" x14ac:dyDescent="0.75">
      <c r="A243" s="32">
        <v>214</v>
      </c>
      <c r="B243" s="32">
        <f t="shared" si="6"/>
        <v>30</v>
      </c>
      <c r="C243" s="32">
        <f t="shared" si="7"/>
        <v>4</v>
      </c>
      <c r="D243" s="38" cm="1">
        <f t="array" ref="D243">INDEX('SimpleOrg-2'!$B$2:$H$41,1+B243,C243)</f>
        <v>0</v>
      </c>
    </row>
    <row r="244" spans="1:4" x14ac:dyDescent="0.75">
      <c r="A244" s="32">
        <v>215</v>
      </c>
      <c r="B244" s="32">
        <f t="shared" si="6"/>
        <v>30</v>
      </c>
      <c r="C244" s="32">
        <f t="shared" si="7"/>
        <v>5</v>
      </c>
      <c r="D244" s="38" cm="1">
        <f t="array" ref="D244">INDEX('SimpleOrg-2'!$B$2:$H$41,1+B244,C244)</f>
        <v>0</v>
      </c>
    </row>
    <row r="245" spans="1:4" x14ac:dyDescent="0.75">
      <c r="A245" s="32">
        <v>216</v>
      </c>
      <c r="B245" s="32">
        <f t="shared" si="6"/>
        <v>30</v>
      </c>
      <c r="C245" s="32">
        <f t="shared" si="7"/>
        <v>6</v>
      </c>
      <c r="D245" s="38" cm="1">
        <f t="array" ref="D245">INDEX('SimpleOrg-2'!$B$2:$H$41,1+B245,C245)</f>
        <v>0</v>
      </c>
    </row>
    <row r="246" spans="1:4" x14ac:dyDescent="0.75">
      <c r="A246" s="32">
        <v>217</v>
      </c>
      <c r="B246" s="32">
        <f t="shared" si="6"/>
        <v>30</v>
      </c>
      <c r="C246" s="32">
        <f t="shared" si="7"/>
        <v>7</v>
      </c>
      <c r="D246" s="38" cm="1">
        <f t="array" ref="D246">INDEX('SimpleOrg-2'!$B$2:$H$41,1+B246,C246)</f>
        <v>0</v>
      </c>
    </row>
    <row r="247" spans="1:4" x14ac:dyDescent="0.75">
      <c r="A247" s="32">
        <v>218</v>
      </c>
      <c r="B247" s="32">
        <f>IF(MOD(A247,7)=0,A247/7-1,INT(A247/7))</f>
        <v>31</v>
      </c>
      <c r="C247" s="32">
        <f>IF(MOD(A247,7)=0,7,MOD(A247,7))</f>
        <v>1</v>
      </c>
      <c r="D247" s="38" cm="1">
        <f t="array" ref="D247">INDEX('SimpleOrg-2'!$B$2:$H$41,1+B247,C247)</f>
        <v>0</v>
      </c>
    </row>
    <row r="248" spans="1:4" x14ac:dyDescent="0.75">
      <c r="A248" s="32">
        <v>219</v>
      </c>
      <c r="B248" s="32">
        <f t="shared" ref="B248:B251" si="8">IF(MOD(A248,7)=0,A248/7-1,INT(A248/7))</f>
        <v>31</v>
      </c>
      <c r="C248" s="32">
        <f t="shared" ref="C248:C251" si="9">IF(MOD(A248,7)=0,7,MOD(A248,7))</f>
        <v>2</v>
      </c>
      <c r="D248" s="38" cm="1">
        <f t="array" ref="D248">INDEX('SimpleOrg-2'!$B$2:$H$41,1+B248,C248)</f>
        <v>0</v>
      </c>
    </row>
    <row r="249" spans="1:4" x14ac:dyDescent="0.75">
      <c r="A249" s="32">
        <v>220</v>
      </c>
      <c r="B249" s="32">
        <f t="shared" si="8"/>
        <v>31</v>
      </c>
      <c r="C249" s="32">
        <f t="shared" si="9"/>
        <v>3</v>
      </c>
      <c r="D249" s="38" cm="1">
        <f t="array" ref="D249">INDEX('SimpleOrg-2'!$B$2:$H$41,1+B249,C249)</f>
        <v>0</v>
      </c>
    </row>
    <row r="250" spans="1:4" x14ac:dyDescent="0.75">
      <c r="A250" s="32">
        <v>221</v>
      </c>
      <c r="B250" s="32">
        <f t="shared" si="8"/>
        <v>31</v>
      </c>
      <c r="C250" s="32">
        <f t="shared" si="9"/>
        <v>4</v>
      </c>
      <c r="D250" s="38" cm="1">
        <f t="array" ref="D250">INDEX('SimpleOrg-2'!$B$2:$H$41,1+B250,C250)</f>
        <v>0</v>
      </c>
    </row>
    <row r="251" spans="1:4" x14ac:dyDescent="0.75">
      <c r="A251" s="32">
        <v>222</v>
      </c>
      <c r="B251" s="32">
        <f t="shared" si="8"/>
        <v>31</v>
      </c>
      <c r="C251" s="32">
        <f t="shared" si="9"/>
        <v>5</v>
      </c>
      <c r="D251" s="38" cm="1">
        <f t="array" ref="D251">INDEX('SimpleOrg-2'!$B$2:$H$41,1+B251,C251)</f>
        <v>0</v>
      </c>
    </row>
    <row r="252" spans="1:4" x14ac:dyDescent="0.75">
      <c r="A252" s="32">
        <v>223</v>
      </c>
      <c r="B252" s="32">
        <f>IF(MOD(A252,7)=0,A252/7-1,INT(A252/7))</f>
        <v>31</v>
      </c>
      <c r="C252" s="32">
        <f>IF(MOD(A252,7)=0,7,MOD(A252,7))</f>
        <v>6</v>
      </c>
      <c r="D252" s="38" cm="1">
        <f t="array" ref="D252">INDEX('SimpleOrg-2'!$B$2:$H$41,1+B252,C252)</f>
        <v>0</v>
      </c>
    </row>
    <row r="253" spans="1:4" x14ac:dyDescent="0.75">
      <c r="A253" s="32">
        <v>224</v>
      </c>
      <c r="B253" s="32">
        <f t="shared" ref="B253:B259" si="10">IF(MOD(A253,7)=0,A253/7-1,INT(A253/7))</f>
        <v>31</v>
      </c>
      <c r="C253" s="32">
        <f t="shared" ref="C253:C259" si="11">IF(MOD(A253,7)=0,7,MOD(A253,7))</f>
        <v>7</v>
      </c>
      <c r="D253" s="38" cm="1">
        <f t="array" ref="D253">INDEX('SimpleOrg-2'!$B$2:$H$41,1+B253,C253)</f>
        <v>0</v>
      </c>
    </row>
    <row r="254" spans="1:4" x14ac:dyDescent="0.75">
      <c r="A254" s="32">
        <v>225</v>
      </c>
      <c r="B254" s="32">
        <f t="shared" si="10"/>
        <v>32</v>
      </c>
      <c r="C254" s="32">
        <f t="shared" si="11"/>
        <v>1</v>
      </c>
      <c r="D254" s="38" cm="1">
        <f t="array" ref="D254">INDEX('SimpleOrg-2'!$B$2:$H$41,1+B254,C254)</f>
        <v>0</v>
      </c>
    </row>
    <row r="255" spans="1:4" x14ac:dyDescent="0.75">
      <c r="A255" s="32">
        <v>226</v>
      </c>
      <c r="B255" s="32">
        <f t="shared" si="10"/>
        <v>32</v>
      </c>
      <c r="C255" s="32">
        <f t="shared" si="11"/>
        <v>2</v>
      </c>
      <c r="D255" s="38" cm="1">
        <f t="array" ref="D255">INDEX('SimpleOrg-2'!$B$2:$H$41,1+B255,C255)</f>
        <v>0</v>
      </c>
    </row>
    <row r="256" spans="1:4" x14ac:dyDescent="0.75">
      <c r="A256" s="32">
        <v>227</v>
      </c>
      <c r="B256" s="32">
        <f t="shared" si="10"/>
        <v>32</v>
      </c>
      <c r="C256" s="32">
        <f t="shared" si="11"/>
        <v>3</v>
      </c>
      <c r="D256" s="38" cm="1">
        <f t="array" ref="D256">INDEX('SimpleOrg-2'!$B$2:$H$41,1+B256,C256)</f>
        <v>0</v>
      </c>
    </row>
    <row r="257" spans="1:4" x14ac:dyDescent="0.75">
      <c r="A257" s="32">
        <v>228</v>
      </c>
      <c r="B257" s="32">
        <f t="shared" si="10"/>
        <v>32</v>
      </c>
      <c r="C257" s="32">
        <f t="shared" si="11"/>
        <v>4</v>
      </c>
      <c r="D257" s="38" cm="1">
        <f t="array" ref="D257">INDEX('SimpleOrg-2'!$B$2:$H$41,1+B257,C257)</f>
        <v>0</v>
      </c>
    </row>
    <row r="258" spans="1:4" x14ac:dyDescent="0.75">
      <c r="A258" s="32">
        <v>229</v>
      </c>
      <c r="B258" s="32">
        <f t="shared" si="10"/>
        <v>32</v>
      </c>
      <c r="C258" s="32">
        <f t="shared" si="11"/>
        <v>5</v>
      </c>
      <c r="D258" s="38" cm="1">
        <f t="array" ref="D258">INDEX('SimpleOrg-2'!$B$2:$H$41,1+B258,C258)</f>
        <v>0</v>
      </c>
    </row>
    <row r="259" spans="1:4" x14ac:dyDescent="0.75">
      <c r="A259" s="32">
        <v>230</v>
      </c>
      <c r="B259" s="32">
        <f t="shared" si="10"/>
        <v>32</v>
      </c>
      <c r="C259" s="32">
        <f t="shared" si="11"/>
        <v>6</v>
      </c>
      <c r="D259" s="38" cm="1">
        <f t="array" ref="D259">INDEX('SimpleOrg-2'!$B$2:$H$41,1+B259,C259)</f>
        <v>0</v>
      </c>
    </row>
    <row r="260" spans="1:4" x14ac:dyDescent="0.75">
      <c r="A260" s="32">
        <v>231</v>
      </c>
      <c r="B260" s="32">
        <f>IF(MOD(A260,7)=0,A260/7-1,INT(A260/7))</f>
        <v>32</v>
      </c>
      <c r="C260" s="32">
        <f>IF(MOD(A260,7)=0,7,MOD(A260,7))</f>
        <v>7</v>
      </c>
      <c r="D260" s="38" cm="1">
        <f t="array" ref="D260">INDEX('SimpleOrg-2'!$B$2:$H$41,1+B260,C260)</f>
        <v>0</v>
      </c>
    </row>
    <row r="261" spans="1:4" x14ac:dyDescent="0.75">
      <c r="A261" s="32">
        <v>232</v>
      </c>
      <c r="B261" s="32">
        <f t="shared" ref="B261:B263" si="12">IF(MOD(A261,7)=0,A261/7-1,INT(A261/7))</f>
        <v>33</v>
      </c>
      <c r="C261" s="32">
        <f t="shared" ref="C261:C263" si="13">IF(MOD(A261,7)=0,7,MOD(A261,7))</f>
        <v>1</v>
      </c>
      <c r="D261" s="38" cm="1">
        <f t="array" ref="D261">INDEX('SimpleOrg-2'!$B$2:$H$41,1+B261,C261)</f>
        <v>0</v>
      </c>
    </row>
    <row r="262" spans="1:4" x14ac:dyDescent="0.75">
      <c r="A262" s="32">
        <v>233</v>
      </c>
      <c r="B262" s="32">
        <f t="shared" si="12"/>
        <v>33</v>
      </c>
      <c r="C262" s="32">
        <f t="shared" si="13"/>
        <v>2</v>
      </c>
      <c r="D262" s="38" cm="1">
        <f t="array" ref="D262">INDEX('SimpleOrg-2'!$B$2:$H$41,1+B262,C262)</f>
        <v>0</v>
      </c>
    </row>
    <row r="263" spans="1:4" x14ac:dyDescent="0.75">
      <c r="A263" s="32">
        <v>234</v>
      </c>
      <c r="B263" s="32">
        <f t="shared" si="12"/>
        <v>33</v>
      </c>
      <c r="C263" s="32">
        <f t="shared" si="13"/>
        <v>3</v>
      </c>
      <c r="D263" s="38" cm="1">
        <f t="array" ref="D263">INDEX('SimpleOrg-2'!$B$2:$H$41,1+B263,C263)</f>
        <v>0</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255EE-CE77-43BA-9222-FEA6BDA854FC}">
  <sheetPr codeName="Foglio38"/>
  <dimension ref="A1:I44"/>
  <sheetViews>
    <sheetView topLeftCell="A10" workbookViewId="0">
      <selection activeCell="A7" sqref="A7:A34"/>
    </sheetView>
  </sheetViews>
  <sheetFormatPr defaultRowHeight="14.75" x14ac:dyDescent="0.75"/>
  <cols>
    <col min="1" max="1" width="8.7265625" style="31"/>
    <col min="2" max="2" width="41.953125" style="31" bestFit="1" customWidth="1"/>
    <col min="3" max="3" width="44.6328125" style="31" customWidth="1"/>
    <col min="4" max="4" width="71.58984375" style="31" bestFit="1" customWidth="1"/>
    <col min="5" max="5" width="12.1796875" style="31" customWidth="1"/>
    <col min="6" max="6" width="20.7265625" style="31" customWidth="1"/>
    <col min="7" max="7" width="15.2265625" style="31" bestFit="1" customWidth="1"/>
    <col min="8" max="8" width="33.90625" style="31" customWidth="1"/>
    <col min="9" max="9" width="19.31640625" style="31" customWidth="1"/>
    <col min="10" max="16384" width="8.7265625" style="31"/>
  </cols>
  <sheetData>
    <row r="1" spans="1:9" x14ac:dyDescent="0.75">
      <c r="B1" s="19" t="s">
        <v>32</v>
      </c>
      <c r="C1" s="20" t="s">
        <v>31</v>
      </c>
      <c r="D1" s="21" t="s">
        <v>6</v>
      </c>
    </row>
    <row r="2" spans="1:9" ht="44.25" x14ac:dyDescent="0.75">
      <c r="B2" s="30" t="s">
        <v>45</v>
      </c>
      <c r="C2" s="40" t="s">
        <v>65</v>
      </c>
      <c r="D2" s="54" t="s">
        <v>85</v>
      </c>
    </row>
    <row r="3" spans="1:9" x14ac:dyDescent="0.75">
      <c r="B3" s="22" t="s">
        <v>33</v>
      </c>
      <c r="C3" s="23"/>
      <c r="D3" s="45"/>
    </row>
    <row r="4" spans="1:9" ht="15.5" thickBot="1" x14ac:dyDescent="0.9">
      <c r="B4" s="24" t="s">
        <v>44</v>
      </c>
      <c r="C4" s="25"/>
      <c r="D4" s="46"/>
    </row>
    <row r="5" spans="1:9" x14ac:dyDescent="0.75">
      <c r="C5" s="3" t="s">
        <v>7</v>
      </c>
      <c r="D5" s="4" t="s">
        <v>8</v>
      </c>
      <c r="E5" s="12" t="s">
        <v>14</v>
      </c>
      <c r="F5" s="12" t="s">
        <v>15</v>
      </c>
      <c r="G5" s="12" t="s">
        <v>16</v>
      </c>
    </row>
    <row r="6" spans="1:9" ht="59" x14ac:dyDescent="0.75">
      <c r="A6" s="31">
        <v>0</v>
      </c>
      <c r="B6" s="40" t="s">
        <v>65</v>
      </c>
      <c r="C6" s="36" t="s">
        <v>65</v>
      </c>
      <c r="D6" s="36" t="s">
        <v>85</v>
      </c>
      <c r="E6" s="41">
        <v>1</v>
      </c>
      <c r="F6" s="41">
        <v>1</v>
      </c>
      <c r="G6" s="41" t="s">
        <v>18</v>
      </c>
    </row>
    <row r="7" spans="1:9" x14ac:dyDescent="0.75">
      <c r="A7" s="32">
        <v>1</v>
      </c>
      <c r="B7" s="60" t="s">
        <v>72</v>
      </c>
      <c r="C7" s="36" t="s">
        <v>126</v>
      </c>
      <c r="D7" s="36" t="s">
        <v>127</v>
      </c>
      <c r="E7" s="32">
        <v>0</v>
      </c>
      <c r="F7" s="32">
        <v>1</v>
      </c>
      <c r="G7" s="32" t="s">
        <v>5</v>
      </c>
      <c r="H7" s="32"/>
      <c r="I7" s="32"/>
    </row>
    <row r="8" spans="1:9" ht="88.5" x14ac:dyDescent="0.75">
      <c r="A8" s="32">
        <v>2</v>
      </c>
      <c r="B8" s="60" t="s">
        <v>73</v>
      </c>
      <c r="C8" s="32" t="s">
        <v>69</v>
      </c>
      <c r="D8" s="53" t="s">
        <v>128</v>
      </c>
      <c r="E8" s="32">
        <v>0</v>
      </c>
      <c r="F8" s="32" t="s">
        <v>17</v>
      </c>
      <c r="G8" s="32" t="s">
        <v>1</v>
      </c>
      <c r="H8" s="32"/>
      <c r="I8" s="32"/>
    </row>
    <row r="9" spans="1:9" ht="59" x14ac:dyDescent="0.75">
      <c r="A9" s="32">
        <v>3</v>
      </c>
      <c r="B9" s="60" t="s">
        <v>74</v>
      </c>
      <c r="C9" s="32" t="s">
        <v>46</v>
      </c>
      <c r="D9" s="53" t="s">
        <v>123</v>
      </c>
      <c r="E9" s="32">
        <v>0</v>
      </c>
      <c r="F9" s="32">
        <v>1</v>
      </c>
      <c r="G9" s="32" t="s">
        <v>1</v>
      </c>
      <c r="H9" s="32"/>
      <c r="I9" s="32"/>
    </row>
    <row r="10" spans="1:9" ht="73.75" x14ac:dyDescent="0.75">
      <c r="A10" s="32">
        <v>4</v>
      </c>
      <c r="B10" s="60" t="s">
        <v>75</v>
      </c>
      <c r="C10" s="32" t="s">
        <v>47</v>
      </c>
      <c r="D10" s="53" t="s">
        <v>124</v>
      </c>
      <c r="E10" s="32">
        <v>0</v>
      </c>
      <c r="F10" s="32">
        <v>1</v>
      </c>
      <c r="G10" s="32" t="s">
        <v>1</v>
      </c>
      <c r="H10" s="32"/>
      <c r="I10" s="32"/>
    </row>
    <row r="11" spans="1:9" ht="59" x14ac:dyDescent="0.75">
      <c r="A11" s="32">
        <v>5</v>
      </c>
      <c r="B11" s="60" t="s">
        <v>76</v>
      </c>
      <c r="C11" s="36" t="s">
        <v>48</v>
      </c>
      <c r="D11" s="53" t="s">
        <v>125</v>
      </c>
      <c r="E11" s="32">
        <v>0</v>
      </c>
      <c r="F11" s="32" t="s">
        <v>17</v>
      </c>
      <c r="G11" s="32" t="s">
        <v>1</v>
      </c>
      <c r="H11" s="32"/>
      <c r="I11" s="32"/>
    </row>
    <row r="12" spans="1:9" ht="44.25" x14ac:dyDescent="0.75">
      <c r="A12" s="32">
        <v>6</v>
      </c>
      <c r="B12" s="60" t="s">
        <v>131</v>
      </c>
      <c r="C12" s="36" t="s">
        <v>68</v>
      </c>
      <c r="D12" s="36" t="s">
        <v>49</v>
      </c>
      <c r="E12" s="32">
        <v>0</v>
      </c>
      <c r="F12" s="32">
        <v>1</v>
      </c>
      <c r="G12" s="32" t="s">
        <v>5</v>
      </c>
      <c r="H12" s="32"/>
      <c r="I12" s="32"/>
    </row>
    <row r="13" spans="1:9" ht="177" x14ac:dyDescent="0.75">
      <c r="A13" s="32">
        <v>7</v>
      </c>
      <c r="B13" s="60" t="s">
        <v>157</v>
      </c>
      <c r="C13" s="36" t="s">
        <v>158</v>
      </c>
      <c r="D13" s="1" t="s">
        <v>159</v>
      </c>
      <c r="E13" s="32">
        <v>0</v>
      </c>
      <c r="F13" s="32">
        <v>1</v>
      </c>
      <c r="G13" s="32" t="s">
        <v>3</v>
      </c>
      <c r="H13" s="32"/>
      <c r="I13" s="32"/>
    </row>
    <row r="14" spans="1:9" ht="73.75" x14ac:dyDescent="0.75">
      <c r="A14" s="32">
        <v>8</v>
      </c>
      <c r="B14" s="60" t="s">
        <v>132</v>
      </c>
      <c r="C14" s="36" t="s">
        <v>129</v>
      </c>
      <c r="D14" s="36" t="s">
        <v>130</v>
      </c>
      <c r="E14" s="32">
        <v>0</v>
      </c>
      <c r="F14" s="32" t="s">
        <v>17</v>
      </c>
      <c r="G14" s="42" t="s">
        <v>0</v>
      </c>
      <c r="H14" s="32"/>
      <c r="I14" s="32"/>
    </row>
    <row r="15" spans="1:9" x14ac:dyDescent="0.75">
      <c r="A15" s="32">
        <v>9</v>
      </c>
      <c r="B15" s="60" t="s">
        <v>154</v>
      </c>
      <c r="C15" s="36" t="s">
        <v>155</v>
      </c>
      <c r="D15" s="36" t="s">
        <v>156</v>
      </c>
      <c r="E15" s="32">
        <v>0</v>
      </c>
      <c r="F15" s="32">
        <v>1</v>
      </c>
      <c r="G15" s="42" t="s">
        <v>3</v>
      </c>
      <c r="H15" s="32"/>
      <c r="I15" s="32"/>
    </row>
    <row r="16" spans="1:9" x14ac:dyDescent="0.75">
      <c r="A16" s="32">
        <v>10</v>
      </c>
      <c r="B16" s="60" t="s">
        <v>133</v>
      </c>
      <c r="C16" s="36" t="s">
        <v>153</v>
      </c>
      <c r="D16" s="34" t="s">
        <v>43</v>
      </c>
      <c r="E16" s="32">
        <v>0</v>
      </c>
      <c r="F16" s="32">
        <v>1</v>
      </c>
      <c r="G16" s="32" t="s">
        <v>3</v>
      </c>
      <c r="H16" s="32"/>
      <c r="I16" s="32"/>
    </row>
    <row r="17" spans="1:9" x14ac:dyDescent="0.75">
      <c r="A17" s="32">
        <v>11</v>
      </c>
      <c r="B17" s="60" t="s">
        <v>35</v>
      </c>
      <c r="C17" s="36" t="s">
        <v>50</v>
      </c>
      <c r="D17" s="36" t="s">
        <v>50</v>
      </c>
      <c r="E17" s="32">
        <v>0</v>
      </c>
      <c r="F17" s="32" t="s">
        <v>17</v>
      </c>
      <c r="G17" s="32" t="s">
        <v>3</v>
      </c>
      <c r="H17" s="32"/>
      <c r="I17" s="32"/>
    </row>
    <row r="18" spans="1:9" x14ac:dyDescent="0.75">
      <c r="A18" s="32">
        <v>12</v>
      </c>
      <c r="B18" s="60" t="s">
        <v>77</v>
      </c>
      <c r="C18" s="32" t="s">
        <v>51</v>
      </c>
      <c r="D18" s="29" t="s">
        <v>60</v>
      </c>
      <c r="E18" s="32">
        <v>0</v>
      </c>
      <c r="F18" s="32">
        <v>1</v>
      </c>
      <c r="G18" s="32" t="s">
        <v>5</v>
      </c>
      <c r="H18" s="32"/>
      <c r="I18" s="32"/>
    </row>
    <row r="19" spans="1:9" x14ac:dyDescent="0.75">
      <c r="A19" s="32">
        <v>13</v>
      </c>
      <c r="B19" s="60" t="s">
        <v>78</v>
      </c>
      <c r="C19" s="32" t="s">
        <v>122</v>
      </c>
      <c r="D19" s="29" t="s">
        <v>121</v>
      </c>
      <c r="E19" s="32">
        <v>0</v>
      </c>
      <c r="F19" s="32" t="s">
        <v>17</v>
      </c>
      <c r="G19" s="32" t="s">
        <v>5</v>
      </c>
      <c r="H19" s="32"/>
      <c r="I19" s="32"/>
    </row>
    <row r="20" spans="1:9" x14ac:dyDescent="0.75">
      <c r="A20" s="32">
        <v>14</v>
      </c>
      <c r="B20" s="60" t="s">
        <v>79</v>
      </c>
      <c r="C20" s="32" t="s">
        <v>52</v>
      </c>
      <c r="D20" s="29" t="s">
        <v>59</v>
      </c>
      <c r="E20" s="32">
        <v>0</v>
      </c>
      <c r="F20" s="32">
        <v>1</v>
      </c>
      <c r="G20" s="32" t="s">
        <v>3</v>
      </c>
      <c r="H20" s="32"/>
      <c r="I20" s="32"/>
    </row>
    <row r="21" spans="1:9" ht="94.5" x14ac:dyDescent="0.75">
      <c r="A21" s="32">
        <v>15</v>
      </c>
      <c r="B21" s="60" t="s">
        <v>80</v>
      </c>
      <c r="C21" s="32" t="s">
        <v>53</v>
      </c>
      <c r="D21" s="34" t="s">
        <v>135</v>
      </c>
      <c r="E21" s="32">
        <v>0</v>
      </c>
      <c r="F21" s="32" t="s">
        <v>17</v>
      </c>
      <c r="G21" s="32" t="s">
        <v>1</v>
      </c>
      <c r="I21" s="32"/>
    </row>
    <row r="22" spans="1:9" x14ac:dyDescent="0.75">
      <c r="A22" s="32">
        <v>16</v>
      </c>
      <c r="B22" s="60" t="s">
        <v>81</v>
      </c>
      <c r="C22" s="32" t="s">
        <v>54</v>
      </c>
      <c r="D22" s="29" t="s">
        <v>58</v>
      </c>
      <c r="E22" s="32">
        <v>0</v>
      </c>
      <c r="F22" s="32">
        <v>1</v>
      </c>
      <c r="G22" s="32" t="s">
        <v>1</v>
      </c>
      <c r="I22" s="32"/>
    </row>
    <row r="23" spans="1:9" x14ac:dyDescent="0.75">
      <c r="A23" s="32">
        <v>17</v>
      </c>
      <c r="B23" s="60" t="s">
        <v>82</v>
      </c>
      <c r="C23" s="32" t="s">
        <v>56</v>
      </c>
      <c r="D23" s="29" t="s">
        <v>57</v>
      </c>
      <c r="E23" s="32">
        <v>0</v>
      </c>
      <c r="F23" s="32">
        <v>1</v>
      </c>
      <c r="G23" s="32" t="s">
        <v>55</v>
      </c>
      <c r="I23" s="32"/>
    </row>
    <row r="24" spans="1:9" x14ac:dyDescent="0.75">
      <c r="A24" s="32">
        <v>18</v>
      </c>
      <c r="B24" s="60" t="s">
        <v>83</v>
      </c>
      <c r="C24" s="43" t="s">
        <v>134</v>
      </c>
      <c r="D24" s="49" t="s">
        <v>61</v>
      </c>
      <c r="E24" s="32">
        <v>0</v>
      </c>
      <c r="F24" s="32">
        <v>1</v>
      </c>
      <c r="G24" s="39" t="s">
        <v>3</v>
      </c>
      <c r="I24" s="32"/>
    </row>
    <row r="25" spans="1:9" s="58" customFormat="1" x14ac:dyDescent="0.75">
      <c r="A25" s="32">
        <v>19</v>
      </c>
      <c r="B25" s="29" t="s">
        <v>84</v>
      </c>
      <c r="C25" s="55" t="s">
        <v>39</v>
      </c>
      <c r="D25" s="56" t="s">
        <v>40</v>
      </c>
      <c r="E25" s="42">
        <v>0</v>
      </c>
      <c r="F25" s="42">
        <v>1</v>
      </c>
      <c r="G25" s="57" t="s">
        <v>64</v>
      </c>
    </row>
    <row r="26" spans="1:9" x14ac:dyDescent="0.75">
      <c r="A26" s="32">
        <v>20</v>
      </c>
      <c r="B26" s="29" t="s">
        <v>41</v>
      </c>
      <c r="C26" s="37" t="s">
        <v>41</v>
      </c>
      <c r="D26" s="34" t="s">
        <v>42</v>
      </c>
      <c r="E26" s="32">
        <v>0</v>
      </c>
      <c r="F26" s="32">
        <v>1</v>
      </c>
      <c r="G26" s="91" t="s">
        <v>64</v>
      </c>
    </row>
    <row r="27" spans="1:9" ht="132.75" x14ac:dyDescent="0.75">
      <c r="A27" s="32">
        <v>21</v>
      </c>
      <c r="B27" s="32" t="s">
        <v>138</v>
      </c>
      <c r="C27" t="s">
        <v>139</v>
      </c>
      <c r="D27" s="38" t="s">
        <v>140</v>
      </c>
      <c r="E27" s="32">
        <v>0</v>
      </c>
      <c r="F27" s="32">
        <v>1</v>
      </c>
      <c r="G27" s="51" t="s">
        <v>4</v>
      </c>
    </row>
    <row r="28" spans="1:9" x14ac:dyDescent="0.75">
      <c r="A28" s="32">
        <v>22</v>
      </c>
      <c r="B28" s="32"/>
      <c r="C28" s="32"/>
      <c r="D28" s="32"/>
      <c r="E28" s="32"/>
      <c r="F28" s="32"/>
      <c r="G28" s="51"/>
      <c r="H28" s="32"/>
    </row>
    <row r="29" spans="1:9" x14ac:dyDescent="0.75">
      <c r="A29" s="32">
        <v>23</v>
      </c>
      <c r="B29" s="32"/>
      <c r="C29" s="32"/>
      <c r="D29" s="32"/>
      <c r="E29" s="32"/>
      <c r="F29" s="32"/>
      <c r="G29" s="51"/>
      <c r="H29" s="32"/>
    </row>
    <row r="30" spans="1:9" x14ac:dyDescent="0.75">
      <c r="A30" s="32">
        <v>24</v>
      </c>
      <c r="B30" s="32"/>
      <c r="C30" s="26"/>
      <c r="D30" s="26"/>
      <c r="E30" s="32"/>
      <c r="F30" s="32"/>
      <c r="G30" s="32"/>
    </row>
    <row r="31" spans="1:9" x14ac:dyDescent="0.75">
      <c r="A31" s="32">
        <v>25</v>
      </c>
      <c r="B31" s="32"/>
      <c r="C31" s="35"/>
      <c r="D31" s="34"/>
      <c r="E31" s="32"/>
      <c r="F31" s="32"/>
      <c r="G31" s="32"/>
    </row>
    <row r="32" spans="1:9" x14ac:dyDescent="0.75">
      <c r="A32" s="32">
        <v>26</v>
      </c>
      <c r="B32" s="32"/>
      <c r="C32" s="35"/>
      <c r="D32" s="34"/>
      <c r="E32" s="32"/>
      <c r="F32" s="32"/>
      <c r="G32" s="32"/>
    </row>
    <row r="33" spans="1:7" x14ac:dyDescent="0.75">
      <c r="A33" s="32">
        <v>27</v>
      </c>
      <c r="B33" s="32"/>
      <c r="C33" s="35"/>
      <c r="D33" s="34"/>
      <c r="E33" s="39"/>
      <c r="F33" s="39"/>
      <c r="G33" s="32"/>
    </row>
    <row r="34" spans="1:7" x14ac:dyDescent="0.75">
      <c r="A34" s="32">
        <v>28</v>
      </c>
      <c r="B34" s="32"/>
      <c r="C34" s="35"/>
      <c r="D34" s="35"/>
      <c r="E34" s="39"/>
      <c r="F34" s="39"/>
      <c r="G34" s="32"/>
    </row>
    <row r="35" spans="1:7" x14ac:dyDescent="0.75">
      <c r="A35" s="32"/>
      <c r="B35" s="32"/>
      <c r="C35" s="35"/>
      <c r="D35" s="34"/>
      <c r="E35" s="39"/>
      <c r="F35" s="39"/>
      <c r="G35" s="32"/>
    </row>
    <row r="36" spans="1:7" x14ac:dyDescent="0.75">
      <c r="A36" s="32"/>
      <c r="B36" s="32"/>
      <c r="C36" s="35"/>
      <c r="D36" s="35"/>
      <c r="E36" s="39"/>
      <c r="F36" s="39"/>
      <c r="G36" s="32"/>
    </row>
    <row r="37" spans="1:7" x14ac:dyDescent="0.75">
      <c r="A37" s="32"/>
      <c r="B37" s="32"/>
      <c r="C37" s="35"/>
      <c r="D37" s="35"/>
      <c r="E37" s="39"/>
      <c r="F37" s="39"/>
      <c r="G37" s="32"/>
    </row>
    <row r="38" spans="1:7" x14ac:dyDescent="0.75">
      <c r="A38" s="32"/>
      <c r="B38" s="32"/>
      <c r="C38" s="33"/>
      <c r="D38" s="34"/>
      <c r="E38" s="39"/>
      <c r="F38" s="39"/>
      <c r="G38" s="32"/>
    </row>
    <row r="39" spans="1:7" x14ac:dyDescent="0.75">
      <c r="A39" s="32"/>
      <c r="B39" s="32"/>
      <c r="C39" s="34"/>
      <c r="D39" s="34"/>
      <c r="E39" s="39"/>
      <c r="F39" s="39"/>
      <c r="G39" s="32"/>
    </row>
    <row r="40" spans="1:7" x14ac:dyDescent="0.75">
      <c r="A40" s="32"/>
      <c r="B40" s="32"/>
      <c r="C40" s="35"/>
      <c r="D40" s="34"/>
      <c r="E40" s="39"/>
      <c r="F40" s="39"/>
      <c r="G40" s="32"/>
    </row>
    <row r="41" spans="1:7" x14ac:dyDescent="0.75">
      <c r="A41" s="32"/>
      <c r="B41" s="32"/>
      <c r="C41" s="35"/>
      <c r="D41" s="34"/>
      <c r="E41" s="39"/>
      <c r="F41" s="39"/>
      <c r="G41" s="32"/>
    </row>
    <row r="42" spans="1:7" x14ac:dyDescent="0.75">
      <c r="A42" s="32"/>
      <c r="B42" s="32"/>
      <c r="C42" s="35"/>
      <c r="D42" s="34"/>
      <c r="E42" s="39"/>
      <c r="F42" s="39"/>
      <c r="G42" s="32"/>
    </row>
    <row r="43" spans="1:7" x14ac:dyDescent="0.75">
      <c r="A43" s="32"/>
      <c r="B43" s="32"/>
      <c r="C43" s="35"/>
      <c r="D43" s="34"/>
      <c r="E43" s="39"/>
      <c r="F43" s="39"/>
      <c r="G43" s="32"/>
    </row>
    <row r="44" spans="1:7" x14ac:dyDescent="0.75">
      <c r="A44" s="32"/>
      <c r="B44" s="32"/>
      <c r="C44" s="35"/>
      <c r="D44" s="34"/>
      <c r="E44" s="39"/>
      <c r="F44" s="39"/>
      <c r="G44" s="32"/>
    </row>
  </sheetData>
  <hyperlinks>
    <hyperlink ref="B2" r:id="rId1" xr:uid="{9E667DA7-91FD-4FE7-95D1-A5334FCDC741}"/>
    <hyperlink ref="G25" r:id="rId2" xr:uid="{A7553B09-F973-467A-A6D1-E6AFADFCC09A}"/>
  </hyperlinks>
  <pageMargins left="0.7" right="0.7" top="0.75" bottom="0.75" header="0.3" footer="0.3"/>
  <pageSetup paperSize="9" orientation="portrait"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7B34A-365A-4507-9E1A-F531FB5B63D2}">
  <sheetPr codeName="Foglio39"/>
  <dimension ref="B1:J94"/>
  <sheetViews>
    <sheetView topLeftCell="A19" zoomScale="85" zoomScaleNormal="85" workbookViewId="0">
      <selection activeCell="B23" sqref="B23:H23"/>
    </sheetView>
  </sheetViews>
  <sheetFormatPr defaultRowHeight="14.75" x14ac:dyDescent="0.75"/>
  <cols>
    <col min="1" max="1" width="8.7265625" style="31"/>
    <col min="2" max="2" width="44.26953125" style="1" customWidth="1"/>
    <col min="3" max="3" width="51.6796875" style="1" customWidth="1"/>
    <col min="4" max="4" width="45.86328125" style="1" customWidth="1"/>
    <col min="5" max="5" width="45.953125" style="1" customWidth="1"/>
    <col min="6" max="9" width="19.54296875" style="31" customWidth="1"/>
    <col min="10" max="10" width="89.90625" style="31" customWidth="1"/>
    <col min="11" max="16384" width="8.7265625" style="31"/>
  </cols>
  <sheetData>
    <row r="1" spans="2:10" ht="44.25" x14ac:dyDescent="0.75">
      <c r="B1" s="15" t="str">
        <f>CONCATENATE("* differential.element[",'Prod-1'!A6,"].id = """,'Prod-1'!B6,"""")</f>
        <v>* differential.element[0].id = "Product"</v>
      </c>
      <c r="C1" s="15" t="str">
        <f>CONCATENATE("* differential.element[",'Prod-1'!A6,"].path = """,'Prod-1'!$B$6,"""")</f>
        <v>* differential.element[0].path = "Product"</v>
      </c>
      <c r="D1" s="15" t="str">
        <f>CONCATENATE("* differential.element[",'Prod-1'!A6,"].short = """,'Prod-1'!C6,"""")</f>
        <v>* differential.element[0].short = "Product"</v>
      </c>
      <c r="E1" s="15" t="str">
        <f>CONCATENATE("* differential.element[",'Prod-1'!A6,"].definition = """,'Prod-1'!D6,"""")</f>
        <v>* differential.element[0].definition = "A product  that have or should have been administered to a subject that includes one or more specific antigen(s) aimed at developing an immune response in an individual to provide protection from a vaccine preventable disease(s)."</v>
      </c>
      <c r="F1" s="15" t="str">
        <f>CONCATENATE("* differential.element[",'Prod-1'!A6,"].min = ",'Prod-1'!E6,"")</f>
        <v>* differential.element[0].min = 1</v>
      </c>
      <c r="G1" s="15" t="str">
        <f>CONCATENATE("* differential.element[",'Prod-1'!A6,"].max = """,'Prod-1'!F6,"""")</f>
        <v>* differential.element[0].max = "1"</v>
      </c>
      <c r="H1" s="15"/>
    </row>
    <row r="2" spans="2:10" ht="59" x14ac:dyDescent="0.75">
      <c r="B2" s="38" t="str">
        <f>CONCATENATE("* differential.element[",'Prod-1'!$A7,"].id = """,'Prod-1'!$B$6,".",'Prod-1'!B7,"""")</f>
        <v>* differential.element[1].id = "Product.codeSet"</v>
      </c>
      <c r="C2" s="38" t="str">
        <f>CONCATENATE("* differential.element[",'Prod-1'!$A7,"].path = """,'Prod-1'!$B$6,".",'Prod-1'!B7,"""")</f>
        <v>* differential.element[1].path = "Product.codeSet"</v>
      </c>
      <c r="D2" s="38" t="str">
        <f>CONCATENATE("* differential.element[",'Prod-1'!A7,"].short = """,'Prod-1'!C7,"""")</f>
        <v>* differential.element[1].short = "Set of product codes"</v>
      </c>
      <c r="E2" s="38" t="str">
        <f>CONCATENATE("* differential.element[",'Prod-1'!A7,"].definition = """,'Prod-1'!D7,"""")</f>
        <v>* differential.element[1].definition = "Set of codes that are used to identify this product."</v>
      </c>
      <c r="F2" s="38" t="str">
        <f>CONCATENATE("* differential.element[",'Prod-1'!A7,"].min = ",'Prod-1'!E7,"")</f>
        <v>* differential.element[1].min = 0</v>
      </c>
      <c r="G2" s="38" t="str">
        <f>CONCATENATE("* differential.element[",'Prod-1'!A7,"].max = """,'Prod-1'!F7,"""")</f>
        <v>* differential.element[1].max = "1"</v>
      </c>
      <c r="H2" s="38" t="str">
        <f>CONCATENATE("* differential.element[",'Prod-1'!A7,"].type.code = #",'Prod-1'!G7,"")</f>
        <v>* differential.element[1].type.code = #BackboneElement</v>
      </c>
      <c r="I2" s="10"/>
      <c r="J2" s="31" t="s">
        <v>9</v>
      </c>
    </row>
    <row r="3" spans="2:10" ht="59" x14ac:dyDescent="0.75">
      <c r="B3" s="38" t="str">
        <f>CONCATENATE("* differential.element[",'Prod-1'!$A8,"].id = """,'Prod-1'!$B$6,".",'Prod-1'!B8,"""")</f>
        <v>* differential.element[2].id = "Product.codeSet.productCode"</v>
      </c>
      <c r="C3" s="38" t="str">
        <f>CONCATENATE("* differential.element[",'Prod-1'!$A8,"].path = """,'Prod-1'!$B$6,".",'Prod-1'!B8,"""")</f>
        <v>* differential.element[2].path = "Product.codeSet.productCode"</v>
      </c>
      <c r="D3" s="38" t="str">
        <f>CONCATENATE("* differential.element[",'Prod-1'!A8,"].short = """,'Prod-1'!C8,"""")</f>
        <v>* differential.element[2].short = "Product code"</v>
      </c>
      <c r="E3" s="38" t="str">
        <f>CONCATENATE("* differential.element[",'Prod-1'!A8,"].definition = """,'Prod-1'!D8,"""")</f>
        <v>* differential.element[2].definition = "Code identifying this product.
The code may represent different kinds of products: it might be an Authorized Packaged Medicinal Product, a Virtual Medicinal Product , a Pharmaceutical Product (PhP) , a cluster of products and so on.
It might be a jurisdictional (e.g. sub-national, national), cross-jurisdictional (e.g. regional) or a global product code."</v>
      </c>
      <c r="F3" s="38" t="str">
        <f>CONCATENATE("* differential.element[",'Prod-1'!A8,"].min = ",'Prod-1'!E8,"")</f>
        <v>* differential.element[2].min = 0</v>
      </c>
      <c r="G3" s="38" t="str">
        <f>CONCATENATE("* differential.element[",'Prod-1'!A8,"].max = """,'Prod-1'!F8,"""")</f>
        <v>* differential.element[2].max = "*"</v>
      </c>
      <c r="H3" s="38" t="str">
        <f>CONCATENATE("* differential.element[",'Prod-1'!A8,"].type.code = #",'Prod-1'!G8,"")</f>
        <v>* differential.element[2].type.code = #CodeableConcept</v>
      </c>
      <c r="I3" s="10"/>
      <c r="J3" s="31" t="s">
        <v>10</v>
      </c>
    </row>
    <row r="4" spans="2:10" ht="59" x14ac:dyDescent="0.75">
      <c r="B4" s="38" t="str">
        <f>CONCATENATE("* differential.element[",'Prod-1'!$A9,"].id = """,'Prod-1'!$B$6,".",'Prod-1'!B9,"""")</f>
        <v>* differential.element[3].id = "Product.codeSet.PCID"</v>
      </c>
      <c r="C4" s="38" t="str">
        <f>CONCATENATE("* differential.element[",'Prod-1'!$A9,"].path = """,'Prod-1'!$B$6,".",'Prod-1'!B9,"""")</f>
        <v>* differential.element[3].path = "Product.codeSet.PCID"</v>
      </c>
      <c r="D4" s="38" t="str">
        <f>CONCATENATE("* differential.element[",'Prod-1'!A9,"].short = """,'Prod-1'!C9,"""")</f>
        <v>* differential.element[3].short = "IDMP PCID"</v>
      </c>
      <c r="E4" s="38" t="str">
        <f>CONCATENATE("* differential.element[",'Prod-1'!A9,"].definition = """,'Prod-1'!D9,"""")</f>
        <v>* differential.element[3].definition = "Code identifying the IDMP Packaged Medicinal Product.
A Packaged Medicinal Product is a 'Medicinal Product in a container being part of a package, representing the entirety that has been packaged for sale or supply' [source ISO 11615:2017]"</v>
      </c>
      <c r="F4" s="38" t="str">
        <f>CONCATENATE("* differential.element[",'Prod-1'!A9,"].min = ",'Prod-1'!E9,"")</f>
        <v>* differential.element[3].min = 0</v>
      </c>
      <c r="G4" s="38" t="str">
        <f>CONCATENATE("* differential.element[",'Prod-1'!A9,"].max = """,'Prod-1'!F9,"""")</f>
        <v>* differential.element[3].max = "1"</v>
      </c>
      <c r="H4" s="38" t="str">
        <f>CONCATENATE("* differential.element[",'Prod-1'!A9,"].type.code = #",'Prod-1'!G9,"")</f>
        <v>* differential.element[3].type.code = #CodeableConcept</v>
      </c>
      <c r="I4" s="10"/>
      <c r="J4" s="31" t="s">
        <v>11</v>
      </c>
    </row>
    <row r="5" spans="2:10" ht="59" x14ac:dyDescent="0.75">
      <c r="B5" s="38" t="str">
        <f>CONCATENATE("* differential.element[",'Prod-1'!$A10,"].id = """,'Prod-1'!$B$6,".",'Prod-1'!B10,"""")</f>
        <v>* differential.element[4].id = "Product.codeSet.MPID"</v>
      </c>
      <c r="C5" s="38" t="str">
        <f>CONCATENATE("* differential.element[",'Prod-1'!$A10,"].path = """,'Prod-1'!$B$6,".",'Prod-1'!B10,"""")</f>
        <v>* differential.element[4].path = "Product.codeSet.MPID"</v>
      </c>
      <c r="D5" s="38" t="str">
        <f>CONCATENATE("* differential.element[",'Prod-1'!A10,"].short = """,'Prod-1'!C10,"""")</f>
        <v>* differential.element[4].short = "IDMP MPID"</v>
      </c>
      <c r="E5" s="38" t="str">
        <f>CONCATENATE("* differential.element[",'Prod-1'!A10,"].definition = """,'Prod-1'!D10,"""")</f>
        <v>* differential.element[4].definition = "Code identifying the IDMP Medicinal Product.
A Medicinal Product is a 'pharmaceutical product or combination of pharmaceutical products that may be administered to human beings (or animals) for treating or preventing disease, with the aim/purpose of making a medical diagnosis or to restore, correct or modify physiological functions'  [source ISO 11615:2017]"</v>
      </c>
      <c r="F5" s="38" t="str">
        <f>CONCATENATE("* differential.element[",'Prod-1'!A10,"].min = ",'Prod-1'!E10,"")</f>
        <v>* differential.element[4].min = 0</v>
      </c>
      <c r="G5" s="38" t="str">
        <f>CONCATENATE("* differential.element[",'Prod-1'!A10,"].max = """,'Prod-1'!F10,"""")</f>
        <v>* differential.element[4].max = "1"</v>
      </c>
      <c r="H5" s="38" t="str">
        <f>CONCATENATE("* differential.element[",'Prod-1'!A10,"].type.code = #",'Prod-1'!G10,"")</f>
        <v>* differential.element[4].type.code = #CodeableConcept</v>
      </c>
      <c r="I5" s="10"/>
      <c r="J5" s="31" t="s">
        <v>12</v>
      </c>
    </row>
    <row r="6" spans="2:10" ht="59" x14ac:dyDescent="0.75">
      <c r="B6" s="38" t="str">
        <f>CONCATENATE("* differential.element[",'Prod-1'!$A11,"].id = """,'Prod-1'!$B$6,".",'Prod-1'!B11,"""")</f>
        <v>* differential.element[5].id = "Product.codeSet.PhPID"</v>
      </c>
      <c r="C6" s="38" t="str">
        <f>CONCATENATE("* differential.element[",'Prod-1'!$A11,"].path = """,'Prod-1'!$B$6,".",'Prod-1'!B11,"""")</f>
        <v>* differential.element[5].path = "Product.codeSet.PhPID"</v>
      </c>
      <c r="D6" s="38" t="str">
        <f>CONCATENATE("* differential.element[",'Prod-1'!A11,"].short = """,'Prod-1'!C11,"""")</f>
        <v>* differential.element[5].short = "IDMP PhP"</v>
      </c>
      <c r="E6" s="38" t="str">
        <f>CONCATENATE("* differential.element[",'Prod-1'!A11,"].definition = """,'Prod-1'!D11,"""")</f>
        <v>* differential.element[5].definition = "Code identifying the IDMP Pharmaceutical Product.
A Pharmaceutical Product is a 'qualitative and quantitative composition of a Medicinal Product in the dose form approved for administration' [source ISO 11616:2017]"</v>
      </c>
      <c r="F6" s="38" t="str">
        <f>CONCATENATE("* differential.element[",'Prod-1'!A11,"].min = ",'Prod-1'!E11,"")</f>
        <v>* differential.element[5].min = 0</v>
      </c>
      <c r="G6" s="38" t="str">
        <f>CONCATENATE("* differential.element[",'Prod-1'!A11,"].max = """,'Prod-1'!F11,"""")</f>
        <v>* differential.element[5].max = "*"</v>
      </c>
      <c r="H6" s="38" t="str">
        <f>CONCATENATE("* differential.element[",'Prod-1'!A11,"].type.code = #",'Prod-1'!G11,"")</f>
        <v>* differential.element[5].type.code = #CodeableConcept</v>
      </c>
      <c r="I6" s="10"/>
      <c r="J6" s="31" t="s">
        <v>13</v>
      </c>
    </row>
    <row r="7" spans="2:10" ht="59" x14ac:dyDescent="0.75">
      <c r="B7" s="38" t="str">
        <f>CONCATENATE("* differential.element[",'Prod-1'!$A12,"].id = """,'Prod-1'!$B$6,".",'Prod-1'!B12,"""")</f>
        <v>* differential.element[6].id = "Product.packageIdentifiers"</v>
      </c>
      <c r="C7" s="38" t="str">
        <f>CONCATENATE("* differential.element[",'Prod-1'!$A12,"].path = """,'Prod-1'!$B$6,".",'Prod-1'!B12,"""")</f>
        <v>* differential.element[6].path = "Product.packageIdentifiers"</v>
      </c>
      <c r="D7" s="38" t="str">
        <f>CONCATENATE("* differential.element[",'Prod-1'!A12,"].short = """,'Prod-1'!C12,"""")</f>
        <v>* differential.element[6].short = "Set of identifiers"</v>
      </c>
      <c r="E7" s="38" t="str">
        <f>CONCATENATE("* differential.element[",'Prod-1'!A12,"].definition = """,'Prod-1'!D12,"""")</f>
        <v>* differential.element[6].definition = "Identifiers typically related to the supply chain management, but often used also for other purposes as the fight against falsified and counterfeit medicines; adverse event reporting, and so on."</v>
      </c>
      <c r="F7" s="38" t="str">
        <f>CONCATENATE("* differential.element[",'Prod-1'!A12,"].min = ",'Prod-1'!E12,"")</f>
        <v>* differential.element[6].min = 0</v>
      </c>
      <c r="G7" s="38" t="str">
        <f>CONCATENATE("* differential.element[",'Prod-1'!A12,"].max = """,'Prod-1'!F12,"""")</f>
        <v>* differential.element[6].max = "1"</v>
      </c>
      <c r="H7" s="38" t="str">
        <f>CONCATENATE("* differential.element[",'Prod-1'!A12,"].type.code = #",'Prod-1'!G12,"")</f>
        <v>* differential.element[6].type.code = #BackboneElement</v>
      </c>
      <c r="I7" s="10"/>
    </row>
    <row r="8" spans="2:10" ht="236" x14ac:dyDescent="0.75">
      <c r="B8" s="38" t="str">
        <f>CONCATENATE("* differential.element[",'Prod-1'!$A13,"].id = """,'Prod-1'!$B$6,".",'Prod-1'!B13,"""")</f>
        <v>* differential.element[7].id = "Product.packageIdentifiers.uniqueIdentifier"</v>
      </c>
      <c r="C8" s="38" t="str">
        <f>CONCATENATE("* differential.element[",'Prod-1'!$A13,"].path = """,'Prod-1'!$B$6,".",'Prod-1'!B13,"""")</f>
        <v>* differential.element[7].path = "Product.packageIdentifiers.uniqueIdentifier"</v>
      </c>
      <c r="D8" s="38" t="str">
        <f>CONCATENATE("* differential.element[",'Prod-1'!A13,"].short = """,'Prod-1'!C13,"""")</f>
        <v>* differential.element[7].short = "Unique Identifier"</v>
      </c>
      <c r="E8" s="38" t="str">
        <f>CONCATENATE("* differential.element[",'Prod-1'!A13,"].definition = """,'Prod-1'!D13,"""")</f>
        <v>* differential.element[7].definition = "Alphanumerical code enabling the identification and authentication of individual packs (compliant to ISO 15418; ISO 15434).
The UI is carried by a 2D barcode.
The UI will contain:
• Product code: ISO-compliant (ISO 15459); &lt; 50 characters; globally unique; issued by ISO-compliant coding agencies;
• Serial number (max 20 characters; randomised)
• A national reimbursement or identification number (optional)
• Batch number
• Expiry date
Example
(01)09876543210982(21)12345AZRQF1234567890(10)A1C2E3G4I5(17)180531"</v>
      </c>
      <c r="F8" s="38" t="str">
        <f>CONCATENATE("* differential.element[",'Prod-1'!A13,"].min = ",'Prod-1'!E13,"")</f>
        <v>* differential.element[7].min = 0</v>
      </c>
      <c r="G8" s="38" t="str">
        <f>CONCATENATE("* differential.element[",'Prod-1'!A13,"].max = """,'Prod-1'!F13,"""")</f>
        <v>* differential.element[7].max = "1"</v>
      </c>
      <c r="H8" s="38" t="str">
        <f>CONCATENATE("* differential.element[",'Prod-1'!A13,"].type.code = #",'Prod-1'!G13,"")</f>
        <v>* differential.element[7].type.code = #string</v>
      </c>
      <c r="I8" s="10"/>
    </row>
    <row r="9" spans="2:10" ht="59" x14ac:dyDescent="0.75">
      <c r="B9" s="38" t="str">
        <f>CONCATENATE("* differential.element[",'Prod-1'!$A14,"].id = """,'Prod-1'!$B$6,".",'Prod-1'!B14,"""")</f>
        <v>* differential.element[8].id = "Product.packageIdentifiers.dataCarrierIdentifier"</v>
      </c>
      <c r="C9" s="38" t="str">
        <f>CONCATENATE("* differential.element[",'Prod-1'!$A14,"].path = """,'Prod-1'!$B$6,".",'Prod-1'!B14,"""")</f>
        <v>* differential.element[8].path = "Product.packageIdentifiers.dataCarrierIdentifier"</v>
      </c>
      <c r="D9" s="38" t="str">
        <f>CONCATENATE("* differential.element[",'Prod-1'!A14,"].short = """,'Prod-1'!C14,"""")</f>
        <v>* differential.element[8].short = "Data Carrier Identifier (e.g. GTIN)"</v>
      </c>
      <c r="E9" s="38" t="str">
        <f>CONCATENATE("* differential.element[",'Prod-1'!A14,"].definition = """,'Prod-1'!D14,"""")</f>
        <v>* differential.element[8].definition = "Set of identifiers associated to this instance of the product.
It could be a global (e.g. GTIN) or a national identifier. 
The identifiers may refer to different package levels such as primary packaging or secondary packaging.
The identifier of the lowest packaging should be captured."</v>
      </c>
      <c r="F9" s="38" t="str">
        <f>CONCATENATE("* differential.element[",'Prod-1'!A14,"].min = ",'Prod-1'!E14,"")</f>
        <v>* differential.element[8].min = 0</v>
      </c>
      <c r="G9" s="38" t="str">
        <f>CONCATENATE("* differential.element[",'Prod-1'!A14,"].max = """,'Prod-1'!F14,"""")</f>
        <v>* differential.element[8].max = "*"</v>
      </c>
      <c r="H9" s="38" t="str">
        <f>CONCATENATE("* differential.element[",'Prod-1'!A14,"].type.code = #",'Prod-1'!G14,"")</f>
        <v>* differential.element[8].type.code = #Identifier</v>
      </c>
      <c r="I9" s="10"/>
    </row>
    <row r="10" spans="2:10" ht="59" x14ac:dyDescent="0.75">
      <c r="B10" s="38" t="str">
        <f>CONCATENATE("* differential.element[",'Prod-1'!$A15,"].id = """,'Prod-1'!$B$6,".",'Prod-1'!B15,"""")</f>
        <v>* differential.element[9].id = "Product.packageIdentifiers.serialNumber"</v>
      </c>
      <c r="C10" s="38" t="str">
        <f>CONCATENATE("* differential.element[",'Prod-1'!$A15,"].path = """,'Prod-1'!$B$6,".",'Prod-1'!B15,"""")</f>
        <v>* differential.element[9].path = "Product.packageIdentifiers.serialNumber"</v>
      </c>
      <c r="D10" s="38" t="str">
        <f>CONCATENATE("* differential.element[",'Prod-1'!A15,"].short = """,'Prod-1'!C15,"""")</f>
        <v>* differential.element[9].short = "Serial number"</v>
      </c>
      <c r="E10" s="38" t="str">
        <f>CONCATENATE("* differential.element[",'Prod-1'!A15,"].definition = """,'Prod-1'!D15,"""")</f>
        <v>* differential.element[9].definition = "Serial Number of this package instance within this lot"</v>
      </c>
      <c r="F10" s="38" t="str">
        <f>CONCATENATE("* differential.element[",'Prod-1'!A15,"].min = ",'Prod-1'!E15,"")</f>
        <v>* differential.element[9].min = 0</v>
      </c>
      <c r="G10" s="38" t="str">
        <f>CONCATENATE("* differential.element[",'Prod-1'!A15,"].max = """,'Prod-1'!F15,"""")</f>
        <v>* differential.element[9].max = "1"</v>
      </c>
      <c r="H10" s="38" t="str">
        <f>CONCATENATE("* differential.element[",'Prod-1'!A15,"].type.code = #",'Prod-1'!G15,"")</f>
        <v>* differential.element[9].type.code = #string</v>
      </c>
      <c r="I10" s="10"/>
    </row>
    <row r="11" spans="2:10" ht="59" x14ac:dyDescent="0.75">
      <c r="B11" s="38" t="str">
        <f>CONCATENATE("* differential.element[",'Prod-1'!$A16,"].id = """,'Prod-1'!$B$6,".",'Prod-1'!B16,"""")</f>
        <v>* differential.element[10].id = "Product.packageIdentifiers.lotNumber"</v>
      </c>
      <c r="C11" s="38" t="str">
        <f>CONCATENATE("* differential.element[",'Prod-1'!$A16,"].path = """,'Prod-1'!$B$6,".",'Prod-1'!B16,"""")</f>
        <v>* differential.element[10].path = "Product.packageIdentifiers.lotNumber"</v>
      </c>
      <c r="D11" s="38" t="str">
        <f>CONCATENATE("* differential.element[",'Prod-1'!A16,"].short = """,'Prod-1'!C16,"""")</f>
        <v>* differential.element[10].short = "Lot Number"</v>
      </c>
      <c r="E11" s="38" t="str">
        <f>CONCATENATE("* differential.element[",'Prod-1'!A16,"].definition = """,'Prod-1'!D16,"""")</f>
        <v>* differential.element[10].definition = "The lot number of the Administrable Immunizing Agent, as assigned by the manufacturer."</v>
      </c>
      <c r="F11" s="38" t="str">
        <f>CONCATENATE("* differential.element[",'Prod-1'!A16,"].min = ",'Prod-1'!E16,"")</f>
        <v>* differential.element[10].min = 0</v>
      </c>
      <c r="G11" s="38" t="str">
        <f>CONCATENATE("* differential.element[",'Prod-1'!A16,"].max = """,'Prod-1'!F16,"""")</f>
        <v>* differential.element[10].max = "1"</v>
      </c>
      <c r="H11" s="38" t="str">
        <f>CONCATENATE("* differential.element[",'Prod-1'!A16,"].type.code = #",'Prod-1'!G16,"")</f>
        <v>* differential.element[10].type.code = #string</v>
      </c>
      <c r="I11" s="10"/>
    </row>
    <row r="12" spans="2:10" ht="59" x14ac:dyDescent="0.75">
      <c r="B12" s="38" t="str">
        <f>CONCATENATE("* differential.element[",'Prod-1'!$A17,"].id = """,'Prod-1'!$B$6,".",'Prod-1'!B17,"""")</f>
        <v>* differential.element[11].id = "Product.name"</v>
      </c>
      <c r="C12" s="38" t="str">
        <f>CONCATENATE("* differential.element[",'Prod-1'!$A17,"].path = """,'Prod-1'!$B$6,".",'Prod-1'!B17,"""")</f>
        <v>* differential.element[11].path = "Product.name"</v>
      </c>
      <c r="D12" s="38" t="str">
        <f>CONCATENATE("* differential.element[",'Prod-1'!A17,"].short = """,'Prod-1'!C17,"""")</f>
        <v>* differential.element[11].short = "Product Name"</v>
      </c>
      <c r="E12" s="38" t="str">
        <f>CONCATENATE("* differential.element[",'Prod-1'!A17,"].definition = """,'Prod-1'!D17,"""")</f>
        <v>* differential.element[11].definition = "Product Name"</v>
      </c>
      <c r="F12" s="38" t="str">
        <f>CONCATENATE("* differential.element[",'Prod-1'!A17,"].min = ",'Prod-1'!E17,"")</f>
        <v>* differential.element[11].min = 0</v>
      </c>
      <c r="G12" s="38" t="str">
        <f>CONCATENATE("* differential.element[",'Prod-1'!A17,"].max = """,'Prod-1'!F17,"""")</f>
        <v>* differential.element[11].max = "*"</v>
      </c>
      <c r="H12" s="38" t="str">
        <f>CONCATENATE("* differential.element[",'Prod-1'!A17,"].type.code = #",'Prod-1'!G17,"")</f>
        <v>* differential.element[11].type.code = #string</v>
      </c>
      <c r="I12" s="10"/>
    </row>
    <row r="13" spans="2:10" ht="59" x14ac:dyDescent="0.75">
      <c r="B13" s="38" t="str">
        <f>CONCATENATE("* differential.element[",'Prod-1'!$A18,"].id = """,'Prod-1'!$B$6,".",'Prod-1'!B18,"""")</f>
        <v>* differential.element[12].id = "Product.composition"</v>
      </c>
      <c r="C13" s="38" t="str">
        <f>CONCATENATE("* differential.element[",'Prod-1'!$A18,"].path = """,'Prod-1'!$B$6,".",'Prod-1'!B18,"""")</f>
        <v>* differential.element[12].path = "Product.composition"</v>
      </c>
      <c r="D13" s="38" t="str">
        <f>CONCATENATE("* differential.element[",'Prod-1'!A18,"].short = """,'Prod-1'!C18,"""")</f>
        <v>* differential.element[12].short = "Composition"</v>
      </c>
      <c r="E13" s="38" t="str">
        <f>CONCATENATE("* differential.element[",'Prod-1'!A18,"].definition = """,'Prod-1'!D18,"""")</f>
        <v>* differential.element[12].definition = "Composition of this product"</v>
      </c>
      <c r="F13" s="38" t="str">
        <f>CONCATENATE("* differential.element[",'Prod-1'!A18,"].min = ",'Prod-1'!E18,"")</f>
        <v>* differential.element[12].min = 0</v>
      </c>
      <c r="G13" s="38" t="str">
        <f>CONCATENATE("* differential.element[",'Prod-1'!A18,"].max = """,'Prod-1'!F18,"""")</f>
        <v>* differential.element[12].max = "1"</v>
      </c>
      <c r="H13" s="38" t="str">
        <f>CONCATENATE("* differential.element[",'Prod-1'!A18,"].type.code = #",'Prod-1'!G18,"")</f>
        <v>* differential.element[12].type.code = #BackboneElement</v>
      </c>
      <c r="I13" s="10"/>
    </row>
    <row r="14" spans="2:10" ht="59" x14ac:dyDescent="0.75">
      <c r="B14" s="38" t="str">
        <f>CONCATENATE("* differential.element[",'Prod-1'!$A19,"].id = """,'Prod-1'!$B$6,".",'Prod-1'!B19,"""")</f>
        <v>* differential.element[13].id = "Product.composition.ingredient"</v>
      </c>
      <c r="C14" s="38" t="str">
        <f>CONCATENATE("* differential.element[",'Prod-1'!$A19,"].path = """,'Prod-1'!$B$6,".",'Prod-1'!B19,"""")</f>
        <v>* differential.element[13].path = "Product.composition.ingredient"</v>
      </c>
      <c r="D14" s="38" t="str">
        <f>CONCATENATE("* differential.element[",'Prod-1'!A19,"].short = """,'Prod-1'!C19,"""")</f>
        <v>* differential.element[13].short = "Ingredient (e.g. antigen)"</v>
      </c>
      <c r="E14" s="38" t="str">
        <f>CONCATENATE("* differential.element[",'Prod-1'!A19,"].definition = """,'Prod-1'!D19,"""")</f>
        <v>* differential.element[13].definition = "Information about the ingredients composing this product"</v>
      </c>
      <c r="F14" s="38" t="str">
        <f>CONCATENATE("* differential.element[",'Prod-1'!A19,"].min = ",'Prod-1'!E19,"")</f>
        <v>* differential.element[13].min = 0</v>
      </c>
      <c r="G14" s="38" t="str">
        <f>CONCATENATE("* differential.element[",'Prod-1'!A19,"].max = """,'Prod-1'!F19,"""")</f>
        <v>* differential.element[13].max = "*"</v>
      </c>
      <c r="H14" s="38" t="str">
        <f>CONCATENATE("* differential.element[",'Prod-1'!A19,"].type.code = #",'Prod-1'!G19,"")</f>
        <v>* differential.element[13].type.code = #BackboneElement</v>
      </c>
      <c r="I14" s="10"/>
    </row>
    <row r="15" spans="2:10" ht="59" x14ac:dyDescent="0.75">
      <c r="B15" s="38" t="str">
        <f>CONCATENATE("* differential.element[",'Prod-1'!$A20,"].id = """,'Prod-1'!$B$6,".",'Prod-1'!B20,"""")</f>
        <v>* differential.element[14].id = "Product.composition.ingredient.substanceName"</v>
      </c>
      <c r="C15" s="38" t="str">
        <f>CONCATENATE("* differential.element[",'Prod-1'!$A20,"].path = """,'Prod-1'!$B$6,".",'Prod-1'!B20,"""")</f>
        <v>* differential.element[14].path = "Product.composition.ingredient.substanceName"</v>
      </c>
      <c r="D15" s="38" t="str">
        <f>CONCATENATE("* differential.element[",'Prod-1'!A20,"].short = """,'Prod-1'!C20,"""")</f>
        <v>* differential.element[14].short = "Substance name"</v>
      </c>
      <c r="E15" s="38" t="str">
        <f>CONCATENATE("* differential.element[",'Prod-1'!A20,"].definition = """,'Prod-1'!D20,"""")</f>
        <v>* differential.element[14].definition = "Name of the substance / specified substance"</v>
      </c>
      <c r="F15" s="38" t="str">
        <f>CONCATENATE("* differential.element[",'Prod-1'!A20,"].min = ",'Prod-1'!E20,"")</f>
        <v>* differential.element[14].min = 0</v>
      </c>
      <c r="G15" s="38" t="str">
        <f>CONCATENATE("* differential.element[",'Prod-1'!A20,"].max = """,'Prod-1'!F20,"""")</f>
        <v>* differential.element[14].max = "1"</v>
      </c>
      <c r="H15" s="38" t="str">
        <f>CONCATENATE("* differential.element[",'Prod-1'!A20,"].type.code = #",'Prod-1'!G20,"")</f>
        <v>* differential.element[14].type.code = #string</v>
      </c>
      <c r="I15" s="10"/>
    </row>
    <row r="16" spans="2:10" ht="59" x14ac:dyDescent="0.75">
      <c r="B16" s="38" t="str">
        <f>CONCATENATE("* differential.element[",'Prod-1'!$A21,"].id = """,'Prod-1'!$B$6,".",'Prod-1'!B21,"""")</f>
        <v>* differential.element[15].id = "Product.composition.ingredient.substanceCode"</v>
      </c>
      <c r="C16" s="38" t="str">
        <f>CONCATENATE("* differential.element[",'Prod-1'!$A21,"].path = """,'Prod-1'!$B$6,".",'Prod-1'!B21,"""")</f>
        <v>* differential.element[15].path = "Product.composition.ingredient.substanceCode"</v>
      </c>
      <c r="D16" s="38" t="str">
        <f>CONCATENATE("* differential.element[",'Prod-1'!A21,"].short = """,'Prod-1'!C21,"""")</f>
        <v>* differential.element[15].short = "Substance code"</v>
      </c>
      <c r="E16" s="38" t="str">
        <f>CONCATENATE("* differential.element[",'Prod-1'!A21,"].definition = """,'Prod-1'!D21,"""")</f>
        <v>* differential.element[15].definition = "Code identifying this substance / specified substance. 
A susbtance is 'any matter of defined composition that has discrete existence, whose origin may be biological, mineral or chemical' [source ISO 11616:2017]
When active it is the substance that triggers an immune response to a specific disease with a role of an antigen. 
Derivable from vaccine product.
"</v>
      </c>
      <c r="F16" s="38" t="str">
        <f>CONCATENATE("* differential.element[",'Prod-1'!A21,"].min = ",'Prod-1'!E21,"")</f>
        <v>* differential.element[15].min = 0</v>
      </c>
      <c r="G16" s="38" t="str">
        <f>CONCATENATE("* differential.element[",'Prod-1'!A21,"].max = """,'Prod-1'!F21,"""")</f>
        <v>* differential.element[15].max = "*"</v>
      </c>
      <c r="H16" s="38" t="str">
        <f>CONCATENATE("* differential.element[",'Prod-1'!A21,"].type.code = #",'Prod-1'!G21,"")</f>
        <v>* differential.element[15].type.code = #CodeableConcept</v>
      </c>
      <c r="I16" s="10"/>
    </row>
    <row r="17" spans="2:9" ht="59" x14ac:dyDescent="0.75">
      <c r="B17" s="38" t="str">
        <f>CONCATENATE("* differential.element[",'Prod-1'!$A22,"].id = """,'Prod-1'!$B$6,".",'Prod-1'!B22,"""")</f>
        <v>* differential.element[16].id = "Product.composition.ingredient.ingredientRole"</v>
      </c>
      <c r="C17" s="38" t="str">
        <f>CONCATENATE("* differential.element[",'Prod-1'!$A22,"].path = """,'Prod-1'!$B$6,".",'Prod-1'!B22,"""")</f>
        <v>* differential.element[16].path = "Product.composition.ingredient.ingredientRole"</v>
      </c>
      <c r="D17" s="38" t="str">
        <f>CONCATENATE("* differential.element[",'Prod-1'!A22,"].short = """,'Prod-1'!C22,"""")</f>
        <v>* differential.element[16].short = "Ingredient role"</v>
      </c>
      <c r="E17" s="38" t="str">
        <f>CONCATENATE("* differential.element[",'Prod-1'!A22,"].definition = """,'Prod-1'!D22,"""")</f>
        <v>* differential.element[16].definition = "Role of this ingredient"</v>
      </c>
      <c r="F17" s="38" t="str">
        <f>CONCATENATE("* differential.element[",'Prod-1'!A22,"].min = ",'Prod-1'!E22,"")</f>
        <v>* differential.element[16].min = 0</v>
      </c>
      <c r="G17" s="38" t="str">
        <f>CONCATENATE("* differential.element[",'Prod-1'!A22,"].max = """,'Prod-1'!F22,"""")</f>
        <v>* differential.element[16].max = "1"</v>
      </c>
      <c r="H17" s="38" t="str">
        <f>CONCATENATE("* differential.element[",'Prod-1'!A22,"].type.code = #",'Prod-1'!G22,"")</f>
        <v>* differential.element[16].type.code = #CodeableConcept</v>
      </c>
      <c r="I17" s="10"/>
    </row>
    <row r="18" spans="2:9" ht="59" x14ac:dyDescent="0.75">
      <c r="B18" s="38" t="str">
        <f>CONCATENATE("* differential.element[",'Prod-1'!$A23,"].id = """,'Prod-1'!$B$6,".",'Prod-1'!B23,"""")</f>
        <v>* differential.element[17].id = "Product.composition.ingredient.substanceQuantity"</v>
      </c>
      <c r="C18" s="38" t="str">
        <f>CONCATENATE("* differential.element[",'Prod-1'!$A23,"].path = """,'Prod-1'!$B$6,".",'Prod-1'!B23,"""")</f>
        <v>* differential.element[17].path = "Product.composition.ingredient.substanceQuantity"</v>
      </c>
      <c r="D18" s="38" t="str">
        <f>CONCATENATE("* differential.element[",'Prod-1'!A23,"].short = """,'Prod-1'!C23,"""")</f>
        <v>* differential.element[17].short = "Substance quantity"</v>
      </c>
      <c r="E18" s="38" t="str">
        <f>CONCATENATE("* differential.element[",'Prod-1'!A23,"].definition = """,'Prod-1'!D23,"""")</f>
        <v>* differential.element[17].definition = "Quantity of this substance / specified substance. It can be per unit of presentation or per concentration."</v>
      </c>
      <c r="F18" s="38" t="str">
        <f>CONCATENATE("* differential.element[",'Prod-1'!A23,"].min = ",'Prod-1'!E23,"")</f>
        <v>* differential.element[17].min = 0</v>
      </c>
      <c r="G18" s="38" t="str">
        <f>CONCATENATE("* differential.element[",'Prod-1'!A23,"].max = """,'Prod-1'!F23,"""")</f>
        <v>* differential.element[17].max = "1"</v>
      </c>
      <c r="H18" s="38" t="str">
        <f>CONCATENATE("* differential.element[",'Prod-1'!A23,"].type.code = #",'Prod-1'!G23,"")</f>
        <v>* differential.element[17].type.code = #Ratio</v>
      </c>
      <c r="I18" s="10"/>
    </row>
    <row r="19" spans="2:9" ht="59" x14ac:dyDescent="0.75">
      <c r="B19" s="38" t="str">
        <f>CONCATENATE("* differential.element[",'Prod-1'!$A24,"].id = """,'Prod-1'!$B$6,".",'Prod-1'!B24,"""")</f>
        <v>* differential.element[18].id = "Product.composition.description"</v>
      </c>
      <c r="C19" s="38" t="str">
        <f>CONCATENATE("* differential.element[",'Prod-1'!$A24,"].path = """,'Prod-1'!$B$6,".",'Prod-1'!B24,"""")</f>
        <v>* differential.element[18].path = "Product.composition.description"</v>
      </c>
      <c r="D19" s="38" t="str">
        <f>CONCATENATE("* differential.element[",'Prod-1'!A24,"].short = """,'Prod-1'!C24,"""")</f>
        <v>* differential.element[18].short = "Composition (textual tescription)"</v>
      </c>
      <c r="E19" s="38" t="str">
        <f>CONCATENATE("* differential.element[",'Prod-1'!A24,"].definition = """,'Prod-1'!D24,"""")</f>
        <v>* differential.element[18].definition = "Textual description of the product composition"</v>
      </c>
      <c r="F19" s="38" t="str">
        <f>CONCATENATE("* differential.element[",'Prod-1'!A24,"].min = ",'Prod-1'!E24,"")</f>
        <v>* differential.element[18].min = 0</v>
      </c>
      <c r="G19" s="38" t="str">
        <f>CONCATENATE("* differential.element[",'Prod-1'!A24,"].max = """,'Prod-1'!F24,"""")</f>
        <v>* differential.element[18].max = "1"</v>
      </c>
      <c r="H19" s="38" t="str">
        <f>CONCATENATE("* differential.element[",'Prod-1'!A24,"].type.code = #",'Prod-1'!G24,"")</f>
        <v>* differential.element[18].type.code = #string</v>
      </c>
      <c r="I19" s="10"/>
    </row>
    <row r="20" spans="2:9" ht="59" x14ac:dyDescent="0.75">
      <c r="B20" s="38" t="str">
        <f>CONCATENATE("* differential.element[",'Prod-1'!$A25,"].id = """,'Prod-1'!$B$6,".",'Prod-1'!B25,"""")</f>
        <v>* differential.element[19].id = "Product.marketAuthorizationHolder"</v>
      </c>
      <c r="C20" s="38" t="str">
        <f>CONCATENATE("* differential.element[",'Prod-1'!$A25,"].path = """,'Prod-1'!$B$6,".",'Prod-1'!B25,"""")</f>
        <v>* differential.element[19].path = "Product.marketAuthorizationHolder"</v>
      </c>
      <c r="D20" s="38" t="str">
        <f>CONCATENATE("* differential.element[",'Prod-1'!A25,"].short = """,'Prod-1'!C25,"""")</f>
        <v>* differential.element[19].short = "Market Authorization Holder (MAH)"</v>
      </c>
      <c r="E20" s="38" t="str">
        <f>CONCATENATE("* differential.element[",'Prod-1'!A25,"].definition = """,'Prod-1'!D25,"""")</f>
        <v>* differential.element[19].definition = "the organisation that holds the authorisation for marketing a Medicinal Product in a region"</v>
      </c>
      <c r="F20" s="38" t="str">
        <f>CONCATENATE("* differential.element[",'Prod-1'!A25,"].min = ",'Prod-1'!E25,"")</f>
        <v>* differential.element[19].min = 0</v>
      </c>
      <c r="G20" s="38" t="str">
        <f>CONCATENATE("* differential.element[",'Prod-1'!A25,"].max = """,'Prod-1'!F25,"""")</f>
        <v>* differential.element[19].max = "1"</v>
      </c>
      <c r="H20" s="38" t="str">
        <f>CONCATENATE("* differential.element[",'Prod-1'!A25,"].type.code = #",'Prod-1'!G25,"")</f>
        <v>* differential.element[19].type.code = #http://iso.org/fhir/ts-5384/StructureDefinition/SimpleOrganization</v>
      </c>
      <c r="I20" s="10"/>
    </row>
    <row r="21" spans="2:9" ht="103.25" x14ac:dyDescent="0.75">
      <c r="B21" s="38" t="str">
        <f>CONCATENATE("* differential.element[",'Prod-1'!$A26,"].id = """,'Prod-1'!$B$6,".",'Prod-1'!B26,"""")</f>
        <v>* differential.element[20].id = "Product.manufacturer"</v>
      </c>
      <c r="C21" s="38" t="str">
        <f>CONCATENATE("* differential.element[",'Prod-1'!$A26,"].path = """,'Prod-1'!$B$6,".",'Prod-1'!B26,"""")</f>
        <v>* differential.element[20].path = "Product.manufacturer"</v>
      </c>
      <c r="D21" s="38" t="str">
        <f>CONCATENATE("* differential.element[",'Prod-1'!A26,"].short = """,'Prod-1'!C26,"""")</f>
        <v>* differential.element[20].short = "manufacturer"</v>
      </c>
      <c r="E21" s="38" t="str">
        <f>CONCATENATE("* differential.element[",'Prod-1'!A26,"].definition = """,'Prod-1'!D26,"""")</f>
        <v>* differential.element[20].definition = "Organisation that holds the authorisation for the manufacturing process"</v>
      </c>
      <c r="F21" s="38" t="str">
        <f>CONCATENATE("* differential.element[",'Prod-1'!A26,"].min = ",'Prod-1'!E26,"")</f>
        <v>* differential.element[20].min = 0</v>
      </c>
      <c r="G21" s="38" t="str">
        <f>CONCATENATE("* differential.element[",'Prod-1'!A26,"].max = """,'Prod-1'!F26,"""")</f>
        <v>* differential.element[20].max = "1"</v>
      </c>
      <c r="H21" s="38" t="str">
        <f>CONCATENATE("* differential.element[",'Prod-1'!A26,"].type.code = #",'Prod-1'!G26,"")</f>
        <v>* differential.element[20].type.code = #http://iso.org/fhir/ts-5384/StructureDefinition/SimpleOrganization</v>
      </c>
      <c r="I21" s="10"/>
    </row>
    <row r="22" spans="2:9" ht="191.75" x14ac:dyDescent="0.75">
      <c r="B22" s="38" t="str">
        <f>CONCATENATE("* differential.element[",'Prod-1'!$A27,"].id = """,'Prod-1'!$B$6,".",'Prod-1'!B27,"""")</f>
        <v>* differential.element[21].id = "Product.expiryDate"</v>
      </c>
      <c r="C22" s="38" t="str">
        <f>CONCATENATE("* differential.element[",'Prod-1'!$A27,"].path = """,'Prod-1'!$B$6,".",'Prod-1'!B27,"""")</f>
        <v>* differential.element[21].path = "Product.expiryDate"</v>
      </c>
      <c r="D22" s="38" t="str">
        <f>CONCATENATE("* differential.element[",'Prod-1'!A27,"].short = """,'Prod-1'!C27,"""")</f>
        <v>* differential.element[21].short = "Expiry Date"</v>
      </c>
      <c r="E22" s="38" t="str">
        <f>CONCATENATE("* differential.element[",'Prod-1'!A27,"].definition = """,'Prod-1'!D27,"""")</f>
        <v>* differential.element[21].definition = "Date, assigned to the Medicinal Immunizing Product by the manufacturer, after which the product should not be administered as product integrity cannot be guaranteed.  
The Medicinal Immunizing Product, along with the Medicinal Immunizing Product Lot Number and Medicinal Immunizing Product Expiry Date, uniquely identifies an immunizing product. 
A key variable in vaccine recalls because each lot number may have more than one expiry date.  
Expiry date may be changed (reduced) due to a cold chain break. "</v>
      </c>
      <c r="F22" s="38" t="str">
        <f>CONCATENATE("* differential.element[",'Prod-1'!A27,"].min = ",'Prod-1'!E27,"")</f>
        <v>* differential.element[21].min = 0</v>
      </c>
      <c r="G22" s="38" t="str">
        <f>CONCATENATE("* differential.element[",'Prod-1'!A27,"].max = """,'Prod-1'!F27,"""")</f>
        <v>* differential.element[21].max = "1"</v>
      </c>
      <c r="H22" s="38" t="str">
        <f>CONCATENATE("* differential.element[",'Prod-1'!A27,"].type.code = #",'Prod-1'!G27,"")</f>
        <v>* differential.element[21].type.code = #date</v>
      </c>
      <c r="I22" s="10"/>
    </row>
    <row r="23" spans="2:9" x14ac:dyDescent="0.75">
      <c r="B23" s="38"/>
      <c r="C23" s="38"/>
      <c r="D23" s="38"/>
      <c r="E23" s="38"/>
      <c r="F23" s="38"/>
      <c r="G23" s="38"/>
      <c r="H23" s="38"/>
      <c r="I23" s="10"/>
    </row>
    <row r="24" spans="2:9" x14ac:dyDescent="0.75">
      <c r="B24" s="38"/>
      <c r="C24" s="38"/>
      <c r="D24" s="38"/>
      <c r="E24" s="38"/>
      <c r="F24" s="38"/>
      <c r="G24" s="38"/>
      <c r="H24" s="38"/>
      <c r="I24" s="10"/>
    </row>
    <row r="25" spans="2:9" x14ac:dyDescent="0.75">
      <c r="B25" s="38"/>
      <c r="C25" s="38"/>
      <c r="D25" s="38"/>
      <c r="E25" s="38"/>
      <c r="F25" s="38"/>
      <c r="G25" s="38"/>
      <c r="H25" s="38"/>
      <c r="I25" s="10"/>
    </row>
    <row r="26" spans="2:9" x14ac:dyDescent="0.75">
      <c r="B26" s="38"/>
      <c r="C26" s="38"/>
      <c r="D26" s="38"/>
      <c r="E26" s="38"/>
      <c r="F26" s="38"/>
      <c r="G26" s="38"/>
      <c r="H26" s="38"/>
    </row>
    <row r="27" spans="2:9" x14ac:dyDescent="0.75">
      <c r="B27" s="38"/>
      <c r="C27" s="38"/>
      <c r="D27" s="38"/>
      <c r="E27" s="38"/>
      <c r="F27" s="38"/>
      <c r="G27" s="38"/>
      <c r="H27" s="38"/>
    </row>
    <row r="28" spans="2:9" x14ac:dyDescent="0.75">
      <c r="B28" s="38"/>
      <c r="C28" s="38"/>
      <c r="D28" s="38"/>
      <c r="E28" s="38"/>
      <c r="F28" s="38"/>
      <c r="G28" s="38"/>
      <c r="H28" s="38"/>
    </row>
    <row r="29" spans="2:9" x14ac:dyDescent="0.75">
      <c r="B29" s="38"/>
      <c r="C29" s="38"/>
      <c r="D29" s="38"/>
      <c r="E29" s="38"/>
      <c r="F29" s="38"/>
      <c r="G29" s="38"/>
      <c r="H29" s="38"/>
    </row>
    <row r="30" spans="2:9" x14ac:dyDescent="0.75">
      <c r="B30" s="38"/>
      <c r="C30" s="38"/>
      <c r="D30" s="38"/>
      <c r="E30" s="38"/>
      <c r="F30" s="38"/>
      <c r="G30" s="38"/>
      <c r="H30" s="38"/>
    </row>
    <row r="31" spans="2:9" x14ac:dyDescent="0.75">
      <c r="B31" s="38"/>
      <c r="C31" s="38"/>
      <c r="D31" s="38"/>
      <c r="E31" s="38"/>
      <c r="F31" s="38"/>
      <c r="G31" s="38"/>
      <c r="H31" s="38"/>
    </row>
    <row r="32" spans="2:9" x14ac:dyDescent="0.75">
      <c r="B32" s="38"/>
      <c r="C32" s="38"/>
      <c r="D32" s="38"/>
      <c r="E32" s="38"/>
      <c r="F32" s="38"/>
      <c r="G32" s="38"/>
      <c r="H32" s="38"/>
    </row>
    <row r="33" spans="2:8" x14ac:dyDescent="0.75">
      <c r="B33" s="38"/>
      <c r="C33" s="38"/>
      <c r="D33" s="38"/>
      <c r="E33" s="38"/>
      <c r="F33" s="38"/>
      <c r="G33" s="38"/>
      <c r="H33" s="38"/>
    </row>
    <row r="34" spans="2:8" x14ac:dyDescent="0.75">
      <c r="B34" s="38"/>
      <c r="C34" s="38"/>
      <c r="D34" s="38"/>
      <c r="E34" s="38"/>
      <c r="F34" s="38"/>
      <c r="G34" s="38"/>
      <c r="H34" s="38"/>
    </row>
    <row r="35" spans="2:8" x14ac:dyDescent="0.75">
      <c r="B35" s="38"/>
      <c r="C35" s="38"/>
      <c r="D35" s="38"/>
      <c r="E35" s="38"/>
      <c r="F35" s="38"/>
      <c r="G35" s="38"/>
      <c r="H35" s="38"/>
    </row>
    <row r="36" spans="2:8" x14ac:dyDescent="0.75">
      <c r="B36" s="38"/>
      <c r="C36" s="38"/>
      <c r="D36" s="38"/>
      <c r="E36" s="38"/>
      <c r="F36" s="38"/>
      <c r="G36" s="38"/>
      <c r="H36" s="38"/>
    </row>
    <row r="37" spans="2:8" x14ac:dyDescent="0.75">
      <c r="B37" s="38"/>
      <c r="C37" s="38"/>
      <c r="D37" s="38"/>
      <c r="E37" s="38"/>
      <c r="F37" s="38"/>
      <c r="G37" s="38"/>
      <c r="H37" s="38"/>
    </row>
    <row r="38" spans="2:8" x14ac:dyDescent="0.75">
      <c r="B38" s="38"/>
      <c r="C38" s="38"/>
      <c r="D38" s="38"/>
      <c r="E38" s="38"/>
      <c r="F38" s="38"/>
      <c r="G38" s="38"/>
      <c r="H38" s="38"/>
    </row>
    <row r="39" spans="2:8" x14ac:dyDescent="0.75">
      <c r="B39" s="38"/>
      <c r="C39" s="38"/>
      <c r="D39" s="38"/>
      <c r="E39" s="38"/>
      <c r="F39" s="38"/>
      <c r="G39" s="38"/>
      <c r="H39" s="38"/>
    </row>
    <row r="40" spans="2:8" x14ac:dyDescent="0.75">
      <c r="B40" s="38"/>
      <c r="C40" s="38"/>
      <c r="D40" s="38"/>
      <c r="E40" s="38"/>
      <c r="F40" s="38"/>
      <c r="G40" s="38"/>
      <c r="H40" s="38"/>
    </row>
    <row r="41" spans="2:8" x14ac:dyDescent="0.75">
      <c r="B41" s="38"/>
      <c r="C41" s="38"/>
      <c r="D41" s="38"/>
      <c r="E41" s="38"/>
      <c r="F41" s="38"/>
      <c r="G41" s="38"/>
      <c r="H41" s="38"/>
    </row>
    <row r="42" spans="2:8" x14ac:dyDescent="0.75">
      <c r="B42" s="38"/>
      <c r="C42" s="38"/>
      <c r="D42" s="38"/>
      <c r="E42" s="38"/>
      <c r="F42" s="38"/>
      <c r="G42" s="38"/>
      <c r="H42" s="38"/>
    </row>
    <row r="43" spans="2:8" x14ac:dyDescent="0.75">
      <c r="B43" s="38"/>
      <c r="C43" s="38"/>
      <c r="D43" s="38"/>
      <c r="E43" s="38"/>
      <c r="F43" s="38"/>
      <c r="G43" s="38"/>
      <c r="H43" s="38"/>
    </row>
    <row r="44" spans="2:8" x14ac:dyDescent="0.75">
      <c r="B44" s="38"/>
      <c r="C44" s="38"/>
      <c r="D44" s="38"/>
      <c r="E44" s="38"/>
      <c r="F44" s="38"/>
      <c r="G44" s="38"/>
      <c r="H44" s="38"/>
    </row>
    <row r="45" spans="2:8" x14ac:dyDescent="0.75">
      <c r="B45" s="38"/>
      <c r="C45" s="38"/>
      <c r="D45" s="38"/>
      <c r="E45" s="38"/>
      <c r="F45" s="38"/>
      <c r="G45" s="38"/>
      <c r="H45" s="38"/>
    </row>
    <row r="46" spans="2:8" x14ac:dyDescent="0.75">
      <c r="B46" s="38"/>
      <c r="C46" s="38"/>
      <c r="D46" s="38"/>
      <c r="E46" s="38"/>
      <c r="F46" s="38"/>
      <c r="G46" s="38"/>
      <c r="H46" s="38"/>
    </row>
    <row r="47" spans="2:8" x14ac:dyDescent="0.75">
      <c r="B47" s="38"/>
      <c r="C47" s="38"/>
      <c r="D47" s="38"/>
      <c r="E47" s="38"/>
      <c r="F47" s="38"/>
      <c r="G47" s="38"/>
      <c r="H47" s="38"/>
    </row>
    <row r="48" spans="2:8" x14ac:dyDescent="0.75">
      <c r="B48" s="38"/>
      <c r="C48" s="38"/>
      <c r="D48" s="38"/>
      <c r="E48" s="38"/>
      <c r="F48" s="38"/>
      <c r="G48" s="38"/>
      <c r="H48" s="38"/>
    </row>
    <row r="49" spans="2:8" x14ac:dyDescent="0.75">
      <c r="B49" s="38"/>
      <c r="C49" s="38"/>
      <c r="D49" s="38"/>
      <c r="E49" s="38"/>
      <c r="F49" s="38"/>
      <c r="G49" s="38"/>
      <c r="H49" s="38"/>
    </row>
    <row r="50" spans="2:8" x14ac:dyDescent="0.75">
      <c r="B50" s="38"/>
      <c r="C50" s="38"/>
      <c r="D50" s="38"/>
      <c r="E50" s="38"/>
      <c r="F50" s="38"/>
      <c r="G50" s="38"/>
      <c r="H50" s="38"/>
    </row>
    <row r="51" spans="2:8" x14ac:dyDescent="0.75">
      <c r="B51" s="38"/>
      <c r="C51" s="38"/>
      <c r="D51" s="38"/>
      <c r="E51" s="38"/>
      <c r="F51" s="38"/>
      <c r="G51" s="38"/>
      <c r="H51" s="38"/>
    </row>
    <row r="52" spans="2:8" x14ac:dyDescent="0.75">
      <c r="B52" s="38"/>
      <c r="C52" s="38"/>
      <c r="D52" s="38"/>
      <c r="E52" s="38"/>
      <c r="F52" s="38"/>
      <c r="G52" s="38"/>
      <c r="H52" s="38"/>
    </row>
    <row r="53" spans="2:8" x14ac:dyDescent="0.75">
      <c r="B53" s="38"/>
      <c r="C53" s="38"/>
      <c r="D53" s="38"/>
      <c r="E53" s="38"/>
      <c r="F53" s="38"/>
      <c r="G53" s="38"/>
      <c r="H53" s="38"/>
    </row>
    <row r="54" spans="2:8" x14ac:dyDescent="0.75">
      <c r="B54" s="38"/>
      <c r="C54" s="38"/>
      <c r="D54" s="38"/>
      <c r="E54" s="38"/>
      <c r="F54" s="38"/>
      <c r="G54" s="38"/>
      <c r="H54" s="38"/>
    </row>
    <row r="55" spans="2:8" x14ac:dyDescent="0.75">
      <c r="B55" s="38"/>
      <c r="C55" s="38"/>
      <c r="D55" s="38"/>
      <c r="E55" s="38"/>
      <c r="F55" s="38"/>
      <c r="G55" s="38"/>
      <c r="H55" s="38"/>
    </row>
    <row r="56" spans="2:8" x14ac:dyDescent="0.75">
      <c r="B56" s="38"/>
      <c r="C56" s="38"/>
      <c r="D56" s="38"/>
      <c r="E56" s="38"/>
      <c r="F56" s="38"/>
      <c r="G56" s="38"/>
      <c r="H56" s="38"/>
    </row>
    <row r="57" spans="2:8" x14ac:dyDescent="0.75">
      <c r="B57" s="38"/>
      <c r="C57" s="38"/>
      <c r="D57" s="38"/>
      <c r="E57" s="38"/>
      <c r="F57" s="38"/>
      <c r="G57" s="38"/>
      <c r="H57" s="38"/>
    </row>
    <row r="58" spans="2:8" x14ac:dyDescent="0.75">
      <c r="B58" s="38"/>
      <c r="C58" s="38"/>
      <c r="D58" s="38"/>
      <c r="E58" s="38"/>
      <c r="F58" s="38"/>
      <c r="G58" s="38"/>
      <c r="H58" s="38"/>
    </row>
    <row r="59" spans="2:8" x14ac:dyDescent="0.75">
      <c r="B59" s="38"/>
      <c r="C59" s="38"/>
      <c r="D59" s="38"/>
      <c r="E59" s="38"/>
      <c r="F59" s="38"/>
      <c r="G59" s="38"/>
      <c r="H59" s="38"/>
    </row>
    <row r="60" spans="2:8" x14ac:dyDescent="0.75">
      <c r="B60" s="38"/>
      <c r="C60" s="38"/>
      <c r="D60" s="38"/>
      <c r="E60" s="38"/>
      <c r="F60" s="38"/>
      <c r="G60" s="38"/>
      <c r="H60" s="38"/>
    </row>
    <row r="61" spans="2:8" x14ac:dyDescent="0.75">
      <c r="B61" s="38"/>
      <c r="C61" s="38"/>
      <c r="D61" s="38"/>
      <c r="E61" s="38"/>
      <c r="F61" s="38"/>
      <c r="G61" s="38"/>
      <c r="H61" s="38"/>
    </row>
    <row r="62" spans="2:8" x14ac:dyDescent="0.75">
      <c r="B62" s="38"/>
      <c r="C62" s="38"/>
      <c r="D62" s="38"/>
      <c r="E62" s="38"/>
      <c r="F62" s="38"/>
      <c r="G62" s="38"/>
      <c r="H62" s="38"/>
    </row>
    <row r="63" spans="2:8" x14ac:dyDescent="0.75">
      <c r="B63" s="38"/>
      <c r="C63" s="38"/>
      <c r="D63" s="38"/>
      <c r="E63" s="38"/>
      <c r="F63" s="38"/>
      <c r="G63" s="38"/>
      <c r="H63" s="38"/>
    </row>
    <row r="64" spans="2:8" x14ac:dyDescent="0.75">
      <c r="B64" s="38"/>
      <c r="C64" s="38"/>
      <c r="D64" s="38"/>
      <c r="E64" s="38"/>
      <c r="F64" s="38"/>
      <c r="G64" s="38"/>
      <c r="H64" s="38"/>
    </row>
    <row r="65" spans="2:8" x14ac:dyDescent="0.75">
      <c r="B65" s="38"/>
      <c r="C65" s="38"/>
      <c r="D65" s="38"/>
      <c r="E65" s="38"/>
      <c r="F65" s="38"/>
      <c r="G65" s="38"/>
      <c r="H65" s="38"/>
    </row>
    <row r="66" spans="2:8" x14ac:dyDescent="0.75">
      <c r="B66" s="38"/>
      <c r="C66" s="38"/>
      <c r="D66" s="38"/>
      <c r="E66" s="38"/>
      <c r="F66" s="38"/>
      <c r="G66" s="38"/>
      <c r="H66" s="38"/>
    </row>
    <row r="67" spans="2:8" x14ac:dyDescent="0.75">
      <c r="B67" s="38"/>
      <c r="C67" s="38"/>
      <c r="D67" s="38"/>
      <c r="E67" s="38"/>
      <c r="F67" s="38"/>
      <c r="G67" s="38"/>
      <c r="H67" s="38"/>
    </row>
    <row r="68" spans="2:8" x14ac:dyDescent="0.75">
      <c r="B68" s="38"/>
      <c r="C68" s="38"/>
      <c r="D68" s="38"/>
      <c r="E68" s="38"/>
      <c r="F68" s="38"/>
      <c r="G68" s="38"/>
      <c r="H68" s="38"/>
    </row>
    <row r="69" spans="2:8" x14ac:dyDescent="0.75">
      <c r="B69" s="38"/>
      <c r="C69" s="38"/>
      <c r="D69" s="38"/>
      <c r="E69" s="38"/>
      <c r="F69" s="38"/>
      <c r="G69" s="38"/>
      <c r="H69" s="38"/>
    </row>
    <row r="70" spans="2:8" x14ac:dyDescent="0.75">
      <c r="B70" s="38"/>
      <c r="C70" s="38"/>
      <c r="D70" s="38"/>
      <c r="E70" s="38"/>
      <c r="F70" s="38"/>
      <c r="G70" s="38"/>
      <c r="H70" s="38"/>
    </row>
    <row r="71" spans="2:8" x14ac:dyDescent="0.75">
      <c r="B71" s="38"/>
      <c r="C71" s="38"/>
      <c r="D71" s="38"/>
      <c r="E71" s="38"/>
      <c r="F71" s="38"/>
      <c r="G71" s="38"/>
      <c r="H71" s="38"/>
    </row>
    <row r="72" spans="2:8" x14ac:dyDescent="0.75">
      <c r="B72" s="38"/>
      <c r="C72" s="38"/>
      <c r="D72" s="38"/>
      <c r="E72" s="38"/>
      <c r="F72" s="38"/>
      <c r="G72" s="38"/>
      <c r="H72" s="38"/>
    </row>
    <row r="73" spans="2:8" x14ac:dyDescent="0.75">
      <c r="B73" s="38"/>
      <c r="C73" s="38"/>
      <c r="D73" s="38"/>
      <c r="E73" s="38"/>
      <c r="F73" s="38"/>
      <c r="G73" s="38"/>
      <c r="H73" s="38"/>
    </row>
    <row r="74" spans="2:8" x14ac:dyDescent="0.75">
      <c r="B74" s="38"/>
      <c r="C74" s="38"/>
      <c r="D74" s="38"/>
      <c r="E74" s="38"/>
      <c r="F74" s="38"/>
      <c r="G74" s="38"/>
      <c r="H74" s="38"/>
    </row>
    <row r="75" spans="2:8" x14ac:dyDescent="0.75">
      <c r="B75" s="38"/>
      <c r="C75" s="38"/>
      <c r="D75" s="38"/>
      <c r="E75" s="38"/>
      <c r="F75" s="38"/>
      <c r="G75" s="38"/>
      <c r="H75" s="38"/>
    </row>
    <row r="76" spans="2:8" x14ac:dyDescent="0.75">
      <c r="B76" s="38"/>
      <c r="C76" s="38"/>
      <c r="D76" s="38"/>
      <c r="E76" s="38"/>
      <c r="F76" s="38"/>
      <c r="G76" s="38"/>
      <c r="H76" s="38"/>
    </row>
    <row r="77" spans="2:8" x14ac:dyDescent="0.75">
      <c r="B77" s="38"/>
      <c r="C77" s="38"/>
      <c r="D77" s="38"/>
      <c r="E77" s="38"/>
      <c r="F77" s="38"/>
      <c r="G77" s="38"/>
      <c r="H77" s="38"/>
    </row>
    <row r="78" spans="2:8" x14ac:dyDescent="0.75">
      <c r="B78" s="38"/>
      <c r="C78" s="38"/>
      <c r="D78" s="38"/>
      <c r="E78" s="38"/>
      <c r="F78" s="38"/>
      <c r="G78" s="38"/>
      <c r="H78" s="38"/>
    </row>
    <row r="79" spans="2:8" x14ac:dyDescent="0.75">
      <c r="B79" s="38"/>
      <c r="C79" s="38"/>
      <c r="D79" s="38"/>
      <c r="E79" s="38"/>
      <c r="F79" s="38"/>
      <c r="G79" s="38"/>
      <c r="H79" s="38"/>
    </row>
    <row r="80" spans="2:8" x14ac:dyDescent="0.75">
      <c r="B80" s="38"/>
      <c r="C80" s="38"/>
      <c r="D80" s="38"/>
      <c r="E80" s="38"/>
      <c r="F80" s="38"/>
      <c r="G80" s="38"/>
      <c r="H80" s="38"/>
    </row>
    <row r="81" spans="2:8" x14ac:dyDescent="0.75">
      <c r="B81" s="38"/>
      <c r="C81" s="38"/>
      <c r="D81" s="38"/>
      <c r="E81" s="38"/>
      <c r="F81" s="38"/>
      <c r="G81" s="38"/>
      <c r="H81" s="38"/>
    </row>
    <row r="82" spans="2:8" x14ac:dyDescent="0.75">
      <c r="B82" s="38"/>
      <c r="C82" s="38"/>
      <c r="D82" s="38"/>
      <c r="E82" s="38"/>
      <c r="F82" s="38"/>
      <c r="G82" s="38"/>
      <c r="H82" s="38"/>
    </row>
    <row r="83" spans="2:8" x14ac:dyDescent="0.75">
      <c r="B83" s="38"/>
      <c r="C83" s="38"/>
      <c r="D83" s="38"/>
      <c r="E83" s="38"/>
      <c r="F83" s="38"/>
      <c r="G83" s="38"/>
      <c r="H83" s="38"/>
    </row>
    <row r="84" spans="2:8" x14ac:dyDescent="0.75">
      <c r="B84" s="38"/>
      <c r="C84" s="38"/>
      <c r="D84" s="38"/>
      <c r="E84" s="38"/>
      <c r="F84" s="38"/>
      <c r="G84" s="38"/>
      <c r="H84" s="38"/>
    </row>
    <row r="85" spans="2:8" x14ac:dyDescent="0.75">
      <c r="B85" s="38"/>
      <c r="C85" s="38"/>
      <c r="D85" s="38"/>
      <c r="E85" s="38"/>
      <c r="F85" s="38"/>
      <c r="G85" s="38"/>
      <c r="H85" s="38"/>
    </row>
    <row r="86" spans="2:8" x14ac:dyDescent="0.75">
      <c r="B86" s="38"/>
      <c r="C86" s="38"/>
      <c r="D86" s="38"/>
      <c r="E86" s="38"/>
      <c r="F86" s="38"/>
      <c r="G86" s="38"/>
      <c r="H86" s="38"/>
    </row>
    <row r="87" spans="2:8" x14ac:dyDescent="0.75">
      <c r="B87" s="38"/>
      <c r="C87" s="38"/>
      <c r="D87" s="38"/>
      <c r="E87" s="38"/>
      <c r="F87" s="38"/>
      <c r="G87" s="38"/>
      <c r="H87" s="38"/>
    </row>
    <row r="88" spans="2:8" x14ac:dyDescent="0.75">
      <c r="B88" s="38"/>
      <c r="C88" s="38"/>
      <c r="D88" s="38"/>
      <c r="E88" s="38"/>
      <c r="F88" s="38"/>
      <c r="G88" s="38"/>
      <c r="H88" s="38"/>
    </row>
    <row r="89" spans="2:8" x14ac:dyDescent="0.75">
      <c r="B89" s="38"/>
      <c r="C89" s="38"/>
      <c r="D89" s="38"/>
      <c r="E89" s="38"/>
      <c r="F89" s="38"/>
      <c r="G89" s="38"/>
      <c r="H89" s="38"/>
    </row>
    <row r="90" spans="2:8" x14ac:dyDescent="0.75">
      <c r="B90" s="38"/>
      <c r="C90" s="38"/>
      <c r="D90" s="38"/>
      <c r="E90" s="38"/>
      <c r="F90" s="38"/>
      <c r="G90" s="38"/>
      <c r="H90" s="38"/>
    </row>
    <row r="91" spans="2:8" x14ac:dyDescent="0.75">
      <c r="B91" s="38"/>
      <c r="C91" s="38"/>
      <c r="D91" s="38"/>
      <c r="E91" s="38"/>
      <c r="F91" s="38"/>
      <c r="G91" s="38"/>
      <c r="H91" s="38"/>
    </row>
    <row r="92" spans="2:8" x14ac:dyDescent="0.75">
      <c r="B92" s="38"/>
      <c r="C92" s="38"/>
      <c r="D92" s="38"/>
      <c r="E92" s="38"/>
      <c r="F92" s="38"/>
      <c r="G92" s="38"/>
      <c r="H92" s="38"/>
    </row>
    <row r="93" spans="2:8" x14ac:dyDescent="0.75">
      <c r="B93" s="38"/>
      <c r="C93" s="38"/>
      <c r="D93" s="38"/>
      <c r="E93" s="38"/>
      <c r="F93" s="38"/>
      <c r="G93" s="38"/>
      <c r="H93" s="38"/>
    </row>
    <row r="94" spans="2:8" x14ac:dyDescent="0.75">
      <c r="B94" s="38"/>
      <c r="C94" s="38"/>
      <c r="D94" s="38"/>
      <c r="E94" s="38"/>
      <c r="F94" s="38"/>
      <c r="G94" s="38"/>
      <c r="H94" s="38"/>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F72B5-E2C9-4B28-B39F-76C38863BFCB}">
  <sheetPr codeName="Foglio40"/>
  <dimension ref="A2:G263"/>
  <sheetViews>
    <sheetView topLeftCell="A61" workbookViewId="0">
      <selection activeCell="D30" sqref="D30:D263"/>
    </sheetView>
  </sheetViews>
  <sheetFormatPr defaultRowHeight="14.75" x14ac:dyDescent="0.75"/>
  <cols>
    <col min="1" max="3" width="8.7265625" style="31"/>
    <col min="4" max="4" width="130.81640625" style="31" customWidth="1"/>
    <col min="5" max="5" width="19.86328125" style="31" customWidth="1"/>
    <col min="6" max="6" width="8.7265625" style="31"/>
    <col min="7" max="7" width="69.36328125" style="31" customWidth="1"/>
    <col min="8" max="16384" width="8.7265625" style="31"/>
  </cols>
  <sheetData>
    <row r="2" spans="4:5" x14ac:dyDescent="0.75">
      <c r="D2" s="17" t="str">
        <f>CONCATENATE("Instance: ",'Prod-1'!B6)</f>
        <v>Instance: Product</v>
      </c>
    </row>
    <row r="3" spans="4:5" x14ac:dyDescent="0.75">
      <c r="D3" s="17" t="s">
        <v>22</v>
      </c>
    </row>
    <row r="4" spans="4:5" x14ac:dyDescent="0.75">
      <c r="D4" s="17" t="str">
        <f>CONCATENATE("Description: """,'Prod-1'!D2,"""")</f>
        <v>Description: "A product  that have or should have been administered to a subject that includes one or more specific antigen(s) aimed at developing an immune response in an individual to provide protection from a vaccine preventable disease(s)."</v>
      </c>
      <c r="E4" s="17"/>
    </row>
    <row r="5" spans="4:5" x14ac:dyDescent="0.75">
      <c r="D5" s="17" t="str">
        <f>CONCATENATE("Title: """,'Prod-1'!C2,"""")</f>
        <v>Title: "Product"</v>
      </c>
      <c r="E5" s="17"/>
    </row>
    <row r="6" spans="4:5" x14ac:dyDescent="0.75">
      <c r="D6" s="17" t="s">
        <v>23</v>
      </c>
      <c r="E6" s="17"/>
    </row>
    <row r="7" spans="4:5" x14ac:dyDescent="0.75">
      <c r="D7" s="17"/>
      <c r="E7" s="17"/>
    </row>
    <row r="8" spans="4:5" x14ac:dyDescent="0.75">
      <c r="D8" s="17" t="str">
        <f>CONCATENATE("* publisher = """,'Prod-1'!B4,"""")</f>
        <v>* publisher = "ISO/TC 521 WG3"</v>
      </c>
      <c r="E8" s="17"/>
    </row>
    <row r="9" spans="4:5" x14ac:dyDescent="0.75">
      <c r="D9" s="17" t="s">
        <v>24</v>
      </c>
      <c r="E9" s="17"/>
    </row>
    <row r="10" spans="4:5" x14ac:dyDescent="0.75">
      <c r="D10" s="17" t="str">
        <f>CONCATENATE("* url = """,'Prod-1'!B2,"/StructureDefinition/",'Prod-1'!B6,"""")</f>
        <v>* url = "http://iso.org/fhir/ts-5384/StructureDefinition/Product"</v>
      </c>
      <c r="E10" s="17"/>
    </row>
    <row r="11" spans="4:5" x14ac:dyDescent="0.75">
      <c r="D11" s="17" t="str">
        <f>CONCATENATE("* name = """,'Prod-1'!B6,"""")</f>
        <v>* name = "Product"</v>
      </c>
      <c r="E11" s="17"/>
    </row>
    <row r="12" spans="4:5" x14ac:dyDescent="0.75">
      <c r="D12" s="17" t="str">
        <f>CONCATENATE("* title = """,'Prod-1'!C2,"""")</f>
        <v>* title = "Product"</v>
      </c>
      <c r="E12" s="17"/>
    </row>
    <row r="13" spans="4:5" x14ac:dyDescent="0.75">
      <c r="D13" s="17" t="s">
        <v>24</v>
      </c>
      <c r="E13" s="17"/>
    </row>
    <row r="14" spans="4:5" x14ac:dyDescent="0.75">
      <c r="D14" s="17" t="s">
        <v>25</v>
      </c>
      <c r="E14" s="17"/>
    </row>
    <row r="15" spans="4:5" x14ac:dyDescent="0.75">
      <c r="D15" s="17" t="str">
        <f>CONCATENATE("* description = """,'Prod-1'!D2,"""")</f>
        <v>* description = "A product  that have or should have been administered to a subject that includes one or more specific antigen(s) aimed at developing an immune response in an individual to provide protection from a vaccine preventable disease(s)."</v>
      </c>
      <c r="E15" s="17"/>
    </row>
    <row r="16" spans="4:5" x14ac:dyDescent="0.75">
      <c r="D16" s="17" t="s">
        <v>26</v>
      </c>
      <c r="E16" s="17"/>
    </row>
    <row r="17" spans="1:5" x14ac:dyDescent="0.75">
      <c r="D17" s="17" t="s">
        <v>27</v>
      </c>
      <c r="E17" s="17"/>
    </row>
    <row r="18" spans="1:5" x14ac:dyDescent="0.75">
      <c r="D18" s="17" t="s">
        <v>28</v>
      </c>
      <c r="E18" s="17"/>
    </row>
    <row r="19" spans="1:5" x14ac:dyDescent="0.75">
      <c r="D19" s="17" t="str">
        <f>CONCATENATE("* type = """,'Prod-1'!B6,"""")</f>
        <v>* type = "Product"</v>
      </c>
      <c r="E19" s="17"/>
    </row>
    <row r="20" spans="1:5" x14ac:dyDescent="0.75">
      <c r="D20" s="17" t="s">
        <v>29</v>
      </c>
    </row>
    <row r="21" spans="1:5" x14ac:dyDescent="0.75">
      <c r="D21" s="17" t="s">
        <v>30</v>
      </c>
    </row>
    <row r="23" spans="1:5" x14ac:dyDescent="0.75">
      <c r="D23" s="40" t="str">
        <f>'Prod-2'!B1</f>
        <v>* differential.element[0].id = "Product"</v>
      </c>
    </row>
    <row r="24" spans="1:5" x14ac:dyDescent="0.75">
      <c r="D24" s="40" t="str">
        <f>'Prod-2'!C1</f>
        <v>* differential.element[0].path = "Product"</v>
      </c>
    </row>
    <row r="25" spans="1:5" x14ac:dyDescent="0.75">
      <c r="D25" s="40" t="str">
        <f>'Prod-2'!D1</f>
        <v>* differential.element[0].short = "Product"</v>
      </c>
    </row>
    <row r="26" spans="1:5" x14ac:dyDescent="0.75">
      <c r="D26" s="40" t="str">
        <f>'Prod-2'!E1</f>
        <v>* differential.element[0].definition = "A product  that have or should have been administered to a subject that includes one or more specific antigen(s) aimed at developing an immune response in an individual to provide protection from a vaccine preventable disease(s)."</v>
      </c>
    </row>
    <row r="27" spans="1:5" x14ac:dyDescent="0.75">
      <c r="D27" s="40" t="str">
        <f>'Prod-2'!F1</f>
        <v>* differential.element[0].min = 1</v>
      </c>
    </row>
    <row r="28" spans="1:5" x14ac:dyDescent="0.75">
      <c r="D28" s="40" t="str">
        <f>'Prod-2'!G1</f>
        <v>* differential.element[0].max = "1"</v>
      </c>
    </row>
    <row r="29" spans="1:5" x14ac:dyDescent="0.75">
      <c r="D29" s="8"/>
    </row>
    <row r="30" spans="1:5" x14ac:dyDescent="0.75">
      <c r="A30" s="32">
        <v>1</v>
      </c>
      <c r="B30" s="32">
        <f>IF(MOD(A30,7)=0,A30/7-1,INT(A30/7))</f>
        <v>0</v>
      </c>
      <c r="C30" s="32">
        <f>IF(MOD(A30,7)=0,7,MOD(A30,7))</f>
        <v>1</v>
      </c>
      <c r="D30" s="38" t="str" cm="1">
        <f t="array" ref="D30">INDEX('Prod-2'!$B$2:$H$41,1+B30,C30)</f>
        <v>* differential.element[1].id = "Product.codeSet"</v>
      </c>
    </row>
    <row r="31" spans="1:5" x14ac:dyDescent="0.75">
      <c r="A31" s="32">
        <v>2</v>
      </c>
      <c r="B31" s="32">
        <f t="shared" ref="B31:B94" si="0">IF(MOD(A31,7)=0,A31/7-1,INT(A31/7))</f>
        <v>0</v>
      </c>
      <c r="C31" s="32">
        <f t="shared" ref="C31:C94" si="1">IF(MOD(A31,7)=0,7,MOD(A31,7))</f>
        <v>2</v>
      </c>
      <c r="D31" s="38" t="str" cm="1">
        <f t="array" ref="D31">INDEX('Prod-2'!$B$2:$H$41,1+B31,C31)</f>
        <v>* differential.element[1].path = "Product.codeSet"</v>
      </c>
    </row>
    <row r="32" spans="1:5" x14ac:dyDescent="0.75">
      <c r="A32" s="32">
        <v>3</v>
      </c>
      <c r="B32" s="32">
        <f t="shared" si="0"/>
        <v>0</v>
      </c>
      <c r="C32" s="32">
        <f t="shared" si="1"/>
        <v>3</v>
      </c>
      <c r="D32" s="38" t="str" cm="1">
        <f t="array" ref="D32">INDEX('Prod-2'!$B$2:$H$41,1+B32,C32)</f>
        <v>* differential.element[1].short = "Set of product codes"</v>
      </c>
    </row>
    <row r="33" spans="1:4" x14ac:dyDescent="0.75">
      <c r="A33" s="32">
        <v>4</v>
      </c>
      <c r="B33" s="32">
        <f t="shared" si="0"/>
        <v>0</v>
      </c>
      <c r="C33" s="32">
        <f t="shared" si="1"/>
        <v>4</v>
      </c>
      <c r="D33" s="38" t="str" cm="1">
        <f t="array" ref="D33">INDEX('Prod-2'!$B$2:$H$41,1+B33,C33)</f>
        <v>* differential.element[1].definition = "Set of codes that are used to identify this product."</v>
      </c>
    </row>
    <row r="34" spans="1:4" x14ac:dyDescent="0.75">
      <c r="A34" s="32">
        <v>5</v>
      </c>
      <c r="B34" s="32">
        <f t="shared" si="0"/>
        <v>0</v>
      </c>
      <c r="C34" s="32">
        <f t="shared" si="1"/>
        <v>5</v>
      </c>
      <c r="D34" s="38" t="str" cm="1">
        <f t="array" ref="D34">INDEX('Prod-2'!$B$2:$H$41,1+B34,C34)</f>
        <v>* differential.element[1].min = 0</v>
      </c>
    </row>
    <row r="35" spans="1:4" x14ac:dyDescent="0.75">
      <c r="A35" s="32">
        <v>6</v>
      </c>
      <c r="B35" s="32">
        <f t="shared" si="0"/>
        <v>0</v>
      </c>
      <c r="C35" s="32">
        <f t="shared" si="1"/>
        <v>6</v>
      </c>
      <c r="D35" s="38" t="str" cm="1">
        <f t="array" ref="D35">INDEX('Prod-2'!$B$2:$H$41,1+B35,C35)</f>
        <v>* differential.element[1].max = "1"</v>
      </c>
    </row>
    <row r="36" spans="1:4" x14ac:dyDescent="0.75">
      <c r="A36" s="32">
        <v>7</v>
      </c>
      <c r="B36" s="32">
        <f t="shared" si="0"/>
        <v>0</v>
      </c>
      <c r="C36" s="32">
        <f t="shared" si="1"/>
        <v>7</v>
      </c>
      <c r="D36" s="38" t="str" cm="1">
        <f t="array" ref="D36">INDEX('Prod-2'!$B$2:$H$41,1+B36,C36)</f>
        <v>* differential.element[1].type.code = #BackboneElement</v>
      </c>
    </row>
    <row r="37" spans="1:4" x14ac:dyDescent="0.75">
      <c r="A37" s="32">
        <v>8</v>
      </c>
      <c r="B37" s="32">
        <f t="shared" si="0"/>
        <v>1</v>
      </c>
      <c r="C37" s="32">
        <f t="shared" si="1"/>
        <v>1</v>
      </c>
      <c r="D37" s="38" t="str" cm="1">
        <f t="array" ref="D37">INDEX('Prod-2'!$B$2:$H$41,1+B37,C37)</f>
        <v>* differential.element[2].id = "Product.codeSet.productCode"</v>
      </c>
    </row>
    <row r="38" spans="1:4" x14ac:dyDescent="0.75">
      <c r="A38" s="32">
        <v>9</v>
      </c>
      <c r="B38" s="32">
        <f t="shared" si="0"/>
        <v>1</v>
      </c>
      <c r="C38" s="32">
        <f t="shared" si="1"/>
        <v>2</v>
      </c>
      <c r="D38" s="38" t="str" cm="1">
        <f t="array" ref="D38">INDEX('Prod-2'!$B$2:$H$41,1+B38,C38)</f>
        <v>* differential.element[2].path = "Product.codeSet.productCode"</v>
      </c>
    </row>
    <row r="39" spans="1:4" x14ac:dyDescent="0.75">
      <c r="A39" s="32">
        <v>10</v>
      </c>
      <c r="B39" s="32">
        <f t="shared" si="0"/>
        <v>1</v>
      </c>
      <c r="C39" s="32">
        <f t="shared" si="1"/>
        <v>3</v>
      </c>
      <c r="D39" s="38" t="str" cm="1">
        <f t="array" ref="D39">INDEX('Prod-2'!$B$2:$H$41,1+B39,C39)</f>
        <v>* differential.element[2].short = "Product code"</v>
      </c>
    </row>
    <row r="40" spans="1:4" x14ac:dyDescent="0.75">
      <c r="A40" s="32">
        <v>11</v>
      </c>
      <c r="B40" s="32">
        <f t="shared" si="0"/>
        <v>1</v>
      </c>
      <c r="C40" s="32">
        <f t="shared" si="1"/>
        <v>4</v>
      </c>
      <c r="D40" s="38" t="str" cm="1">
        <f t="array" ref="D40">INDEX('Prod-2'!$B$2:$H$41,1+B40,C40)</f>
        <v>* differential.element[2].definition = "Code identifying this product.
The code may represent different kinds of products: it might be an Authorized Packaged Medicinal Product, a Virtual Medicinal Product , a Pharmaceutical Product (PhP) , a cluster of products and so on.
It might be a jurisdictional (e.g. sub-national, national), cross-jurisdictional (e.g. regional) or a global product code."</v>
      </c>
    </row>
    <row r="41" spans="1:4" x14ac:dyDescent="0.75">
      <c r="A41" s="32">
        <v>12</v>
      </c>
      <c r="B41" s="32">
        <f t="shared" si="0"/>
        <v>1</v>
      </c>
      <c r="C41" s="32">
        <f t="shared" si="1"/>
        <v>5</v>
      </c>
      <c r="D41" s="38" t="str" cm="1">
        <f t="array" ref="D41">INDEX('Prod-2'!$B$2:$H$41,1+B41,C41)</f>
        <v>* differential.element[2].min = 0</v>
      </c>
    </row>
    <row r="42" spans="1:4" x14ac:dyDescent="0.75">
      <c r="A42" s="32">
        <v>13</v>
      </c>
      <c r="B42" s="32">
        <f t="shared" si="0"/>
        <v>1</v>
      </c>
      <c r="C42" s="32">
        <f t="shared" si="1"/>
        <v>6</v>
      </c>
      <c r="D42" s="38" t="str" cm="1">
        <f t="array" ref="D42">INDEX('Prod-2'!$B$2:$H$41,1+B42,C42)</f>
        <v>* differential.element[2].max = "*"</v>
      </c>
    </row>
    <row r="43" spans="1:4" x14ac:dyDescent="0.75">
      <c r="A43" s="32">
        <v>14</v>
      </c>
      <c r="B43" s="32">
        <f t="shared" si="0"/>
        <v>1</v>
      </c>
      <c r="C43" s="32">
        <f t="shared" si="1"/>
        <v>7</v>
      </c>
      <c r="D43" s="38" t="str" cm="1">
        <f t="array" ref="D43">INDEX('Prod-2'!$B$2:$H$41,1+B43,C43)</f>
        <v>* differential.element[2].type.code = #CodeableConcept</v>
      </c>
    </row>
    <row r="44" spans="1:4" x14ac:dyDescent="0.75">
      <c r="A44" s="32">
        <v>15</v>
      </c>
      <c r="B44" s="32">
        <f t="shared" si="0"/>
        <v>2</v>
      </c>
      <c r="C44" s="32">
        <f t="shared" si="1"/>
        <v>1</v>
      </c>
      <c r="D44" s="38" t="str" cm="1">
        <f t="array" ref="D44">INDEX('Prod-2'!$B$2:$H$41,1+B44,C44)</f>
        <v>* differential.element[3].id = "Product.codeSet.PCID"</v>
      </c>
    </row>
    <row r="45" spans="1:4" x14ac:dyDescent="0.75">
      <c r="A45" s="32">
        <v>16</v>
      </c>
      <c r="B45" s="32">
        <f t="shared" si="0"/>
        <v>2</v>
      </c>
      <c r="C45" s="32">
        <f t="shared" si="1"/>
        <v>2</v>
      </c>
      <c r="D45" s="38" t="str" cm="1">
        <f t="array" ref="D45">INDEX('Prod-2'!$B$2:$H$41,1+B45,C45)</f>
        <v>* differential.element[3].path = "Product.codeSet.PCID"</v>
      </c>
    </row>
    <row r="46" spans="1:4" x14ac:dyDescent="0.75">
      <c r="A46" s="32">
        <v>17</v>
      </c>
      <c r="B46" s="32">
        <f t="shared" si="0"/>
        <v>2</v>
      </c>
      <c r="C46" s="32">
        <f t="shared" si="1"/>
        <v>3</v>
      </c>
      <c r="D46" s="38" t="str" cm="1">
        <f t="array" ref="D46">INDEX('Prod-2'!$B$2:$H$41,1+B46,C46)</f>
        <v>* differential.element[3].short = "IDMP PCID"</v>
      </c>
    </row>
    <row r="47" spans="1:4" x14ac:dyDescent="0.75">
      <c r="A47" s="32">
        <v>18</v>
      </c>
      <c r="B47" s="32">
        <f t="shared" si="0"/>
        <v>2</v>
      </c>
      <c r="C47" s="32">
        <f t="shared" si="1"/>
        <v>4</v>
      </c>
      <c r="D47" s="38" t="str" cm="1">
        <f t="array" ref="D47">INDEX('Prod-2'!$B$2:$H$41,1+B47,C47)</f>
        <v>* differential.element[3].definition = "Code identifying the IDMP Packaged Medicinal Product.
A Packaged Medicinal Product is a 'Medicinal Product in a container being part of a package, representing the entirety that has been packaged for sale or supply' [source ISO 11615:2017]"</v>
      </c>
    </row>
    <row r="48" spans="1:4" x14ac:dyDescent="0.75">
      <c r="A48" s="32">
        <v>19</v>
      </c>
      <c r="B48" s="32">
        <f t="shared" si="0"/>
        <v>2</v>
      </c>
      <c r="C48" s="32">
        <f t="shared" si="1"/>
        <v>5</v>
      </c>
      <c r="D48" s="38" t="str" cm="1">
        <f t="array" ref="D48">INDEX('Prod-2'!$B$2:$H$41,1+B48,C48)</f>
        <v>* differential.element[3].min = 0</v>
      </c>
    </row>
    <row r="49" spans="1:4" x14ac:dyDescent="0.75">
      <c r="A49" s="32">
        <v>20</v>
      </c>
      <c r="B49" s="32">
        <f t="shared" si="0"/>
        <v>2</v>
      </c>
      <c r="C49" s="32">
        <f t="shared" si="1"/>
        <v>6</v>
      </c>
      <c r="D49" s="38" t="str" cm="1">
        <f t="array" ref="D49">INDEX('Prod-2'!$B$2:$H$41,1+B49,C49)</f>
        <v>* differential.element[3].max = "1"</v>
      </c>
    </row>
    <row r="50" spans="1:4" x14ac:dyDescent="0.75">
      <c r="A50" s="32">
        <v>21</v>
      </c>
      <c r="B50" s="32">
        <f t="shared" si="0"/>
        <v>2</v>
      </c>
      <c r="C50" s="32">
        <f t="shared" si="1"/>
        <v>7</v>
      </c>
      <c r="D50" s="38" t="str" cm="1">
        <f t="array" ref="D50">INDEX('Prod-2'!$B$2:$H$41,1+B50,C50)</f>
        <v>* differential.element[3].type.code = #CodeableConcept</v>
      </c>
    </row>
    <row r="51" spans="1:4" x14ac:dyDescent="0.75">
      <c r="A51" s="32">
        <v>22</v>
      </c>
      <c r="B51" s="32">
        <f t="shared" si="0"/>
        <v>3</v>
      </c>
      <c r="C51" s="32">
        <f t="shared" si="1"/>
        <v>1</v>
      </c>
      <c r="D51" s="38" t="str" cm="1">
        <f t="array" ref="D51">INDEX('Prod-2'!$B$2:$H$41,1+B51,C51)</f>
        <v>* differential.element[4].id = "Product.codeSet.MPID"</v>
      </c>
    </row>
    <row r="52" spans="1:4" x14ac:dyDescent="0.75">
      <c r="A52" s="32">
        <v>23</v>
      </c>
      <c r="B52" s="32">
        <f t="shared" si="0"/>
        <v>3</v>
      </c>
      <c r="C52" s="32">
        <f t="shared" si="1"/>
        <v>2</v>
      </c>
      <c r="D52" s="38" t="str" cm="1">
        <f t="array" ref="D52">INDEX('Prod-2'!$B$2:$H$41,1+B52,C52)</f>
        <v>* differential.element[4].path = "Product.codeSet.MPID"</v>
      </c>
    </row>
    <row r="53" spans="1:4" x14ac:dyDescent="0.75">
      <c r="A53" s="32">
        <v>24</v>
      </c>
      <c r="B53" s="32">
        <f t="shared" si="0"/>
        <v>3</v>
      </c>
      <c r="C53" s="32">
        <f t="shared" si="1"/>
        <v>3</v>
      </c>
      <c r="D53" s="38" t="str" cm="1">
        <f t="array" ref="D53">INDEX('Prod-2'!$B$2:$H$41,1+B53,C53)</f>
        <v>* differential.element[4].short = "IDMP MPID"</v>
      </c>
    </row>
    <row r="54" spans="1:4" x14ac:dyDescent="0.75">
      <c r="A54" s="32">
        <v>25</v>
      </c>
      <c r="B54" s="32">
        <f t="shared" si="0"/>
        <v>3</v>
      </c>
      <c r="C54" s="32">
        <f t="shared" si="1"/>
        <v>4</v>
      </c>
      <c r="D54" s="38" t="str" cm="1">
        <f t="array" ref="D54">INDEX('Prod-2'!$B$2:$H$41,1+B54,C54)</f>
        <v>* differential.element[4].definition = "Code identifying the IDMP Medicinal Product.
A Medicinal Product is a 'pharmaceutical product or combination of pharmaceutical products that may be administered to human beings (or animals) for treating or preventing disease, with the aim/purpose of making a medical diagnosis or to restore, correct or modify physiological functions'  [source ISO 11615:2017]"</v>
      </c>
    </row>
    <row r="55" spans="1:4" x14ac:dyDescent="0.75">
      <c r="A55" s="32">
        <v>26</v>
      </c>
      <c r="B55" s="32">
        <f t="shared" si="0"/>
        <v>3</v>
      </c>
      <c r="C55" s="32">
        <f t="shared" si="1"/>
        <v>5</v>
      </c>
      <c r="D55" s="38" t="str" cm="1">
        <f t="array" ref="D55">INDEX('Prod-2'!$B$2:$H$41,1+B55,C55)</f>
        <v>* differential.element[4].min = 0</v>
      </c>
    </row>
    <row r="56" spans="1:4" x14ac:dyDescent="0.75">
      <c r="A56" s="32">
        <v>27</v>
      </c>
      <c r="B56" s="32">
        <f t="shared" si="0"/>
        <v>3</v>
      </c>
      <c r="C56" s="32">
        <f t="shared" si="1"/>
        <v>6</v>
      </c>
      <c r="D56" s="38" t="str" cm="1">
        <f t="array" ref="D56">INDEX('Prod-2'!$B$2:$H$41,1+B56,C56)</f>
        <v>* differential.element[4].max = "1"</v>
      </c>
    </row>
    <row r="57" spans="1:4" x14ac:dyDescent="0.75">
      <c r="A57" s="32">
        <v>28</v>
      </c>
      <c r="B57" s="32">
        <f t="shared" si="0"/>
        <v>3</v>
      </c>
      <c r="C57" s="32">
        <f t="shared" si="1"/>
        <v>7</v>
      </c>
      <c r="D57" s="38" t="str" cm="1">
        <f t="array" ref="D57">INDEX('Prod-2'!$B$2:$H$41,1+B57,C57)</f>
        <v>* differential.element[4].type.code = #CodeableConcept</v>
      </c>
    </row>
    <row r="58" spans="1:4" x14ac:dyDescent="0.75">
      <c r="A58" s="32">
        <v>29</v>
      </c>
      <c r="B58" s="32">
        <f t="shared" si="0"/>
        <v>4</v>
      </c>
      <c r="C58" s="32">
        <f t="shared" si="1"/>
        <v>1</v>
      </c>
      <c r="D58" s="38" t="str" cm="1">
        <f t="array" ref="D58">INDEX('Prod-2'!$B$2:$H$41,1+B58,C58)</f>
        <v>* differential.element[5].id = "Product.codeSet.PhPID"</v>
      </c>
    </row>
    <row r="59" spans="1:4" x14ac:dyDescent="0.75">
      <c r="A59" s="32">
        <v>30</v>
      </c>
      <c r="B59" s="32">
        <f t="shared" si="0"/>
        <v>4</v>
      </c>
      <c r="C59" s="32">
        <f t="shared" si="1"/>
        <v>2</v>
      </c>
      <c r="D59" s="38" t="str" cm="1">
        <f t="array" ref="D59">INDEX('Prod-2'!$B$2:$H$41,1+B59,C59)</f>
        <v>* differential.element[5].path = "Product.codeSet.PhPID"</v>
      </c>
    </row>
    <row r="60" spans="1:4" x14ac:dyDescent="0.75">
      <c r="A60" s="32">
        <v>31</v>
      </c>
      <c r="B60" s="32">
        <f t="shared" si="0"/>
        <v>4</v>
      </c>
      <c r="C60" s="32">
        <f t="shared" si="1"/>
        <v>3</v>
      </c>
      <c r="D60" s="38" t="str" cm="1">
        <f t="array" ref="D60">INDEX('Prod-2'!$B$2:$H$41,1+B60,C60)</f>
        <v>* differential.element[5].short = "IDMP PhP"</v>
      </c>
    </row>
    <row r="61" spans="1:4" x14ac:dyDescent="0.75">
      <c r="A61" s="32">
        <v>32</v>
      </c>
      <c r="B61" s="32">
        <f t="shared" si="0"/>
        <v>4</v>
      </c>
      <c r="C61" s="32">
        <f t="shared" si="1"/>
        <v>4</v>
      </c>
      <c r="D61" s="38" t="str" cm="1">
        <f t="array" ref="D61">INDEX('Prod-2'!$B$2:$H$41,1+B61,C61)</f>
        <v>* differential.element[5].definition = "Code identifying the IDMP Pharmaceutical Product.
A Pharmaceutical Product is a 'qualitative and quantitative composition of a Medicinal Product in the dose form approved for administration' [source ISO 11616:2017]"</v>
      </c>
    </row>
    <row r="62" spans="1:4" x14ac:dyDescent="0.75">
      <c r="A62" s="32">
        <v>33</v>
      </c>
      <c r="B62" s="32">
        <f t="shared" si="0"/>
        <v>4</v>
      </c>
      <c r="C62" s="32">
        <f t="shared" si="1"/>
        <v>5</v>
      </c>
      <c r="D62" s="38" t="str" cm="1">
        <f t="array" ref="D62">INDEX('Prod-2'!$B$2:$H$41,1+B62,C62)</f>
        <v>* differential.element[5].min = 0</v>
      </c>
    </row>
    <row r="63" spans="1:4" x14ac:dyDescent="0.75">
      <c r="A63" s="32">
        <v>34</v>
      </c>
      <c r="B63" s="32">
        <f t="shared" si="0"/>
        <v>4</v>
      </c>
      <c r="C63" s="32">
        <f t="shared" si="1"/>
        <v>6</v>
      </c>
      <c r="D63" s="38" t="str" cm="1">
        <f t="array" ref="D63">INDEX('Prod-2'!$B$2:$H$41,1+B63,C63)</f>
        <v>* differential.element[5].max = "*"</v>
      </c>
    </row>
    <row r="64" spans="1:4" x14ac:dyDescent="0.75">
      <c r="A64" s="32">
        <v>35</v>
      </c>
      <c r="B64" s="32">
        <f t="shared" si="0"/>
        <v>4</v>
      </c>
      <c r="C64" s="32">
        <f t="shared" si="1"/>
        <v>7</v>
      </c>
      <c r="D64" s="38" t="str" cm="1">
        <f t="array" ref="D64">INDEX('Prod-2'!$B$2:$H$41,1+B64,C64)</f>
        <v>* differential.element[5].type.code = #CodeableConcept</v>
      </c>
    </row>
    <row r="65" spans="1:4" x14ac:dyDescent="0.75">
      <c r="A65" s="32">
        <v>36</v>
      </c>
      <c r="B65" s="32">
        <f t="shared" si="0"/>
        <v>5</v>
      </c>
      <c r="C65" s="32">
        <f t="shared" si="1"/>
        <v>1</v>
      </c>
      <c r="D65" s="38" t="str" cm="1">
        <f t="array" ref="D65">INDEX('Prod-2'!$B$2:$H$41,1+B65,C65)</f>
        <v>* differential.element[6].id = "Product.packageIdentifiers"</v>
      </c>
    </row>
    <row r="66" spans="1:4" x14ac:dyDescent="0.75">
      <c r="A66" s="32">
        <v>37</v>
      </c>
      <c r="B66" s="32">
        <f t="shared" si="0"/>
        <v>5</v>
      </c>
      <c r="C66" s="32">
        <f t="shared" si="1"/>
        <v>2</v>
      </c>
      <c r="D66" s="38" t="str" cm="1">
        <f t="array" ref="D66">INDEX('Prod-2'!$B$2:$H$41,1+B66,C66)</f>
        <v>* differential.element[6].path = "Product.packageIdentifiers"</v>
      </c>
    </row>
    <row r="67" spans="1:4" x14ac:dyDescent="0.75">
      <c r="A67" s="32">
        <v>38</v>
      </c>
      <c r="B67" s="32">
        <f t="shared" si="0"/>
        <v>5</v>
      </c>
      <c r="C67" s="32">
        <f t="shared" si="1"/>
        <v>3</v>
      </c>
      <c r="D67" s="38" t="str" cm="1">
        <f t="array" ref="D67">INDEX('Prod-2'!$B$2:$H$41,1+B67,C67)</f>
        <v>* differential.element[6].short = "Set of identifiers"</v>
      </c>
    </row>
    <row r="68" spans="1:4" ht="29.5" x14ac:dyDescent="0.75">
      <c r="A68" s="32">
        <v>39</v>
      </c>
      <c r="B68" s="32">
        <f t="shared" si="0"/>
        <v>5</v>
      </c>
      <c r="C68" s="32">
        <f t="shared" si="1"/>
        <v>4</v>
      </c>
      <c r="D68" s="38" t="str" cm="1">
        <f t="array" ref="D68">INDEX('Prod-2'!$B$2:$H$41,1+B68,C68)</f>
        <v>* differential.element[6].definition = "Identifiers typically related to the supply chain management, but often used also for other purposes as the fight against falsified and counterfeit medicines; adverse event reporting, and so on."</v>
      </c>
    </row>
    <row r="69" spans="1:4" x14ac:dyDescent="0.75">
      <c r="A69" s="32">
        <v>40</v>
      </c>
      <c r="B69" s="32">
        <f t="shared" si="0"/>
        <v>5</v>
      </c>
      <c r="C69" s="32">
        <f t="shared" si="1"/>
        <v>5</v>
      </c>
      <c r="D69" s="38" t="str" cm="1">
        <f t="array" ref="D69">INDEX('Prod-2'!$B$2:$H$41,1+B69,C69)</f>
        <v>* differential.element[6].min = 0</v>
      </c>
    </row>
    <row r="70" spans="1:4" x14ac:dyDescent="0.75">
      <c r="A70" s="32">
        <v>41</v>
      </c>
      <c r="B70" s="32">
        <f t="shared" si="0"/>
        <v>5</v>
      </c>
      <c r="C70" s="32">
        <f t="shared" si="1"/>
        <v>6</v>
      </c>
      <c r="D70" s="38" t="str" cm="1">
        <f t="array" ref="D70">INDEX('Prod-2'!$B$2:$H$41,1+B70,C70)</f>
        <v>* differential.element[6].max = "1"</v>
      </c>
    </row>
    <row r="71" spans="1:4" x14ac:dyDescent="0.75">
      <c r="A71" s="32">
        <v>42</v>
      </c>
      <c r="B71" s="32">
        <f t="shared" si="0"/>
        <v>5</v>
      </c>
      <c r="C71" s="32">
        <f t="shared" si="1"/>
        <v>7</v>
      </c>
      <c r="D71" s="38" t="str" cm="1">
        <f t="array" ref="D71">INDEX('Prod-2'!$B$2:$H$41,1+B71,C71)</f>
        <v>* differential.element[6].type.code = #BackboneElement</v>
      </c>
    </row>
    <row r="72" spans="1:4" x14ac:dyDescent="0.75">
      <c r="A72" s="32">
        <v>43</v>
      </c>
      <c r="B72" s="32">
        <f t="shared" si="0"/>
        <v>6</v>
      </c>
      <c r="C72" s="32">
        <f t="shared" si="1"/>
        <v>1</v>
      </c>
      <c r="D72" s="38" t="str" cm="1">
        <f t="array" ref="D72">INDEX('Prod-2'!$B$2:$H$41,1+B72,C72)</f>
        <v>* differential.element[7].id = "Product.packageIdentifiers.uniqueIdentifier"</v>
      </c>
    </row>
    <row r="73" spans="1:4" x14ac:dyDescent="0.75">
      <c r="A73" s="32">
        <v>44</v>
      </c>
      <c r="B73" s="32">
        <f t="shared" si="0"/>
        <v>6</v>
      </c>
      <c r="C73" s="32">
        <f t="shared" si="1"/>
        <v>2</v>
      </c>
      <c r="D73" s="38" t="str" cm="1">
        <f t="array" ref="D73">INDEX('Prod-2'!$B$2:$H$41,1+B73,C73)</f>
        <v>* differential.element[7].path = "Product.packageIdentifiers.uniqueIdentifier"</v>
      </c>
    </row>
    <row r="74" spans="1:4" x14ac:dyDescent="0.75">
      <c r="A74" s="32">
        <v>45</v>
      </c>
      <c r="B74" s="32">
        <f t="shared" si="0"/>
        <v>6</v>
      </c>
      <c r="C74" s="32">
        <f t="shared" si="1"/>
        <v>3</v>
      </c>
      <c r="D74" s="38" t="str" cm="1">
        <f t="array" ref="D74">INDEX('Prod-2'!$B$2:$H$41,1+B74,C74)</f>
        <v>* differential.element[7].short = "Unique Identifier"</v>
      </c>
    </row>
    <row r="75" spans="1:4" ht="162.25" x14ac:dyDescent="0.75">
      <c r="A75" s="32">
        <v>46</v>
      </c>
      <c r="B75" s="32">
        <f t="shared" si="0"/>
        <v>6</v>
      </c>
      <c r="C75" s="32">
        <f t="shared" si="1"/>
        <v>4</v>
      </c>
      <c r="D75" s="38" t="str" cm="1">
        <f t="array" ref="D75">INDEX('Prod-2'!$B$2:$H$41,1+B75,C75)</f>
        <v>* differential.element[7].definition = "Alphanumerical code enabling the identification and authentication of individual packs (compliant to ISO 15418; ISO 15434).
The UI is carried by a 2D barcode.
The UI will contain:
• Product code: ISO-compliant (ISO 15459); &lt; 50 characters; globally unique; issued by ISO-compliant coding agencies;
• Serial number (max 20 characters; randomised)
• A national reimbursement or identification number (optional)
• Batch number
• Expiry date
Example
(01)09876543210982(21)12345AZRQF1234567890(10)A1C2E3G4I5(17)180531"</v>
      </c>
    </row>
    <row r="76" spans="1:4" x14ac:dyDescent="0.75">
      <c r="A76" s="32">
        <v>47</v>
      </c>
      <c r="B76" s="32">
        <f t="shared" si="0"/>
        <v>6</v>
      </c>
      <c r="C76" s="32">
        <f t="shared" si="1"/>
        <v>5</v>
      </c>
      <c r="D76" s="38" t="str" cm="1">
        <f t="array" ref="D76">INDEX('Prod-2'!$B$2:$H$41,1+B76,C76)</f>
        <v>* differential.element[7].min = 0</v>
      </c>
    </row>
    <row r="77" spans="1:4" x14ac:dyDescent="0.75">
      <c r="A77" s="32">
        <v>48</v>
      </c>
      <c r="B77" s="32">
        <f t="shared" si="0"/>
        <v>6</v>
      </c>
      <c r="C77" s="32">
        <f t="shared" si="1"/>
        <v>6</v>
      </c>
      <c r="D77" s="38" t="str" cm="1">
        <f t="array" ref="D77">INDEX('Prod-2'!$B$2:$H$41,1+B77,C77)</f>
        <v>* differential.element[7].max = "1"</v>
      </c>
    </row>
    <row r="78" spans="1:4" x14ac:dyDescent="0.75">
      <c r="A78" s="32">
        <v>49</v>
      </c>
      <c r="B78" s="32">
        <f t="shared" si="0"/>
        <v>6</v>
      </c>
      <c r="C78" s="32">
        <f t="shared" si="1"/>
        <v>7</v>
      </c>
      <c r="D78" s="38" t="str" cm="1">
        <f t="array" ref="D78">INDEX('Prod-2'!$B$2:$H$41,1+B78,C78)</f>
        <v>* differential.element[7].type.code = #string</v>
      </c>
    </row>
    <row r="79" spans="1:4" x14ac:dyDescent="0.75">
      <c r="A79" s="32">
        <v>50</v>
      </c>
      <c r="B79" s="32">
        <f t="shared" si="0"/>
        <v>7</v>
      </c>
      <c r="C79" s="32">
        <f t="shared" si="1"/>
        <v>1</v>
      </c>
      <c r="D79" s="38" t="str" cm="1">
        <f t="array" ref="D79">INDEX('Prod-2'!$B$2:$H$41,1+B79,C79)</f>
        <v>* differential.element[8].id = "Product.packageIdentifiers.dataCarrierIdentifier"</v>
      </c>
    </row>
    <row r="80" spans="1:4" x14ac:dyDescent="0.75">
      <c r="A80" s="32">
        <v>51</v>
      </c>
      <c r="B80" s="32">
        <f t="shared" si="0"/>
        <v>7</v>
      </c>
      <c r="C80" s="32">
        <f t="shared" si="1"/>
        <v>2</v>
      </c>
      <c r="D80" s="38" t="str" cm="1">
        <f t="array" ref="D80">INDEX('Prod-2'!$B$2:$H$41,1+B80,C80)</f>
        <v>* differential.element[8].path = "Product.packageIdentifiers.dataCarrierIdentifier"</v>
      </c>
    </row>
    <row r="81" spans="1:7" x14ac:dyDescent="0.75">
      <c r="A81" s="32">
        <v>52</v>
      </c>
      <c r="B81" s="32">
        <f t="shared" si="0"/>
        <v>7</v>
      </c>
      <c r="C81" s="32">
        <f t="shared" si="1"/>
        <v>3</v>
      </c>
      <c r="D81" s="38" t="str" cm="1">
        <f t="array" ref="D81">INDEX('Prod-2'!$B$2:$H$41,1+B81,C81)</f>
        <v>* differential.element[8].short = "Data Carrier Identifier (e.g. GTIN)"</v>
      </c>
    </row>
    <row r="82" spans="1:7" ht="59" x14ac:dyDescent="0.75">
      <c r="A82" s="32">
        <v>53</v>
      </c>
      <c r="B82" s="32">
        <f t="shared" si="0"/>
        <v>7</v>
      </c>
      <c r="C82" s="32">
        <f t="shared" si="1"/>
        <v>4</v>
      </c>
      <c r="D82" s="38" t="str" cm="1">
        <f t="array" ref="D82">INDEX('Prod-2'!$B$2:$H$41,1+B82,C82)</f>
        <v>* differential.element[8].definition = "Set of identifiers associated to this instance of the product.
It could be a global (e.g. GTIN) or a national identifier. 
The identifiers may refer to different package levels such as primary packaging or secondary packaging.
The identifier of the lowest packaging should be captured."</v>
      </c>
      <c r="G82" s="16"/>
    </row>
    <row r="83" spans="1:7" x14ac:dyDescent="0.75">
      <c r="A83" s="32">
        <v>54</v>
      </c>
      <c r="B83" s="32">
        <f t="shared" si="0"/>
        <v>7</v>
      </c>
      <c r="C83" s="32">
        <f t="shared" si="1"/>
        <v>5</v>
      </c>
      <c r="D83" s="38" t="str" cm="1">
        <f t="array" ref="D83">INDEX('Prod-2'!$B$2:$H$41,1+B83,C83)</f>
        <v>* differential.element[8].min = 0</v>
      </c>
    </row>
    <row r="84" spans="1:7" x14ac:dyDescent="0.75">
      <c r="A84" s="32">
        <v>55</v>
      </c>
      <c r="B84" s="32">
        <f t="shared" si="0"/>
        <v>7</v>
      </c>
      <c r="C84" s="32">
        <f t="shared" si="1"/>
        <v>6</v>
      </c>
      <c r="D84" s="38" t="str" cm="1">
        <f t="array" ref="D84">INDEX('Prod-2'!$B$2:$H$41,1+B84,C84)</f>
        <v>* differential.element[8].max = "*"</v>
      </c>
    </row>
    <row r="85" spans="1:7" x14ac:dyDescent="0.75">
      <c r="A85" s="32">
        <v>56</v>
      </c>
      <c r="B85" s="32">
        <f t="shared" si="0"/>
        <v>7</v>
      </c>
      <c r="C85" s="32">
        <f t="shared" si="1"/>
        <v>7</v>
      </c>
      <c r="D85" s="38" t="str" cm="1">
        <f t="array" ref="D85">INDEX('Prod-2'!$B$2:$H$41,1+B85,C85)</f>
        <v>* differential.element[8].type.code = #Identifier</v>
      </c>
    </row>
    <row r="86" spans="1:7" x14ac:dyDescent="0.75">
      <c r="A86" s="32">
        <v>57</v>
      </c>
      <c r="B86" s="32">
        <f t="shared" si="0"/>
        <v>8</v>
      </c>
      <c r="C86" s="32">
        <f t="shared" si="1"/>
        <v>1</v>
      </c>
      <c r="D86" s="38" t="str" cm="1">
        <f t="array" ref="D86">INDEX('Prod-2'!$B$2:$H$41,1+B86,C86)</f>
        <v>* differential.element[9].id = "Product.packageIdentifiers.serialNumber"</v>
      </c>
    </row>
    <row r="87" spans="1:7" x14ac:dyDescent="0.75">
      <c r="A87" s="32">
        <v>58</v>
      </c>
      <c r="B87" s="32">
        <f t="shared" si="0"/>
        <v>8</v>
      </c>
      <c r="C87" s="32">
        <f t="shared" si="1"/>
        <v>2</v>
      </c>
      <c r="D87" s="38" t="str" cm="1">
        <f t="array" ref="D87">INDEX('Prod-2'!$B$2:$H$41,1+B87,C87)</f>
        <v>* differential.element[9].path = "Product.packageIdentifiers.serialNumber"</v>
      </c>
    </row>
    <row r="88" spans="1:7" x14ac:dyDescent="0.75">
      <c r="A88" s="32">
        <v>59</v>
      </c>
      <c r="B88" s="32">
        <f t="shared" si="0"/>
        <v>8</v>
      </c>
      <c r="C88" s="32">
        <f t="shared" si="1"/>
        <v>3</v>
      </c>
      <c r="D88" s="38" t="str" cm="1">
        <f t="array" ref="D88">INDEX('Prod-2'!$B$2:$H$41,1+B88,C88)</f>
        <v>* differential.element[9].short = "Serial number"</v>
      </c>
    </row>
    <row r="89" spans="1:7" x14ac:dyDescent="0.75">
      <c r="A89" s="32">
        <v>60</v>
      </c>
      <c r="B89" s="32">
        <f t="shared" si="0"/>
        <v>8</v>
      </c>
      <c r="C89" s="32">
        <f t="shared" si="1"/>
        <v>4</v>
      </c>
      <c r="D89" s="38" t="str" cm="1">
        <f t="array" ref="D89">INDEX('Prod-2'!$B$2:$H$41,1+B89,C89)</f>
        <v>* differential.element[9].definition = "Serial Number of this package instance within this lot"</v>
      </c>
    </row>
    <row r="90" spans="1:7" x14ac:dyDescent="0.75">
      <c r="A90" s="32">
        <v>61</v>
      </c>
      <c r="B90" s="32">
        <f t="shared" si="0"/>
        <v>8</v>
      </c>
      <c r="C90" s="32">
        <f t="shared" si="1"/>
        <v>5</v>
      </c>
      <c r="D90" s="38" t="str" cm="1">
        <f t="array" ref="D90">INDEX('Prod-2'!$B$2:$H$41,1+B90,C90)</f>
        <v>* differential.element[9].min = 0</v>
      </c>
    </row>
    <row r="91" spans="1:7" x14ac:dyDescent="0.75">
      <c r="A91" s="32">
        <v>62</v>
      </c>
      <c r="B91" s="32">
        <f t="shared" si="0"/>
        <v>8</v>
      </c>
      <c r="C91" s="32">
        <f t="shared" si="1"/>
        <v>6</v>
      </c>
      <c r="D91" s="38" t="str" cm="1">
        <f t="array" ref="D91">INDEX('Prod-2'!$B$2:$H$41,1+B91,C91)</f>
        <v>* differential.element[9].max = "1"</v>
      </c>
    </row>
    <row r="92" spans="1:7" x14ac:dyDescent="0.75">
      <c r="A92" s="32">
        <v>63</v>
      </c>
      <c r="B92" s="32">
        <f t="shared" si="0"/>
        <v>8</v>
      </c>
      <c r="C92" s="32">
        <f t="shared" si="1"/>
        <v>7</v>
      </c>
      <c r="D92" s="38" t="str" cm="1">
        <f t="array" ref="D92">INDEX('Prod-2'!$B$2:$H$41,1+B92,C92)</f>
        <v>* differential.element[9].type.code = #string</v>
      </c>
    </row>
    <row r="93" spans="1:7" x14ac:dyDescent="0.75">
      <c r="A93" s="32">
        <v>64</v>
      </c>
      <c r="B93" s="32">
        <f t="shared" si="0"/>
        <v>9</v>
      </c>
      <c r="C93" s="32">
        <f t="shared" si="1"/>
        <v>1</v>
      </c>
      <c r="D93" s="38" t="str" cm="1">
        <f t="array" ref="D93">INDEX('Prod-2'!$B$2:$H$41,1+B93,C93)</f>
        <v>* differential.element[10].id = "Product.packageIdentifiers.lotNumber"</v>
      </c>
    </row>
    <row r="94" spans="1:7" x14ac:dyDescent="0.75">
      <c r="A94" s="32">
        <v>65</v>
      </c>
      <c r="B94" s="32">
        <f t="shared" si="0"/>
        <v>9</v>
      </c>
      <c r="C94" s="32">
        <f t="shared" si="1"/>
        <v>2</v>
      </c>
      <c r="D94" s="38" t="str" cm="1">
        <f t="array" ref="D94">INDEX('Prod-2'!$B$2:$H$41,1+B94,C94)</f>
        <v>* differential.element[10].path = "Product.packageIdentifiers.lotNumber"</v>
      </c>
    </row>
    <row r="95" spans="1:7" x14ac:dyDescent="0.75">
      <c r="A95" s="32">
        <v>66</v>
      </c>
      <c r="B95" s="32">
        <f t="shared" ref="B95:B158" si="2">IF(MOD(A95,7)=0,A95/7-1,INT(A95/7))</f>
        <v>9</v>
      </c>
      <c r="C95" s="32">
        <f t="shared" ref="C95:C158" si="3">IF(MOD(A95,7)=0,7,MOD(A95,7))</f>
        <v>3</v>
      </c>
      <c r="D95" s="38" t="str" cm="1">
        <f t="array" ref="D95">INDEX('Prod-2'!$B$2:$H$41,1+B95,C95)</f>
        <v>* differential.element[10].short = "Lot Number"</v>
      </c>
    </row>
    <row r="96" spans="1:7" x14ac:dyDescent="0.75">
      <c r="A96" s="32">
        <v>67</v>
      </c>
      <c r="B96" s="32">
        <f t="shared" si="2"/>
        <v>9</v>
      </c>
      <c r="C96" s="32">
        <f t="shared" si="3"/>
        <v>4</v>
      </c>
      <c r="D96" s="38" t="str" cm="1">
        <f t="array" ref="D96">INDEX('Prod-2'!$B$2:$H$41,1+B96,C96)</f>
        <v>* differential.element[10].definition = "The lot number of the Administrable Immunizing Agent, as assigned by the manufacturer."</v>
      </c>
    </row>
    <row r="97" spans="1:4" x14ac:dyDescent="0.75">
      <c r="A97" s="32">
        <v>68</v>
      </c>
      <c r="B97" s="32">
        <f t="shared" si="2"/>
        <v>9</v>
      </c>
      <c r="C97" s="32">
        <f t="shared" si="3"/>
        <v>5</v>
      </c>
      <c r="D97" s="38" t="str" cm="1">
        <f t="array" ref="D97">INDEX('Prod-2'!$B$2:$H$41,1+B97,C97)</f>
        <v>* differential.element[10].min = 0</v>
      </c>
    </row>
    <row r="98" spans="1:4" x14ac:dyDescent="0.75">
      <c r="A98" s="32">
        <v>69</v>
      </c>
      <c r="B98" s="32">
        <f t="shared" si="2"/>
        <v>9</v>
      </c>
      <c r="C98" s="32">
        <f t="shared" si="3"/>
        <v>6</v>
      </c>
      <c r="D98" s="38" t="str" cm="1">
        <f t="array" ref="D98">INDEX('Prod-2'!$B$2:$H$41,1+B98,C98)</f>
        <v>* differential.element[10].max = "1"</v>
      </c>
    </row>
    <row r="99" spans="1:4" x14ac:dyDescent="0.75">
      <c r="A99" s="32">
        <v>70</v>
      </c>
      <c r="B99" s="32">
        <f t="shared" si="2"/>
        <v>9</v>
      </c>
      <c r="C99" s="32">
        <f t="shared" si="3"/>
        <v>7</v>
      </c>
      <c r="D99" s="38" t="str" cm="1">
        <f t="array" ref="D99">INDEX('Prod-2'!$B$2:$H$41,1+B99,C99)</f>
        <v>* differential.element[10].type.code = #string</v>
      </c>
    </row>
    <row r="100" spans="1:4" x14ac:dyDescent="0.75">
      <c r="A100" s="32">
        <v>71</v>
      </c>
      <c r="B100" s="32">
        <f t="shared" si="2"/>
        <v>10</v>
      </c>
      <c r="C100" s="32">
        <f t="shared" si="3"/>
        <v>1</v>
      </c>
      <c r="D100" s="38" t="str" cm="1">
        <f t="array" ref="D100">INDEX('Prod-2'!$B$2:$H$41,1+B100,C100)</f>
        <v>* differential.element[11].id = "Product.name"</v>
      </c>
    </row>
    <row r="101" spans="1:4" x14ac:dyDescent="0.75">
      <c r="A101" s="32">
        <v>72</v>
      </c>
      <c r="B101" s="32">
        <f t="shared" si="2"/>
        <v>10</v>
      </c>
      <c r="C101" s="32">
        <f t="shared" si="3"/>
        <v>2</v>
      </c>
      <c r="D101" s="38" t="str" cm="1">
        <f t="array" ref="D101">INDEX('Prod-2'!$B$2:$H$41,1+B101,C101)</f>
        <v>* differential.element[11].path = "Product.name"</v>
      </c>
    </row>
    <row r="102" spans="1:4" x14ac:dyDescent="0.75">
      <c r="A102" s="32">
        <v>73</v>
      </c>
      <c r="B102" s="32">
        <f t="shared" si="2"/>
        <v>10</v>
      </c>
      <c r="C102" s="32">
        <f t="shared" si="3"/>
        <v>3</v>
      </c>
      <c r="D102" s="38" t="str" cm="1">
        <f t="array" ref="D102">INDEX('Prod-2'!$B$2:$H$41,1+B102,C102)</f>
        <v>* differential.element[11].short = "Product Name"</v>
      </c>
    </row>
    <row r="103" spans="1:4" x14ac:dyDescent="0.75">
      <c r="A103" s="32">
        <v>74</v>
      </c>
      <c r="B103" s="32">
        <f t="shared" si="2"/>
        <v>10</v>
      </c>
      <c r="C103" s="32">
        <f t="shared" si="3"/>
        <v>4</v>
      </c>
      <c r="D103" s="38" t="str" cm="1">
        <f t="array" ref="D103">INDEX('Prod-2'!$B$2:$H$41,1+B103,C103)</f>
        <v>* differential.element[11].definition = "Product Name"</v>
      </c>
    </row>
    <row r="104" spans="1:4" x14ac:dyDescent="0.75">
      <c r="A104" s="32">
        <v>75</v>
      </c>
      <c r="B104" s="32">
        <f t="shared" si="2"/>
        <v>10</v>
      </c>
      <c r="C104" s="32">
        <f t="shared" si="3"/>
        <v>5</v>
      </c>
      <c r="D104" s="38" t="str" cm="1">
        <f t="array" ref="D104">INDEX('Prod-2'!$B$2:$H$41,1+B104,C104)</f>
        <v>* differential.element[11].min = 0</v>
      </c>
    </row>
    <row r="105" spans="1:4" x14ac:dyDescent="0.75">
      <c r="A105" s="32">
        <v>76</v>
      </c>
      <c r="B105" s="32">
        <f t="shared" si="2"/>
        <v>10</v>
      </c>
      <c r="C105" s="32">
        <f t="shared" si="3"/>
        <v>6</v>
      </c>
      <c r="D105" s="38" t="str" cm="1">
        <f t="array" ref="D105">INDEX('Prod-2'!$B$2:$H$41,1+B105,C105)</f>
        <v>* differential.element[11].max = "*"</v>
      </c>
    </row>
    <row r="106" spans="1:4" x14ac:dyDescent="0.75">
      <c r="A106" s="32">
        <v>77</v>
      </c>
      <c r="B106" s="32">
        <f t="shared" si="2"/>
        <v>10</v>
      </c>
      <c r="C106" s="32">
        <f t="shared" si="3"/>
        <v>7</v>
      </c>
      <c r="D106" s="38" t="str" cm="1">
        <f t="array" ref="D106">INDEX('Prod-2'!$B$2:$H$41,1+B106,C106)</f>
        <v>* differential.element[11].type.code = #string</v>
      </c>
    </row>
    <row r="107" spans="1:4" x14ac:dyDescent="0.75">
      <c r="A107" s="32">
        <v>78</v>
      </c>
      <c r="B107" s="32">
        <f t="shared" si="2"/>
        <v>11</v>
      </c>
      <c r="C107" s="32">
        <f t="shared" si="3"/>
        <v>1</v>
      </c>
      <c r="D107" s="38" t="str" cm="1">
        <f t="array" ref="D107">INDEX('Prod-2'!$B$2:$H$41,1+B107,C107)</f>
        <v>* differential.element[12].id = "Product.composition"</v>
      </c>
    </row>
    <row r="108" spans="1:4" x14ac:dyDescent="0.75">
      <c r="A108" s="32">
        <v>79</v>
      </c>
      <c r="B108" s="32">
        <f t="shared" si="2"/>
        <v>11</v>
      </c>
      <c r="C108" s="32">
        <f t="shared" si="3"/>
        <v>2</v>
      </c>
      <c r="D108" s="38" t="str" cm="1">
        <f t="array" ref="D108">INDEX('Prod-2'!$B$2:$H$41,1+B108,C108)</f>
        <v>* differential.element[12].path = "Product.composition"</v>
      </c>
    </row>
    <row r="109" spans="1:4" x14ac:dyDescent="0.75">
      <c r="A109" s="32">
        <v>80</v>
      </c>
      <c r="B109" s="32">
        <f t="shared" si="2"/>
        <v>11</v>
      </c>
      <c r="C109" s="32">
        <f t="shared" si="3"/>
        <v>3</v>
      </c>
      <c r="D109" s="38" t="str" cm="1">
        <f t="array" ref="D109">INDEX('Prod-2'!$B$2:$H$41,1+B109,C109)</f>
        <v>* differential.element[12].short = "Composition"</v>
      </c>
    </row>
    <row r="110" spans="1:4" x14ac:dyDescent="0.75">
      <c r="A110" s="32">
        <v>81</v>
      </c>
      <c r="B110" s="32">
        <f t="shared" si="2"/>
        <v>11</v>
      </c>
      <c r="C110" s="32">
        <f t="shared" si="3"/>
        <v>4</v>
      </c>
      <c r="D110" s="38" t="str" cm="1">
        <f t="array" ref="D110">INDEX('Prod-2'!$B$2:$H$41,1+B110,C110)</f>
        <v>* differential.element[12].definition = "Composition of this product"</v>
      </c>
    </row>
    <row r="111" spans="1:4" x14ac:dyDescent="0.75">
      <c r="A111" s="32">
        <v>82</v>
      </c>
      <c r="B111" s="32">
        <f t="shared" si="2"/>
        <v>11</v>
      </c>
      <c r="C111" s="32">
        <f t="shared" si="3"/>
        <v>5</v>
      </c>
      <c r="D111" s="38" t="str" cm="1">
        <f t="array" ref="D111">INDEX('Prod-2'!$B$2:$H$41,1+B111,C111)</f>
        <v>* differential.element[12].min = 0</v>
      </c>
    </row>
    <row r="112" spans="1:4" x14ac:dyDescent="0.75">
      <c r="A112" s="32">
        <v>83</v>
      </c>
      <c r="B112" s="32">
        <f t="shared" si="2"/>
        <v>11</v>
      </c>
      <c r="C112" s="32">
        <f t="shared" si="3"/>
        <v>6</v>
      </c>
      <c r="D112" s="38" t="str" cm="1">
        <f t="array" ref="D112">INDEX('Prod-2'!$B$2:$H$41,1+B112,C112)</f>
        <v>* differential.element[12].max = "1"</v>
      </c>
    </row>
    <row r="113" spans="1:4" x14ac:dyDescent="0.75">
      <c r="A113" s="32">
        <v>84</v>
      </c>
      <c r="B113" s="32">
        <f t="shared" si="2"/>
        <v>11</v>
      </c>
      <c r="C113" s="32">
        <f t="shared" si="3"/>
        <v>7</v>
      </c>
      <c r="D113" s="38" t="str" cm="1">
        <f t="array" ref="D113">INDEX('Prod-2'!$B$2:$H$41,1+B113,C113)</f>
        <v>* differential.element[12].type.code = #BackboneElement</v>
      </c>
    </row>
    <row r="114" spans="1:4" x14ac:dyDescent="0.75">
      <c r="A114" s="32">
        <v>85</v>
      </c>
      <c r="B114" s="32">
        <f t="shared" si="2"/>
        <v>12</v>
      </c>
      <c r="C114" s="32">
        <f t="shared" si="3"/>
        <v>1</v>
      </c>
      <c r="D114" s="38" t="str" cm="1">
        <f t="array" ref="D114">INDEX('Prod-2'!$B$2:$H$41,1+B114,C114)</f>
        <v>* differential.element[13].id = "Product.composition.ingredient"</v>
      </c>
    </row>
    <row r="115" spans="1:4" x14ac:dyDescent="0.75">
      <c r="A115" s="32">
        <v>86</v>
      </c>
      <c r="B115" s="32">
        <f t="shared" si="2"/>
        <v>12</v>
      </c>
      <c r="C115" s="32">
        <f t="shared" si="3"/>
        <v>2</v>
      </c>
      <c r="D115" s="38" t="str" cm="1">
        <f t="array" ref="D115">INDEX('Prod-2'!$B$2:$H$41,1+B115,C115)</f>
        <v>* differential.element[13].path = "Product.composition.ingredient"</v>
      </c>
    </row>
    <row r="116" spans="1:4" x14ac:dyDescent="0.75">
      <c r="A116" s="32">
        <v>87</v>
      </c>
      <c r="B116" s="32">
        <f t="shared" si="2"/>
        <v>12</v>
      </c>
      <c r="C116" s="32">
        <f t="shared" si="3"/>
        <v>3</v>
      </c>
      <c r="D116" s="38" t="str" cm="1">
        <f t="array" ref="D116">INDEX('Prod-2'!$B$2:$H$41,1+B116,C116)</f>
        <v>* differential.element[13].short = "Ingredient (e.g. antigen)"</v>
      </c>
    </row>
    <row r="117" spans="1:4" x14ac:dyDescent="0.75">
      <c r="A117" s="32">
        <v>88</v>
      </c>
      <c r="B117" s="32">
        <f t="shared" si="2"/>
        <v>12</v>
      </c>
      <c r="C117" s="32">
        <f t="shared" si="3"/>
        <v>4</v>
      </c>
      <c r="D117" s="38" t="str" cm="1">
        <f t="array" ref="D117">INDEX('Prod-2'!$B$2:$H$41,1+B117,C117)</f>
        <v>* differential.element[13].definition = "Information about the ingredients composing this product"</v>
      </c>
    </row>
    <row r="118" spans="1:4" x14ac:dyDescent="0.75">
      <c r="A118" s="32">
        <v>89</v>
      </c>
      <c r="B118" s="32">
        <f t="shared" si="2"/>
        <v>12</v>
      </c>
      <c r="C118" s="32">
        <f t="shared" si="3"/>
        <v>5</v>
      </c>
      <c r="D118" s="38" t="str" cm="1">
        <f t="array" ref="D118">INDEX('Prod-2'!$B$2:$H$41,1+B118,C118)</f>
        <v>* differential.element[13].min = 0</v>
      </c>
    </row>
    <row r="119" spans="1:4" x14ac:dyDescent="0.75">
      <c r="A119" s="32">
        <v>90</v>
      </c>
      <c r="B119" s="32">
        <f t="shared" si="2"/>
        <v>12</v>
      </c>
      <c r="C119" s="32">
        <f t="shared" si="3"/>
        <v>6</v>
      </c>
      <c r="D119" s="38" t="str" cm="1">
        <f t="array" ref="D119">INDEX('Prod-2'!$B$2:$H$41,1+B119,C119)</f>
        <v>* differential.element[13].max = "*"</v>
      </c>
    </row>
    <row r="120" spans="1:4" x14ac:dyDescent="0.75">
      <c r="A120" s="32">
        <v>91</v>
      </c>
      <c r="B120" s="32">
        <f t="shared" si="2"/>
        <v>12</v>
      </c>
      <c r="C120" s="32">
        <f t="shared" si="3"/>
        <v>7</v>
      </c>
      <c r="D120" s="38" t="str" cm="1">
        <f t="array" ref="D120">INDEX('Prod-2'!$B$2:$H$41,1+B120,C120)</f>
        <v>* differential.element[13].type.code = #BackboneElement</v>
      </c>
    </row>
    <row r="121" spans="1:4" x14ac:dyDescent="0.75">
      <c r="A121" s="32">
        <v>92</v>
      </c>
      <c r="B121" s="32">
        <f t="shared" si="2"/>
        <v>13</v>
      </c>
      <c r="C121" s="32">
        <f t="shared" si="3"/>
        <v>1</v>
      </c>
      <c r="D121" s="38" t="str" cm="1">
        <f t="array" ref="D121">INDEX('Prod-2'!$B$2:$H$41,1+B121,C121)</f>
        <v>* differential.element[14].id = "Product.composition.ingredient.substanceName"</v>
      </c>
    </row>
    <row r="122" spans="1:4" x14ac:dyDescent="0.75">
      <c r="A122" s="32">
        <v>93</v>
      </c>
      <c r="B122" s="32">
        <f t="shared" si="2"/>
        <v>13</v>
      </c>
      <c r="C122" s="32">
        <f t="shared" si="3"/>
        <v>2</v>
      </c>
      <c r="D122" s="38" t="str" cm="1">
        <f t="array" ref="D122">INDEX('Prod-2'!$B$2:$H$41,1+B122,C122)</f>
        <v>* differential.element[14].path = "Product.composition.ingredient.substanceName"</v>
      </c>
    </row>
    <row r="123" spans="1:4" x14ac:dyDescent="0.75">
      <c r="A123" s="32">
        <v>94</v>
      </c>
      <c r="B123" s="32">
        <f t="shared" si="2"/>
        <v>13</v>
      </c>
      <c r="C123" s="32">
        <f t="shared" si="3"/>
        <v>3</v>
      </c>
      <c r="D123" s="38" t="str" cm="1">
        <f t="array" ref="D123">INDEX('Prod-2'!$B$2:$H$41,1+B123,C123)</f>
        <v>* differential.element[14].short = "Substance name"</v>
      </c>
    </row>
    <row r="124" spans="1:4" x14ac:dyDescent="0.75">
      <c r="A124" s="32">
        <v>95</v>
      </c>
      <c r="B124" s="32">
        <f t="shared" si="2"/>
        <v>13</v>
      </c>
      <c r="C124" s="32">
        <f t="shared" si="3"/>
        <v>4</v>
      </c>
      <c r="D124" s="38" t="str" cm="1">
        <f t="array" ref="D124">INDEX('Prod-2'!$B$2:$H$41,1+B124,C124)</f>
        <v>* differential.element[14].definition = "Name of the substance / specified substance"</v>
      </c>
    </row>
    <row r="125" spans="1:4" x14ac:dyDescent="0.75">
      <c r="A125" s="32">
        <v>96</v>
      </c>
      <c r="B125" s="32">
        <f t="shared" si="2"/>
        <v>13</v>
      </c>
      <c r="C125" s="32">
        <f t="shared" si="3"/>
        <v>5</v>
      </c>
      <c r="D125" s="38" t="str" cm="1">
        <f t="array" ref="D125">INDEX('Prod-2'!$B$2:$H$41,1+B125,C125)</f>
        <v>* differential.element[14].min = 0</v>
      </c>
    </row>
    <row r="126" spans="1:4" x14ac:dyDescent="0.75">
      <c r="A126" s="32">
        <v>97</v>
      </c>
      <c r="B126" s="32">
        <f t="shared" si="2"/>
        <v>13</v>
      </c>
      <c r="C126" s="32">
        <f t="shared" si="3"/>
        <v>6</v>
      </c>
      <c r="D126" s="38" t="str" cm="1">
        <f t="array" ref="D126">INDEX('Prod-2'!$B$2:$H$41,1+B126,C126)</f>
        <v>* differential.element[14].max = "1"</v>
      </c>
    </row>
    <row r="127" spans="1:4" x14ac:dyDescent="0.75">
      <c r="A127" s="32">
        <v>98</v>
      </c>
      <c r="B127" s="32">
        <f t="shared" si="2"/>
        <v>13</v>
      </c>
      <c r="C127" s="32">
        <f t="shared" si="3"/>
        <v>7</v>
      </c>
      <c r="D127" s="38" t="str" cm="1">
        <f t="array" ref="D127">INDEX('Prod-2'!$B$2:$H$41,1+B127,C127)</f>
        <v>* differential.element[14].type.code = #string</v>
      </c>
    </row>
    <row r="128" spans="1:4" x14ac:dyDescent="0.75">
      <c r="A128" s="32">
        <v>99</v>
      </c>
      <c r="B128" s="32">
        <f t="shared" si="2"/>
        <v>14</v>
      </c>
      <c r="C128" s="32">
        <f t="shared" si="3"/>
        <v>1</v>
      </c>
      <c r="D128" s="38" t="str" cm="1">
        <f t="array" ref="D128">INDEX('Prod-2'!$B$2:$H$41,1+B128,C128)</f>
        <v>* differential.element[15].id = "Product.composition.ingredient.substanceCode"</v>
      </c>
    </row>
    <row r="129" spans="1:4" x14ac:dyDescent="0.75">
      <c r="A129" s="32">
        <v>100</v>
      </c>
      <c r="B129" s="32">
        <f t="shared" si="2"/>
        <v>14</v>
      </c>
      <c r="C129" s="32">
        <f t="shared" si="3"/>
        <v>2</v>
      </c>
      <c r="D129" s="38" t="str" cm="1">
        <f t="array" ref="D129">INDEX('Prod-2'!$B$2:$H$41,1+B129,C129)</f>
        <v>* differential.element[15].path = "Product.composition.ingredient.substanceCode"</v>
      </c>
    </row>
    <row r="130" spans="1:4" x14ac:dyDescent="0.75">
      <c r="A130" s="32">
        <v>101</v>
      </c>
      <c r="B130" s="32">
        <f t="shared" si="2"/>
        <v>14</v>
      </c>
      <c r="C130" s="32">
        <f t="shared" si="3"/>
        <v>3</v>
      </c>
      <c r="D130" s="38" t="str" cm="1">
        <f t="array" ref="D130">INDEX('Prod-2'!$B$2:$H$41,1+B130,C130)</f>
        <v>* differential.element[15].short = "Substance code"</v>
      </c>
    </row>
    <row r="131" spans="1:4" ht="88.5" x14ac:dyDescent="0.75">
      <c r="A131" s="32">
        <v>102</v>
      </c>
      <c r="B131" s="32">
        <f t="shared" si="2"/>
        <v>14</v>
      </c>
      <c r="C131" s="32">
        <f t="shared" si="3"/>
        <v>4</v>
      </c>
      <c r="D131" s="38" t="str" cm="1">
        <f t="array" ref="D131">INDEX('Prod-2'!$B$2:$H$41,1+B131,C131)</f>
        <v>* differential.element[15].definition = "Code identifying this substance / specified substance. 
A susbtance is 'any matter of defined composition that has discrete existence, whose origin may be biological, mineral or chemical' [source ISO 11616:2017]
When active it is the substance that triggers an immune response to a specific disease with a role of an antigen. 
Derivable from vaccine product.
"</v>
      </c>
    </row>
    <row r="132" spans="1:4" x14ac:dyDescent="0.75">
      <c r="A132" s="32">
        <v>103</v>
      </c>
      <c r="B132" s="32">
        <f t="shared" si="2"/>
        <v>14</v>
      </c>
      <c r="C132" s="32">
        <f t="shared" si="3"/>
        <v>5</v>
      </c>
      <c r="D132" s="38" t="str" cm="1">
        <f t="array" ref="D132">INDEX('Prod-2'!$B$2:$H$41,1+B132,C132)</f>
        <v>* differential.element[15].min = 0</v>
      </c>
    </row>
    <row r="133" spans="1:4" x14ac:dyDescent="0.75">
      <c r="A133" s="32">
        <v>104</v>
      </c>
      <c r="B133" s="32">
        <f t="shared" si="2"/>
        <v>14</v>
      </c>
      <c r="C133" s="32">
        <f t="shared" si="3"/>
        <v>6</v>
      </c>
      <c r="D133" s="38" t="str" cm="1">
        <f t="array" ref="D133">INDEX('Prod-2'!$B$2:$H$41,1+B133,C133)</f>
        <v>* differential.element[15].max = "*"</v>
      </c>
    </row>
    <row r="134" spans="1:4" x14ac:dyDescent="0.75">
      <c r="A134" s="32">
        <v>105</v>
      </c>
      <c r="B134" s="32">
        <f t="shared" si="2"/>
        <v>14</v>
      </c>
      <c r="C134" s="32">
        <f t="shared" si="3"/>
        <v>7</v>
      </c>
      <c r="D134" s="38" t="str" cm="1">
        <f t="array" ref="D134">INDEX('Prod-2'!$B$2:$H$41,1+B134,C134)</f>
        <v>* differential.element[15].type.code = #CodeableConcept</v>
      </c>
    </row>
    <row r="135" spans="1:4" x14ac:dyDescent="0.75">
      <c r="A135" s="32">
        <v>106</v>
      </c>
      <c r="B135" s="32">
        <f t="shared" si="2"/>
        <v>15</v>
      </c>
      <c r="C135" s="32">
        <f t="shared" si="3"/>
        <v>1</v>
      </c>
      <c r="D135" s="38" t="str" cm="1">
        <f t="array" ref="D135">INDEX('Prod-2'!$B$2:$H$41,1+B135,C135)</f>
        <v>* differential.element[16].id = "Product.composition.ingredient.ingredientRole"</v>
      </c>
    </row>
    <row r="136" spans="1:4" x14ac:dyDescent="0.75">
      <c r="A136" s="32">
        <v>107</v>
      </c>
      <c r="B136" s="32">
        <f t="shared" si="2"/>
        <v>15</v>
      </c>
      <c r="C136" s="32">
        <f t="shared" si="3"/>
        <v>2</v>
      </c>
      <c r="D136" s="38" t="str" cm="1">
        <f t="array" ref="D136">INDEX('Prod-2'!$B$2:$H$41,1+B136,C136)</f>
        <v>* differential.element[16].path = "Product.composition.ingredient.ingredientRole"</v>
      </c>
    </row>
    <row r="137" spans="1:4" x14ac:dyDescent="0.75">
      <c r="A137" s="32">
        <v>108</v>
      </c>
      <c r="B137" s="32">
        <f t="shared" si="2"/>
        <v>15</v>
      </c>
      <c r="C137" s="32">
        <f t="shared" si="3"/>
        <v>3</v>
      </c>
      <c r="D137" s="38" t="str" cm="1">
        <f t="array" ref="D137">INDEX('Prod-2'!$B$2:$H$41,1+B137,C137)</f>
        <v>* differential.element[16].short = "Ingredient role"</v>
      </c>
    </row>
    <row r="138" spans="1:4" x14ac:dyDescent="0.75">
      <c r="A138" s="32">
        <v>109</v>
      </c>
      <c r="B138" s="32">
        <f t="shared" si="2"/>
        <v>15</v>
      </c>
      <c r="C138" s="32">
        <f t="shared" si="3"/>
        <v>4</v>
      </c>
      <c r="D138" s="38" t="str" cm="1">
        <f t="array" ref="D138">INDEX('Prod-2'!$B$2:$H$41,1+B138,C138)</f>
        <v>* differential.element[16].definition = "Role of this ingredient"</v>
      </c>
    </row>
    <row r="139" spans="1:4" x14ac:dyDescent="0.75">
      <c r="A139" s="32">
        <v>110</v>
      </c>
      <c r="B139" s="32">
        <f t="shared" si="2"/>
        <v>15</v>
      </c>
      <c r="C139" s="32">
        <f t="shared" si="3"/>
        <v>5</v>
      </c>
      <c r="D139" s="38" t="str" cm="1">
        <f t="array" ref="D139">INDEX('Prod-2'!$B$2:$H$41,1+B139,C139)</f>
        <v>* differential.element[16].min = 0</v>
      </c>
    </row>
    <row r="140" spans="1:4" x14ac:dyDescent="0.75">
      <c r="A140" s="32">
        <v>111</v>
      </c>
      <c r="B140" s="32">
        <f t="shared" si="2"/>
        <v>15</v>
      </c>
      <c r="C140" s="32">
        <f t="shared" si="3"/>
        <v>6</v>
      </c>
      <c r="D140" s="38" t="str" cm="1">
        <f t="array" ref="D140">INDEX('Prod-2'!$B$2:$H$41,1+B140,C140)</f>
        <v>* differential.element[16].max = "1"</v>
      </c>
    </row>
    <row r="141" spans="1:4" x14ac:dyDescent="0.75">
      <c r="A141" s="32">
        <v>112</v>
      </c>
      <c r="B141" s="32">
        <f t="shared" si="2"/>
        <v>15</v>
      </c>
      <c r="C141" s="32">
        <f t="shared" si="3"/>
        <v>7</v>
      </c>
      <c r="D141" s="38" t="str" cm="1">
        <f t="array" ref="D141">INDEX('Prod-2'!$B$2:$H$41,1+B141,C141)</f>
        <v>* differential.element[16].type.code = #CodeableConcept</v>
      </c>
    </row>
    <row r="142" spans="1:4" x14ac:dyDescent="0.75">
      <c r="A142" s="32">
        <v>113</v>
      </c>
      <c r="B142" s="32">
        <f t="shared" si="2"/>
        <v>16</v>
      </c>
      <c r="C142" s="32">
        <f t="shared" si="3"/>
        <v>1</v>
      </c>
      <c r="D142" s="38" t="str" cm="1">
        <f t="array" ref="D142">INDEX('Prod-2'!$B$2:$H$41,1+B142,C142)</f>
        <v>* differential.element[17].id = "Product.composition.ingredient.substanceQuantity"</v>
      </c>
    </row>
    <row r="143" spans="1:4" x14ac:dyDescent="0.75">
      <c r="A143" s="32">
        <v>114</v>
      </c>
      <c r="B143" s="32">
        <f t="shared" si="2"/>
        <v>16</v>
      </c>
      <c r="C143" s="32">
        <f t="shared" si="3"/>
        <v>2</v>
      </c>
      <c r="D143" s="38" t="str" cm="1">
        <f t="array" ref="D143">INDEX('Prod-2'!$B$2:$H$41,1+B143,C143)</f>
        <v>* differential.element[17].path = "Product.composition.ingredient.substanceQuantity"</v>
      </c>
    </row>
    <row r="144" spans="1:4" x14ac:dyDescent="0.75">
      <c r="A144" s="32">
        <v>115</v>
      </c>
      <c r="B144" s="32">
        <f t="shared" si="2"/>
        <v>16</v>
      </c>
      <c r="C144" s="32">
        <f t="shared" si="3"/>
        <v>3</v>
      </c>
      <c r="D144" s="38" t="str" cm="1">
        <f t="array" ref="D144">INDEX('Prod-2'!$B$2:$H$41,1+B144,C144)</f>
        <v>* differential.element[17].short = "Substance quantity"</v>
      </c>
    </row>
    <row r="145" spans="1:4" x14ac:dyDescent="0.75">
      <c r="A145" s="32">
        <v>116</v>
      </c>
      <c r="B145" s="32">
        <f t="shared" si="2"/>
        <v>16</v>
      </c>
      <c r="C145" s="32">
        <f t="shared" si="3"/>
        <v>4</v>
      </c>
      <c r="D145" s="38" t="str" cm="1">
        <f t="array" ref="D145">INDEX('Prod-2'!$B$2:$H$41,1+B145,C145)</f>
        <v>* differential.element[17].definition = "Quantity of this substance / specified substance. It can be per unit of presentation or per concentration."</v>
      </c>
    </row>
    <row r="146" spans="1:4" x14ac:dyDescent="0.75">
      <c r="A146" s="32">
        <v>117</v>
      </c>
      <c r="B146" s="32">
        <f t="shared" si="2"/>
        <v>16</v>
      </c>
      <c r="C146" s="32">
        <f t="shared" si="3"/>
        <v>5</v>
      </c>
      <c r="D146" s="38" t="str" cm="1">
        <f t="array" ref="D146">INDEX('Prod-2'!$B$2:$H$41,1+B146,C146)</f>
        <v>* differential.element[17].min = 0</v>
      </c>
    </row>
    <row r="147" spans="1:4" x14ac:dyDescent="0.75">
      <c r="A147" s="32">
        <v>118</v>
      </c>
      <c r="B147" s="32">
        <f t="shared" si="2"/>
        <v>16</v>
      </c>
      <c r="C147" s="32">
        <f t="shared" si="3"/>
        <v>6</v>
      </c>
      <c r="D147" s="38" t="str" cm="1">
        <f t="array" ref="D147">INDEX('Prod-2'!$B$2:$H$41,1+B147,C147)</f>
        <v>* differential.element[17].max = "1"</v>
      </c>
    </row>
    <row r="148" spans="1:4" x14ac:dyDescent="0.75">
      <c r="A148" s="32">
        <v>119</v>
      </c>
      <c r="B148" s="32">
        <f t="shared" si="2"/>
        <v>16</v>
      </c>
      <c r="C148" s="32">
        <f t="shared" si="3"/>
        <v>7</v>
      </c>
      <c r="D148" s="38" t="str" cm="1">
        <f t="array" ref="D148">INDEX('Prod-2'!$B$2:$H$41,1+B148,C148)</f>
        <v>* differential.element[17].type.code = #Ratio</v>
      </c>
    </row>
    <row r="149" spans="1:4" x14ac:dyDescent="0.75">
      <c r="A149" s="32">
        <v>120</v>
      </c>
      <c r="B149" s="32">
        <f t="shared" si="2"/>
        <v>17</v>
      </c>
      <c r="C149" s="32">
        <f t="shared" si="3"/>
        <v>1</v>
      </c>
      <c r="D149" s="38" t="str" cm="1">
        <f t="array" ref="D149">INDEX('Prod-2'!$B$2:$H$41,1+B149,C149)</f>
        <v>* differential.element[18].id = "Product.composition.description"</v>
      </c>
    </row>
    <row r="150" spans="1:4" x14ac:dyDescent="0.75">
      <c r="A150" s="32">
        <v>121</v>
      </c>
      <c r="B150" s="32">
        <f t="shared" si="2"/>
        <v>17</v>
      </c>
      <c r="C150" s="32">
        <f t="shared" si="3"/>
        <v>2</v>
      </c>
      <c r="D150" s="38" t="str" cm="1">
        <f t="array" ref="D150">INDEX('Prod-2'!$B$2:$H$41,1+B150,C150)</f>
        <v>* differential.element[18].path = "Product.composition.description"</v>
      </c>
    </row>
    <row r="151" spans="1:4" x14ac:dyDescent="0.75">
      <c r="A151" s="32">
        <v>122</v>
      </c>
      <c r="B151" s="32">
        <f t="shared" si="2"/>
        <v>17</v>
      </c>
      <c r="C151" s="32">
        <f t="shared" si="3"/>
        <v>3</v>
      </c>
      <c r="D151" s="38" t="str" cm="1">
        <f t="array" ref="D151">INDEX('Prod-2'!$B$2:$H$41,1+B151,C151)</f>
        <v>* differential.element[18].short = "Composition (textual tescription)"</v>
      </c>
    </row>
    <row r="152" spans="1:4" x14ac:dyDescent="0.75">
      <c r="A152" s="32">
        <v>123</v>
      </c>
      <c r="B152" s="32">
        <f t="shared" si="2"/>
        <v>17</v>
      </c>
      <c r="C152" s="32">
        <f t="shared" si="3"/>
        <v>4</v>
      </c>
      <c r="D152" s="38" t="str" cm="1">
        <f t="array" ref="D152">INDEX('Prod-2'!$B$2:$H$41,1+B152,C152)</f>
        <v>* differential.element[18].definition = "Textual description of the product composition"</v>
      </c>
    </row>
    <row r="153" spans="1:4" x14ac:dyDescent="0.75">
      <c r="A153" s="32">
        <v>124</v>
      </c>
      <c r="B153" s="32">
        <f t="shared" si="2"/>
        <v>17</v>
      </c>
      <c r="C153" s="32">
        <f t="shared" si="3"/>
        <v>5</v>
      </c>
      <c r="D153" s="38" t="str" cm="1">
        <f t="array" ref="D153">INDEX('Prod-2'!$B$2:$H$41,1+B153,C153)</f>
        <v>* differential.element[18].min = 0</v>
      </c>
    </row>
    <row r="154" spans="1:4" x14ac:dyDescent="0.75">
      <c r="A154" s="32">
        <v>125</v>
      </c>
      <c r="B154" s="32">
        <f t="shared" si="2"/>
        <v>17</v>
      </c>
      <c r="C154" s="32">
        <f t="shared" si="3"/>
        <v>6</v>
      </c>
      <c r="D154" s="38" t="str" cm="1">
        <f t="array" ref="D154">INDEX('Prod-2'!$B$2:$H$41,1+B154,C154)</f>
        <v>* differential.element[18].max = "1"</v>
      </c>
    </row>
    <row r="155" spans="1:4" x14ac:dyDescent="0.75">
      <c r="A155" s="32">
        <v>126</v>
      </c>
      <c r="B155" s="32">
        <f t="shared" si="2"/>
        <v>17</v>
      </c>
      <c r="C155" s="32">
        <f t="shared" si="3"/>
        <v>7</v>
      </c>
      <c r="D155" s="38" t="str" cm="1">
        <f t="array" ref="D155">INDEX('Prod-2'!$B$2:$H$41,1+B155,C155)</f>
        <v>* differential.element[18].type.code = #string</v>
      </c>
    </row>
    <row r="156" spans="1:4" x14ac:dyDescent="0.75">
      <c r="A156" s="32">
        <v>127</v>
      </c>
      <c r="B156" s="32">
        <f t="shared" si="2"/>
        <v>18</v>
      </c>
      <c r="C156" s="32">
        <f t="shared" si="3"/>
        <v>1</v>
      </c>
      <c r="D156" s="38" t="str" cm="1">
        <f t="array" ref="D156">INDEX('Prod-2'!$B$2:$H$41,1+B156,C156)</f>
        <v>* differential.element[19].id = "Product.marketAuthorizationHolder"</v>
      </c>
    </row>
    <row r="157" spans="1:4" x14ac:dyDescent="0.75">
      <c r="A157" s="32">
        <v>128</v>
      </c>
      <c r="B157" s="32">
        <f t="shared" si="2"/>
        <v>18</v>
      </c>
      <c r="C157" s="32">
        <f t="shared" si="3"/>
        <v>2</v>
      </c>
      <c r="D157" s="38" t="str" cm="1">
        <f t="array" ref="D157">INDEX('Prod-2'!$B$2:$H$41,1+B157,C157)</f>
        <v>* differential.element[19].path = "Product.marketAuthorizationHolder"</v>
      </c>
    </row>
    <row r="158" spans="1:4" x14ac:dyDescent="0.75">
      <c r="A158" s="32">
        <v>129</v>
      </c>
      <c r="B158" s="32">
        <f t="shared" si="2"/>
        <v>18</v>
      </c>
      <c r="C158" s="32">
        <f t="shared" si="3"/>
        <v>3</v>
      </c>
      <c r="D158" s="38" t="str" cm="1">
        <f t="array" ref="D158">INDEX('Prod-2'!$B$2:$H$41,1+B158,C158)</f>
        <v>* differential.element[19].short = "Market Authorization Holder (MAH)"</v>
      </c>
    </row>
    <row r="159" spans="1:4" x14ac:dyDescent="0.75">
      <c r="A159" s="32">
        <v>130</v>
      </c>
      <c r="B159" s="32">
        <f t="shared" ref="B159:B222" si="4">IF(MOD(A159,7)=0,A159/7-1,INT(A159/7))</f>
        <v>18</v>
      </c>
      <c r="C159" s="32">
        <f t="shared" ref="C159:C222" si="5">IF(MOD(A159,7)=0,7,MOD(A159,7))</f>
        <v>4</v>
      </c>
      <c r="D159" s="38" t="str" cm="1">
        <f t="array" ref="D159">INDEX('Prod-2'!$B$2:$H$41,1+B159,C159)</f>
        <v>* differential.element[19].definition = "the organisation that holds the authorisation for marketing a Medicinal Product in a region"</v>
      </c>
    </row>
    <row r="160" spans="1:4" x14ac:dyDescent="0.75">
      <c r="A160" s="32">
        <v>131</v>
      </c>
      <c r="B160" s="32">
        <f t="shared" si="4"/>
        <v>18</v>
      </c>
      <c r="C160" s="32">
        <f t="shared" si="5"/>
        <v>5</v>
      </c>
      <c r="D160" s="38" t="str" cm="1">
        <f t="array" ref="D160">INDEX('Prod-2'!$B$2:$H$41,1+B160,C160)</f>
        <v>* differential.element[19].min = 0</v>
      </c>
    </row>
    <row r="161" spans="1:4" x14ac:dyDescent="0.75">
      <c r="A161" s="32">
        <v>132</v>
      </c>
      <c r="B161" s="32">
        <f t="shared" si="4"/>
        <v>18</v>
      </c>
      <c r="C161" s="32">
        <f t="shared" si="5"/>
        <v>6</v>
      </c>
      <c r="D161" s="38" t="str" cm="1">
        <f t="array" ref="D161">INDEX('Prod-2'!$B$2:$H$41,1+B161,C161)</f>
        <v>* differential.element[19].max = "1"</v>
      </c>
    </row>
    <row r="162" spans="1:4" x14ac:dyDescent="0.75">
      <c r="A162" s="32">
        <v>133</v>
      </c>
      <c r="B162" s="32">
        <f t="shared" si="4"/>
        <v>18</v>
      </c>
      <c r="C162" s="32">
        <f t="shared" si="5"/>
        <v>7</v>
      </c>
      <c r="D162" s="38" t="str" cm="1">
        <f t="array" ref="D162">INDEX('Prod-2'!$B$2:$H$41,1+B162,C162)</f>
        <v>* differential.element[19].type.code = #http://iso.org/fhir/ts-5384/StructureDefinition/SimpleOrganization</v>
      </c>
    </row>
    <row r="163" spans="1:4" x14ac:dyDescent="0.75">
      <c r="A163" s="32">
        <v>134</v>
      </c>
      <c r="B163" s="32">
        <f t="shared" si="4"/>
        <v>19</v>
      </c>
      <c r="C163" s="32">
        <f t="shared" si="5"/>
        <v>1</v>
      </c>
      <c r="D163" s="38" t="str" cm="1">
        <f t="array" ref="D163">INDEX('Prod-2'!$B$2:$H$41,1+B163,C163)</f>
        <v>* differential.element[20].id = "Product.manufacturer"</v>
      </c>
    </row>
    <row r="164" spans="1:4" x14ac:dyDescent="0.75">
      <c r="A164" s="32">
        <v>135</v>
      </c>
      <c r="B164" s="32">
        <f t="shared" si="4"/>
        <v>19</v>
      </c>
      <c r="C164" s="32">
        <f t="shared" si="5"/>
        <v>2</v>
      </c>
      <c r="D164" s="38" t="str" cm="1">
        <f t="array" ref="D164">INDEX('Prod-2'!$B$2:$H$41,1+B164,C164)</f>
        <v>* differential.element[20].path = "Product.manufacturer"</v>
      </c>
    </row>
    <row r="165" spans="1:4" x14ac:dyDescent="0.75">
      <c r="A165" s="32">
        <v>136</v>
      </c>
      <c r="B165" s="32">
        <f t="shared" si="4"/>
        <v>19</v>
      </c>
      <c r="C165" s="32">
        <f t="shared" si="5"/>
        <v>3</v>
      </c>
      <c r="D165" s="38" t="str" cm="1">
        <f t="array" ref="D165">INDEX('Prod-2'!$B$2:$H$41,1+B165,C165)</f>
        <v>* differential.element[20].short = "manufacturer"</v>
      </c>
    </row>
    <row r="166" spans="1:4" x14ac:dyDescent="0.75">
      <c r="A166" s="32">
        <v>137</v>
      </c>
      <c r="B166" s="32">
        <f t="shared" si="4"/>
        <v>19</v>
      </c>
      <c r="C166" s="32">
        <f t="shared" si="5"/>
        <v>4</v>
      </c>
      <c r="D166" s="38" t="str" cm="1">
        <f t="array" ref="D166">INDEX('Prod-2'!$B$2:$H$41,1+B166,C166)</f>
        <v>* differential.element[20].definition = "Organisation that holds the authorisation for the manufacturing process"</v>
      </c>
    </row>
    <row r="167" spans="1:4" x14ac:dyDescent="0.75">
      <c r="A167" s="32">
        <v>138</v>
      </c>
      <c r="B167" s="32">
        <f t="shared" si="4"/>
        <v>19</v>
      </c>
      <c r="C167" s="32">
        <f t="shared" si="5"/>
        <v>5</v>
      </c>
      <c r="D167" s="38" t="str" cm="1">
        <f t="array" ref="D167">INDEX('Prod-2'!$B$2:$H$41,1+B167,C167)</f>
        <v>* differential.element[20].min = 0</v>
      </c>
    </row>
    <row r="168" spans="1:4" x14ac:dyDescent="0.75">
      <c r="A168" s="32">
        <v>139</v>
      </c>
      <c r="B168" s="32">
        <f t="shared" si="4"/>
        <v>19</v>
      </c>
      <c r="C168" s="32">
        <f t="shared" si="5"/>
        <v>6</v>
      </c>
      <c r="D168" s="38" t="str" cm="1">
        <f t="array" ref="D168">INDEX('Prod-2'!$B$2:$H$41,1+B168,C168)</f>
        <v>* differential.element[20].max = "1"</v>
      </c>
    </row>
    <row r="169" spans="1:4" x14ac:dyDescent="0.75">
      <c r="A169" s="32">
        <v>140</v>
      </c>
      <c r="B169" s="32">
        <f t="shared" si="4"/>
        <v>19</v>
      </c>
      <c r="C169" s="32">
        <f t="shared" si="5"/>
        <v>7</v>
      </c>
      <c r="D169" s="38" t="str" cm="1">
        <f t="array" ref="D169">INDEX('Prod-2'!$B$2:$H$41,1+B169,C169)</f>
        <v>* differential.element[20].type.code = #http://iso.org/fhir/ts-5384/StructureDefinition/SimpleOrganization</v>
      </c>
    </row>
    <row r="170" spans="1:4" x14ac:dyDescent="0.75">
      <c r="A170" s="32">
        <v>141</v>
      </c>
      <c r="B170" s="32">
        <f t="shared" si="4"/>
        <v>20</v>
      </c>
      <c r="C170" s="32">
        <f t="shared" si="5"/>
        <v>1</v>
      </c>
      <c r="D170" s="38" t="str" cm="1">
        <f t="array" ref="D170">INDEX('Prod-2'!$B$2:$H$41,1+B170,C170)</f>
        <v>* differential.element[21].id = "Product.expiryDate"</v>
      </c>
    </row>
    <row r="171" spans="1:4" x14ac:dyDescent="0.75">
      <c r="A171" s="32">
        <v>142</v>
      </c>
      <c r="B171" s="32">
        <f t="shared" si="4"/>
        <v>20</v>
      </c>
      <c r="C171" s="32">
        <f t="shared" si="5"/>
        <v>2</v>
      </c>
      <c r="D171" s="38" t="str" cm="1">
        <f t="array" ref="D171">INDEX('Prod-2'!$B$2:$H$41,1+B171,C171)</f>
        <v>* differential.element[21].path = "Product.expiryDate"</v>
      </c>
    </row>
    <row r="172" spans="1:4" x14ac:dyDescent="0.75">
      <c r="A172" s="32">
        <v>143</v>
      </c>
      <c r="B172" s="32">
        <f t="shared" si="4"/>
        <v>20</v>
      </c>
      <c r="C172" s="32">
        <f t="shared" si="5"/>
        <v>3</v>
      </c>
      <c r="D172" s="38" t="str" cm="1">
        <f t="array" ref="D172">INDEX('Prod-2'!$B$2:$H$41,1+B172,C172)</f>
        <v>* differential.element[21].short = "Expiry Date"</v>
      </c>
    </row>
    <row r="173" spans="1:4" ht="88.5" x14ac:dyDescent="0.75">
      <c r="A173" s="32">
        <v>144</v>
      </c>
      <c r="B173" s="32">
        <f t="shared" si="4"/>
        <v>20</v>
      </c>
      <c r="C173" s="32">
        <f t="shared" si="5"/>
        <v>4</v>
      </c>
      <c r="D173" s="38" t="str" cm="1">
        <f t="array" ref="D173">INDEX('Prod-2'!$B$2:$H$41,1+B173,C173)</f>
        <v>* differential.element[21].definition = "Date, assigned to the Medicinal Immunizing Product by the manufacturer, after which the product should not be administered as product integrity cannot be guaranteed.  
The Medicinal Immunizing Product, along with the Medicinal Immunizing Product Lot Number and Medicinal Immunizing Product Expiry Date, uniquely identifies an immunizing product. 
A key variable in vaccine recalls because each lot number may have more than one expiry date.  
Expiry date may be changed (reduced) due to a cold chain break. "</v>
      </c>
    </row>
    <row r="174" spans="1:4" x14ac:dyDescent="0.75">
      <c r="A174" s="32">
        <v>145</v>
      </c>
      <c r="B174" s="32">
        <f t="shared" si="4"/>
        <v>20</v>
      </c>
      <c r="C174" s="32">
        <f t="shared" si="5"/>
        <v>5</v>
      </c>
      <c r="D174" s="38" t="str" cm="1">
        <f t="array" ref="D174">INDEX('Prod-2'!$B$2:$H$41,1+B174,C174)</f>
        <v>* differential.element[21].min = 0</v>
      </c>
    </row>
    <row r="175" spans="1:4" x14ac:dyDescent="0.75">
      <c r="A175" s="32">
        <v>146</v>
      </c>
      <c r="B175" s="32">
        <f t="shared" si="4"/>
        <v>20</v>
      </c>
      <c r="C175" s="32">
        <f t="shared" si="5"/>
        <v>6</v>
      </c>
      <c r="D175" s="38" t="str" cm="1">
        <f t="array" ref="D175">INDEX('Prod-2'!$B$2:$H$41,1+B175,C175)</f>
        <v>* differential.element[21].max = "1"</v>
      </c>
    </row>
    <row r="176" spans="1:4" x14ac:dyDescent="0.75">
      <c r="A176" s="32">
        <v>147</v>
      </c>
      <c r="B176" s="32">
        <f t="shared" si="4"/>
        <v>20</v>
      </c>
      <c r="C176" s="32">
        <f t="shared" si="5"/>
        <v>7</v>
      </c>
      <c r="D176" s="38" t="str" cm="1">
        <f t="array" ref="D176">INDEX('Prod-2'!$B$2:$H$41,1+B176,C176)</f>
        <v>* differential.element[21].type.code = #date</v>
      </c>
    </row>
    <row r="177" spans="1:4" x14ac:dyDescent="0.75">
      <c r="A177" s="32">
        <v>148</v>
      </c>
      <c r="B177" s="32">
        <f t="shared" si="4"/>
        <v>21</v>
      </c>
      <c r="C177" s="32">
        <f t="shared" si="5"/>
        <v>1</v>
      </c>
      <c r="D177" s="38" cm="1">
        <f t="array" ref="D177">INDEX('Prod-2'!$B$2:$H$41,1+B177,C177)</f>
        <v>0</v>
      </c>
    </row>
    <row r="178" spans="1:4" x14ac:dyDescent="0.75">
      <c r="A178" s="32">
        <v>149</v>
      </c>
      <c r="B178" s="32">
        <f t="shared" si="4"/>
        <v>21</v>
      </c>
      <c r="C178" s="32">
        <f t="shared" si="5"/>
        <v>2</v>
      </c>
      <c r="D178" s="38" cm="1">
        <f t="array" ref="D178">INDEX('Prod-2'!$B$2:$H$41,1+B178,C178)</f>
        <v>0</v>
      </c>
    </row>
    <row r="179" spans="1:4" x14ac:dyDescent="0.75">
      <c r="A179" s="32">
        <v>150</v>
      </c>
      <c r="B179" s="32">
        <f t="shared" si="4"/>
        <v>21</v>
      </c>
      <c r="C179" s="32">
        <f t="shared" si="5"/>
        <v>3</v>
      </c>
      <c r="D179" s="38" cm="1">
        <f t="array" ref="D179">INDEX('Prod-2'!$B$2:$H$41,1+B179,C179)</f>
        <v>0</v>
      </c>
    </row>
    <row r="180" spans="1:4" x14ac:dyDescent="0.75">
      <c r="A180" s="32">
        <v>151</v>
      </c>
      <c r="B180" s="32">
        <f t="shared" si="4"/>
        <v>21</v>
      </c>
      <c r="C180" s="32">
        <f t="shared" si="5"/>
        <v>4</v>
      </c>
      <c r="D180" s="38" cm="1">
        <f t="array" ref="D180">INDEX('Prod-2'!$B$2:$H$41,1+B180,C180)</f>
        <v>0</v>
      </c>
    </row>
    <row r="181" spans="1:4" x14ac:dyDescent="0.75">
      <c r="A181" s="32">
        <v>152</v>
      </c>
      <c r="B181" s="32">
        <f t="shared" si="4"/>
        <v>21</v>
      </c>
      <c r="C181" s="32">
        <f t="shared" si="5"/>
        <v>5</v>
      </c>
      <c r="D181" s="38" cm="1">
        <f t="array" ref="D181">INDEX('Prod-2'!$B$2:$H$41,1+B181,C181)</f>
        <v>0</v>
      </c>
    </row>
    <row r="182" spans="1:4" x14ac:dyDescent="0.75">
      <c r="A182" s="32">
        <v>153</v>
      </c>
      <c r="B182" s="32">
        <f t="shared" si="4"/>
        <v>21</v>
      </c>
      <c r="C182" s="32">
        <f t="shared" si="5"/>
        <v>6</v>
      </c>
      <c r="D182" s="38" cm="1">
        <f t="array" ref="D182">INDEX('Prod-2'!$B$2:$H$41,1+B182,C182)</f>
        <v>0</v>
      </c>
    </row>
    <row r="183" spans="1:4" x14ac:dyDescent="0.75">
      <c r="A183" s="32">
        <v>154</v>
      </c>
      <c r="B183" s="32">
        <f t="shared" si="4"/>
        <v>21</v>
      </c>
      <c r="C183" s="32">
        <f t="shared" si="5"/>
        <v>7</v>
      </c>
      <c r="D183" s="38" cm="1">
        <f t="array" ref="D183">INDEX('Prod-2'!$B$2:$H$41,1+B183,C183)</f>
        <v>0</v>
      </c>
    </row>
    <row r="184" spans="1:4" x14ac:dyDescent="0.75">
      <c r="A184" s="32">
        <v>155</v>
      </c>
      <c r="B184" s="32">
        <f t="shared" si="4"/>
        <v>22</v>
      </c>
      <c r="C184" s="32">
        <f t="shared" si="5"/>
        <v>1</v>
      </c>
      <c r="D184" s="38" cm="1">
        <f t="array" ref="D184">INDEX('Prod-2'!$B$2:$H$41,1+B184,C184)</f>
        <v>0</v>
      </c>
    </row>
    <row r="185" spans="1:4" x14ac:dyDescent="0.75">
      <c r="A185" s="32">
        <v>156</v>
      </c>
      <c r="B185" s="32">
        <f t="shared" si="4"/>
        <v>22</v>
      </c>
      <c r="C185" s="32">
        <f t="shared" si="5"/>
        <v>2</v>
      </c>
      <c r="D185" s="38" cm="1">
        <f t="array" ref="D185">INDEX('Prod-2'!$B$2:$H$41,1+B185,C185)</f>
        <v>0</v>
      </c>
    </row>
    <row r="186" spans="1:4" x14ac:dyDescent="0.75">
      <c r="A186" s="32">
        <v>157</v>
      </c>
      <c r="B186" s="32">
        <f t="shared" si="4"/>
        <v>22</v>
      </c>
      <c r="C186" s="32">
        <f t="shared" si="5"/>
        <v>3</v>
      </c>
      <c r="D186" s="38" cm="1">
        <f t="array" ref="D186">INDEX('Prod-2'!$B$2:$H$41,1+B186,C186)</f>
        <v>0</v>
      </c>
    </row>
    <row r="187" spans="1:4" x14ac:dyDescent="0.75">
      <c r="A187" s="32">
        <v>158</v>
      </c>
      <c r="B187" s="32">
        <f t="shared" si="4"/>
        <v>22</v>
      </c>
      <c r="C187" s="32">
        <f t="shared" si="5"/>
        <v>4</v>
      </c>
      <c r="D187" s="38" cm="1">
        <f t="array" ref="D187">INDEX('Prod-2'!$B$2:$H$41,1+B187,C187)</f>
        <v>0</v>
      </c>
    </row>
    <row r="188" spans="1:4" x14ac:dyDescent="0.75">
      <c r="A188" s="32">
        <v>159</v>
      </c>
      <c r="B188" s="32">
        <f t="shared" si="4"/>
        <v>22</v>
      </c>
      <c r="C188" s="32">
        <f t="shared" si="5"/>
        <v>5</v>
      </c>
      <c r="D188" s="38" cm="1">
        <f t="array" ref="D188">INDEX('Prod-2'!$B$2:$H$41,1+B188,C188)</f>
        <v>0</v>
      </c>
    </row>
    <row r="189" spans="1:4" x14ac:dyDescent="0.75">
      <c r="A189" s="32">
        <v>160</v>
      </c>
      <c r="B189" s="32">
        <f t="shared" si="4"/>
        <v>22</v>
      </c>
      <c r="C189" s="32">
        <f t="shared" si="5"/>
        <v>6</v>
      </c>
      <c r="D189" s="38" cm="1">
        <f t="array" ref="D189">INDEX('Prod-2'!$B$2:$H$41,1+B189,C189)</f>
        <v>0</v>
      </c>
    </row>
    <row r="190" spans="1:4" x14ac:dyDescent="0.75">
      <c r="A190" s="32">
        <v>161</v>
      </c>
      <c r="B190" s="32">
        <f t="shared" si="4"/>
        <v>22</v>
      </c>
      <c r="C190" s="32">
        <f t="shared" si="5"/>
        <v>7</v>
      </c>
      <c r="D190" s="38" cm="1">
        <f t="array" ref="D190">INDEX('Prod-2'!$B$2:$H$41,1+B190,C190)</f>
        <v>0</v>
      </c>
    </row>
    <row r="191" spans="1:4" x14ac:dyDescent="0.75">
      <c r="A191" s="32">
        <v>162</v>
      </c>
      <c r="B191" s="32">
        <f t="shared" si="4"/>
        <v>23</v>
      </c>
      <c r="C191" s="32">
        <f t="shared" si="5"/>
        <v>1</v>
      </c>
      <c r="D191" s="38" cm="1">
        <f t="array" ref="D191">INDEX('Prod-2'!$B$2:$H$41,1+B191,C191)</f>
        <v>0</v>
      </c>
    </row>
    <row r="192" spans="1:4" x14ac:dyDescent="0.75">
      <c r="A192" s="32">
        <v>163</v>
      </c>
      <c r="B192" s="32">
        <f t="shared" si="4"/>
        <v>23</v>
      </c>
      <c r="C192" s="32">
        <f t="shared" si="5"/>
        <v>2</v>
      </c>
      <c r="D192" s="38" cm="1">
        <f t="array" ref="D192">INDEX('Prod-2'!$B$2:$H$41,1+B192,C192)</f>
        <v>0</v>
      </c>
    </row>
    <row r="193" spans="1:4" x14ac:dyDescent="0.75">
      <c r="A193" s="32">
        <v>164</v>
      </c>
      <c r="B193" s="32">
        <f t="shared" si="4"/>
        <v>23</v>
      </c>
      <c r="C193" s="32">
        <f t="shared" si="5"/>
        <v>3</v>
      </c>
      <c r="D193" s="38" cm="1">
        <f t="array" ref="D193">INDEX('Prod-2'!$B$2:$H$41,1+B193,C193)</f>
        <v>0</v>
      </c>
    </row>
    <row r="194" spans="1:4" x14ac:dyDescent="0.75">
      <c r="A194" s="32">
        <v>165</v>
      </c>
      <c r="B194" s="32">
        <f t="shared" si="4"/>
        <v>23</v>
      </c>
      <c r="C194" s="32">
        <f t="shared" si="5"/>
        <v>4</v>
      </c>
      <c r="D194" s="38" cm="1">
        <f t="array" ref="D194">INDEX('Prod-2'!$B$2:$H$41,1+B194,C194)</f>
        <v>0</v>
      </c>
    </row>
    <row r="195" spans="1:4" x14ac:dyDescent="0.75">
      <c r="A195" s="32">
        <v>166</v>
      </c>
      <c r="B195" s="32">
        <f t="shared" si="4"/>
        <v>23</v>
      </c>
      <c r="C195" s="32">
        <f t="shared" si="5"/>
        <v>5</v>
      </c>
      <c r="D195" s="38" cm="1">
        <f t="array" ref="D195">INDEX('Prod-2'!$B$2:$H$41,1+B195,C195)</f>
        <v>0</v>
      </c>
    </row>
    <row r="196" spans="1:4" x14ac:dyDescent="0.75">
      <c r="A196" s="32">
        <v>167</v>
      </c>
      <c r="B196" s="32">
        <f t="shared" si="4"/>
        <v>23</v>
      </c>
      <c r="C196" s="32">
        <f t="shared" si="5"/>
        <v>6</v>
      </c>
      <c r="D196" s="38" cm="1">
        <f t="array" ref="D196">INDEX('Prod-2'!$B$2:$H$41,1+B196,C196)</f>
        <v>0</v>
      </c>
    </row>
    <row r="197" spans="1:4" x14ac:dyDescent="0.75">
      <c r="A197" s="32">
        <v>168</v>
      </c>
      <c r="B197" s="32">
        <f t="shared" si="4"/>
        <v>23</v>
      </c>
      <c r="C197" s="32">
        <f t="shared" si="5"/>
        <v>7</v>
      </c>
      <c r="D197" s="38" cm="1">
        <f t="array" ref="D197">INDEX('Prod-2'!$B$2:$H$41,1+B197,C197)</f>
        <v>0</v>
      </c>
    </row>
    <row r="198" spans="1:4" x14ac:dyDescent="0.75">
      <c r="A198" s="32">
        <v>169</v>
      </c>
      <c r="B198" s="32">
        <f t="shared" si="4"/>
        <v>24</v>
      </c>
      <c r="C198" s="32">
        <f t="shared" si="5"/>
        <v>1</v>
      </c>
      <c r="D198" s="38" cm="1">
        <f t="array" ref="D198">INDEX('Prod-2'!$B$2:$H$41,1+B198,C198)</f>
        <v>0</v>
      </c>
    </row>
    <row r="199" spans="1:4" x14ac:dyDescent="0.75">
      <c r="A199" s="32">
        <v>170</v>
      </c>
      <c r="B199" s="32">
        <f t="shared" si="4"/>
        <v>24</v>
      </c>
      <c r="C199" s="32">
        <f t="shared" si="5"/>
        <v>2</v>
      </c>
      <c r="D199" s="38" cm="1">
        <f t="array" ref="D199">INDEX('Prod-2'!$B$2:$H$41,1+B199,C199)</f>
        <v>0</v>
      </c>
    </row>
    <row r="200" spans="1:4" x14ac:dyDescent="0.75">
      <c r="A200" s="32">
        <v>171</v>
      </c>
      <c r="B200" s="32">
        <f t="shared" si="4"/>
        <v>24</v>
      </c>
      <c r="C200" s="32">
        <f t="shared" si="5"/>
        <v>3</v>
      </c>
      <c r="D200" s="38" cm="1">
        <f t="array" ref="D200">INDEX('Prod-2'!$B$2:$H$41,1+B200,C200)</f>
        <v>0</v>
      </c>
    </row>
    <row r="201" spans="1:4" x14ac:dyDescent="0.75">
      <c r="A201" s="32">
        <v>172</v>
      </c>
      <c r="B201" s="32">
        <f t="shared" si="4"/>
        <v>24</v>
      </c>
      <c r="C201" s="32">
        <f t="shared" si="5"/>
        <v>4</v>
      </c>
      <c r="D201" s="38" cm="1">
        <f t="array" ref="D201">INDEX('Prod-2'!$B$2:$H$41,1+B201,C201)</f>
        <v>0</v>
      </c>
    </row>
    <row r="202" spans="1:4" x14ac:dyDescent="0.75">
      <c r="A202" s="32">
        <v>173</v>
      </c>
      <c r="B202" s="32">
        <f t="shared" si="4"/>
        <v>24</v>
      </c>
      <c r="C202" s="32">
        <f t="shared" si="5"/>
        <v>5</v>
      </c>
      <c r="D202" s="38" cm="1">
        <f t="array" ref="D202">INDEX('Prod-2'!$B$2:$H$41,1+B202,C202)</f>
        <v>0</v>
      </c>
    </row>
    <row r="203" spans="1:4" x14ac:dyDescent="0.75">
      <c r="A203" s="32">
        <v>174</v>
      </c>
      <c r="B203" s="32">
        <f t="shared" si="4"/>
        <v>24</v>
      </c>
      <c r="C203" s="32">
        <f t="shared" si="5"/>
        <v>6</v>
      </c>
      <c r="D203" s="38" cm="1">
        <f t="array" ref="D203">INDEX('Prod-2'!$B$2:$H$41,1+B203,C203)</f>
        <v>0</v>
      </c>
    </row>
    <row r="204" spans="1:4" x14ac:dyDescent="0.75">
      <c r="A204" s="32">
        <v>175</v>
      </c>
      <c r="B204" s="32">
        <f t="shared" si="4"/>
        <v>24</v>
      </c>
      <c r="C204" s="32">
        <f t="shared" si="5"/>
        <v>7</v>
      </c>
      <c r="D204" s="38" cm="1">
        <f t="array" ref="D204">INDEX('Prod-2'!$B$2:$H$41,1+B204,C204)</f>
        <v>0</v>
      </c>
    </row>
    <row r="205" spans="1:4" x14ac:dyDescent="0.75">
      <c r="A205" s="32">
        <v>176</v>
      </c>
      <c r="B205" s="32">
        <f t="shared" si="4"/>
        <v>25</v>
      </c>
      <c r="C205" s="32">
        <f t="shared" si="5"/>
        <v>1</v>
      </c>
      <c r="D205" s="38" cm="1">
        <f t="array" ref="D205">INDEX('Prod-2'!$B$2:$H$41,1+B205,C205)</f>
        <v>0</v>
      </c>
    </row>
    <row r="206" spans="1:4" x14ac:dyDescent="0.75">
      <c r="A206" s="32">
        <v>177</v>
      </c>
      <c r="B206" s="32">
        <f t="shared" si="4"/>
        <v>25</v>
      </c>
      <c r="C206" s="32">
        <f t="shared" si="5"/>
        <v>2</v>
      </c>
      <c r="D206" s="38" cm="1">
        <f t="array" ref="D206">INDEX('Prod-2'!$B$2:$H$41,1+B206,C206)</f>
        <v>0</v>
      </c>
    </row>
    <row r="207" spans="1:4" x14ac:dyDescent="0.75">
      <c r="A207" s="32">
        <v>178</v>
      </c>
      <c r="B207" s="32">
        <f t="shared" si="4"/>
        <v>25</v>
      </c>
      <c r="C207" s="32">
        <f t="shared" si="5"/>
        <v>3</v>
      </c>
      <c r="D207" s="38" cm="1">
        <f t="array" ref="D207">INDEX('Prod-2'!$B$2:$H$41,1+B207,C207)</f>
        <v>0</v>
      </c>
    </row>
    <row r="208" spans="1:4" x14ac:dyDescent="0.75">
      <c r="A208" s="32">
        <v>179</v>
      </c>
      <c r="B208" s="32">
        <f t="shared" si="4"/>
        <v>25</v>
      </c>
      <c r="C208" s="32">
        <f t="shared" si="5"/>
        <v>4</v>
      </c>
      <c r="D208" s="38" cm="1">
        <f t="array" ref="D208">INDEX('Prod-2'!$B$2:$H$41,1+B208,C208)</f>
        <v>0</v>
      </c>
    </row>
    <row r="209" spans="1:4" x14ac:dyDescent="0.75">
      <c r="A209" s="32">
        <v>180</v>
      </c>
      <c r="B209" s="32">
        <f t="shared" si="4"/>
        <v>25</v>
      </c>
      <c r="C209" s="32">
        <f t="shared" si="5"/>
        <v>5</v>
      </c>
      <c r="D209" s="38" cm="1">
        <f t="array" ref="D209">INDEX('Prod-2'!$B$2:$H$41,1+B209,C209)</f>
        <v>0</v>
      </c>
    </row>
    <row r="210" spans="1:4" x14ac:dyDescent="0.75">
      <c r="A210" s="32">
        <v>181</v>
      </c>
      <c r="B210" s="32">
        <f t="shared" si="4"/>
        <v>25</v>
      </c>
      <c r="C210" s="32">
        <f t="shared" si="5"/>
        <v>6</v>
      </c>
      <c r="D210" s="38" cm="1">
        <f t="array" ref="D210">INDEX('Prod-2'!$B$2:$H$41,1+B210,C210)</f>
        <v>0</v>
      </c>
    </row>
    <row r="211" spans="1:4" x14ac:dyDescent="0.75">
      <c r="A211" s="32">
        <v>182</v>
      </c>
      <c r="B211" s="32">
        <f t="shared" si="4"/>
        <v>25</v>
      </c>
      <c r="C211" s="32">
        <f t="shared" si="5"/>
        <v>7</v>
      </c>
      <c r="D211" s="38" cm="1">
        <f t="array" ref="D211">INDEX('Prod-2'!$B$2:$H$41,1+B211,C211)</f>
        <v>0</v>
      </c>
    </row>
    <row r="212" spans="1:4" x14ac:dyDescent="0.75">
      <c r="A212" s="32">
        <v>183</v>
      </c>
      <c r="B212" s="32">
        <f t="shared" si="4"/>
        <v>26</v>
      </c>
      <c r="C212" s="32">
        <f t="shared" si="5"/>
        <v>1</v>
      </c>
      <c r="D212" s="38" cm="1">
        <f t="array" ref="D212">INDEX('Prod-2'!$B$2:$H$41,1+B212,C212)</f>
        <v>0</v>
      </c>
    </row>
    <row r="213" spans="1:4" x14ac:dyDescent="0.75">
      <c r="A213" s="32">
        <v>184</v>
      </c>
      <c r="B213" s="32">
        <f t="shared" si="4"/>
        <v>26</v>
      </c>
      <c r="C213" s="32">
        <f t="shared" si="5"/>
        <v>2</v>
      </c>
      <c r="D213" s="38" cm="1">
        <f t="array" ref="D213">INDEX('Prod-2'!$B$2:$H$41,1+B213,C213)</f>
        <v>0</v>
      </c>
    </row>
    <row r="214" spans="1:4" x14ac:dyDescent="0.75">
      <c r="A214" s="32">
        <v>185</v>
      </c>
      <c r="B214" s="32">
        <f t="shared" si="4"/>
        <v>26</v>
      </c>
      <c r="C214" s="32">
        <f t="shared" si="5"/>
        <v>3</v>
      </c>
      <c r="D214" s="38" cm="1">
        <f t="array" ref="D214">INDEX('Prod-2'!$B$2:$H$41,1+B214,C214)</f>
        <v>0</v>
      </c>
    </row>
    <row r="215" spans="1:4" x14ac:dyDescent="0.75">
      <c r="A215" s="32">
        <v>186</v>
      </c>
      <c r="B215" s="32">
        <f t="shared" si="4"/>
        <v>26</v>
      </c>
      <c r="C215" s="32">
        <f t="shared" si="5"/>
        <v>4</v>
      </c>
      <c r="D215" s="38" cm="1">
        <f t="array" ref="D215">INDEX('Prod-2'!$B$2:$H$41,1+B215,C215)</f>
        <v>0</v>
      </c>
    </row>
    <row r="216" spans="1:4" x14ac:dyDescent="0.75">
      <c r="A216" s="32">
        <v>187</v>
      </c>
      <c r="B216" s="32">
        <f t="shared" si="4"/>
        <v>26</v>
      </c>
      <c r="C216" s="32">
        <f t="shared" si="5"/>
        <v>5</v>
      </c>
      <c r="D216" s="38" cm="1">
        <f t="array" ref="D216">INDEX('Prod-2'!$B$2:$H$41,1+B216,C216)</f>
        <v>0</v>
      </c>
    </row>
    <row r="217" spans="1:4" x14ac:dyDescent="0.75">
      <c r="A217" s="32">
        <v>188</v>
      </c>
      <c r="B217" s="32">
        <f t="shared" si="4"/>
        <v>26</v>
      </c>
      <c r="C217" s="32">
        <f t="shared" si="5"/>
        <v>6</v>
      </c>
      <c r="D217" s="38" cm="1">
        <f t="array" ref="D217">INDEX('Prod-2'!$B$2:$H$41,1+B217,C217)</f>
        <v>0</v>
      </c>
    </row>
    <row r="218" spans="1:4" x14ac:dyDescent="0.75">
      <c r="A218" s="32">
        <v>189</v>
      </c>
      <c r="B218" s="32">
        <f t="shared" si="4"/>
        <v>26</v>
      </c>
      <c r="C218" s="32">
        <f t="shared" si="5"/>
        <v>7</v>
      </c>
      <c r="D218" s="38" cm="1">
        <f t="array" ref="D218">INDEX('Prod-2'!$B$2:$H$41,1+B218,C218)</f>
        <v>0</v>
      </c>
    </row>
    <row r="219" spans="1:4" x14ac:dyDescent="0.75">
      <c r="A219" s="32">
        <v>190</v>
      </c>
      <c r="B219" s="32">
        <f t="shared" si="4"/>
        <v>27</v>
      </c>
      <c r="C219" s="32">
        <f t="shared" si="5"/>
        <v>1</v>
      </c>
      <c r="D219" s="38" cm="1">
        <f t="array" ref="D219">INDEX('Prod-2'!$B$2:$H$41,1+B219,C219)</f>
        <v>0</v>
      </c>
    </row>
    <row r="220" spans="1:4" x14ac:dyDescent="0.75">
      <c r="A220" s="32">
        <v>191</v>
      </c>
      <c r="B220" s="32">
        <f t="shared" si="4"/>
        <v>27</v>
      </c>
      <c r="C220" s="32">
        <f t="shared" si="5"/>
        <v>2</v>
      </c>
      <c r="D220" s="38" cm="1">
        <f t="array" ref="D220">INDEX('Prod-2'!$B$2:$H$41,1+B220,C220)</f>
        <v>0</v>
      </c>
    </row>
    <row r="221" spans="1:4" x14ac:dyDescent="0.75">
      <c r="A221" s="32">
        <v>192</v>
      </c>
      <c r="B221" s="32">
        <f t="shared" si="4"/>
        <v>27</v>
      </c>
      <c r="C221" s="32">
        <f t="shared" si="5"/>
        <v>3</v>
      </c>
      <c r="D221" s="38" cm="1">
        <f t="array" ref="D221">INDEX('Prod-2'!$B$2:$H$41,1+B221,C221)</f>
        <v>0</v>
      </c>
    </row>
    <row r="222" spans="1:4" x14ac:dyDescent="0.75">
      <c r="A222" s="32">
        <v>193</v>
      </c>
      <c r="B222" s="32">
        <f t="shared" si="4"/>
        <v>27</v>
      </c>
      <c r="C222" s="32">
        <f t="shared" si="5"/>
        <v>4</v>
      </c>
      <c r="D222" s="38" cm="1">
        <f t="array" ref="D222">INDEX('Prod-2'!$B$2:$H$41,1+B222,C222)</f>
        <v>0</v>
      </c>
    </row>
    <row r="223" spans="1:4" x14ac:dyDescent="0.75">
      <c r="A223" s="32">
        <v>194</v>
      </c>
      <c r="B223" s="32">
        <f t="shared" ref="B223:B246" si="6">IF(MOD(A223,7)=0,A223/7-1,INT(A223/7))</f>
        <v>27</v>
      </c>
      <c r="C223" s="32">
        <f t="shared" ref="C223:C246" si="7">IF(MOD(A223,7)=0,7,MOD(A223,7))</f>
        <v>5</v>
      </c>
      <c r="D223" s="38" cm="1">
        <f t="array" ref="D223">INDEX('Prod-2'!$B$2:$H$41,1+B223,C223)</f>
        <v>0</v>
      </c>
    </row>
    <row r="224" spans="1:4" x14ac:dyDescent="0.75">
      <c r="A224" s="32">
        <v>195</v>
      </c>
      <c r="B224" s="32">
        <f t="shared" si="6"/>
        <v>27</v>
      </c>
      <c r="C224" s="32">
        <f t="shared" si="7"/>
        <v>6</v>
      </c>
      <c r="D224" s="38" cm="1">
        <f t="array" ref="D224">INDEX('Prod-2'!$B$2:$H$41,1+B224,C224)</f>
        <v>0</v>
      </c>
    </row>
    <row r="225" spans="1:4" x14ac:dyDescent="0.75">
      <c r="A225" s="32">
        <v>196</v>
      </c>
      <c r="B225" s="32">
        <f t="shared" si="6"/>
        <v>27</v>
      </c>
      <c r="C225" s="32">
        <f t="shared" si="7"/>
        <v>7</v>
      </c>
      <c r="D225" s="38" cm="1">
        <f t="array" ref="D225">INDEX('Prod-2'!$B$2:$H$41,1+B225,C225)</f>
        <v>0</v>
      </c>
    </row>
    <row r="226" spans="1:4" x14ac:dyDescent="0.75">
      <c r="A226" s="32">
        <v>197</v>
      </c>
      <c r="B226" s="32">
        <f t="shared" si="6"/>
        <v>28</v>
      </c>
      <c r="C226" s="32">
        <f t="shared" si="7"/>
        <v>1</v>
      </c>
      <c r="D226" s="38" cm="1">
        <f t="array" ref="D226">INDEX('Prod-2'!$B$2:$H$41,1+B226,C226)</f>
        <v>0</v>
      </c>
    </row>
    <row r="227" spans="1:4" x14ac:dyDescent="0.75">
      <c r="A227" s="32">
        <v>198</v>
      </c>
      <c r="B227" s="32">
        <f t="shared" si="6"/>
        <v>28</v>
      </c>
      <c r="C227" s="32">
        <f t="shared" si="7"/>
        <v>2</v>
      </c>
      <c r="D227" s="38" cm="1">
        <f t="array" ref="D227">INDEX('Prod-2'!$B$2:$H$41,1+B227,C227)</f>
        <v>0</v>
      </c>
    </row>
    <row r="228" spans="1:4" x14ac:dyDescent="0.75">
      <c r="A228" s="32">
        <v>199</v>
      </c>
      <c r="B228" s="32">
        <f t="shared" si="6"/>
        <v>28</v>
      </c>
      <c r="C228" s="32">
        <f t="shared" si="7"/>
        <v>3</v>
      </c>
      <c r="D228" s="38" cm="1">
        <f t="array" ref="D228">INDEX('Prod-2'!$B$2:$H$41,1+B228,C228)</f>
        <v>0</v>
      </c>
    </row>
    <row r="229" spans="1:4" x14ac:dyDescent="0.75">
      <c r="A229" s="32">
        <v>200</v>
      </c>
      <c r="B229" s="32">
        <f t="shared" si="6"/>
        <v>28</v>
      </c>
      <c r="C229" s="32">
        <f t="shared" si="7"/>
        <v>4</v>
      </c>
      <c r="D229" s="38" cm="1">
        <f t="array" ref="D229">INDEX('Prod-2'!$B$2:$H$41,1+B229,C229)</f>
        <v>0</v>
      </c>
    </row>
    <row r="230" spans="1:4" x14ac:dyDescent="0.75">
      <c r="A230" s="32">
        <v>201</v>
      </c>
      <c r="B230" s="32">
        <f t="shared" si="6"/>
        <v>28</v>
      </c>
      <c r="C230" s="32">
        <f t="shared" si="7"/>
        <v>5</v>
      </c>
      <c r="D230" s="38" cm="1">
        <f t="array" ref="D230">INDEX('Prod-2'!$B$2:$H$41,1+B230,C230)</f>
        <v>0</v>
      </c>
    </row>
    <row r="231" spans="1:4" x14ac:dyDescent="0.75">
      <c r="A231" s="32">
        <v>202</v>
      </c>
      <c r="B231" s="32">
        <f t="shared" si="6"/>
        <v>28</v>
      </c>
      <c r="C231" s="32">
        <f t="shared" si="7"/>
        <v>6</v>
      </c>
      <c r="D231" s="38" cm="1">
        <f t="array" ref="D231">INDEX('Prod-2'!$B$2:$H$41,1+B231,C231)</f>
        <v>0</v>
      </c>
    </row>
    <row r="232" spans="1:4" x14ac:dyDescent="0.75">
      <c r="A232" s="32">
        <v>203</v>
      </c>
      <c r="B232" s="32">
        <f t="shared" si="6"/>
        <v>28</v>
      </c>
      <c r="C232" s="32">
        <f t="shared" si="7"/>
        <v>7</v>
      </c>
      <c r="D232" s="38" cm="1">
        <f t="array" ref="D232">INDEX('Prod-2'!$B$2:$H$41,1+B232,C232)</f>
        <v>0</v>
      </c>
    </row>
    <row r="233" spans="1:4" x14ac:dyDescent="0.75">
      <c r="A233" s="32">
        <v>204</v>
      </c>
      <c r="B233" s="32">
        <f t="shared" si="6"/>
        <v>29</v>
      </c>
      <c r="C233" s="32">
        <f t="shared" si="7"/>
        <v>1</v>
      </c>
      <c r="D233" s="38" cm="1">
        <f t="array" ref="D233">INDEX('Prod-2'!$B$2:$H$41,1+B233,C233)</f>
        <v>0</v>
      </c>
    </row>
    <row r="234" spans="1:4" x14ac:dyDescent="0.75">
      <c r="A234" s="32">
        <v>205</v>
      </c>
      <c r="B234" s="32">
        <f t="shared" si="6"/>
        <v>29</v>
      </c>
      <c r="C234" s="32">
        <f t="shared" si="7"/>
        <v>2</v>
      </c>
      <c r="D234" s="38" cm="1">
        <f t="array" ref="D234">INDEX('Prod-2'!$B$2:$H$41,1+B234,C234)</f>
        <v>0</v>
      </c>
    </row>
    <row r="235" spans="1:4" x14ac:dyDescent="0.75">
      <c r="A235" s="32">
        <v>206</v>
      </c>
      <c r="B235" s="32">
        <f t="shared" si="6"/>
        <v>29</v>
      </c>
      <c r="C235" s="32">
        <f t="shared" si="7"/>
        <v>3</v>
      </c>
      <c r="D235" s="38" cm="1">
        <f t="array" ref="D235">INDEX('Prod-2'!$B$2:$H$41,1+B235,C235)</f>
        <v>0</v>
      </c>
    </row>
    <row r="236" spans="1:4" x14ac:dyDescent="0.75">
      <c r="A236" s="32">
        <v>207</v>
      </c>
      <c r="B236" s="32">
        <f t="shared" si="6"/>
        <v>29</v>
      </c>
      <c r="C236" s="32">
        <f t="shared" si="7"/>
        <v>4</v>
      </c>
      <c r="D236" s="38" cm="1">
        <f t="array" ref="D236">INDEX('Prod-2'!$B$2:$H$41,1+B236,C236)</f>
        <v>0</v>
      </c>
    </row>
    <row r="237" spans="1:4" x14ac:dyDescent="0.75">
      <c r="A237" s="32">
        <v>208</v>
      </c>
      <c r="B237" s="32">
        <f t="shared" si="6"/>
        <v>29</v>
      </c>
      <c r="C237" s="32">
        <f t="shared" si="7"/>
        <v>5</v>
      </c>
      <c r="D237" s="38" cm="1">
        <f t="array" ref="D237">INDEX('Prod-2'!$B$2:$H$41,1+B237,C237)</f>
        <v>0</v>
      </c>
    </row>
    <row r="238" spans="1:4" x14ac:dyDescent="0.75">
      <c r="A238" s="32">
        <v>209</v>
      </c>
      <c r="B238" s="32">
        <f t="shared" si="6"/>
        <v>29</v>
      </c>
      <c r="C238" s="32">
        <f t="shared" si="7"/>
        <v>6</v>
      </c>
      <c r="D238" s="38" cm="1">
        <f t="array" ref="D238">INDEX('Prod-2'!$B$2:$H$41,1+B238,C238)</f>
        <v>0</v>
      </c>
    </row>
    <row r="239" spans="1:4" x14ac:dyDescent="0.75">
      <c r="A239" s="32">
        <v>210</v>
      </c>
      <c r="B239" s="32">
        <f t="shared" si="6"/>
        <v>29</v>
      </c>
      <c r="C239" s="32">
        <f t="shared" si="7"/>
        <v>7</v>
      </c>
      <c r="D239" s="38" cm="1">
        <f t="array" ref="D239">INDEX('Prod-2'!$B$2:$H$41,1+B239,C239)</f>
        <v>0</v>
      </c>
    </row>
    <row r="240" spans="1:4" x14ac:dyDescent="0.75">
      <c r="A240" s="32">
        <v>211</v>
      </c>
      <c r="B240" s="32">
        <f t="shared" si="6"/>
        <v>30</v>
      </c>
      <c r="C240" s="32">
        <f t="shared" si="7"/>
        <v>1</v>
      </c>
      <c r="D240" s="38" cm="1">
        <f t="array" ref="D240">INDEX('Prod-2'!$B$2:$H$41,1+B240,C240)</f>
        <v>0</v>
      </c>
    </row>
    <row r="241" spans="1:4" x14ac:dyDescent="0.75">
      <c r="A241" s="32">
        <v>212</v>
      </c>
      <c r="B241" s="32">
        <f t="shared" si="6"/>
        <v>30</v>
      </c>
      <c r="C241" s="32">
        <f t="shared" si="7"/>
        <v>2</v>
      </c>
      <c r="D241" s="38" cm="1">
        <f t="array" ref="D241">INDEX('Prod-2'!$B$2:$H$41,1+B241,C241)</f>
        <v>0</v>
      </c>
    </row>
    <row r="242" spans="1:4" x14ac:dyDescent="0.75">
      <c r="A242" s="32">
        <v>213</v>
      </c>
      <c r="B242" s="32">
        <f t="shared" si="6"/>
        <v>30</v>
      </c>
      <c r="C242" s="32">
        <f t="shared" si="7"/>
        <v>3</v>
      </c>
      <c r="D242" s="38" cm="1">
        <f t="array" ref="D242">INDEX('Prod-2'!$B$2:$H$41,1+B242,C242)</f>
        <v>0</v>
      </c>
    </row>
    <row r="243" spans="1:4" x14ac:dyDescent="0.75">
      <c r="A243" s="32">
        <v>214</v>
      </c>
      <c r="B243" s="32">
        <f t="shared" si="6"/>
        <v>30</v>
      </c>
      <c r="C243" s="32">
        <f t="shared" si="7"/>
        <v>4</v>
      </c>
      <c r="D243" s="38" cm="1">
        <f t="array" ref="D243">INDEX('Prod-2'!$B$2:$H$41,1+B243,C243)</f>
        <v>0</v>
      </c>
    </row>
    <row r="244" spans="1:4" x14ac:dyDescent="0.75">
      <c r="A244" s="32">
        <v>215</v>
      </c>
      <c r="B244" s="32">
        <f t="shared" si="6"/>
        <v>30</v>
      </c>
      <c r="C244" s="32">
        <f t="shared" si="7"/>
        <v>5</v>
      </c>
      <c r="D244" s="38" cm="1">
        <f t="array" ref="D244">INDEX('Prod-2'!$B$2:$H$41,1+B244,C244)</f>
        <v>0</v>
      </c>
    </row>
    <row r="245" spans="1:4" x14ac:dyDescent="0.75">
      <c r="A245" s="32">
        <v>216</v>
      </c>
      <c r="B245" s="32">
        <f t="shared" si="6"/>
        <v>30</v>
      </c>
      <c r="C245" s="32">
        <f t="shared" si="7"/>
        <v>6</v>
      </c>
      <c r="D245" s="38" cm="1">
        <f t="array" ref="D245">INDEX('Prod-2'!$B$2:$H$41,1+B245,C245)</f>
        <v>0</v>
      </c>
    </row>
    <row r="246" spans="1:4" x14ac:dyDescent="0.75">
      <c r="A246" s="32">
        <v>217</v>
      </c>
      <c r="B246" s="32">
        <f t="shared" si="6"/>
        <v>30</v>
      </c>
      <c r="C246" s="32">
        <f t="shared" si="7"/>
        <v>7</v>
      </c>
      <c r="D246" s="38" cm="1">
        <f t="array" ref="D246">INDEX('Prod-2'!$B$2:$H$41,1+B246,C246)</f>
        <v>0</v>
      </c>
    </row>
    <row r="247" spans="1:4" x14ac:dyDescent="0.75">
      <c r="A247" s="32">
        <v>218</v>
      </c>
      <c r="B247" s="32">
        <f>IF(MOD(A247,7)=0,A247/7-1,INT(A247/7))</f>
        <v>31</v>
      </c>
      <c r="C247" s="32">
        <f>IF(MOD(A247,7)=0,7,MOD(A247,7))</f>
        <v>1</v>
      </c>
      <c r="D247" s="38" cm="1">
        <f t="array" ref="D247">INDEX('Prod-2'!$B$2:$H$41,1+B247,C247)</f>
        <v>0</v>
      </c>
    </row>
    <row r="248" spans="1:4" x14ac:dyDescent="0.75">
      <c r="A248" s="32">
        <v>219</v>
      </c>
      <c r="B248" s="32">
        <f t="shared" ref="B248:B251" si="8">IF(MOD(A248,7)=0,A248/7-1,INT(A248/7))</f>
        <v>31</v>
      </c>
      <c r="C248" s="32">
        <f t="shared" ref="C248:C251" si="9">IF(MOD(A248,7)=0,7,MOD(A248,7))</f>
        <v>2</v>
      </c>
      <c r="D248" s="38" cm="1">
        <f t="array" ref="D248">INDEX('Prod-2'!$B$2:$H$41,1+B248,C248)</f>
        <v>0</v>
      </c>
    </row>
    <row r="249" spans="1:4" x14ac:dyDescent="0.75">
      <c r="A249" s="32">
        <v>220</v>
      </c>
      <c r="B249" s="32">
        <f t="shared" si="8"/>
        <v>31</v>
      </c>
      <c r="C249" s="32">
        <f t="shared" si="9"/>
        <v>3</v>
      </c>
      <c r="D249" s="38" cm="1">
        <f t="array" ref="D249">INDEX('Prod-2'!$B$2:$H$41,1+B249,C249)</f>
        <v>0</v>
      </c>
    </row>
    <row r="250" spans="1:4" x14ac:dyDescent="0.75">
      <c r="A250" s="32">
        <v>221</v>
      </c>
      <c r="B250" s="32">
        <f t="shared" si="8"/>
        <v>31</v>
      </c>
      <c r="C250" s="32">
        <f t="shared" si="9"/>
        <v>4</v>
      </c>
      <c r="D250" s="38" cm="1">
        <f t="array" ref="D250">INDEX('Prod-2'!$B$2:$H$41,1+B250,C250)</f>
        <v>0</v>
      </c>
    </row>
    <row r="251" spans="1:4" x14ac:dyDescent="0.75">
      <c r="A251" s="32">
        <v>222</v>
      </c>
      <c r="B251" s="32">
        <f t="shared" si="8"/>
        <v>31</v>
      </c>
      <c r="C251" s="32">
        <f t="shared" si="9"/>
        <v>5</v>
      </c>
      <c r="D251" s="38" cm="1">
        <f t="array" ref="D251">INDEX('Prod-2'!$B$2:$H$41,1+B251,C251)</f>
        <v>0</v>
      </c>
    </row>
    <row r="252" spans="1:4" x14ac:dyDescent="0.75">
      <c r="A252" s="32">
        <v>223</v>
      </c>
      <c r="B252" s="32">
        <f>IF(MOD(A252,7)=0,A252/7-1,INT(A252/7))</f>
        <v>31</v>
      </c>
      <c r="C252" s="32">
        <f>IF(MOD(A252,7)=0,7,MOD(A252,7))</f>
        <v>6</v>
      </c>
      <c r="D252" s="38" cm="1">
        <f t="array" ref="D252">INDEX('Prod-2'!$B$2:$H$41,1+B252,C252)</f>
        <v>0</v>
      </c>
    </row>
    <row r="253" spans="1:4" x14ac:dyDescent="0.75">
      <c r="A253" s="32">
        <v>224</v>
      </c>
      <c r="B253" s="32">
        <f t="shared" ref="B253:B259" si="10">IF(MOD(A253,7)=0,A253/7-1,INT(A253/7))</f>
        <v>31</v>
      </c>
      <c r="C253" s="32">
        <f t="shared" ref="C253:C259" si="11">IF(MOD(A253,7)=0,7,MOD(A253,7))</f>
        <v>7</v>
      </c>
      <c r="D253" s="38" cm="1">
        <f t="array" ref="D253">INDEX('Prod-2'!$B$2:$H$41,1+B253,C253)</f>
        <v>0</v>
      </c>
    </row>
    <row r="254" spans="1:4" x14ac:dyDescent="0.75">
      <c r="A254" s="32">
        <v>225</v>
      </c>
      <c r="B254" s="32">
        <f t="shared" si="10"/>
        <v>32</v>
      </c>
      <c r="C254" s="32">
        <f t="shared" si="11"/>
        <v>1</v>
      </c>
      <c r="D254" s="38" cm="1">
        <f t="array" ref="D254">INDEX('Prod-2'!$B$2:$H$41,1+B254,C254)</f>
        <v>0</v>
      </c>
    </row>
    <row r="255" spans="1:4" x14ac:dyDescent="0.75">
      <c r="A255" s="32">
        <v>226</v>
      </c>
      <c r="B255" s="32">
        <f t="shared" si="10"/>
        <v>32</v>
      </c>
      <c r="C255" s="32">
        <f t="shared" si="11"/>
        <v>2</v>
      </c>
      <c r="D255" s="38" cm="1">
        <f t="array" ref="D255">INDEX('Prod-2'!$B$2:$H$41,1+B255,C255)</f>
        <v>0</v>
      </c>
    </row>
    <row r="256" spans="1:4" x14ac:dyDescent="0.75">
      <c r="A256" s="32">
        <v>227</v>
      </c>
      <c r="B256" s="32">
        <f t="shared" si="10"/>
        <v>32</v>
      </c>
      <c r="C256" s="32">
        <f t="shared" si="11"/>
        <v>3</v>
      </c>
      <c r="D256" s="38" cm="1">
        <f t="array" ref="D256">INDEX('Prod-2'!$B$2:$H$41,1+B256,C256)</f>
        <v>0</v>
      </c>
    </row>
    <row r="257" spans="1:4" x14ac:dyDescent="0.75">
      <c r="A257" s="32">
        <v>228</v>
      </c>
      <c r="B257" s="32">
        <f t="shared" si="10"/>
        <v>32</v>
      </c>
      <c r="C257" s="32">
        <f t="shared" si="11"/>
        <v>4</v>
      </c>
      <c r="D257" s="38" cm="1">
        <f t="array" ref="D257">INDEX('Prod-2'!$B$2:$H$41,1+B257,C257)</f>
        <v>0</v>
      </c>
    </row>
    <row r="258" spans="1:4" x14ac:dyDescent="0.75">
      <c r="A258" s="32">
        <v>229</v>
      </c>
      <c r="B258" s="32">
        <f t="shared" si="10"/>
        <v>32</v>
      </c>
      <c r="C258" s="32">
        <f t="shared" si="11"/>
        <v>5</v>
      </c>
      <c r="D258" s="38" cm="1">
        <f t="array" ref="D258">INDEX('Prod-2'!$B$2:$H$41,1+B258,C258)</f>
        <v>0</v>
      </c>
    </row>
    <row r="259" spans="1:4" x14ac:dyDescent="0.75">
      <c r="A259" s="32">
        <v>230</v>
      </c>
      <c r="B259" s="32">
        <f t="shared" si="10"/>
        <v>32</v>
      </c>
      <c r="C259" s="32">
        <f t="shared" si="11"/>
        <v>6</v>
      </c>
      <c r="D259" s="38" cm="1">
        <f t="array" ref="D259">INDEX('Prod-2'!$B$2:$H$41,1+B259,C259)</f>
        <v>0</v>
      </c>
    </row>
    <row r="260" spans="1:4" x14ac:dyDescent="0.75">
      <c r="A260" s="32">
        <v>231</v>
      </c>
      <c r="B260" s="32">
        <f>IF(MOD(A260,7)=0,A260/7-1,INT(A260/7))</f>
        <v>32</v>
      </c>
      <c r="C260" s="32">
        <f>IF(MOD(A260,7)=0,7,MOD(A260,7))</f>
        <v>7</v>
      </c>
      <c r="D260" s="38" cm="1">
        <f t="array" ref="D260">INDEX('Prod-2'!$B$2:$H$41,1+B260,C260)</f>
        <v>0</v>
      </c>
    </row>
    <row r="261" spans="1:4" x14ac:dyDescent="0.75">
      <c r="A261" s="32">
        <v>232</v>
      </c>
      <c r="B261" s="32">
        <f t="shared" ref="B261:B263" si="12">IF(MOD(A261,7)=0,A261/7-1,INT(A261/7))</f>
        <v>33</v>
      </c>
      <c r="C261" s="32">
        <f t="shared" ref="C261:C263" si="13">IF(MOD(A261,7)=0,7,MOD(A261,7))</f>
        <v>1</v>
      </c>
      <c r="D261" s="38" cm="1">
        <f t="array" ref="D261">INDEX('Prod-2'!$B$2:$H$41,1+B261,C261)</f>
        <v>0</v>
      </c>
    </row>
    <row r="262" spans="1:4" x14ac:dyDescent="0.75">
      <c r="A262" s="32">
        <v>233</v>
      </c>
      <c r="B262" s="32">
        <f t="shared" si="12"/>
        <v>33</v>
      </c>
      <c r="C262" s="32">
        <f t="shared" si="13"/>
        <v>2</v>
      </c>
      <c r="D262" s="38" cm="1">
        <f t="array" ref="D262">INDEX('Prod-2'!$B$2:$H$41,1+B262,C262)</f>
        <v>0</v>
      </c>
    </row>
    <row r="263" spans="1:4" x14ac:dyDescent="0.75">
      <c r="A263" s="32">
        <v>234</v>
      </c>
      <c r="B263" s="32">
        <f t="shared" si="12"/>
        <v>33</v>
      </c>
      <c r="C263" s="32">
        <f t="shared" si="13"/>
        <v>3</v>
      </c>
      <c r="D263" s="38" cm="1">
        <f t="array" ref="D263">INDEX('Prod-2'!$B$2:$H$41,1+B263,C263)</f>
        <v>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774F5-D5B0-41DF-B658-C4183ADEC932}">
  <sheetPr codeName="Foglio50"/>
  <dimension ref="A1:X100"/>
  <sheetViews>
    <sheetView topLeftCell="P1" workbookViewId="0">
      <selection activeCell="W11" sqref="W10:W11"/>
    </sheetView>
  </sheetViews>
  <sheetFormatPr defaultRowHeight="14.75" x14ac:dyDescent="0.75"/>
  <cols>
    <col min="1" max="2" width="8.7265625" style="31"/>
    <col min="3" max="3" width="35.40625" style="1" customWidth="1"/>
    <col min="4" max="4" width="20.54296875" style="31" customWidth="1"/>
    <col min="5" max="5" width="27.453125" style="31" customWidth="1"/>
    <col min="6" max="6" width="22.1796875" style="31" customWidth="1"/>
    <col min="7" max="8" width="18.1796875" style="1" customWidth="1"/>
    <col min="9" max="9" width="57.1328125" style="1" bestFit="1" customWidth="1"/>
    <col min="10" max="14" width="16.1328125" style="31" customWidth="1"/>
    <col min="15" max="15" width="16.1328125" style="48" customWidth="1"/>
    <col min="16" max="16" width="16.1328125" style="31" customWidth="1"/>
    <col min="17" max="17" width="21.26953125" style="31" customWidth="1"/>
    <col min="18" max="18" width="18.76953125" style="31" customWidth="1"/>
    <col min="19" max="19" width="28.40625" style="31" customWidth="1"/>
    <col min="20" max="20" width="35" style="31" customWidth="1"/>
    <col min="21" max="21" width="40.1328125" style="1" customWidth="1"/>
    <col min="22" max="22" width="58.31640625" style="1" customWidth="1"/>
    <col min="23" max="23" width="48.54296875" style="1" customWidth="1"/>
    <col min="24" max="24" width="53.36328125" style="31" customWidth="1"/>
    <col min="25" max="25" width="51.5" style="31" customWidth="1"/>
    <col min="26" max="16384" width="8.7265625" style="31"/>
  </cols>
  <sheetData>
    <row r="1" spans="1:24" x14ac:dyDescent="0.75">
      <c r="C1" s="77" t="s">
        <v>32</v>
      </c>
      <c r="D1" s="76" t="s">
        <v>31</v>
      </c>
      <c r="E1" s="76" t="s">
        <v>6</v>
      </c>
      <c r="F1" s="76" t="s">
        <v>89</v>
      </c>
      <c r="G1" s="71"/>
      <c r="H1" s="71"/>
      <c r="I1" s="71"/>
      <c r="J1" s="59"/>
      <c r="K1" s="59"/>
      <c r="L1" s="59"/>
      <c r="M1" s="59"/>
      <c r="N1" s="59"/>
      <c r="O1" s="59"/>
      <c r="P1" s="59"/>
      <c r="Q1" s="59"/>
      <c r="R1" s="59"/>
    </row>
    <row r="2" spans="1:24" x14ac:dyDescent="0.75">
      <c r="C2" s="78" t="s">
        <v>45</v>
      </c>
      <c r="D2" s="66" t="s">
        <v>142</v>
      </c>
      <c r="E2" s="44" t="s">
        <v>112</v>
      </c>
      <c r="F2" s="32" t="s">
        <v>71</v>
      </c>
      <c r="X2" s="62"/>
    </row>
    <row r="3" spans="1:24" x14ac:dyDescent="0.75">
      <c r="C3" s="77" t="s">
        <v>33</v>
      </c>
      <c r="D3" s="84" t="s">
        <v>86</v>
      </c>
      <c r="E3" s="42" t="s">
        <v>66</v>
      </c>
      <c r="F3" s="32"/>
      <c r="X3" s="62"/>
    </row>
    <row r="4" spans="1:24" x14ac:dyDescent="0.75">
      <c r="C4" s="38" t="s">
        <v>44</v>
      </c>
      <c r="D4" s="90" t="s">
        <v>141</v>
      </c>
      <c r="E4" s="29" t="s">
        <v>160</v>
      </c>
      <c r="F4" s="32"/>
      <c r="X4" s="62"/>
    </row>
    <row r="5" spans="1:24" x14ac:dyDescent="0.75">
      <c r="C5" s="77" t="s">
        <v>110</v>
      </c>
      <c r="D5" s="85"/>
      <c r="E5" s="75" t="s">
        <v>37</v>
      </c>
      <c r="F5" s="32" t="s">
        <v>119</v>
      </c>
      <c r="X5" s="62"/>
    </row>
    <row r="6" spans="1:24" ht="44.25" x14ac:dyDescent="0.75">
      <c r="C6" s="78" t="str">
        <f>CONCATENATE($C$2,"/StructureDefinition/",E6)</f>
        <v>http://iso.org/fhir/ts-5384/StructureDefinition/Product</v>
      </c>
      <c r="D6" s="66"/>
      <c r="E6" s="32" t="str">
        <f>'Prod-1'!B6</f>
        <v>Product</v>
      </c>
      <c r="F6" s="78" t="str">
        <f>CONCATENATE($C$2,"/StructureDefinition/",D4)</f>
        <v>http://iso.org/fhir/ts-5384/StructureDefinition/Product-uc1</v>
      </c>
      <c r="X6" s="62"/>
    </row>
    <row r="7" spans="1:24" x14ac:dyDescent="0.75">
      <c r="C7" s="79"/>
      <c r="D7" s="23"/>
      <c r="E7" s="23"/>
      <c r="F7" s="23"/>
      <c r="X7" s="62"/>
    </row>
    <row r="8" spans="1:24" x14ac:dyDescent="0.75">
      <c r="F8" s="1"/>
      <c r="G8" s="31"/>
      <c r="H8" s="31"/>
      <c r="I8" s="31"/>
      <c r="K8" s="73"/>
      <c r="L8" s="73" t="s">
        <v>108</v>
      </c>
      <c r="M8" s="73"/>
      <c r="N8" s="73"/>
      <c r="O8" s="73" t="s">
        <v>107</v>
      </c>
      <c r="Q8" s="31" t="s">
        <v>113</v>
      </c>
      <c r="R8" s="50" t="s">
        <v>114</v>
      </c>
      <c r="S8" s="31" t="s">
        <v>105</v>
      </c>
      <c r="T8" s="1" t="s">
        <v>106</v>
      </c>
      <c r="U8" s="1" t="s">
        <v>21</v>
      </c>
      <c r="V8" s="1" t="s">
        <v>103</v>
      </c>
      <c r="W8" s="93" t="s">
        <v>149</v>
      </c>
    </row>
    <row r="9" spans="1:24" x14ac:dyDescent="0.75">
      <c r="A9" s="32"/>
      <c r="B9" s="32">
        <f>'Prod-1'!A6</f>
        <v>0</v>
      </c>
      <c r="C9" s="15" t="str">
        <f>'Prod-1'!B6</f>
        <v>Product</v>
      </c>
      <c r="D9" s="32" t="s">
        <v>14</v>
      </c>
      <c r="E9" s="32" t="s">
        <v>15</v>
      </c>
      <c r="F9" s="72" t="s">
        <v>104</v>
      </c>
      <c r="G9" s="39" t="s">
        <v>103</v>
      </c>
      <c r="H9" s="39" t="s">
        <v>145</v>
      </c>
      <c r="I9" s="39" t="s">
        <v>144</v>
      </c>
      <c r="J9" s="50"/>
      <c r="K9" s="80" t="s">
        <v>115</v>
      </c>
      <c r="L9" s="39" t="s">
        <v>104</v>
      </c>
      <c r="M9" s="39" t="s">
        <v>116</v>
      </c>
      <c r="N9" s="39" t="s">
        <v>117</v>
      </c>
      <c r="O9" s="92">
        <v>-1</v>
      </c>
      <c r="T9" s="1"/>
      <c r="W9" s="31"/>
    </row>
    <row r="10" spans="1:24" ht="59" x14ac:dyDescent="0.75">
      <c r="A10" s="32">
        <v>0</v>
      </c>
      <c r="B10" s="32">
        <f>'Prod-1'!A7</f>
        <v>1</v>
      </c>
      <c r="C10" s="38" t="str">
        <f>'Prod-1'!B7</f>
        <v>codeSet</v>
      </c>
      <c r="D10" s="70">
        <v>1</v>
      </c>
      <c r="E10" s="32">
        <f>'Prod-1'!F7</f>
        <v>1</v>
      </c>
      <c r="F10" s="32" t="str">
        <f>'Prod-1'!G7</f>
        <v>BackboneElement</v>
      </c>
      <c r="G10" s="32"/>
      <c r="H10" s="32" t="s">
        <v>147</v>
      </c>
      <c r="I10" s="32" t="str">
        <f>CONCATENATE("[",H10,"] ",'Prod-1'!C7)</f>
        <v>[R] Set of product codes</v>
      </c>
      <c r="J10" s="23"/>
      <c r="K10" s="32" t="b">
        <v>1</v>
      </c>
      <c r="L10" s="89" t="b">
        <f>IF(F10&gt;"",TRUE)</f>
        <v>1</v>
      </c>
      <c r="M10" s="89" t="b">
        <f>IF(G10&gt;"",TRUE)</f>
        <v>0</v>
      </c>
      <c r="N10" s="89" t="b">
        <f xml:space="preserve"> OR(K10,L10,M10)</f>
        <v>1</v>
      </c>
      <c r="O10" s="29">
        <f>IF(N10,O9+1,O9)</f>
        <v>0</v>
      </c>
      <c r="Q10" s="38" t="str">
        <f>IF(N10,CONCATENATE("* differential.element[",O10,"].id = """,$C$9,".",C10,""""),"")</f>
        <v>* differential.element[0].id = "Product.codeSet"</v>
      </c>
      <c r="R10" s="38" t="str">
        <f>IF(N10,CONCATENATE("* differential.element[",O10,"].path = """,$C$9,".",C10,""""),"")</f>
        <v>* differential.element[0].path = "Product.codeSet"</v>
      </c>
      <c r="S10" s="38" t="str">
        <f>IF(K10,CONCATENATE("* differential.element[",O10,"].min = ",D10,""),"")</f>
        <v>* differential.element[0].min = 1</v>
      </c>
      <c r="T10" s="38" t="str">
        <f>IF(K10,CONCATENATE("* differential.element[",O10,"].max = """,E10,""""),"")</f>
        <v>* differential.element[0].max = "1"</v>
      </c>
      <c r="U10" s="38" t="str">
        <f>IF( F10&gt;"", CONCATENATE("* differential.element[",O10,"].type.code = #",F10,""),"")</f>
        <v>* differential.element[0].type.code = #BackboneElement</v>
      </c>
      <c r="V10" s="94" t="str">
        <f t="shared" ref="V10:V42" si="0">IF( G10&gt;"", CONCATENATE("* differential.element[",O10,"].mustSupport = true"),"")</f>
        <v/>
      </c>
      <c r="W10" s="69" t="str">
        <f>IF( N10, CONCATENATE("* differential.element[",$O10,"].short = """,I10,""""),"")</f>
        <v>* differential.element[0].short = "[R] Set of product codes"</v>
      </c>
    </row>
    <row r="11" spans="1:24" ht="73.75" x14ac:dyDescent="0.75">
      <c r="A11" s="32">
        <v>0</v>
      </c>
      <c r="B11" s="32">
        <f>'Prod-1'!A8</f>
        <v>2</v>
      </c>
      <c r="C11" s="38" t="str">
        <f>'Prod-1'!B8</f>
        <v>codeSet.productCode</v>
      </c>
      <c r="D11" s="70">
        <v>1</v>
      </c>
      <c r="E11" s="32" t="str">
        <f>'Prod-1'!F8</f>
        <v>*</v>
      </c>
      <c r="F11" s="32" t="str">
        <f>'Prod-1'!G8</f>
        <v>CodeableConcept</v>
      </c>
      <c r="G11" s="32"/>
      <c r="H11" s="32" t="s">
        <v>147</v>
      </c>
      <c r="I11" s="32" t="str">
        <f>CONCATENATE("[",H11,"] ",'Prod-1'!C8)</f>
        <v>[R] Product code</v>
      </c>
      <c r="J11" s="23"/>
      <c r="K11" s="32" t="b">
        <v>1</v>
      </c>
      <c r="L11" s="89" t="b">
        <f>IF(F11&gt;"",TRUE)</f>
        <v>1</v>
      </c>
      <c r="M11" s="89" t="b">
        <f>IF(G11&gt;"",TRUE)</f>
        <v>0</v>
      </c>
      <c r="N11" s="89" t="b">
        <f t="shared" ref="N11:N45" si="1" xml:space="preserve"> OR(K11,L11,M11)</f>
        <v>1</v>
      </c>
      <c r="O11" s="29">
        <f t="shared" ref="O11:O45" si="2">IF(N11,O10+1,O10)</f>
        <v>1</v>
      </c>
      <c r="Q11" s="38" t="str">
        <f t="shared" ref="Q11:Q44" si="3">IF(N11,CONCATENATE("* differential.element[",O11,"].id = """,$C$9,".",C11,""""),"")</f>
        <v>* differential.element[1].id = "Product.codeSet.productCode"</v>
      </c>
      <c r="R11" s="38" t="str">
        <f t="shared" ref="R11:R44" si="4">IF(N11,CONCATENATE("* differential.element[",O11,"].path = """,$C$9,".",C11,""""),"")</f>
        <v>* differential.element[1].path = "Product.codeSet.productCode"</v>
      </c>
      <c r="S11" s="38" t="str">
        <f t="shared" ref="S11:S60" si="5">IF(K11,CONCATENATE("* differential.element[",O11,"].min = ",D11,""),"")</f>
        <v>* differential.element[1].min = 1</v>
      </c>
      <c r="T11" s="38" t="str">
        <f t="shared" ref="T11:T60" si="6">IF(K11,CONCATENATE("* differential.element[",O11,"].max = """,E11,""""),"")</f>
        <v>* differential.element[1].max = "*"</v>
      </c>
      <c r="U11" s="38" t="str">
        <f>IF( F11&gt;"", CONCATENATE("* differential.element[",$O11,"].type.code = #",F11,""),"")</f>
        <v>* differential.element[1].type.code = #CodeableConcept</v>
      </c>
      <c r="V11" s="94" t="str">
        <f t="shared" si="0"/>
        <v/>
      </c>
      <c r="W11" s="69" t="str">
        <f>IF( N11, CONCATENATE("* differential.element[",$O11,"].short = """,I11,""""),"")</f>
        <v>* differential.element[1].short = "[R] Product code"</v>
      </c>
    </row>
    <row r="12" spans="1:24" ht="73.75" x14ac:dyDescent="0.75">
      <c r="A12" s="32">
        <v>0</v>
      </c>
      <c r="B12" s="32">
        <f>'Prod-1'!A9</f>
        <v>3</v>
      </c>
      <c r="C12" s="38" t="str">
        <f>'Prod-1'!B9</f>
        <v>codeSet.PCID</v>
      </c>
      <c r="D12" s="32">
        <f>'Prod-1'!E9</f>
        <v>0</v>
      </c>
      <c r="E12" s="32">
        <f>'Prod-1'!F9</f>
        <v>1</v>
      </c>
      <c r="F12" s="32" t="str">
        <f>'Prod-1'!G9</f>
        <v>CodeableConcept</v>
      </c>
      <c r="G12" s="32"/>
      <c r="H12" s="32" t="s">
        <v>146</v>
      </c>
      <c r="I12" s="32" t="str">
        <f>CONCATENATE("[",H12,"] ",'Prod-1'!C9)</f>
        <v>[O] IDMP PCID</v>
      </c>
      <c r="J12" s="23"/>
      <c r="K12" s="32"/>
      <c r="L12" s="89" t="b">
        <f t="shared" ref="L12:M45" si="7">IF(F12&gt;"",TRUE)</f>
        <v>1</v>
      </c>
      <c r="M12" s="89" t="b">
        <f t="shared" si="7"/>
        <v>0</v>
      </c>
      <c r="N12" s="89" t="b">
        <f t="shared" si="1"/>
        <v>1</v>
      </c>
      <c r="O12" s="29">
        <f t="shared" si="2"/>
        <v>2</v>
      </c>
      <c r="Q12" s="38" t="str">
        <f t="shared" si="3"/>
        <v>* differential.element[2].id = "Product.codeSet.PCID"</v>
      </c>
      <c r="R12" s="38" t="str">
        <f t="shared" si="4"/>
        <v>* differential.element[2].path = "Product.codeSet.PCID"</v>
      </c>
      <c r="S12" s="38" t="str">
        <f t="shared" si="5"/>
        <v/>
      </c>
      <c r="T12" s="38" t="str">
        <f t="shared" si="6"/>
        <v/>
      </c>
      <c r="U12" s="38" t="str">
        <f t="shared" ref="U12:U60" si="8">IF( F12&gt;"", CONCATENATE("* differential.element[",O12,"].type.code = #",F12,""),"")</f>
        <v>* differential.element[2].type.code = #CodeableConcept</v>
      </c>
      <c r="V12" s="94" t="str">
        <f t="shared" si="0"/>
        <v/>
      </c>
      <c r="W12" s="69" t="str">
        <f t="shared" ref="W12:W60" si="9">IF( N12, CONCATENATE("* differential.element[",$O12,"].short = """,I12,""""),"")</f>
        <v>* differential.element[2].short = "[O] IDMP PCID"</v>
      </c>
    </row>
    <row r="13" spans="1:24" ht="73.75" x14ac:dyDescent="0.75">
      <c r="A13" s="32">
        <v>0</v>
      </c>
      <c r="B13" s="32">
        <f>'Prod-1'!A10</f>
        <v>4</v>
      </c>
      <c r="C13" s="38" t="str">
        <f>'Prod-1'!B10</f>
        <v>codeSet.MPID</v>
      </c>
      <c r="D13" s="32">
        <f>'Prod-1'!E10</f>
        <v>0</v>
      </c>
      <c r="E13" s="32">
        <f>'Prod-1'!F10</f>
        <v>1</v>
      </c>
      <c r="F13" s="32" t="str">
        <f>'Prod-1'!G10</f>
        <v>CodeableConcept</v>
      </c>
      <c r="G13" s="32"/>
      <c r="H13" s="32" t="s">
        <v>146</v>
      </c>
      <c r="I13" s="32" t="str">
        <f>CONCATENATE("[",H13,"] ",'Prod-1'!C10)</f>
        <v>[O] IDMP MPID</v>
      </c>
      <c r="J13" s="23"/>
      <c r="K13" s="32"/>
      <c r="L13" s="89" t="b">
        <f t="shared" si="7"/>
        <v>1</v>
      </c>
      <c r="M13" s="89" t="b">
        <f t="shared" si="7"/>
        <v>0</v>
      </c>
      <c r="N13" s="89" t="b">
        <f t="shared" si="1"/>
        <v>1</v>
      </c>
      <c r="O13" s="29">
        <f t="shared" si="2"/>
        <v>3</v>
      </c>
      <c r="Q13" s="38" t="str">
        <f t="shared" si="3"/>
        <v>* differential.element[3].id = "Product.codeSet.MPID"</v>
      </c>
      <c r="R13" s="38" t="str">
        <f t="shared" si="4"/>
        <v>* differential.element[3].path = "Product.codeSet.MPID"</v>
      </c>
      <c r="S13" s="38" t="str">
        <f t="shared" si="5"/>
        <v/>
      </c>
      <c r="T13" s="38" t="str">
        <f t="shared" si="6"/>
        <v/>
      </c>
      <c r="U13" s="38" t="str">
        <f t="shared" si="8"/>
        <v>* differential.element[3].type.code = #CodeableConcept</v>
      </c>
      <c r="V13" s="94" t="str">
        <f t="shared" si="0"/>
        <v/>
      </c>
      <c r="W13" s="69" t="str">
        <f t="shared" si="9"/>
        <v>* differential.element[3].short = "[O] IDMP MPID"</v>
      </c>
    </row>
    <row r="14" spans="1:24" ht="73.75" x14ac:dyDescent="0.75">
      <c r="A14" s="32">
        <v>0</v>
      </c>
      <c r="B14" s="32">
        <f>'Prod-1'!A11</f>
        <v>5</v>
      </c>
      <c r="C14" s="38" t="str">
        <f>'Prod-1'!B11</f>
        <v>codeSet.PhPID</v>
      </c>
      <c r="D14" s="32">
        <f>'Prod-1'!E11</f>
        <v>0</v>
      </c>
      <c r="E14" s="32" t="str">
        <f>'Prod-1'!F11</f>
        <v>*</v>
      </c>
      <c r="F14" s="32" t="str">
        <f>'Prod-1'!G11</f>
        <v>CodeableConcept</v>
      </c>
      <c r="G14" s="32"/>
      <c r="H14" s="32" t="s">
        <v>146</v>
      </c>
      <c r="I14" s="32" t="str">
        <f>CONCATENATE("[",H14,"] ",'Prod-1'!C11)</f>
        <v>[O] IDMP PhP</v>
      </c>
      <c r="J14" s="23"/>
      <c r="K14" s="32"/>
      <c r="L14" s="89" t="b">
        <f t="shared" si="7"/>
        <v>1</v>
      </c>
      <c r="M14" s="89" t="b">
        <f t="shared" si="7"/>
        <v>0</v>
      </c>
      <c r="N14" s="89" t="b">
        <f t="shared" si="1"/>
        <v>1</v>
      </c>
      <c r="O14" s="29">
        <f t="shared" si="2"/>
        <v>4</v>
      </c>
      <c r="Q14" s="38" t="str">
        <f t="shared" si="3"/>
        <v>* differential.element[4].id = "Product.codeSet.PhPID"</v>
      </c>
      <c r="R14" s="38" t="str">
        <f t="shared" si="4"/>
        <v>* differential.element[4].path = "Product.codeSet.PhPID"</v>
      </c>
      <c r="S14" s="38" t="str">
        <f t="shared" si="5"/>
        <v/>
      </c>
      <c r="T14" s="38" t="str">
        <f t="shared" si="6"/>
        <v/>
      </c>
      <c r="U14" s="38" t="str">
        <f t="shared" si="8"/>
        <v>* differential.element[4].type.code = #CodeableConcept</v>
      </c>
      <c r="V14" s="94" t="str">
        <f t="shared" si="0"/>
        <v/>
      </c>
      <c r="W14" s="69" t="str">
        <f t="shared" si="9"/>
        <v>* differential.element[4].short = "[O] IDMP PhP"</v>
      </c>
      <c r="X14" s="58"/>
    </row>
    <row r="15" spans="1:24" ht="73.75" x14ac:dyDescent="0.75">
      <c r="A15" s="32">
        <v>0</v>
      </c>
      <c r="B15" s="32">
        <f>'Prod-1'!A12</f>
        <v>6</v>
      </c>
      <c r="C15" s="38" t="str">
        <f>'Prod-1'!B12</f>
        <v>packageIdentifiers</v>
      </c>
      <c r="D15" s="32">
        <f>'Prod-1'!E12</f>
        <v>0</v>
      </c>
      <c r="E15" s="32">
        <f>'Prod-1'!F12</f>
        <v>1</v>
      </c>
      <c r="F15" s="32" t="str">
        <f>'Prod-1'!G12</f>
        <v>BackboneElement</v>
      </c>
      <c r="G15" s="32"/>
      <c r="H15" s="32" t="s">
        <v>146</v>
      </c>
      <c r="I15" s="32" t="str">
        <f>CONCATENATE("[",H15,"] ",'Prod-1'!C12)</f>
        <v>[O] Set of identifiers</v>
      </c>
      <c r="J15" s="23"/>
      <c r="K15" s="32"/>
      <c r="L15" s="89" t="b">
        <f t="shared" si="7"/>
        <v>1</v>
      </c>
      <c r="M15" s="89" t="b">
        <f>IF(G15&gt;"",TRUE)</f>
        <v>0</v>
      </c>
      <c r="N15" s="89" t="b">
        <f t="shared" si="1"/>
        <v>1</v>
      </c>
      <c r="O15" s="29">
        <f t="shared" si="2"/>
        <v>5</v>
      </c>
      <c r="Q15" s="38" t="str">
        <f t="shared" si="3"/>
        <v>* differential.element[5].id = "Product.packageIdentifiers"</v>
      </c>
      <c r="R15" s="38" t="str">
        <f t="shared" si="4"/>
        <v>* differential.element[5].path = "Product.packageIdentifiers"</v>
      </c>
      <c r="S15" s="38" t="str">
        <f t="shared" si="5"/>
        <v/>
      </c>
      <c r="T15" s="38" t="str">
        <f t="shared" si="6"/>
        <v/>
      </c>
      <c r="U15" s="38" t="str">
        <f t="shared" si="8"/>
        <v>* differential.element[5].type.code = #BackboneElement</v>
      </c>
      <c r="V15" s="94" t="str">
        <f t="shared" si="0"/>
        <v/>
      </c>
      <c r="W15" s="69" t="str">
        <f t="shared" si="9"/>
        <v>* differential.element[5].short = "[O] Set of identifiers"</v>
      </c>
    </row>
    <row r="16" spans="1:24" ht="88.5" x14ac:dyDescent="0.75">
      <c r="A16" s="32">
        <v>0</v>
      </c>
      <c r="B16" s="32">
        <f>'Prod-1'!A13</f>
        <v>7</v>
      </c>
      <c r="C16" s="38" t="str">
        <f>'Prod-1'!B13</f>
        <v>packageIdentifiers.uniqueIdentifier</v>
      </c>
      <c r="D16" s="32">
        <f>'Prod-1'!E13</f>
        <v>0</v>
      </c>
      <c r="E16" s="32">
        <f>'Prod-1'!F13</f>
        <v>1</v>
      </c>
      <c r="F16" s="32" t="str">
        <f>'Prod-1'!G13</f>
        <v>string</v>
      </c>
      <c r="G16" s="32"/>
      <c r="H16" s="32" t="s">
        <v>146</v>
      </c>
      <c r="I16" s="32" t="str">
        <f>CONCATENATE("[",H16,"] ",'Prod-1'!C13)</f>
        <v>[O] Unique Identifier</v>
      </c>
      <c r="J16" s="23"/>
      <c r="K16" s="32"/>
      <c r="L16" s="89" t="b">
        <f t="shared" si="7"/>
        <v>1</v>
      </c>
      <c r="M16" s="89" t="b">
        <f t="shared" si="7"/>
        <v>0</v>
      </c>
      <c r="N16" s="89" t="b">
        <f t="shared" si="1"/>
        <v>1</v>
      </c>
      <c r="O16" s="29">
        <f t="shared" si="2"/>
        <v>6</v>
      </c>
      <c r="Q16" s="38" t="str">
        <f t="shared" si="3"/>
        <v>* differential.element[6].id = "Product.packageIdentifiers.uniqueIdentifier"</v>
      </c>
      <c r="R16" s="38" t="str">
        <f t="shared" si="4"/>
        <v>* differential.element[6].path = "Product.packageIdentifiers.uniqueIdentifier"</v>
      </c>
      <c r="S16" s="38" t="str">
        <f t="shared" si="5"/>
        <v/>
      </c>
      <c r="T16" s="38" t="str">
        <f t="shared" si="6"/>
        <v/>
      </c>
      <c r="U16" s="38" t="str">
        <f t="shared" si="8"/>
        <v>* differential.element[6].type.code = #string</v>
      </c>
      <c r="V16" s="94" t="str">
        <f t="shared" si="0"/>
        <v/>
      </c>
      <c r="W16" s="69" t="str">
        <f t="shared" si="9"/>
        <v>* differential.element[6].short = "[O] Unique Identifier"</v>
      </c>
    </row>
    <row r="17" spans="1:23" ht="88.5" x14ac:dyDescent="0.75">
      <c r="A17" s="32">
        <v>0</v>
      </c>
      <c r="B17" s="32">
        <f>'Prod-1'!A14</f>
        <v>8</v>
      </c>
      <c r="C17" s="38" t="str">
        <f>'Prod-1'!B14</f>
        <v>packageIdentifiers.dataCarrierIdentifier</v>
      </c>
      <c r="D17" s="32">
        <f>'Prod-1'!E14</f>
        <v>0</v>
      </c>
      <c r="E17" s="32" t="str">
        <f>'Prod-1'!F14</f>
        <v>*</v>
      </c>
      <c r="F17" s="32" t="str">
        <f>'Prod-1'!G14</f>
        <v>Identifier</v>
      </c>
      <c r="G17" s="32"/>
      <c r="H17" s="32" t="s">
        <v>146</v>
      </c>
      <c r="I17" s="32" t="str">
        <f>CONCATENATE("[",H17,"] ",'Prod-1'!C14)</f>
        <v>[O] Data Carrier Identifier (e.g. GTIN)</v>
      </c>
      <c r="J17" s="23"/>
      <c r="K17" s="32"/>
      <c r="L17" s="89" t="b">
        <f t="shared" si="7"/>
        <v>1</v>
      </c>
      <c r="M17" s="89" t="b">
        <f t="shared" si="7"/>
        <v>0</v>
      </c>
      <c r="N17" s="89" t="b">
        <f t="shared" si="1"/>
        <v>1</v>
      </c>
      <c r="O17" s="29">
        <f t="shared" si="2"/>
        <v>7</v>
      </c>
      <c r="Q17" s="38" t="str">
        <f t="shared" si="3"/>
        <v>* differential.element[7].id = "Product.packageIdentifiers.dataCarrierIdentifier"</v>
      </c>
      <c r="R17" s="38" t="str">
        <f t="shared" si="4"/>
        <v>* differential.element[7].path = "Product.packageIdentifiers.dataCarrierIdentifier"</v>
      </c>
      <c r="S17" s="38" t="str">
        <f t="shared" si="5"/>
        <v/>
      </c>
      <c r="T17" s="38" t="str">
        <f t="shared" si="6"/>
        <v/>
      </c>
      <c r="U17" s="38" t="str">
        <f t="shared" si="8"/>
        <v>* differential.element[7].type.code = #Identifier</v>
      </c>
      <c r="V17" s="94" t="str">
        <f t="shared" si="0"/>
        <v/>
      </c>
      <c r="W17" s="69" t="str">
        <f t="shared" si="9"/>
        <v>* differential.element[7].short = "[O] Data Carrier Identifier (e.g. GTIN)"</v>
      </c>
    </row>
    <row r="18" spans="1:23" ht="88.5" x14ac:dyDescent="0.75">
      <c r="A18" s="32">
        <v>0</v>
      </c>
      <c r="B18" s="32">
        <f>'Prod-1'!A15</f>
        <v>9</v>
      </c>
      <c r="C18" s="38" t="str">
        <f>'Prod-1'!B15</f>
        <v>packageIdentifiers.serialNumber</v>
      </c>
      <c r="D18" s="32">
        <f>'Prod-1'!E15</f>
        <v>0</v>
      </c>
      <c r="E18" s="32">
        <f>'Prod-1'!F15</f>
        <v>1</v>
      </c>
      <c r="F18" s="32" t="str">
        <f>'Prod-1'!G15</f>
        <v>string</v>
      </c>
      <c r="G18" s="32"/>
      <c r="H18" s="32" t="s">
        <v>146</v>
      </c>
      <c r="I18" s="32" t="str">
        <f>CONCATENATE("[",H18,"] ",'Prod-1'!C15)</f>
        <v>[O] Serial number</v>
      </c>
      <c r="J18" s="52"/>
      <c r="K18" s="32"/>
      <c r="L18" s="89" t="b">
        <f t="shared" si="7"/>
        <v>1</v>
      </c>
      <c r="M18" s="89" t="b">
        <f t="shared" si="7"/>
        <v>0</v>
      </c>
      <c r="N18" s="89" t="b">
        <f t="shared" si="1"/>
        <v>1</v>
      </c>
      <c r="O18" s="29">
        <f t="shared" si="2"/>
        <v>8</v>
      </c>
      <c r="Q18" s="38" t="str">
        <f t="shared" si="3"/>
        <v>* differential.element[8].id = "Product.packageIdentifiers.serialNumber"</v>
      </c>
      <c r="R18" s="38" t="str">
        <f t="shared" si="4"/>
        <v>* differential.element[8].path = "Product.packageIdentifiers.serialNumber"</v>
      </c>
      <c r="S18" s="38" t="str">
        <f t="shared" si="5"/>
        <v/>
      </c>
      <c r="T18" s="38" t="str">
        <f t="shared" si="6"/>
        <v/>
      </c>
      <c r="U18" s="38" t="str">
        <f t="shared" si="8"/>
        <v>* differential.element[8].type.code = #string</v>
      </c>
      <c r="V18" s="94" t="str">
        <f t="shared" si="0"/>
        <v/>
      </c>
      <c r="W18" s="69" t="str">
        <f t="shared" si="9"/>
        <v>* differential.element[8].short = "[O] Serial number"</v>
      </c>
    </row>
    <row r="19" spans="1:23" ht="73.75" x14ac:dyDescent="0.75">
      <c r="A19" s="32">
        <v>0</v>
      </c>
      <c r="B19" s="32">
        <f>'Prod-1'!A16</f>
        <v>10</v>
      </c>
      <c r="C19" s="38" t="str">
        <f>'Prod-1'!B16</f>
        <v>packageIdentifiers.lotNumber</v>
      </c>
      <c r="D19" s="32">
        <f>'Prod-1'!E16</f>
        <v>0</v>
      </c>
      <c r="E19" s="32">
        <f>'Prod-1'!F16</f>
        <v>1</v>
      </c>
      <c r="F19" s="32" t="str">
        <f>'Prod-1'!G16</f>
        <v>string</v>
      </c>
      <c r="G19" s="32"/>
      <c r="H19" s="32" t="s">
        <v>146</v>
      </c>
      <c r="I19" s="32" t="str">
        <f>CONCATENATE("[",H19,"] ",'Prod-1'!C16)</f>
        <v>[O] Lot Number</v>
      </c>
      <c r="J19" s="23"/>
      <c r="K19" s="32"/>
      <c r="L19" s="89" t="b">
        <f t="shared" si="7"/>
        <v>1</v>
      </c>
      <c r="M19" s="89" t="b">
        <f t="shared" si="7"/>
        <v>0</v>
      </c>
      <c r="N19" s="89" t="b">
        <f t="shared" si="1"/>
        <v>1</v>
      </c>
      <c r="O19" s="29">
        <f t="shared" si="2"/>
        <v>9</v>
      </c>
      <c r="Q19" s="38" t="str">
        <f t="shared" si="3"/>
        <v>* differential.element[9].id = "Product.packageIdentifiers.lotNumber"</v>
      </c>
      <c r="R19" s="38" t="str">
        <f t="shared" si="4"/>
        <v>* differential.element[9].path = "Product.packageIdentifiers.lotNumber"</v>
      </c>
      <c r="S19" s="38" t="str">
        <f t="shared" si="5"/>
        <v/>
      </c>
      <c r="T19" s="38" t="str">
        <f t="shared" si="6"/>
        <v/>
      </c>
      <c r="U19" s="38" t="str">
        <f t="shared" si="8"/>
        <v>* differential.element[9].type.code = #string</v>
      </c>
      <c r="V19" s="94" t="str">
        <f t="shared" si="0"/>
        <v/>
      </c>
      <c r="W19" s="69" t="str">
        <f t="shared" si="9"/>
        <v>* differential.element[9].short = "[O] Lot Number"</v>
      </c>
    </row>
    <row r="20" spans="1:23" ht="59" x14ac:dyDescent="0.75">
      <c r="A20" s="32">
        <v>0</v>
      </c>
      <c r="B20" s="32">
        <f>'Prod-1'!A17</f>
        <v>11</v>
      </c>
      <c r="C20" s="38" t="str">
        <f>'Prod-1'!B17</f>
        <v>name</v>
      </c>
      <c r="D20" s="32">
        <f>'Prod-1'!E17</f>
        <v>0</v>
      </c>
      <c r="E20" s="32" t="str">
        <f>'Prod-1'!F17</f>
        <v>*</v>
      </c>
      <c r="F20" s="32" t="str">
        <f>'Prod-1'!G17</f>
        <v>string</v>
      </c>
      <c r="G20" s="32" t="b">
        <v>1</v>
      </c>
      <c r="H20" s="32" t="s">
        <v>152</v>
      </c>
      <c r="I20" s="32" t="str">
        <f>CONCATENATE("[",H20,"] ",'Prod-1'!C17)</f>
        <v>[RK] Product Name</v>
      </c>
      <c r="J20" s="23"/>
      <c r="K20" s="32"/>
      <c r="L20" s="89" t="b">
        <f t="shared" si="7"/>
        <v>1</v>
      </c>
      <c r="M20" s="89" t="b">
        <f t="shared" si="7"/>
        <v>1</v>
      </c>
      <c r="N20" s="89" t="b">
        <f t="shared" si="1"/>
        <v>1</v>
      </c>
      <c r="O20" s="29">
        <f t="shared" si="2"/>
        <v>10</v>
      </c>
      <c r="Q20" s="38" t="str">
        <f t="shared" si="3"/>
        <v>* differential.element[10].id = "Product.name"</v>
      </c>
      <c r="R20" s="38" t="str">
        <f t="shared" si="4"/>
        <v>* differential.element[10].path = "Product.name"</v>
      </c>
      <c r="S20" s="38" t="str">
        <f t="shared" si="5"/>
        <v/>
      </c>
      <c r="T20" s="38" t="str">
        <f t="shared" si="6"/>
        <v/>
      </c>
      <c r="U20" s="38" t="str">
        <f t="shared" si="8"/>
        <v>* differential.element[10].type.code = #string</v>
      </c>
      <c r="V20" s="94" t="str">
        <f t="shared" si="0"/>
        <v>* differential.element[10].mustSupport = true</v>
      </c>
      <c r="W20" s="69" t="str">
        <f t="shared" si="9"/>
        <v>* differential.element[10].short = "[RK] Product Name"</v>
      </c>
    </row>
    <row r="21" spans="1:23" ht="73.75" x14ac:dyDescent="0.75">
      <c r="A21" s="32">
        <v>0</v>
      </c>
      <c r="B21" s="32">
        <f>'Prod-1'!A18</f>
        <v>12</v>
      </c>
      <c r="C21" s="38" t="str">
        <f>'Prod-1'!B18</f>
        <v>composition</v>
      </c>
      <c r="D21" s="70">
        <v>1</v>
      </c>
      <c r="E21" s="32">
        <f>'Prod-1'!F18</f>
        <v>1</v>
      </c>
      <c r="F21" s="32" t="str">
        <f>'Prod-1'!G18</f>
        <v>BackboneElement</v>
      </c>
      <c r="G21" s="32" t="b">
        <v>1</v>
      </c>
      <c r="H21" s="32" t="s">
        <v>148</v>
      </c>
      <c r="I21" s="32" t="str">
        <f>CONCATENATE("[",H21,"] ",'Prod-1'!C18)</f>
        <v>[M] Composition</v>
      </c>
      <c r="J21" s="23"/>
      <c r="K21" s="32" t="b">
        <v>1</v>
      </c>
      <c r="L21" s="89" t="b">
        <f t="shared" si="7"/>
        <v>1</v>
      </c>
      <c r="M21" s="89" t="b">
        <f t="shared" si="7"/>
        <v>1</v>
      </c>
      <c r="N21" s="89" t="b">
        <f t="shared" si="1"/>
        <v>1</v>
      </c>
      <c r="O21" s="29">
        <f t="shared" si="2"/>
        <v>11</v>
      </c>
      <c r="Q21" s="38" t="str">
        <f t="shared" si="3"/>
        <v>* differential.element[11].id = "Product.composition"</v>
      </c>
      <c r="R21" s="38" t="str">
        <f t="shared" si="4"/>
        <v>* differential.element[11].path = "Product.composition"</v>
      </c>
      <c r="S21" s="38" t="str">
        <f t="shared" si="5"/>
        <v>* differential.element[11].min = 1</v>
      </c>
      <c r="T21" s="38" t="str">
        <f t="shared" si="6"/>
        <v>* differential.element[11].max = "1"</v>
      </c>
      <c r="U21" s="38" t="str">
        <f t="shared" si="8"/>
        <v>* differential.element[11].type.code = #BackboneElement</v>
      </c>
      <c r="V21" s="94" t="str">
        <f t="shared" si="0"/>
        <v>* differential.element[11].mustSupport = true</v>
      </c>
      <c r="W21" s="69" t="str">
        <f t="shared" si="9"/>
        <v>* differential.element[11].short = "[M] Composition"</v>
      </c>
    </row>
    <row r="22" spans="1:23" ht="73.75" x14ac:dyDescent="0.75">
      <c r="A22" s="32">
        <v>0</v>
      </c>
      <c r="B22" s="32">
        <f>'Prod-1'!A19</f>
        <v>13</v>
      </c>
      <c r="C22" s="38" t="str">
        <f>'Prod-1'!B19</f>
        <v>composition.ingredient</v>
      </c>
      <c r="D22" s="70">
        <v>1</v>
      </c>
      <c r="E22" s="32" t="str">
        <f>'Prod-1'!F19</f>
        <v>*</v>
      </c>
      <c r="F22" s="32" t="str">
        <f>'Prod-1'!G19</f>
        <v>BackboneElement</v>
      </c>
      <c r="G22" s="32" t="b">
        <v>1</v>
      </c>
      <c r="H22" s="32" t="s">
        <v>148</v>
      </c>
      <c r="I22" s="32" t="str">
        <f>CONCATENATE("[",H22,"] ",'Prod-1'!C19)</f>
        <v>[M] Ingredient (e.g. antigen)</v>
      </c>
      <c r="J22" s="23"/>
      <c r="K22" s="32" t="b">
        <v>1</v>
      </c>
      <c r="L22" s="89" t="b">
        <f t="shared" si="7"/>
        <v>1</v>
      </c>
      <c r="M22" s="89" t="b">
        <f t="shared" si="7"/>
        <v>1</v>
      </c>
      <c r="N22" s="89" t="b">
        <f t="shared" si="1"/>
        <v>1</v>
      </c>
      <c r="O22" s="29">
        <f t="shared" si="2"/>
        <v>12</v>
      </c>
      <c r="Q22" s="38" t="str">
        <f t="shared" si="3"/>
        <v>* differential.element[12].id = "Product.composition.ingredient"</v>
      </c>
      <c r="R22" s="38" t="str">
        <f t="shared" si="4"/>
        <v>* differential.element[12].path = "Product.composition.ingredient"</v>
      </c>
      <c r="S22" s="38" t="str">
        <f t="shared" si="5"/>
        <v>* differential.element[12].min = 1</v>
      </c>
      <c r="T22" s="38" t="str">
        <f t="shared" si="6"/>
        <v>* differential.element[12].max = "*"</v>
      </c>
      <c r="U22" s="38" t="str">
        <f t="shared" si="8"/>
        <v>* differential.element[12].type.code = #BackboneElement</v>
      </c>
      <c r="V22" s="94" t="str">
        <f t="shared" si="0"/>
        <v>* differential.element[12].mustSupport = true</v>
      </c>
      <c r="W22" s="69" t="str">
        <f t="shared" si="9"/>
        <v>* differential.element[12].short = "[M] Ingredient (e.g. antigen)"</v>
      </c>
    </row>
    <row r="23" spans="1:23" ht="88.5" x14ac:dyDescent="0.75">
      <c r="A23" s="32">
        <v>0</v>
      </c>
      <c r="B23" s="32">
        <f>'Prod-1'!A20</f>
        <v>14</v>
      </c>
      <c r="C23" s="38" t="str">
        <f>'Prod-1'!B20</f>
        <v>composition.ingredient.substanceName</v>
      </c>
      <c r="D23" s="70">
        <v>1</v>
      </c>
      <c r="E23" s="32">
        <f>'Prod-1'!F20</f>
        <v>1</v>
      </c>
      <c r="F23" s="32" t="str">
        <f>'Prod-1'!G20</f>
        <v>string</v>
      </c>
      <c r="G23" s="32" t="b">
        <v>1</v>
      </c>
      <c r="H23" s="32" t="s">
        <v>148</v>
      </c>
      <c r="I23" s="32" t="str">
        <f>CONCATENATE("[",H23,"] ",'Prod-1'!C20)</f>
        <v>[M] Substance name</v>
      </c>
      <c r="J23" s="23"/>
      <c r="K23" s="32" t="b">
        <v>1</v>
      </c>
      <c r="L23" s="89" t="b">
        <f t="shared" si="7"/>
        <v>1</v>
      </c>
      <c r="M23" s="89" t="b">
        <f t="shared" si="7"/>
        <v>1</v>
      </c>
      <c r="N23" s="89" t="b">
        <f t="shared" si="1"/>
        <v>1</v>
      </c>
      <c r="O23" s="29">
        <f t="shared" si="2"/>
        <v>13</v>
      </c>
      <c r="Q23" s="38" t="str">
        <f t="shared" si="3"/>
        <v>* differential.element[13].id = "Product.composition.ingredient.substanceName"</v>
      </c>
      <c r="R23" s="38" t="str">
        <f t="shared" si="4"/>
        <v>* differential.element[13].path = "Product.composition.ingredient.substanceName"</v>
      </c>
      <c r="S23" s="38" t="str">
        <f t="shared" si="5"/>
        <v>* differential.element[13].min = 1</v>
      </c>
      <c r="T23" s="38" t="str">
        <f t="shared" si="6"/>
        <v>* differential.element[13].max = "1"</v>
      </c>
      <c r="U23" s="38" t="str">
        <f t="shared" si="8"/>
        <v>* differential.element[13].type.code = #string</v>
      </c>
      <c r="V23" s="94" t="str">
        <f t="shared" si="0"/>
        <v>* differential.element[13].mustSupport = true</v>
      </c>
      <c r="W23" s="69" t="str">
        <f t="shared" si="9"/>
        <v>* differential.element[13].short = "[M] Substance name"</v>
      </c>
    </row>
    <row r="24" spans="1:23" ht="88.5" x14ac:dyDescent="0.75">
      <c r="A24" s="32">
        <v>0</v>
      </c>
      <c r="B24" s="32">
        <f>'Prod-1'!A21</f>
        <v>15</v>
      </c>
      <c r="C24" s="38" t="str">
        <f>'Prod-1'!B21</f>
        <v>composition.ingredient.substanceCode</v>
      </c>
      <c r="D24" s="32">
        <f>'Prod-1'!E21</f>
        <v>0</v>
      </c>
      <c r="E24" s="32" t="str">
        <f>'Prod-1'!F21</f>
        <v>*</v>
      </c>
      <c r="F24" s="32" t="str">
        <f>'Prod-1'!G21</f>
        <v>CodeableConcept</v>
      </c>
      <c r="G24" s="32" t="b">
        <v>1</v>
      </c>
      <c r="H24" s="32" t="s">
        <v>152</v>
      </c>
      <c r="I24" s="32" t="str">
        <f>CONCATENATE("[",H24,"] ",'Prod-1'!C21)</f>
        <v>[RK] Substance code</v>
      </c>
      <c r="J24" s="23"/>
      <c r="K24" s="32"/>
      <c r="L24" s="89" t="b">
        <f t="shared" si="7"/>
        <v>1</v>
      </c>
      <c r="M24" s="89" t="b">
        <f t="shared" si="7"/>
        <v>1</v>
      </c>
      <c r="N24" s="89" t="b">
        <f t="shared" si="1"/>
        <v>1</v>
      </c>
      <c r="O24" s="29">
        <f t="shared" si="2"/>
        <v>14</v>
      </c>
      <c r="Q24" s="38" t="str">
        <f t="shared" si="3"/>
        <v>* differential.element[14].id = "Product.composition.ingredient.substanceCode"</v>
      </c>
      <c r="R24" s="38" t="str">
        <f t="shared" si="4"/>
        <v>* differential.element[14].path = "Product.composition.ingredient.substanceCode"</v>
      </c>
      <c r="S24" s="38" t="str">
        <f t="shared" si="5"/>
        <v/>
      </c>
      <c r="T24" s="38" t="str">
        <f t="shared" si="6"/>
        <v/>
      </c>
      <c r="U24" s="38" t="str">
        <f t="shared" si="8"/>
        <v>* differential.element[14].type.code = #CodeableConcept</v>
      </c>
      <c r="V24" s="94" t="str">
        <f t="shared" si="0"/>
        <v>* differential.element[14].mustSupport = true</v>
      </c>
      <c r="W24" s="69" t="str">
        <f t="shared" si="9"/>
        <v>* differential.element[14].short = "[RK] Substance code"</v>
      </c>
    </row>
    <row r="25" spans="1:23" ht="88.5" x14ac:dyDescent="0.75">
      <c r="A25" s="32">
        <v>0</v>
      </c>
      <c r="B25" s="32">
        <f>'Prod-1'!A22</f>
        <v>16</v>
      </c>
      <c r="C25" s="38" t="str">
        <f>'Prod-1'!B22</f>
        <v>composition.ingredient.ingredientRole</v>
      </c>
      <c r="D25" s="32">
        <f>'Prod-1'!E22</f>
        <v>0</v>
      </c>
      <c r="E25" s="32">
        <f>'Prod-1'!F22</f>
        <v>1</v>
      </c>
      <c r="F25" s="32" t="str">
        <f>'Prod-1'!G22</f>
        <v>CodeableConcept</v>
      </c>
      <c r="G25" s="32"/>
      <c r="H25" s="32" t="s">
        <v>146</v>
      </c>
      <c r="I25" s="32" t="str">
        <f>CONCATENATE("[",H25,"] ",'Prod-1'!C22)</f>
        <v>[O] Ingredient role</v>
      </c>
      <c r="J25" s="23"/>
      <c r="K25" s="32"/>
      <c r="L25" s="89" t="b">
        <f t="shared" si="7"/>
        <v>1</v>
      </c>
      <c r="M25" s="89" t="b">
        <f t="shared" si="7"/>
        <v>0</v>
      </c>
      <c r="N25" s="89" t="b">
        <f t="shared" si="1"/>
        <v>1</v>
      </c>
      <c r="O25" s="29">
        <f t="shared" si="2"/>
        <v>15</v>
      </c>
      <c r="Q25" s="38" t="str">
        <f t="shared" si="3"/>
        <v>* differential.element[15].id = "Product.composition.ingredient.ingredientRole"</v>
      </c>
      <c r="R25" s="38" t="str">
        <f t="shared" si="4"/>
        <v>* differential.element[15].path = "Product.composition.ingredient.ingredientRole"</v>
      </c>
      <c r="S25" s="38" t="str">
        <f t="shared" si="5"/>
        <v/>
      </c>
      <c r="T25" s="38" t="str">
        <f t="shared" si="6"/>
        <v/>
      </c>
      <c r="U25" s="38" t="str">
        <f t="shared" si="8"/>
        <v>* differential.element[15].type.code = #CodeableConcept</v>
      </c>
      <c r="V25" s="94" t="str">
        <f t="shared" si="0"/>
        <v/>
      </c>
      <c r="W25" s="69" t="str">
        <f t="shared" si="9"/>
        <v>* differential.element[15].short = "[O] Ingredient role"</v>
      </c>
    </row>
    <row r="26" spans="1:23" ht="88.5" x14ac:dyDescent="0.75">
      <c r="A26" s="32">
        <v>0</v>
      </c>
      <c r="B26" s="32">
        <f>'Prod-1'!A23</f>
        <v>17</v>
      </c>
      <c r="C26" s="38" t="str">
        <f>'Prod-1'!B23</f>
        <v>composition.ingredient.substanceQuantity</v>
      </c>
      <c r="D26" s="32">
        <f>'Prod-1'!E23</f>
        <v>0</v>
      </c>
      <c r="E26" s="32">
        <f>'Prod-1'!F23</f>
        <v>1</v>
      </c>
      <c r="F26" s="32" t="str">
        <f>'Prod-1'!G23</f>
        <v>Ratio</v>
      </c>
      <c r="G26" s="32"/>
      <c r="H26" s="32" t="s">
        <v>146</v>
      </c>
      <c r="I26" s="32" t="str">
        <f>CONCATENATE("[",H26,"] ",'Prod-1'!C23)</f>
        <v>[O] Substance quantity</v>
      </c>
      <c r="J26" s="23"/>
      <c r="K26" s="32"/>
      <c r="L26" s="89" t="b">
        <f t="shared" si="7"/>
        <v>1</v>
      </c>
      <c r="M26" s="89" t="b">
        <f t="shared" si="7"/>
        <v>0</v>
      </c>
      <c r="N26" s="89" t="b">
        <f t="shared" si="1"/>
        <v>1</v>
      </c>
      <c r="O26" s="29">
        <f t="shared" si="2"/>
        <v>16</v>
      </c>
      <c r="Q26" s="38" t="str">
        <f t="shared" si="3"/>
        <v>* differential.element[16].id = "Product.composition.ingredient.substanceQuantity"</v>
      </c>
      <c r="R26" s="38" t="str">
        <f t="shared" si="4"/>
        <v>* differential.element[16].path = "Product.composition.ingredient.substanceQuantity"</v>
      </c>
      <c r="S26" s="38" t="str">
        <f t="shared" si="5"/>
        <v/>
      </c>
      <c r="T26" s="38" t="str">
        <f t="shared" si="6"/>
        <v/>
      </c>
      <c r="U26" s="38" t="str">
        <f t="shared" si="8"/>
        <v>* differential.element[16].type.code = #Ratio</v>
      </c>
      <c r="V26" s="94" t="str">
        <f t="shared" si="0"/>
        <v/>
      </c>
      <c r="W26" s="69" t="str">
        <f t="shared" si="9"/>
        <v>* differential.element[16].short = "[O] Substance quantity"</v>
      </c>
    </row>
    <row r="27" spans="1:23" ht="73.75" x14ac:dyDescent="0.75">
      <c r="A27" s="32">
        <v>0</v>
      </c>
      <c r="B27" s="32">
        <f>'Prod-1'!A24</f>
        <v>18</v>
      </c>
      <c r="C27" s="38" t="str">
        <f>'Prod-1'!B24</f>
        <v>composition.description</v>
      </c>
      <c r="D27" s="32">
        <f>'Prod-1'!E24</f>
        <v>0</v>
      </c>
      <c r="E27" s="32">
        <f>'Prod-1'!F24</f>
        <v>1</v>
      </c>
      <c r="F27" s="32" t="str">
        <f>'Prod-1'!G24</f>
        <v>string</v>
      </c>
      <c r="G27" s="32"/>
      <c r="H27" s="32" t="s">
        <v>146</v>
      </c>
      <c r="I27" s="32" t="str">
        <f>CONCATENATE("[",H27,"] ",'Prod-1'!C24)</f>
        <v>[O] Composition (textual tescription)</v>
      </c>
      <c r="J27" s="23"/>
      <c r="K27" s="32"/>
      <c r="L27" s="89" t="b">
        <f t="shared" si="7"/>
        <v>1</v>
      </c>
      <c r="M27" s="89" t="b">
        <f t="shared" si="7"/>
        <v>0</v>
      </c>
      <c r="N27" s="89" t="b">
        <f t="shared" si="1"/>
        <v>1</v>
      </c>
      <c r="O27" s="29">
        <f t="shared" si="2"/>
        <v>17</v>
      </c>
      <c r="Q27" s="38" t="str">
        <f t="shared" si="3"/>
        <v>* differential.element[17].id = "Product.composition.description"</v>
      </c>
      <c r="R27" s="38" t="str">
        <f t="shared" si="4"/>
        <v>* differential.element[17].path = "Product.composition.description"</v>
      </c>
      <c r="S27" s="38" t="str">
        <f t="shared" si="5"/>
        <v/>
      </c>
      <c r="T27" s="38" t="str">
        <f t="shared" si="6"/>
        <v/>
      </c>
      <c r="U27" s="38" t="str">
        <f t="shared" si="8"/>
        <v>* differential.element[17].type.code = #string</v>
      </c>
      <c r="V27" s="94" t="str">
        <f t="shared" si="0"/>
        <v/>
      </c>
      <c r="W27" s="69" t="str">
        <f t="shared" si="9"/>
        <v>* differential.element[17].short = "[O] Composition (textual tescription)"</v>
      </c>
    </row>
    <row r="28" spans="1:23" ht="73.75" x14ac:dyDescent="0.75">
      <c r="A28" s="32">
        <v>0</v>
      </c>
      <c r="B28" s="32">
        <f>'Prod-1'!A25</f>
        <v>19</v>
      </c>
      <c r="C28" s="38" t="str">
        <f>'Prod-1'!B25</f>
        <v>marketAuthorizationHolder</v>
      </c>
      <c r="D28" s="32">
        <f>'Prod-1'!E25</f>
        <v>0</v>
      </c>
      <c r="E28" s="32">
        <f>'Prod-1'!F25</f>
        <v>1</v>
      </c>
      <c r="F28" s="32" t="str">
        <f>'Prod-1'!G25</f>
        <v>http://iso.org/fhir/ts-5384/StructureDefinition/SimpleOrganization</v>
      </c>
      <c r="G28" s="32" t="b">
        <v>1</v>
      </c>
      <c r="H28" s="32" t="s">
        <v>152</v>
      </c>
      <c r="I28" s="32" t="str">
        <f>CONCATENATE("[",H28,"] ",'Prod-1'!C25)</f>
        <v>[RK] Market Authorization Holder (MAH)</v>
      </c>
      <c r="J28" s="23"/>
      <c r="K28" s="32"/>
      <c r="L28" s="89" t="b">
        <f t="shared" si="7"/>
        <v>1</v>
      </c>
      <c r="M28" s="89" t="b">
        <f t="shared" si="7"/>
        <v>1</v>
      </c>
      <c r="N28" s="89" t="b">
        <f t="shared" si="1"/>
        <v>1</v>
      </c>
      <c r="O28" s="29">
        <f t="shared" si="2"/>
        <v>18</v>
      </c>
      <c r="Q28" s="38" t="str">
        <f t="shared" si="3"/>
        <v>* differential.element[18].id = "Product.marketAuthorizationHolder"</v>
      </c>
      <c r="R28" s="38" t="str">
        <f t="shared" si="4"/>
        <v>* differential.element[18].path = "Product.marketAuthorizationHolder"</v>
      </c>
      <c r="S28" s="38" t="str">
        <f t="shared" si="5"/>
        <v/>
      </c>
      <c r="T28" s="38" t="str">
        <f t="shared" si="6"/>
        <v/>
      </c>
      <c r="U28" s="38" t="str">
        <f t="shared" si="8"/>
        <v>* differential.element[18].type.code = #http://iso.org/fhir/ts-5384/StructureDefinition/SimpleOrganization</v>
      </c>
      <c r="V28" s="94" t="str">
        <f t="shared" si="0"/>
        <v>* differential.element[18].mustSupport = true</v>
      </c>
      <c r="W28" s="69" t="str">
        <f t="shared" si="9"/>
        <v>* differential.element[18].short = "[RK] Market Authorization Holder (MAH)"</v>
      </c>
    </row>
    <row r="29" spans="1:23" ht="73.75" x14ac:dyDescent="0.75">
      <c r="A29" s="32">
        <v>1</v>
      </c>
      <c r="B29" s="32">
        <f>'Prod-1'!A26</f>
        <v>20</v>
      </c>
      <c r="C29" s="38" t="str">
        <f>'Prod-1'!B26</f>
        <v>manufacturer</v>
      </c>
      <c r="D29" s="32">
        <f>'Prod-1'!E26</f>
        <v>0</v>
      </c>
      <c r="E29" s="32">
        <f>'Prod-1'!F26</f>
        <v>1</v>
      </c>
      <c r="F29" s="32" t="str">
        <f>'Prod-1'!G26</f>
        <v>http://iso.org/fhir/ts-5384/StructureDefinition/SimpleOrganization</v>
      </c>
      <c r="G29" s="32" t="b">
        <v>1</v>
      </c>
      <c r="H29" s="32" t="s">
        <v>152</v>
      </c>
      <c r="I29" s="32" t="str">
        <f>CONCATENATE("[",H29,"] ",'Prod-1'!C26)</f>
        <v>[RK] manufacturer</v>
      </c>
      <c r="J29" s="23"/>
      <c r="K29" s="32"/>
      <c r="L29" s="89" t="b">
        <f t="shared" si="7"/>
        <v>1</v>
      </c>
      <c r="M29" s="89" t="b">
        <f t="shared" si="7"/>
        <v>1</v>
      </c>
      <c r="N29" s="89" t="b">
        <f t="shared" si="1"/>
        <v>1</v>
      </c>
      <c r="O29" s="29">
        <f t="shared" si="2"/>
        <v>19</v>
      </c>
      <c r="Q29" s="38" t="str">
        <f t="shared" si="3"/>
        <v>* differential.element[19].id = "Product.manufacturer"</v>
      </c>
      <c r="R29" s="38" t="str">
        <f t="shared" si="4"/>
        <v>* differential.element[19].path = "Product.manufacturer"</v>
      </c>
      <c r="S29" s="38" t="str">
        <f t="shared" si="5"/>
        <v/>
      </c>
      <c r="T29" s="38" t="str">
        <f t="shared" si="6"/>
        <v/>
      </c>
      <c r="U29" s="38" t="str">
        <f t="shared" si="8"/>
        <v>* differential.element[19].type.code = #http://iso.org/fhir/ts-5384/StructureDefinition/SimpleOrganization</v>
      </c>
      <c r="V29" s="94" t="str">
        <f t="shared" si="0"/>
        <v>* differential.element[19].mustSupport = true</v>
      </c>
      <c r="W29" s="69" t="str">
        <f t="shared" si="9"/>
        <v>* differential.element[19].short = "[RK] manufacturer"</v>
      </c>
    </row>
    <row r="30" spans="1:23" ht="59" x14ac:dyDescent="0.75">
      <c r="A30" s="32">
        <v>0</v>
      </c>
      <c r="B30" s="32">
        <f>'Prod-1'!A27</f>
        <v>21</v>
      </c>
      <c r="C30" s="38" t="str">
        <f>'Prod-1'!B27</f>
        <v>expiryDate</v>
      </c>
      <c r="D30" s="32">
        <f>'Prod-1'!E27</f>
        <v>0</v>
      </c>
      <c r="E30" s="32">
        <f>'Prod-1'!F27</f>
        <v>1</v>
      </c>
      <c r="F30" s="32" t="str">
        <f>'Prod-1'!G27</f>
        <v>date</v>
      </c>
      <c r="G30" s="32" t="b">
        <v>1</v>
      </c>
      <c r="H30" s="32" t="s">
        <v>152</v>
      </c>
      <c r="I30" s="32" t="str">
        <f>CONCATENATE("[",H30,"] ",'Prod-1'!C27)</f>
        <v>[RK] Expiry Date</v>
      </c>
      <c r="J30" s="23"/>
      <c r="K30" s="32"/>
      <c r="L30" s="89" t="b">
        <f t="shared" si="7"/>
        <v>1</v>
      </c>
      <c r="M30" s="89" t="b">
        <f t="shared" si="7"/>
        <v>1</v>
      </c>
      <c r="N30" s="89" t="b">
        <f t="shared" si="1"/>
        <v>1</v>
      </c>
      <c r="O30" s="29">
        <f t="shared" si="2"/>
        <v>20</v>
      </c>
      <c r="Q30" s="38" t="str">
        <f t="shared" si="3"/>
        <v>* differential.element[20].id = "Product.expiryDate"</v>
      </c>
      <c r="R30" s="38" t="str">
        <f t="shared" si="4"/>
        <v>* differential.element[20].path = "Product.expiryDate"</v>
      </c>
      <c r="S30" s="38" t="str">
        <f t="shared" si="5"/>
        <v/>
      </c>
      <c r="T30" s="38" t="str">
        <f t="shared" si="6"/>
        <v/>
      </c>
      <c r="U30" s="38" t="str">
        <f t="shared" si="8"/>
        <v>* differential.element[20].type.code = #date</v>
      </c>
      <c r="V30" s="94" t="str">
        <f t="shared" si="0"/>
        <v>* differential.element[20].mustSupport = true</v>
      </c>
      <c r="W30" s="69" t="str">
        <f t="shared" si="9"/>
        <v>* differential.element[20].short = "[RK] Expiry Date"</v>
      </c>
    </row>
    <row r="31" spans="1:23" x14ac:dyDescent="0.75">
      <c r="A31" s="32">
        <v>0</v>
      </c>
      <c r="B31" s="32">
        <f>'Prod-1'!A28</f>
        <v>22</v>
      </c>
      <c r="C31" s="38"/>
      <c r="D31" s="32"/>
      <c r="E31" s="32"/>
      <c r="F31" s="32"/>
      <c r="G31" s="32"/>
      <c r="H31" s="32"/>
      <c r="I31" s="32"/>
      <c r="J31" s="23"/>
      <c r="K31" s="32"/>
      <c r="L31" s="89" t="b">
        <f t="shared" si="7"/>
        <v>0</v>
      </c>
      <c r="M31" s="89" t="b">
        <f t="shared" si="7"/>
        <v>0</v>
      </c>
      <c r="N31" s="89" t="b">
        <f t="shared" si="1"/>
        <v>0</v>
      </c>
      <c r="O31" s="29">
        <f t="shared" si="2"/>
        <v>20</v>
      </c>
      <c r="Q31" s="38" t="str">
        <f t="shared" si="3"/>
        <v/>
      </c>
      <c r="R31" s="38" t="str">
        <f t="shared" si="4"/>
        <v/>
      </c>
      <c r="S31" s="38" t="str">
        <f t="shared" si="5"/>
        <v/>
      </c>
      <c r="T31" s="38" t="str">
        <f t="shared" si="6"/>
        <v/>
      </c>
      <c r="U31" s="38" t="str">
        <f t="shared" si="8"/>
        <v/>
      </c>
      <c r="V31" s="94" t="str">
        <f t="shared" si="0"/>
        <v/>
      </c>
      <c r="W31" s="69" t="str">
        <f t="shared" si="9"/>
        <v/>
      </c>
    </row>
    <row r="32" spans="1:23" x14ac:dyDescent="0.75">
      <c r="A32" s="32">
        <v>0</v>
      </c>
      <c r="B32" s="32">
        <f>'Prod-1'!A29</f>
        <v>23</v>
      </c>
      <c r="C32" s="38"/>
      <c r="D32" s="32"/>
      <c r="E32" s="32"/>
      <c r="F32" s="32"/>
      <c r="G32" s="32"/>
      <c r="H32" s="32"/>
      <c r="I32" s="32"/>
      <c r="J32" s="23"/>
      <c r="K32" s="32"/>
      <c r="L32" s="89" t="b">
        <f t="shared" si="7"/>
        <v>0</v>
      </c>
      <c r="M32" s="89" t="b">
        <f t="shared" si="7"/>
        <v>0</v>
      </c>
      <c r="N32" s="89" t="b">
        <f t="shared" si="1"/>
        <v>0</v>
      </c>
      <c r="O32" s="29">
        <f t="shared" si="2"/>
        <v>20</v>
      </c>
      <c r="Q32" s="38" t="str">
        <f t="shared" si="3"/>
        <v/>
      </c>
      <c r="R32" s="38" t="str">
        <f t="shared" si="4"/>
        <v/>
      </c>
      <c r="S32" s="38" t="str">
        <f t="shared" si="5"/>
        <v/>
      </c>
      <c r="T32" s="38" t="str">
        <f t="shared" si="6"/>
        <v/>
      </c>
      <c r="U32" s="38" t="str">
        <f t="shared" si="8"/>
        <v/>
      </c>
      <c r="V32" s="94" t="str">
        <f t="shared" si="0"/>
        <v/>
      </c>
      <c r="W32" s="69" t="str">
        <f t="shared" si="9"/>
        <v/>
      </c>
    </row>
    <row r="33" spans="1:23" x14ac:dyDescent="0.75">
      <c r="A33" s="32">
        <v>0</v>
      </c>
      <c r="B33" s="32">
        <f>'Prod-1'!A30</f>
        <v>24</v>
      </c>
      <c r="C33" s="38"/>
      <c r="D33" s="32"/>
      <c r="E33" s="32"/>
      <c r="F33" s="32"/>
      <c r="G33" s="32"/>
      <c r="H33" s="32"/>
      <c r="I33" s="32"/>
      <c r="J33" s="23"/>
      <c r="K33" s="32"/>
      <c r="L33" s="89" t="b">
        <f t="shared" si="7"/>
        <v>0</v>
      </c>
      <c r="M33" s="89" t="b">
        <f t="shared" si="7"/>
        <v>0</v>
      </c>
      <c r="N33" s="89" t="b">
        <f t="shared" si="1"/>
        <v>0</v>
      </c>
      <c r="O33" s="29">
        <f t="shared" si="2"/>
        <v>20</v>
      </c>
      <c r="Q33" s="38" t="str">
        <f t="shared" si="3"/>
        <v/>
      </c>
      <c r="R33" s="38" t="str">
        <f t="shared" si="4"/>
        <v/>
      </c>
      <c r="S33" s="38" t="str">
        <f t="shared" si="5"/>
        <v/>
      </c>
      <c r="T33" s="38" t="str">
        <f t="shared" si="6"/>
        <v/>
      </c>
      <c r="U33" s="38" t="str">
        <f t="shared" si="8"/>
        <v/>
      </c>
      <c r="V33" s="94" t="str">
        <f t="shared" si="0"/>
        <v/>
      </c>
      <c r="W33" s="69" t="str">
        <f t="shared" si="9"/>
        <v/>
      </c>
    </row>
    <row r="34" spans="1:23" x14ac:dyDescent="0.75">
      <c r="A34" s="32">
        <v>0</v>
      </c>
      <c r="B34" s="32">
        <f>'Prod-1'!A31</f>
        <v>25</v>
      </c>
      <c r="C34" s="38"/>
      <c r="D34" s="32"/>
      <c r="E34" s="32"/>
      <c r="F34" s="32"/>
      <c r="G34" s="32"/>
      <c r="H34" s="42"/>
      <c r="I34" s="32"/>
      <c r="J34" s="23"/>
      <c r="K34" s="32"/>
      <c r="L34" s="89" t="b">
        <f t="shared" si="7"/>
        <v>0</v>
      </c>
      <c r="M34" s="89" t="b">
        <f t="shared" si="7"/>
        <v>0</v>
      </c>
      <c r="N34" s="89" t="b">
        <f t="shared" si="1"/>
        <v>0</v>
      </c>
      <c r="O34" s="29">
        <f t="shared" si="2"/>
        <v>20</v>
      </c>
      <c r="Q34" s="38" t="str">
        <f t="shared" si="3"/>
        <v/>
      </c>
      <c r="R34" s="38" t="str">
        <f t="shared" si="4"/>
        <v/>
      </c>
      <c r="S34" s="38" t="str">
        <f t="shared" si="5"/>
        <v/>
      </c>
      <c r="T34" s="38" t="str">
        <f t="shared" si="6"/>
        <v/>
      </c>
      <c r="U34" s="38" t="str">
        <f t="shared" si="8"/>
        <v/>
      </c>
      <c r="V34" s="94" t="str">
        <f t="shared" si="0"/>
        <v/>
      </c>
      <c r="W34" s="69" t="str">
        <f t="shared" si="9"/>
        <v/>
      </c>
    </row>
    <row r="35" spans="1:23" x14ac:dyDescent="0.75">
      <c r="A35" s="32">
        <v>0</v>
      </c>
      <c r="B35" s="32">
        <f>'Prod-1'!A32</f>
        <v>26</v>
      </c>
      <c r="C35" s="38"/>
      <c r="D35" s="32"/>
      <c r="E35" s="32"/>
      <c r="F35" s="32"/>
      <c r="G35" s="32"/>
      <c r="H35" s="32"/>
      <c r="I35" s="32"/>
      <c r="J35" s="23"/>
      <c r="K35" s="32"/>
      <c r="L35" s="89" t="b">
        <f t="shared" si="7"/>
        <v>0</v>
      </c>
      <c r="M35" s="89" t="b">
        <f t="shared" si="7"/>
        <v>0</v>
      </c>
      <c r="N35" s="89" t="b">
        <f t="shared" si="1"/>
        <v>0</v>
      </c>
      <c r="O35" s="29">
        <f t="shared" si="2"/>
        <v>20</v>
      </c>
      <c r="Q35" s="38" t="str">
        <f t="shared" si="3"/>
        <v/>
      </c>
      <c r="R35" s="38" t="str">
        <f t="shared" si="4"/>
        <v/>
      </c>
      <c r="S35" s="38" t="str">
        <f t="shared" si="5"/>
        <v/>
      </c>
      <c r="T35" s="38" t="str">
        <f t="shared" si="6"/>
        <v/>
      </c>
      <c r="U35" s="38" t="str">
        <f t="shared" si="8"/>
        <v/>
      </c>
      <c r="V35" s="94" t="str">
        <f t="shared" si="0"/>
        <v/>
      </c>
      <c r="W35" s="69" t="str">
        <f t="shared" si="9"/>
        <v/>
      </c>
    </row>
    <row r="36" spans="1:23" x14ac:dyDescent="0.75">
      <c r="A36" s="32">
        <v>0</v>
      </c>
      <c r="B36" s="32">
        <f>'Prod-1'!A33</f>
        <v>27</v>
      </c>
      <c r="C36" s="38"/>
      <c r="D36" s="32"/>
      <c r="E36" s="32"/>
      <c r="F36" s="32"/>
      <c r="G36" s="32"/>
      <c r="H36" s="32"/>
      <c r="I36" s="32"/>
      <c r="J36" s="23"/>
      <c r="K36" s="32"/>
      <c r="L36" s="89" t="b">
        <f t="shared" si="7"/>
        <v>0</v>
      </c>
      <c r="M36" s="89" t="b">
        <f t="shared" si="7"/>
        <v>0</v>
      </c>
      <c r="N36" s="89" t="b">
        <f t="shared" si="1"/>
        <v>0</v>
      </c>
      <c r="O36" s="29">
        <f t="shared" si="2"/>
        <v>20</v>
      </c>
      <c r="Q36" s="38" t="str">
        <f t="shared" si="3"/>
        <v/>
      </c>
      <c r="R36" s="38" t="str">
        <f t="shared" si="4"/>
        <v/>
      </c>
      <c r="S36" s="38" t="str">
        <f t="shared" si="5"/>
        <v/>
      </c>
      <c r="T36" s="38" t="str">
        <f t="shared" si="6"/>
        <v/>
      </c>
      <c r="U36" s="38" t="str">
        <f t="shared" si="8"/>
        <v/>
      </c>
      <c r="V36" s="94" t="str">
        <f t="shared" si="0"/>
        <v/>
      </c>
      <c r="W36" s="69" t="str">
        <f t="shared" si="9"/>
        <v/>
      </c>
    </row>
    <row r="37" spans="1:23" x14ac:dyDescent="0.75">
      <c r="A37" s="32">
        <v>0</v>
      </c>
      <c r="B37" s="32">
        <f>'Prod-1'!A34</f>
        <v>28</v>
      </c>
      <c r="C37" s="38"/>
      <c r="D37" s="32"/>
      <c r="E37" s="32"/>
      <c r="F37" s="32"/>
      <c r="G37" s="32"/>
      <c r="H37" s="32"/>
      <c r="I37" s="32"/>
      <c r="J37" s="23"/>
      <c r="K37" s="32"/>
      <c r="L37" s="89" t="b">
        <f t="shared" si="7"/>
        <v>0</v>
      </c>
      <c r="M37" s="89" t="b">
        <f t="shared" si="7"/>
        <v>0</v>
      </c>
      <c r="N37" s="89" t="b">
        <f t="shared" si="1"/>
        <v>0</v>
      </c>
      <c r="O37" s="29">
        <f t="shared" si="2"/>
        <v>20</v>
      </c>
      <c r="Q37" s="38" t="str">
        <f t="shared" si="3"/>
        <v/>
      </c>
      <c r="R37" s="38" t="str">
        <f t="shared" si="4"/>
        <v/>
      </c>
      <c r="S37" s="38" t="str">
        <f t="shared" si="5"/>
        <v/>
      </c>
      <c r="T37" s="38" t="str">
        <f t="shared" si="6"/>
        <v/>
      </c>
      <c r="U37" s="38" t="str">
        <f t="shared" si="8"/>
        <v/>
      </c>
      <c r="V37" s="94" t="str">
        <f t="shared" si="0"/>
        <v/>
      </c>
      <c r="W37" s="69" t="str">
        <f t="shared" si="9"/>
        <v/>
      </c>
    </row>
    <row r="38" spans="1:23" x14ac:dyDescent="0.75">
      <c r="A38" s="32">
        <v>0</v>
      </c>
      <c r="B38" s="32">
        <f>'Prod-1'!A35</f>
        <v>0</v>
      </c>
      <c r="C38" s="38"/>
      <c r="D38" s="32"/>
      <c r="E38" s="32"/>
      <c r="F38" s="38"/>
      <c r="G38" s="32"/>
      <c r="H38" s="32"/>
      <c r="I38" s="32"/>
      <c r="J38" s="23"/>
      <c r="K38" s="32"/>
      <c r="L38" s="89" t="b">
        <f t="shared" si="7"/>
        <v>0</v>
      </c>
      <c r="M38" s="89" t="b">
        <f t="shared" si="7"/>
        <v>0</v>
      </c>
      <c r="N38" s="89" t="b">
        <f t="shared" si="1"/>
        <v>0</v>
      </c>
      <c r="O38" s="29">
        <f t="shared" si="2"/>
        <v>20</v>
      </c>
      <c r="Q38" s="38" t="str">
        <f t="shared" si="3"/>
        <v/>
      </c>
      <c r="R38" s="38" t="str">
        <f t="shared" si="4"/>
        <v/>
      </c>
      <c r="S38" s="38" t="str">
        <f t="shared" si="5"/>
        <v/>
      </c>
      <c r="T38" s="38" t="str">
        <f t="shared" si="6"/>
        <v/>
      </c>
      <c r="U38" s="38" t="str">
        <f t="shared" si="8"/>
        <v/>
      </c>
      <c r="V38" s="94" t="str">
        <f t="shared" si="0"/>
        <v/>
      </c>
      <c r="W38" s="69" t="str">
        <f t="shared" si="9"/>
        <v/>
      </c>
    </row>
    <row r="39" spans="1:23" x14ac:dyDescent="0.75">
      <c r="A39" s="32"/>
      <c r="B39" s="32"/>
      <c r="C39" s="38"/>
      <c r="D39" s="32"/>
      <c r="E39" s="32"/>
      <c r="F39" s="38"/>
      <c r="G39" s="32"/>
      <c r="H39" s="32"/>
      <c r="I39" s="32"/>
      <c r="J39" s="23"/>
      <c r="K39" s="32"/>
      <c r="L39" s="89" t="b">
        <f t="shared" si="7"/>
        <v>0</v>
      </c>
      <c r="M39" s="89" t="b">
        <f t="shared" si="7"/>
        <v>0</v>
      </c>
      <c r="N39" s="89" t="b">
        <f t="shared" si="1"/>
        <v>0</v>
      </c>
      <c r="O39" s="29">
        <f t="shared" si="2"/>
        <v>20</v>
      </c>
      <c r="Q39" s="38" t="str">
        <f t="shared" si="3"/>
        <v/>
      </c>
      <c r="R39" s="38" t="str">
        <f t="shared" si="4"/>
        <v/>
      </c>
      <c r="S39" s="38" t="str">
        <f t="shared" si="5"/>
        <v/>
      </c>
      <c r="T39" s="38" t="str">
        <f t="shared" si="6"/>
        <v/>
      </c>
      <c r="U39" s="38" t="str">
        <f t="shared" si="8"/>
        <v/>
      </c>
      <c r="V39" s="94" t="str">
        <f t="shared" si="0"/>
        <v/>
      </c>
      <c r="W39" s="69" t="str">
        <f t="shared" si="9"/>
        <v/>
      </c>
    </row>
    <row r="40" spans="1:23" x14ac:dyDescent="0.75">
      <c r="A40" s="32"/>
      <c r="B40" s="32"/>
      <c r="C40" s="38"/>
      <c r="D40" s="32"/>
      <c r="E40" s="32"/>
      <c r="F40" s="38"/>
      <c r="G40" s="32"/>
      <c r="H40" s="32"/>
      <c r="I40" s="32"/>
      <c r="J40" s="23"/>
      <c r="K40" s="32"/>
      <c r="L40" s="89" t="b">
        <f t="shared" si="7"/>
        <v>0</v>
      </c>
      <c r="M40" s="89" t="b">
        <f t="shared" si="7"/>
        <v>0</v>
      </c>
      <c r="N40" s="89" t="b">
        <f t="shared" si="1"/>
        <v>0</v>
      </c>
      <c r="O40" s="29">
        <f t="shared" si="2"/>
        <v>20</v>
      </c>
      <c r="Q40" s="38" t="str">
        <f t="shared" si="3"/>
        <v/>
      </c>
      <c r="R40" s="38" t="str">
        <f t="shared" si="4"/>
        <v/>
      </c>
      <c r="S40" s="38" t="str">
        <f t="shared" si="5"/>
        <v/>
      </c>
      <c r="T40" s="38" t="str">
        <f t="shared" si="6"/>
        <v/>
      </c>
      <c r="U40" s="38" t="str">
        <f t="shared" si="8"/>
        <v/>
      </c>
      <c r="V40" s="94" t="str">
        <f t="shared" si="0"/>
        <v/>
      </c>
      <c r="W40" s="69" t="str">
        <f t="shared" si="9"/>
        <v/>
      </c>
    </row>
    <row r="41" spans="1:23" x14ac:dyDescent="0.75">
      <c r="B41" s="31">
        <f>'Prod-1'!A37</f>
        <v>0</v>
      </c>
      <c r="D41" s="32"/>
      <c r="E41" s="32"/>
      <c r="F41" s="38"/>
      <c r="G41" s="32"/>
      <c r="H41" s="32"/>
      <c r="I41" s="32"/>
      <c r="J41" s="23"/>
      <c r="K41" s="32"/>
      <c r="L41" s="89" t="b">
        <f t="shared" si="7"/>
        <v>0</v>
      </c>
      <c r="M41" s="89" t="b">
        <f t="shared" si="7"/>
        <v>0</v>
      </c>
      <c r="N41" s="89" t="b">
        <f t="shared" si="1"/>
        <v>0</v>
      </c>
      <c r="O41" s="29">
        <f t="shared" si="2"/>
        <v>20</v>
      </c>
      <c r="Q41" s="38" t="str">
        <f t="shared" si="3"/>
        <v/>
      </c>
      <c r="R41" s="38" t="str">
        <f t="shared" si="4"/>
        <v/>
      </c>
      <c r="S41" s="38" t="str">
        <f t="shared" si="5"/>
        <v/>
      </c>
      <c r="T41" s="38" t="str">
        <f t="shared" si="6"/>
        <v/>
      </c>
      <c r="U41" s="38" t="str">
        <f t="shared" si="8"/>
        <v/>
      </c>
      <c r="V41" s="94" t="str">
        <f t="shared" si="0"/>
        <v/>
      </c>
      <c r="W41" s="69" t="str">
        <f t="shared" si="9"/>
        <v/>
      </c>
    </row>
    <row r="42" spans="1:23" x14ac:dyDescent="0.75">
      <c r="B42" s="31">
        <f>'Prod-1'!A38</f>
        <v>0</v>
      </c>
      <c r="C42" s="1">
        <f>'Prod-1'!B38</f>
        <v>0</v>
      </c>
      <c r="D42" s="32"/>
      <c r="E42" s="32"/>
      <c r="F42" s="38"/>
      <c r="G42" s="32"/>
      <c r="H42" s="32"/>
      <c r="I42" s="32"/>
      <c r="J42" s="23"/>
      <c r="K42" s="32"/>
      <c r="L42" s="89" t="b">
        <f t="shared" si="7"/>
        <v>0</v>
      </c>
      <c r="M42" s="89" t="b">
        <f t="shared" si="7"/>
        <v>0</v>
      </c>
      <c r="N42" s="89" t="b">
        <f t="shared" si="1"/>
        <v>0</v>
      </c>
      <c r="O42" s="29">
        <f t="shared" si="2"/>
        <v>20</v>
      </c>
      <c r="Q42" s="38" t="str">
        <f t="shared" si="3"/>
        <v/>
      </c>
      <c r="R42" s="38" t="str">
        <f t="shared" si="4"/>
        <v/>
      </c>
      <c r="S42" s="38" t="str">
        <f t="shared" si="5"/>
        <v/>
      </c>
      <c r="T42" s="38" t="str">
        <f t="shared" si="6"/>
        <v/>
      </c>
      <c r="U42" s="38" t="str">
        <f t="shared" si="8"/>
        <v/>
      </c>
      <c r="V42" s="94" t="str">
        <f t="shared" si="0"/>
        <v/>
      </c>
      <c r="W42" s="69" t="str">
        <f t="shared" si="9"/>
        <v/>
      </c>
    </row>
    <row r="43" spans="1:23" x14ac:dyDescent="0.75">
      <c r="B43" s="31">
        <f>'Prod-1'!A39</f>
        <v>0</v>
      </c>
      <c r="C43" s="1">
        <f>'Prod-1'!B39</f>
        <v>0</v>
      </c>
      <c r="D43" s="32"/>
      <c r="E43" s="32"/>
      <c r="F43" s="38"/>
      <c r="G43" s="32"/>
      <c r="H43" s="32"/>
      <c r="I43" s="32"/>
      <c r="J43" s="23"/>
      <c r="K43" s="32"/>
      <c r="L43" s="89" t="b">
        <f t="shared" si="7"/>
        <v>0</v>
      </c>
      <c r="M43" s="89" t="b">
        <f t="shared" si="7"/>
        <v>0</v>
      </c>
      <c r="N43" s="89" t="b">
        <f t="shared" si="1"/>
        <v>0</v>
      </c>
      <c r="O43" s="29">
        <f t="shared" si="2"/>
        <v>20</v>
      </c>
      <c r="Q43" s="38" t="str">
        <f t="shared" si="3"/>
        <v/>
      </c>
      <c r="R43" s="38" t="str">
        <f t="shared" si="4"/>
        <v/>
      </c>
      <c r="S43" s="38" t="str">
        <f t="shared" si="5"/>
        <v/>
      </c>
      <c r="T43" s="38" t="str">
        <f t="shared" si="6"/>
        <v/>
      </c>
      <c r="U43" s="38" t="str">
        <f t="shared" si="8"/>
        <v/>
      </c>
      <c r="W43" s="69" t="str">
        <f t="shared" si="9"/>
        <v/>
      </c>
    </row>
    <row r="44" spans="1:23" x14ac:dyDescent="0.75">
      <c r="B44" s="31">
        <f>'Prod-1'!A40</f>
        <v>0</v>
      </c>
      <c r="C44" s="1">
        <f>'Prod-1'!B40</f>
        <v>0</v>
      </c>
      <c r="D44" s="32"/>
      <c r="E44" s="32"/>
      <c r="F44" s="38"/>
      <c r="G44" s="32"/>
      <c r="H44" s="32"/>
      <c r="I44" s="32"/>
      <c r="J44" s="23"/>
      <c r="K44" s="32"/>
      <c r="L44" s="89" t="b">
        <f t="shared" si="7"/>
        <v>0</v>
      </c>
      <c r="M44" s="89" t="b">
        <f t="shared" si="7"/>
        <v>0</v>
      </c>
      <c r="N44" s="89" t="b">
        <f t="shared" si="1"/>
        <v>0</v>
      </c>
      <c r="O44" s="29">
        <f t="shared" si="2"/>
        <v>20</v>
      </c>
      <c r="Q44" s="38" t="str">
        <f t="shared" si="3"/>
        <v/>
      </c>
      <c r="R44" s="38" t="str">
        <f t="shared" si="4"/>
        <v/>
      </c>
      <c r="S44" s="38" t="str">
        <f t="shared" si="5"/>
        <v/>
      </c>
      <c r="T44" s="38" t="str">
        <f t="shared" si="6"/>
        <v/>
      </c>
      <c r="U44" s="38" t="str">
        <f t="shared" si="8"/>
        <v/>
      </c>
      <c r="W44" s="69" t="str">
        <f t="shared" si="9"/>
        <v/>
      </c>
    </row>
    <row r="45" spans="1:23" x14ac:dyDescent="0.75">
      <c r="B45" s="31">
        <f>'Prod-1'!A41</f>
        <v>0</v>
      </c>
      <c r="C45" s="1">
        <f>'Prod-1'!B41</f>
        <v>0</v>
      </c>
      <c r="D45" s="32"/>
      <c r="E45" s="32"/>
      <c r="F45" s="38"/>
      <c r="G45" s="32"/>
      <c r="H45" s="32"/>
      <c r="I45" s="32"/>
      <c r="J45" s="23"/>
      <c r="K45" s="32"/>
      <c r="L45" s="89" t="b">
        <f t="shared" si="7"/>
        <v>0</v>
      </c>
      <c r="M45" s="89" t="b">
        <f t="shared" si="7"/>
        <v>0</v>
      </c>
      <c r="N45" s="89" t="b">
        <f t="shared" si="1"/>
        <v>0</v>
      </c>
      <c r="O45" s="29">
        <f t="shared" si="2"/>
        <v>20</v>
      </c>
      <c r="S45" s="38" t="str">
        <f t="shared" si="5"/>
        <v/>
      </c>
      <c r="T45" s="38" t="str">
        <f t="shared" si="6"/>
        <v/>
      </c>
      <c r="U45" s="38" t="str">
        <f t="shared" si="8"/>
        <v/>
      </c>
      <c r="W45" s="69" t="str">
        <f t="shared" si="9"/>
        <v/>
      </c>
    </row>
    <row r="46" spans="1:23" x14ac:dyDescent="0.75">
      <c r="B46" s="31">
        <f>'Prod-1'!A42</f>
        <v>0</v>
      </c>
      <c r="C46" s="1">
        <f>'Prod-1'!B42</f>
        <v>0</v>
      </c>
      <c r="D46" s="32"/>
      <c r="E46" s="32"/>
      <c r="F46" s="38"/>
      <c r="G46" s="32"/>
      <c r="H46" s="32"/>
      <c r="I46" s="32"/>
      <c r="J46" s="23"/>
      <c r="S46" s="38" t="str">
        <f t="shared" si="5"/>
        <v/>
      </c>
      <c r="T46" s="38" t="str">
        <f t="shared" si="6"/>
        <v/>
      </c>
      <c r="U46" s="38" t="str">
        <f t="shared" si="8"/>
        <v/>
      </c>
      <c r="W46" s="69" t="str">
        <f t="shared" si="9"/>
        <v/>
      </c>
    </row>
    <row r="47" spans="1:23" x14ac:dyDescent="0.75">
      <c r="B47" s="31">
        <f>'Prod-1'!A43</f>
        <v>0</v>
      </c>
      <c r="C47" s="1">
        <f>'Prod-1'!B43</f>
        <v>0</v>
      </c>
      <c r="D47" s="32"/>
      <c r="E47" s="32"/>
      <c r="F47" s="38"/>
      <c r="G47" s="32"/>
      <c r="H47" s="32"/>
      <c r="I47" s="32"/>
      <c r="J47" s="23"/>
      <c r="S47" s="38" t="str">
        <f t="shared" si="5"/>
        <v/>
      </c>
      <c r="T47" s="38" t="str">
        <f t="shared" si="6"/>
        <v/>
      </c>
      <c r="U47" s="38" t="str">
        <f t="shared" si="8"/>
        <v/>
      </c>
      <c r="W47" s="69" t="str">
        <f t="shared" si="9"/>
        <v/>
      </c>
    </row>
    <row r="48" spans="1:23" x14ac:dyDescent="0.75">
      <c r="B48" s="31">
        <f>'Prod-1'!A44</f>
        <v>0</v>
      </c>
      <c r="C48" s="1">
        <f>'Prod-1'!B44</f>
        <v>0</v>
      </c>
      <c r="D48" s="32"/>
      <c r="E48" s="32"/>
      <c r="F48" s="38"/>
      <c r="G48" s="32"/>
      <c r="H48" s="32"/>
      <c r="I48" s="32"/>
      <c r="J48" s="23"/>
      <c r="S48" s="38" t="str">
        <f t="shared" si="5"/>
        <v/>
      </c>
      <c r="T48" s="38" t="str">
        <f t="shared" si="6"/>
        <v/>
      </c>
      <c r="U48" s="38" t="str">
        <f t="shared" si="8"/>
        <v/>
      </c>
      <c r="W48" s="69" t="str">
        <f t="shared" si="9"/>
        <v/>
      </c>
    </row>
    <row r="49" spans="1:24" x14ac:dyDescent="0.75">
      <c r="B49" s="31">
        <f>'Prod-1'!A45</f>
        <v>0</v>
      </c>
      <c r="C49" s="1">
        <f>'Prod-1'!B45</f>
        <v>0</v>
      </c>
      <c r="D49" s="32"/>
      <c r="E49" s="32"/>
      <c r="F49" s="38"/>
      <c r="G49" s="32"/>
      <c r="H49" s="32"/>
      <c r="I49" s="32"/>
      <c r="J49" s="23"/>
      <c r="S49" s="38" t="str">
        <f t="shared" si="5"/>
        <v/>
      </c>
      <c r="T49" s="38" t="str">
        <f t="shared" si="6"/>
        <v/>
      </c>
      <c r="U49" s="38" t="str">
        <f t="shared" si="8"/>
        <v/>
      </c>
      <c r="W49" s="69" t="str">
        <f t="shared" si="9"/>
        <v/>
      </c>
    </row>
    <row r="50" spans="1:24" s="1" customFormat="1" x14ac:dyDescent="0.75">
      <c r="A50" s="31"/>
      <c r="B50" s="31">
        <f>'Prod-1'!A46</f>
        <v>0</v>
      </c>
      <c r="C50" s="1">
        <f>'Prod-1'!B46</f>
        <v>0</v>
      </c>
      <c r="D50" s="32"/>
      <c r="E50" s="32"/>
      <c r="F50" s="38"/>
      <c r="G50" s="32"/>
      <c r="H50" s="32"/>
      <c r="I50" s="32"/>
      <c r="J50" s="23"/>
      <c r="K50" s="31"/>
      <c r="L50" s="31"/>
      <c r="M50" s="31"/>
      <c r="N50" s="31"/>
      <c r="O50" s="48"/>
      <c r="P50" s="31"/>
      <c r="Q50" s="31"/>
      <c r="R50" s="31"/>
      <c r="S50" s="38" t="str">
        <f t="shared" si="5"/>
        <v/>
      </c>
      <c r="T50" s="38" t="str">
        <f t="shared" si="6"/>
        <v/>
      </c>
      <c r="U50" s="38" t="str">
        <f t="shared" si="8"/>
        <v/>
      </c>
      <c r="W50" s="69" t="str">
        <f t="shared" si="9"/>
        <v/>
      </c>
      <c r="X50" s="31"/>
    </row>
    <row r="51" spans="1:24" s="1" customFormat="1" x14ac:dyDescent="0.75">
      <c r="A51" s="31"/>
      <c r="B51" s="31">
        <f>'Prod-1'!A47</f>
        <v>0</v>
      </c>
      <c r="C51" s="1">
        <f>'Prod-1'!B47</f>
        <v>0</v>
      </c>
      <c r="D51" s="32"/>
      <c r="E51" s="32"/>
      <c r="F51" s="38"/>
      <c r="G51" s="32"/>
      <c r="H51" s="32"/>
      <c r="I51" s="32"/>
      <c r="J51" s="23"/>
      <c r="K51" s="31"/>
      <c r="L51" s="31"/>
      <c r="M51" s="31"/>
      <c r="N51" s="31"/>
      <c r="O51" s="48"/>
      <c r="P51" s="31"/>
      <c r="Q51" s="31"/>
      <c r="R51" s="31"/>
      <c r="S51" s="38" t="str">
        <f t="shared" si="5"/>
        <v/>
      </c>
      <c r="T51" s="38" t="str">
        <f t="shared" si="6"/>
        <v/>
      </c>
      <c r="U51" s="38" t="str">
        <f t="shared" si="8"/>
        <v/>
      </c>
      <c r="W51" s="69" t="str">
        <f t="shared" si="9"/>
        <v/>
      </c>
      <c r="X51" s="31"/>
    </row>
    <row r="52" spans="1:24" s="1" customFormat="1" x14ac:dyDescent="0.75">
      <c r="A52" s="31"/>
      <c r="B52" s="31">
        <f>'Prod-1'!A48</f>
        <v>0</v>
      </c>
      <c r="C52" s="1">
        <f>'Prod-1'!B48</f>
        <v>0</v>
      </c>
      <c r="D52" s="32"/>
      <c r="E52" s="32"/>
      <c r="F52" s="38"/>
      <c r="G52" s="32"/>
      <c r="H52" s="32"/>
      <c r="I52" s="32"/>
      <c r="J52" s="23"/>
      <c r="K52" s="31"/>
      <c r="L52" s="31"/>
      <c r="M52" s="31"/>
      <c r="N52" s="31"/>
      <c r="O52" s="48"/>
      <c r="P52" s="31"/>
      <c r="Q52" s="31"/>
      <c r="R52" s="31"/>
      <c r="S52" s="38" t="str">
        <f t="shared" si="5"/>
        <v/>
      </c>
      <c r="T52" s="38" t="str">
        <f t="shared" si="6"/>
        <v/>
      </c>
      <c r="U52" s="38" t="str">
        <f t="shared" si="8"/>
        <v/>
      </c>
      <c r="W52" s="69" t="str">
        <f t="shared" si="9"/>
        <v/>
      </c>
      <c r="X52" s="31"/>
    </row>
    <row r="53" spans="1:24" s="1" customFormat="1" x14ac:dyDescent="0.75">
      <c r="A53" s="31"/>
      <c r="B53" s="31">
        <f>'Prod-1'!A49</f>
        <v>0</v>
      </c>
      <c r="C53" s="1">
        <f>'Prod-1'!B49</f>
        <v>0</v>
      </c>
      <c r="D53" s="32"/>
      <c r="E53" s="32"/>
      <c r="F53" s="38"/>
      <c r="G53" s="32"/>
      <c r="H53" s="32"/>
      <c r="I53" s="32"/>
      <c r="J53" s="23"/>
      <c r="K53" s="31"/>
      <c r="L53" s="31"/>
      <c r="M53" s="31"/>
      <c r="N53" s="31"/>
      <c r="O53" s="48"/>
      <c r="P53" s="31"/>
      <c r="Q53" s="31"/>
      <c r="R53" s="31"/>
      <c r="S53" s="38" t="str">
        <f t="shared" si="5"/>
        <v/>
      </c>
      <c r="T53" s="38" t="str">
        <f t="shared" si="6"/>
        <v/>
      </c>
      <c r="U53" s="38" t="str">
        <f t="shared" si="8"/>
        <v/>
      </c>
      <c r="W53" s="69" t="str">
        <f t="shared" si="9"/>
        <v/>
      </c>
      <c r="X53" s="31"/>
    </row>
    <row r="54" spans="1:24" s="1" customFormat="1" x14ac:dyDescent="0.75">
      <c r="A54" s="31"/>
      <c r="B54" s="31">
        <f>'Prod-1'!A50</f>
        <v>0</v>
      </c>
      <c r="C54" s="1">
        <f>'Prod-1'!B50</f>
        <v>0</v>
      </c>
      <c r="D54" s="31"/>
      <c r="E54" s="31"/>
      <c r="G54" s="31"/>
      <c r="H54" s="31"/>
      <c r="I54" s="31"/>
      <c r="J54" s="31"/>
      <c r="K54" s="31"/>
      <c r="L54" s="31"/>
      <c r="M54" s="31"/>
      <c r="N54" s="31"/>
      <c r="O54" s="48"/>
      <c r="P54" s="31"/>
      <c r="Q54" s="31"/>
      <c r="R54" s="31"/>
      <c r="S54" s="38" t="str">
        <f t="shared" si="5"/>
        <v/>
      </c>
      <c r="T54" s="38" t="str">
        <f t="shared" si="6"/>
        <v/>
      </c>
      <c r="U54" s="38" t="str">
        <f t="shared" si="8"/>
        <v/>
      </c>
      <c r="W54" s="69" t="str">
        <f t="shared" si="9"/>
        <v/>
      </c>
      <c r="X54" s="31"/>
    </row>
    <row r="55" spans="1:24" s="1" customFormat="1" x14ac:dyDescent="0.75">
      <c r="A55" s="31"/>
      <c r="B55" s="31">
        <f>'Prod-1'!A51</f>
        <v>0</v>
      </c>
      <c r="C55" s="1">
        <f>'Prod-1'!B51</f>
        <v>0</v>
      </c>
      <c r="D55" s="31"/>
      <c r="E55" s="31"/>
      <c r="G55" s="31"/>
      <c r="H55" s="31"/>
      <c r="I55" s="31"/>
      <c r="J55" s="31"/>
      <c r="K55" s="31"/>
      <c r="L55" s="31"/>
      <c r="M55" s="31"/>
      <c r="N55" s="31"/>
      <c r="O55" s="48"/>
      <c r="P55" s="31"/>
      <c r="Q55" s="31"/>
      <c r="R55" s="31"/>
      <c r="S55" s="38" t="str">
        <f t="shared" si="5"/>
        <v/>
      </c>
      <c r="T55" s="38" t="str">
        <f t="shared" si="6"/>
        <v/>
      </c>
      <c r="U55" s="38" t="str">
        <f t="shared" si="8"/>
        <v/>
      </c>
      <c r="W55" s="69" t="str">
        <f t="shared" si="9"/>
        <v/>
      </c>
      <c r="X55" s="31"/>
    </row>
    <row r="56" spans="1:24" s="1" customFormat="1" x14ac:dyDescent="0.75">
      <c r="A56" s="31"/>
      <c r="B56" s="31">
        <f>'Prod-1'!A52</f>
        <v>0</v>
      </c>
      <c r="C56" s="1">
        <f>'Prod-1'!B52</f>
        <v>0</v>
      </c>
      <c r="D56" s="31"/>
      <c r="E56" s="31"/>
      <c r="G56" s="31"/>
      <c r="H56" s="31"/>
      <c r="I56" s="31"/>
      <c r="J56" s="31"/>
      <c r="K56" s="31"/>
      <c r="L56" s="31"/>
      <c r="M56" s="31"/>
      <c r="N56" s="31"/>
      <c r="O56" s="48"/>
      <c r="P56" s="31"/>
      <c r="Q56" s="31"/>
      <c r="R56" s="31"/>
      <c r="S56" s="38" t="str">
        <f t="shared" si="5"/>
        <v/>
      </c>
      <c r="T56" s="38" t="str">
        <f t="shared" si="6"/>
        <v/>
      </c>
      <c r="U56" s="38" t="str">
        <f t="shared" si="8"/>
        <v/>
      </c>
      <c r="W56" s="69" t="str">
        <f t="shared" si="9"/>
        <v/>
      </c>
      <c r="X56" s="31"/>
    </row>
    <row r="57" spans="1:24" s="1" customFormat="1" x14ac:dyDescent="0.75">
      <c r="A57" s="31"/>
      <c r="B57" s="31">
        <f>'Prod-1'!A53</f>
        <v>0</v>
      </c>
      <c r="C57" s="1">
        <f>'Prod-1'!B53</f>
        <v>0</v>
      </c>
      <c r="D57" s="31"/>
      <c r="E57" s="31"/>
      <c r="G57" s="31"/>
      <c r="H57" s="31"/>
      <c r="I57" s="31"/>
      <c r="J57" s="31"/>
      <c r="K57" s="31"/>
      <c r="L57" s="31"/>
      <c r="M57" s="31"/>
      <c r="N57" s="31"/>
      <c r="O57" s="48"/>
      <c r="P57" s="31"/>
      <c r="Q57" s="31"/>
      <c r="R57" s="31"/>
      <c r="S57" s="38" t="str">
        <f t="shared" si="5"/>
        <v/>
      </c>
      <c r="T57" s="38" t="str">
        <f t="shared" si="6"/>
        <v/>
      </c>
      <c r="U57" s="38" t="str">
        <f t="shared" si="8"/>
        <v/>
      </c>
      <c r="W57" s="69" t="str">
        <f t="shared" si="9"/>
        <v/>
      </c>
      <c r="X57" s="31"/>
    </row>
    <row r="58" spans="1:24" s="1" customFormat="1" x14ac:dyDescent="0.75">
      <c r="A58" s="31"/>
      <c r="B58" s="31">
        <f>'Prod-1'!A54</f>
        <v>0</v>
      </c>
      <c r="C58" s="1">
        <f>'Prod-1'!B54</f>
        <v>0</v>
      </c>
      <c r="D58" s="31"/>
      <c r="E58" s="31"/>
      <c r="G58" s="31"/>
      <c r="H58" s="31"/>
      <c r="I58" s="31"/>
      <c r="J58" s="31"/>
      <c r="K58" s="31"/>
      <c r="L58" s="31"/>
      <c r="M58" s="31"/>
      <c r="N58" s="31"/>
      <c r="O58" s="48"/>
      <c r="P58" s="31"/>
      <c r="Q58" s="31"/>
      <c r="R58" s="31"/>
      <c r="S58" s="38" t="str">
        <f t="shared" si="5"/>
        <v/>
      </c>
      <c r="T58" s="38" t="str">
        <f t="shared" si="6"/>
        <v/>
      </c>
      <c r="U58" s="38" t="str">
        <f t="shared" si="8"/>
        <v/>
      </c>
      <c r="W58" s="69" t="str">
        <f t="shared" si="9"/>
        <v/>
      </c>
      <c r="X58" s="31"/>
    </row>
    <row r="59" spans="1:24" s="1" customFormat="1" x14ac:dyDescent="0.75">
      <c r="A59" s="31"/>
      <c r="B59" s="31">
        <f>'Prod-1'!A55</f>
        <v>0</v>
      </c>
      <c r="C59" s="1">
        <f>'Prod-1'!B55</f>
        <v>0</v>
      </c>
      <c r="D59" s="31"/>
      <c r="E59" s="31"/>
      <c r="G59" s="31"/>
      <c r="H59" s="31"/>
      <c r="I59" s="31"/>
      <c r="J59" s="31"/>
      <c r="K59" s="31"/>
      <c r="L59" s="31"/>
      <c r="M59" s="31"/>
      <c r="N59" s="31"/>
      <c r="O59" s="48"/>
      <c r="P59" s="31"/>
      <c r="Q59" s="31"/>
      <c r="R59" s="31"/>
      <c r="S59" s="38" t="str">
        <f t="shared" si="5"/>
        <v/>
      </c>
      <c r="T59" s="38" t="str">
        <f t="shared" si="6"/>
        <v/>
      </c>
      <c r="U59" s="38" t="str">
        <f t="shared" si="8"/>
        <v/>
      </c>
      <c r="W59" s="69" t="str">
        <f t="shared" si="9"/>
        <v/>
      </c>
      <c r="X59" s="31"/>
    </row>
    <row r="60" spans="1:24" s="1" customFormat="1" x14ac:dyDescent="0.75">
      <c r="A60" s="31"/>
      <c r="B60" s="31">
        <f>'Prod-1'!A56</f>
        <v>0</v>
      </c>
      <c r="C60" s="1">
        <f>'Prod-1'!B56</f>
        <v>0</v>
      </c>
      <c r="D60" s="31"/>
      <c r="E60" s="31"/>
      <c r="G60" s="31"/>
      <c r="H60" s="31"/>
      <c r="I60" s="31"/>
      <c r="J60" s="31"/>
      <c r="K60" s="31"/>
      <c r="L60" s="31"/>
      <c r="M60" s="31"/>
      <c r="N60" s="31"/>
      <c r="O60" s="48"/>
      <c r="P60" s="31"/>
      <c r="Q60" s="31"/>
      <c r="R60" s="31"/>
      <c r="S60" s="38" t="str">
        <f t="shared" si="5"/>
        <v/>
      </c>
      <c r="T60" s="38" t="str">
        <f t="shared" si="6"/>
        <v/>
      </c>
      <c r="U60" s="38" t="str">
        <f t="shared" si="8"/>
        <v/>
      </c>
      <c r="W60" s="69" t="str">
        <f t="shared" si="9"/>
        <v/>
      </c>
      <c r="X60" s="31"/>
    </row>
    <row r="61" spans="1:24" s="1" customFormat="1" x14ac:dyDescent="0.75">
      <c r="A61" s="31"/>
      <c r="B61" s="31">
        <f>'Prod-1'!A57</f>
        <v>0</v>
      </c>
      <c r="C61" s="1">
        <f>'Prod-1'!B57</f>
        <v>0</v>
      </c>
      <c r="D61" s="31"/>
      <c r="E61" s="31"/>
      <c r="G61" s="31"/>
      <c r="H61" s="31"/>
      <c r="I61" s="31"/>
      <c r="J61" s="31"/>
      <c r="K61" s="31"/>
      <c r="L61" s="31"/>
      <c r="M61" s="31"/>
      <c r="N61" s="31"/>
      <c r="O61" s="48"/>
      <c r="P61" s="31"/>
      <c r="Q61" s="31"/>
      <c r="R61" s="31"/>
      <c r="S61" s="31"/>
      <c r="W61" s="32"/>
      <c r="X61" s="31"/>
    </row>
    <row r="62" spans="1:24" s="1" customFormat="1" x14ac:dyDescent="0.75">
      <c r="A62" s="31"/>
      <c r="B62" s="31">
        <f>'Prod-1'!A58</f>
        <v>0</v>
      </c>
      <c r="C62" s="1">
        <f>'Prod-1'!B58</f>
        <v>0</v>
      </c>
      <c r="D62" s="31"/>
      <c r="E62" s="31"/>
      <c r="G62" s="31"/>
      <c r="H62" s="31"/>
      <c r="I62" s="31"/>
      <c r="J62" s="31"/>
      <c r="K62" s="31"/>
      <c r="L62" s="31"/>
      <c r="M62" s="31"/>
      <c r="N62" s="31"/>
      <c r="O62" s="48"/>
      <c r="P62" s="31"/>
      <c r="Q62" s="31"/>
      <c r="R62" s="31"/>
      <c r="S62" s="31"/>
      <c r="W62" s="31"/>
      <c r="X62" s="31"/>
    </row>
    <row r="63" spans="1:24" s="1" customFormat="1" x14ac:dyDescent="0.75">
      <c r="A63" s="31"/>
      <c r="B63" s="31">
        <f>'Prod-1'!A59</f>
        <v>0</v>
      </c>
      <c r="C63" s="1">
        <f>'Prod-1'!B59</f>
        <v>0</v>
      </c>
      <c r="D63" s="31"/>
      <c r="E63" s="31"/>
      <c r="G63" s="31"/>
      <c r="H63" s="31"/>
      <c r="I63" s="31"/>
      <c r="J63" s="31"/>
      <c r="K63" s="31"/>
      <c r="L63" s="31"/>
      <c r="M63" s="31"/>
      <c r="N63" s="31"/>
      <c r="O63" s="48"/>
      <c r="P63" s="31"/>
      <c r="Q63" s="31"/>
      <c r="R63" s="31"/>
      <c r="S63" s="31"/>
      <c r="W63" s="31"/>
      <c r="X63" s="31"/>
    </row>
    <row r="64" spans="1:24" s="1" customFormat="1" x14ac:dyDescent="0.75">
      <c r="A64" s="31"/>
      <c r="B64" s="31">
        <f>'Prod-1'!A60</f>
        <v>0</v>
      </c>
      <c r="C64" s="1">
        <f>'Prod-1'!B60</f>
        <v>0</v>
      </c>
      <c r="D64" s="31"/>
      <c r="E64" s="31"/>
      <c r="G64" s="31"/>
      <c r="H64" s="31"/>
      <c r="I64" s="31"/>
      <c r="J64" s="31"/>
      <c r="K64" s="31"/>
      <c r="L64" s="31"/>
      <c r="M64" s="31"/>
      <c r="N64" s="31"/>
      <c r="O64" s="48"/>
      <c r="P64" s="31"/>
      <c r="Q64" s="31"/>
      <c r="R64" s="31"/>
      <c r="S64" s="31"/>
      <c r="W64" s="31"/>
      <c r="X64" s="31"/>
    </row>
    <row r="65" spans="1:24" s="1" customFormat="1" x14ac:dyDescent="0.75">
      <c r="A65" s="31"/>
      <c r="B65" s="31">
        <f>'Prod-1'!A61</f>
        <v>0</v>
      </c>
      <c r="C65" s="1">
        <f>'Prod-1'!B61</f>
        <v>0</v>
      </c>
      <c r="D65" s="31"/>
      <c r="E65" s="31"/>
      <c r="G65" s="31"/>
      <c r="H65" s="31"/>
      <c r="I65" s="31"/>
      <c r="J65" s="31"/>
      <c r="K65" s="31"/>
      <c r="L65" s="31"/>
      <c r="M65" s="31"/>
      <c r="N65" s="31"/>
      <c r="O65" s="48"/>
      <c r="P65" s="31"/>
      <c r="Q65" s="31"/>
      <c r="R65" s="31"/>
      <c r="S65" s="31"/>
      <c r="W65" s="31"/>
      <c r="X65" s="31"/>
    </row>
    <row r="66" spans="1:24" x14ac:dyDescent="0.75">
      <c r="B66" s="31">
        <f>'Prod-1'!A62</f>
        <v>0</v>
      </c>
      <c r="C66" s="1">
        <f>'Prod-1'!B62</f>
        <v>0</v>
      </c>
      <c r="F66" s="1"/>
      <c r="G66" s="31"/>
      <c r="H66" s="31"/>
      <c r="I66" s="31"/>
      <c r="T66" s="1"/>
      <c r="W66" s="31"/>
    </row>
    <row r="67" spans="1:24" x14ac:dyDescent="0.75">
      <c r="B67" s="31">
        <f>'Prod-1'!A63</f>
        <v>0</v>
      </c>
      <c r="C67" s="1">
        <f>'Prod-1'!B63</f>
        <v>0</v>
      </c>
      <c r="F67" s="1"/>
      <c r="G67" s="31"/>
      <c r="H67" s="31"/>
      <c r="I67" s="31"/>
      <c r="T67" s="1"/>
      <c r="W67" s="31"/>
    </row>
    <row r="68" spans="1:24" x14ac:dyDescent="0.75">
      <c r="B68" s="31">
        <f>'Prod-1'!A64</f>
        <v>0</v>
      </c>
      <c r="C68" s="1">
        <f>'Prod-1'!B64</f>
        <v>0</v>
      </c>
      <c r="F68" s="1"/>
      <c r="G68" s="31"/>
      <c r="H68" s="31"/>
      <c r="I68" s="31"/>
      <c r="T68" s="1"/>
      <c r="W68" s="31"/>
    </row>
    <row r="69" spans="1:24" x14ac:dyDescent="0.75">
      <c r="B69" s="31">
        <f>'Prod-1'!A65</f>
        <v>0</v>
      </c>
      <c r="C69" s="1">
        <f>'Prod-1'!B65</f>
        <v>0</v>
      </c>
      <c r="F69" s="1"/>
      <c r="G69" s="31"/>
      <c r="H69" s="31"/>
      <c r="I69" s="31"/>
      <c r="T69" s="1"/>
      <c r="W69" s="31"/>
    </row>
    <row r="70" spans="1:24" x14ac:dyDescent="0.75">
      <c r="B70" s="31">
        <f>'Prod-1'!A66</f>
        <v>0</v>
      </c>
      <c r="C70" s="1">
        <f>'Prod-1'!B66</f>
        <v>0</v>
      </c>
      <c r="F70" s="1"/>
      <c r="G70" s="31"/>
      <c r="H70" s="31"/>
      <c r="I70" s="31"/>
      <c r="T70" s="1"/>
      <c r="W70" s="31"/>
    </row>
    <row r="71" spans="1:24" x14ac:dyDescent="0.75">
      <c r="B71" s="31">
        <f>'Prod-1'!A67</f>
        <v>0</v>
      </c>
      <c r="C71" s="1">
        <f>'Prod-1'!B67</f>
        <v>0</v>
      </c>
      <c r="F71" s="1"/>
      <c r="G71" s="31"/>
      <c r="H71" s="31"/>
      <c r="I71" s="31"/>
      <c r="T71" s="1"/>
      <c r="W71" s="31"/>
    </row>
    <row r="72" spans="1:24" x14ac:dyDescent="0.75">
      <c r="B72" s="31">
        <f>'Prod-1'!A68</f>
        <v>0</v>
      </c>
      <c r="C72" s="1">
        <f>'Prod-1'!B68</f>
        <v>0</v>
      </c>
      <c r="F72" s="1"/>
      <c r="G72" s="31"/>
      <c r="H72" s="31"/>
      <c r="I72" s="31"/>
      <c r="T72" s="1"/>
      <c r="W72" s="31"/>
    </row>
    <row r="73" spans="1:24" x14ac:dyDescent="0.75">
      <c r="B73" s="31">
        <f>'Prod-1'!A69</f>
        <v>0</v>
      </c>
      <c r="C73" s="1">
        <f>'Prod-1'!B69</f>
        <v>0</v>
      </c>
      <c r="F73" s="1"/>
      <c r="G73" s="31"/>
      <c r="H73" s="31"/>
      <c r="I73" s="31"/>
      <c r="T73" s="1"/>
      <c r="W73" s="31"/>
    </row>
    <row r="74" spans="1:24" x14ac:dyDescent="0.75">
      <c r="B74" s="31">
        <f>'Prod-1'!A70</f>
        <v>0</v>
      </c>
      <c r="C74" s="1">
        <f>'Prod-1'!B70</f>
        <v>0</v>
      </c>
      <c r="F74" s="1"/>
      <c r="G74" s="31"/>
      <c r="H74" s="31"/>
      <c r="I74" s="31"/>
      <c r="T74" s="1"/>
      <c r="W74" s="31"/>
    </row>
    <row r="75" spans="1:24" x14ac:dyDescent="0.75">
      <c r="B75" s="31">
        <f>'Prod-1'!A71</f>
        <v>0</v>
      </c>
      <c r="C75" s="1">
        <f>'Prod-1'!B71</f>
        <v>0</v>
      </c>
      <c r="F75" s="1"/>
      <c r="G75" s="31"/>
      <c r="H75" s="31"/>
      <c r="I75" s="31"/>
      <c r="T75" s="1"/>
      <c r="W75" s="31"/>
    </row>
    <row r="76" spans="1:24" x14ac:dyDescent="0.75">
      <c r="B76" s="31">
        <f>'Prod-1'!A72</f>
        <v>0</v>
      </c>
      <c r="C76" s="1">
        <f>'Prod-1'!B72</f>
        <v>0</v>
      </c>
      <c r="F76" s="1"/>
      <c r="G76" s="31"/>
      <c r="H76" s="31"/>
      <c r="I76" s="31"/>
      <c r="T76" s="1"/>
      <c r="W76" s="31"/>
    </row>
    <row r="77" spans="1:24" x14ac:dyDescent="0.75">
      <c r="B77" s="31">
        <f>'Prod-1'!A73</f>
        <v>0</v>
      </c>
      <c r="C77" s="1">
        <f>'Prod-1'!B73</f>
        <v>0</v>
      </c>
      <c r="F77" s="1"/>
      <c r="G77" s="31"/>
      <c r="H77" s="31"/>
      <c r="I77" s="31"/>
      <c r="T77" s="1"/>
      <c r="W77" s="31"/>
    </row>
    <row r="78" spans="1:24" x14ac:dyDescent="0.75">
      <c r="B78" s="31">
        <f>'Prod-1'!A74</f>
        <v>0</v>
      </c>
      <c r="C78" s="1">
        <f>'Prod-1'!B74</f>
        <v>0</v>
      </c>
      <c r="F78" s="1"/>
      <c r="G78" s="31"/>
      <c r="H78" s="31"/>
      <c r="I78" s="31"/>
      <c r="T78" s="1"/>
      <c r="W78" s="31"/>
    </row>
    <row r="79" spans="1:24" x14ac:dyDescent="0.75">
      <c r="B79" s="31">
        <f>'Prod-1'!A75</f>
        <v>0</v>
      </c>
      <c r="C79" s="1">
        <f>'Prod-1'!B75</f>
        <v>0</v>
      </c>
      <c r="F79" s="1"/>
      <c r="G79" s="31"/>
      <c r="H79" s="31"/>
      <c r="I79" s="31"/>
      <c r="T79" s="1"/>
      <c r="W79" s="31"/>
    </row>
    <row r="80" spans="1:24" x14ac:dyDescent="0.75">
      <c r="B80" s="31">
        <f>'Prod-1'!A76</f>
        <v>0</v>
      </c>
      <c r="C80" s="1">
        <f>'Prod-1'!B76</f>
        <v>0</v>
      </c>
      <c r="F80" s="1"/>
      <c r="G80" s="31"/>
      <c r="H80" s="31"/>
      <c r="I80" s="31"/>
      <c r="T80" s="1"/>
      <c r="W80" s="31"/>
    </row>
    <row r="81" spans="2:23" x14ac:dyDescent="0.75">
      <c r="B81" s="31">
        <f>'Prod-1'!A77</f>
        <v>0</v>
      </c>
      <c r="C81" s="1">
        <f>'Prod-1'!B77</f>
        <v>0</v>
      </c>
      <c r="F81" s="1"/>
      <c r="G81" s="31"/>
      <c r="H81" s="31"/>
      <c r="I81" s="31"/>
      <c r="T81" s="1"/>
      <c r="W81" s="31"/>
    </row>
    <row r="82" spans="2:23" x14ac:dyDescent="0.75">
      <c r="B82" s="31">
        <f>'Prod-1'!A78</f>
        <v>0</v>
      </c>
      <c r="C82" s="1">
        <f>'Prod-1'!B78</f>
        <v>0</v>
      </c>
      <c r="F82" s="1"/>
      <c r="G82" s="31"/>
      <c r="H82" s="31"/>
      <c r="I82" s="31"/>
      <c r="T82" s="1"/>
      <c r="W82" s="31"/>
    </row>
    <row r="83" spans="2:23" x14ac:dyDescent="0.75">
      <c r="B83" s="31">
        <f>'Prod-1'!A79</f>
        <v>0</v>
      </c>
      <c r="C83" s="1">
        <f>'Prod-1'!B79</f>
        <v>0</v>
      </c>
      <c r="F83" s="1"/>
      <c r="G83" s="31"/>
      <c r="H83" s="31"/>
      <c r="I83" s="31"/>
      <c r="T83" s="1"/>
      <c r="W83" s="31"/>
    </row>
    <row r="84" spans="2:23" x14ac:dyDescent="0.75">
      <c r="B84" s="31">
        <f>'Prod-1'!A80</f>
        <v>0</v>
      </c>
      <c r="C84" s="1">
        <f>'Prod-1'!B80</f>
        <v>0</v>
      </c>
      <c r="F84" s="1"/>
      <c r="G84" s="31"/>
      <c r="H84" s="31"/>
      <c r="I84" s="31"/>
      <c r="T84" s="1"/>
      <c r="W84" s="31"/>
    </row>
    <row r="85" spans="2:23" x14ac:dyDescent="0.75">
      <c r="B85" s="31">
        <f>'Prod-1'!A81</f>
        <v>0</v>
      </c>
      <c r="C85" s="1">
        <f>'Prod-1'!B81</f>
        <v>0</v>
      </c>
      <c r="F85" s="1"/>
      <c r="G85" s="31"/>
      <c r="H85" s="31"/>
      <c r="I85" s="31"/>
      <c r="T85" s="1"/>
      <c r="W85" s="31"/>
    </row>
    <row r="86" spans="2:23" x14ac:dyDescent="0.75">
      <c r="B86" s="31">
        <f>'Prod-1'!A82</f>
        <v>0</v>
      </c>
      <c r="C86" s="1">
        <f>'Prod-1'!B82</f>
        <v>0</v>
      </c>
      <c r="F86" s="1"/>
      <c r="G86" s="31"/>
      <c r="H86" s="31"/>
      <c r="I86" s="31"/>
      <c r="T86" s="1"/>
      <c r="W86" s="31"/>
    </row>
    <row r="87" spans="2:23" x14ac:dyDescent="0.75">
      <c r="B87" s="31">
        <f>'Prod-1'!A83</f>
        <v>0</v>
      </c>
      <c r="C87" s="1">
        <f>'Prod-1'!B83</f>
        <v>0</v>
      </c>
      <c r="F87" s="1"/>
      <c r="G87" s="31"/>
      <c r="H87" s="31"/>
      <c r="I87" s="31"/>
      <c r="T87" s="1"/>
      <c r="W87" s="31"/>
    </row>
    <row r="88" spans="2:23" x14ac:dyDescent="0.75">
      <c r="B88" s="31">
        <f>'Prod-1'!A84</f>
        <v>0</v>
      </c>
      <c r="C88" s="1">
        <f>'Prod-1'!B84</f>
        <v>0</v>
      </c>
      <c r="F88" s="1"/>
      <c r="G88" s="31"/>
      <c r="H88" s="31"/>
      <c r="I88" s="31"/>
      <c r="T88" s="1"/>
      <c r="W88" s="31"/>
    </row>
    <row r="89" spans="2:23" x14ac:dyDescent="0.75">
      <c r="B89" s="31">
        <f>'Prod-1'!A85</f>
        <v>0</v>
      </c>
      <c r="C89" s="1">
        <f>'Prod-1'!B85</f>
        <v>0</v>
      </c>
      <c r="F89" s="1"/>
      <c r="G89" s="31"/>
      <c r="H89" s="31"/>
      <c r="I89" s="31"/>
      <c r="T89" s="1"/>
      <c r="W89" s="31"/>
    </row>
    <row r="90" spans="2:23" x14ac:dyDescent="0.75">
      <c r="B90" s="31">
        <f>'Prod-1'!A86</f>
        <v>0</v>
      </c>
      <c r="C90" s="1">
        <f>'Prod-1'!B86</f>
        <v>0</v>
      </c>
      <c r="F90" s="1"/>
      <c r="G90" s="31"/>
      <c r="H90" s="31"/>
      <c r="I90" s="31"/>
      <c r="T90" s="1"/>
      <c r="W90" s="31"/>
    </row>
    <row r="91" spans="2:23" x14ac:dyDescent="0.75">
      <c r="B91" s="31">
        <f>'Prod-1'!A87</f>
        <v>0</v>
      </c>
      <c r="C91" s="1">
        <f>'Prod-1'!B87</f>
        <v>0</v>
      </c>
      <c r="F91" s="1"/>
      <c r="G91" s="31"/>
      <c r="H91" s="31"/>
      <c r="I91" s="31"/>
      <c r="T91" s="1"/>
      <c r="W91" s="31"/>
    </row>
    <row r="92" spans="2:23" x14ac:dyDescent="0.75">
      <c r="B92" s="31">
        <f>'Prod-1'!A88</f>
        <v>0</v>
      </c>
      <c r="C92" s="1">
        <f>'Prod-1'!B88</f>
        <v>0</v>
      </c>
      <c r="F92" s="1"/>
      <c r="G92" s="31"/>
      <c r="H92" s="31"/>
      <c r="I92" s="31"/>
      <c r="T92" s="1"/>
      <c r="W92" s="31"/>
    </row>
    <row r="93" spans="2:23" x14ac:dyDescent="0.75">
      <c r="B93" s="31">
        <f>'Prod-1'!A89</f>
        <v>0</v>
      </c>
      <c r="C93" s="1">
        <f>'Prod-1'!B89</f>
        <v>0</v>
      </c>
      <c r="F93" s="1"/>
      <c r="G93" s="31"/>
      <c r="H93" s="31"/>
      <c r="I93" s="31"/>
      <c r="T93" s="1"/>
      <c r="W93" s="31"/>
    </row>
    <row r="94" spans="2:23" x14ac:dyDescent="0.75">
      <c r="B94" s="31">
        <f>'Prod-1'!A90</f>
        <v>0</v>
      </c>
      <c r="C94" s="1">
        <f>'Prod-1'!B90</f>
        <v>0</v>
      </c>
      <c r="F94" s="1"/>
      <c r="G94" s="31"/>
      <c r="H94" s="31"/>
      <c r="I94" s="31"/>
      <c r="T94" s="1"/>
      <c r="W94" s="31"/>
    </row>
    <row r="95" spans="2:23" x14ac:dyDescent="0.75">
      <c r="B95" s="31">
        <f>'Prod-1'!A91</f>
        <v>0</v>
      </c>
      <c r="C95" s="1">
        <f>'Prod-1'!B91</f>
        <v>0</v>
      </c>
      <c r="F95" s="1"/>
      <c r="G95" s="31"/>
      <c r="H95" s="31"/>
      <c r="I95" s="31"/>
      <c r="T95" s="1"/>
      <c r="W95" s="31"/>
    </row>
    <row r="96" spans="2:23" x14ac:dyDescent="0.75">
      <c r="B96" s="31">
        <f>'Prod-1'!A92</f>
        <v>0</v>
      </c>
      <c r="C96" s="1">
        <f>'Prod-1'!B92</f>
        <v>0</v>
      </c>
      <c r="F96" s="1"/>
      <c r="G96" s="31"/>
      <c r="H96" s="31"/>
      <c r="I96" s="31"/>
      <c r="T96" s="1"/>
      <c r="W96" s="31"/>
    </row>
    <row r="97" spans="2:23" x14ac:dyDescent="0.75">
      <c r="B97" s="31">
        <f>'Prod-1'!A93</f>
        <v>0</v>
      </c>
      <c r="C97" s="1">
        <f>'Prod-1'!B93</f>
        <v>0</v>
      </c>
      <c r="F97" s="1"/>
      <c r="G97" s="31"/>
      <c r="H97" s="31"/>
      <c r="I97" s="31"/>
      <c r="T97" s="1"/>
      <c r="W97" s="31"/>
    </row>
    <row r="98" spans="2:23" x14ac:dyDescent="0.75">
      <c r="B98" s="31">
        <f>'Prod-1'!A94</f>
        <v>0</v>
      </c>
      <c r="C98" s="1">
        <f>'Prod-1'!B94</f>
        <v>0</v>
      </c>
      <c r="F98" s="1"/>
      <c r="G98" s="31"/>
      <c r="H98" s="31"/>
      <c r="I98" s="31"/>
      <c r="T98" s="1"/>
      <c r="W98" s="31"/>
    </row>
    <row r="99" spans="2:23" x14ac:dyDescent="0.75">
      <c r="B99" s="31">
        <f>'Prod-1'!A95</f>
        <v>0</v>
      </c>
      <c r="C99" s="1">
        <f>'Prod-1'!B95</f>
        <v>0</v>
      </c>
      <c r="F99" s="1"/>
      <c r="G99" s="31"/>
      <c r="H99" s="31"/>
      <c r="I99" s="31"/>
      <c r="T99" s="1"/>
      <c r="W99" s="31"/>
    </row>
    <row r="100" spans="2:23" x14ac:dyDescent="0.75">
      <c r="B100" s="31">
        <f>'Prod-1'!A96</f>
        <v>0</v>
      </c>
      <c r="C100" s="1">
        <f>'Prod-1'!B96</f>
        <v>0</v>
      </c>
      <c r="F100" s="1"/>
      <c r="G100" s="31"/>
      <c r="H100" s="31"/>
      <c r="I100" s="31"/>
      <c r="T100" s="1"/>
      <c r="W100" s="31"/>
    </row>
  </sheetData>
  <hyperlinks>
    <hyperlink ref="C2" r:id="rId1" xr:uid="{B7F8BA75-3259-41F7-96C5-EBD1D02783E5}"/>
    <hyperlink ref="D4" r:id="rId2" display="http://hl7.org/fhir/StructureDefinition/Immunization" xr:uid="{3971DEAE-751E-422B-8219-BB05BC07CDCD}"/>
    <hyperlink ref="C6" r:id="rId3" display="http://iso.org/fhir/ts-5384/StructureDefinition/Immunization" xr:uid="{4D25B0B1-EE1B-46F7-864D-867E70BCE63E}"/>
    <hyperlink ref="F6" r:id="rId4" display="http://iso.org/fhir/ts-5384/StructureDefinition/Immunization" xr:uid="{323ADA01-A183-450C-A11D-721EDC018CB1}"/>
  </hyperlinks>
  <pageMargins left="0.7" right="0.7" top="0.75" bottom="0.75" header="0.3" footer="0.3"/>
  <pageSetup paperSize="9" orientation="portrait" r:id="rId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EEE99-0482-43D5-9F66-E74574FBD431}">
  <sheetPr codeName="Foglio51"/>
  <dimension ref="A2:G419"/>
  <sheetViews>
    <sheetView topLeftCell="A19" workbookViewId="0">
      <selection activeCell="D35" sqref="D35"/>
    </sheetView>
  </sheetViews>
  <sheetFormatPr defaultRowHeight="14.75" x14ac:dyDescent="0.75"/>
  <cols>
    <col min="1" max="1" width="15.1796875" style="31" customWidth="1"/>
    <col min="2" max="3" width="8.7265625" style="31"/>
    <col min="4" max="4" width="130.81640625" style="31" customWidth="1"/>
    <col min="5" max="5" width="19.86328125" style="31" customWidth="1"/>
    <col min="6" max="6" width="13.54296875" style="31" customWidth="1"/>
    <col min="7" max="7" width="69.36328125" style="31" customWidth="1"/>
    <col min="8" max="16384" width="8.7265625" style="31"/>
  </cols>
  <sheetData>
    <row r="2" spans="1:4" x14ac:dyDescent="0.75">
      <c r="D2" s="17" t="str">
        <f>CONCATENATE("Instance: ",'Prod-uc1-1'!D4)</f>
        <v>Instance: Product-uc1</v>
      </c>
    </row>
    <row r="3" spans="1:4" x14ac:dyDescent="0.75">
      <c r="D3" s="17" t="s">
        <v>22</v>
      </c>
    </row>
    <row r="4" spans="1:4" x14ac:dyDescent="0.75">
      <c r="D4" s="17" t="str">
        <f>CONCATENATE("Description: """,'Prod-uc1-1'!E2,"""")</f>
        <v>Description: "Data Model for the 'Populate an Immunization Registry'"</v>
      </c>
    </row>
    <row r="5" spans="1:4" x14ac:dyDescent="0.75">
      <c r="D5" s="17" t="str">
        <f>CONCATENATE("Title: """,'Prod-uc1-1'!D2,"""")</f>
        <v>Title: "Product - Registry Use Case"</v>
      </c>
    </row>
    <row r="6" spans="1:4" x14ac:dyDescent="0.75">
      <c r="A6" s="40" t="s">
        <v>150</v>
      </c>
      <c r="B6" s="95">
        <v>7</v>
      </c>
      <c r="D6" s="17" t="s">
        <v>23</v>
      </c>
    </row>
    <row r="7" spans="1:4" x14ac:dyDescent="0.75">
      <c r="D7" s="17"/>
    </row>
    <row r="8" spans="1:4" x14ac:dyDescent="0.75">
      <c r="A8" s="31" t="s">
        <v>151</v>
      </c>
      <c r="B8" s="31">
        <v>223</v>
      </c>
      <c r="D8" s="17" t="str">
        <f>CONCATENATE("* publisher = """,'Prod-uc1-1'!C4,"""")</f>
        <v>* publisher = "ISO/TC 521 WG3"</v>
      </c>
    </row>
    <row r="9" spans="1:4" x14ac:dyDescent="0.75">
      <c r="B9" s="31">
        <v>196</v>
      </c>
      <c r="D9" s="17" t="s">
        <v>24</v>
      </c>
    </row>
    <row r="10" spans="1:4" x14ac:dyDescent="0.75">
      <c r="B10" s="58"/>
      <c r="D10" s="17" t="str">
        <f>CONCATENATE("* url = """,'Base-1'!B2,"/StructureDefinition/",'Prod-uc1-1'!D4,"""")</f>
        <v>* url = "http://hl7.eu/fhir/ig/pcsp/StructureDefinition/Product-uc1"</v>
      </c>
    </row>
    <row r="11" spans="1:4" x14ac:dyDescent="0.75">
      <c r="D11" s="17" t="str">
        <f>CONCATENATE("* name = """,'Prod-uc1-1'!E4,"""")</f>
        <v>* name = "ProductUcRegistry"</v>
      </c>
    </row>
    <row r="12" spans="1:4" x14ac:dyDescent="0.75">
      <c r="D12" s="17" t="str">
        <f>CONCATENATE("* title = """,'Prod-uc1-1'!D2,"""")</f>
        <v>* title = "Product - Registry Use Case"</v>
      </c>
    </row>
    <row r="13" spans="1:4" x14ac:dyDescent="0.75">
      <c r="D13" s="17" t="s">
        <v>24</v>
      </c>
    </row>
    <row r="14" spans="1:4" x14ac:dyDescent="0.75">
      <c r="D14" s="17" t="s">
        <v>25</v>
      </c>
    </row>
    <row r="15" spans="1:4" x14ac:dyDescent="0.75">
      <c r="D15" s="17" t="str">
        <f>CONCATENATE("* description = """,'Prod-uc1-1'!E2,"""")</f>
        <v>* description = "Data Model for the 'Populate an Immunization Registry'"</v>
      </c>
    </row>
    <row r="16" spans="1:4" x14ac:dyDescent="0.75">
      <c r="D16" s="17" t="s">
        <v>26</v>
      </c>
    </row>
    <row r="18" spans="1:7" x14ac:dyDescent="0.75">
      <c r="C18" s="31">
        <v>0</v>
      </c>
      <c r="D18" s="64"/>
      <c r="G18" s="1" t="s">
        <v>91</v>
      </c>
    </row>
    <row r="19" spans="1:7" x14ac:dyDescent="0.75">
      <c r="B19" s="65" t="s">
        <v>93</v>
      </c>
      <c r="C19" s="31">
        <v>0</v>
      </c>
      <c r="D19" s="64"/>
      <c r="G19" s="1" t="s">
        <v>92</v>
      </c>
    </row>
    <row r="20" spans="1:7" x14ac:dyDescent="0.75">
      <c r="C20" s="31">
        <v>0</v>
      </c>
      <c r="D20" s="64"/>
      <c r="G20" s="1" t="s">
        <v>94</v>
      </c>
    </row>
    <row r="22" spans="1:7" x14ac:dyDescent="0.75">
      <c r="D22" s="17" t="s">
        <v>27</v>
      </c>
    </row>
    <row r="23" spans="1:7" x14ac:dyDescent="0.75">
      <c r="D23" s="17" t="s">
        <v>28</v>
      </c>
    </row>
    <row r="24" spans="1:7" x14ac:dyDescent="0.75">
      <c r="D24" s="17" t="str">
        <f>CONCATENATE("* type = """,'Prod-uc1-1'!E6,"""")</f>
        <v>* type = "Product"</v>
      </c>
    </row>
    <row r="25" spans="1:7" x14ac:dyDescent="0.75">
      <c r="D25" s="17" t="str">
        <f>CONCATENATE("* baseDefinition = """,'Prod-uc1-1'!C6,"""")</f>
        <v>* baseDefinition = "http://iso.org/fhir/ts-5384/StructureDefinition/Product"</v>
      </c>
    </row>
    <row r="26" spans="1:7" x14ac:dyDescent="0.75">
      <c r="D26" s="17" t="s">
        <v>109</v>
      </c>
    </row>
    <row r="28" spans="1:7" x14ac:dyDescent="0.75">
      <c r="D28" s="8"/>
    </row>
    <row r="29" spans="1:7" x14ac:dyDescent="0.75">
      <c r="A29" s="32">
        <v>1</v>
      </c>
      <c r="B29" s="32">
        <f t="shared" ref="B29:B92" si="0">IF(MOD(A29,$B$6)=0,A29/$B$6-1,INT(A29/$B$6))</f>
        <v>0</v>
      </c>
      <c r="C29" s="32">
        <f t="shared" ref="C29:C92" si="1">IF(MOD(A29,$B$6)=0,$B$6,MOD(A29,$B$6))</f>
        <v>1</v>
      </c>
      <c r="D29" s="31" t="str" cm="1">
        <f t="array" ref="D29">INDEX('Prod-uc1-1'!$Q$10:$W$53,1+B29,C29)</f>
        <v>* differential.element[0].id = "Product.codeSet"</v>
      </c>
    </row>
    <row r="30" spans="1:7" x14ac:dyDescent="0.75">
      <c r="A30" s="32">
        <v>2</v>
      </c>
      <c r="B30" s="32">
        <f t="shared" si="0"/>
        <v>0</v>
      </c>
      <c r="C30" s="32">
        <f t="shared" si="1"/>
        <v>2</v>
      </c>
      <c r="D30" s="31" t="str" cm="1">
        <f t="array" ref="D30">INDEX('Prod-uc1-1'!$Q$10:$W$53,1+B30,C30)</f>
        <v>* differential.element[0].path = "Product.codeSet"</v>
      </c>
    </row>
    <row r="31" spans="1:7" x14ac:dyDescent="0.75">
      <c r="A31" s="32">
        <v>3</v>
      </c>
      <c r="B31" s="32">
        <f t="shared" si="0"/>
        <v>0</v>
      </c>
      <c r="C31" s="32">
        <f t="shared" si="1"/>
        <v>3</v>
      </c>
      <c r="D31" s="31" t="str" cm="1">
        <f t="array" ref="D31">INDEX('Prod-uc1-1'!$Q$10:$W$53,1+B31,C31)</f>
        <v>* differential.element[0].min = 1</v>
      </c>
    </row>
    <row r="32" spans="1:7" x14ac:dyDescent="0.75">
      <c r="A32" s="32">
        <v>4</v>
      </c>
      <c r="B32" s="32">
        <f t="shared" si="0"/>
        <v>0</v>
      </c>
      <c r="C32" s="32">
        <f t="shared" si="1"/>
        <v>4</v>
      </c>
      <c r="D32" s="31" t="str" cm="1">
        <f t="array" ref="D32">INDEX('Prod-uc1-1'!$Q$10:$W$53,1+B32,C32)</f>
        <v>* differential.element[0].max = "1"</v>
      </c>
    </row>
    <row r="33" spans="1:4" x14ac:dyDescent="0.75">
      <c r="A33" s="32">
        <v>5</v>
      </c>
      <c r="B33" s="32">
        <f t="shared" si="0"/>
        <v>0</v>
      </c>
      <c r="C33" s="32">
        <f t="shared" si="1"/>
        <v>5</v>
      </c>
      <c r="D33" s="31" t="str" cm="1">
        <f t="array" ref="D33">INDEX('Prod-uc1-1'!$Q$10:$W$53,1+B33,C33)</f>
        <v>* differential.element[0].type.code = #BackboneElement</v>
      </c>
    </row>
    <row r="34" spans="1:4" x14ac:dyDescent="0.75">
      <c r="A34" s="32">
        <v>6</v>
      </c>
      <c r="B34" s="32">
        <f t="shared" si="0"/>
        <v>0</v>
      </c>
      <c r="C34" s="32">
        <f t="shared" si="1"/>
        <v>6</v>
      </c>
      <c r="D34" s="31" t="str" cm="1">
        <f t="array" ref="D34">INDEX('Prod-uc1-1'!$Q$10:$W$53,1+B34,C34)</f>
        <v/>
      </c>
    </row>
    <row r="35" spans="1:4" x14ac:dyDescent="0.75">
      <c r="A35" s="32">
        <v>7</v>
      </c>
      <c r="B35" s="32">
        <f t="shared" si="0"/>
        <v>0</v>
      </c>
      <c r="C35" s="32">
        <f t="shared" si="1"/>
        <v>7</v>
      </c>
      <c r="D35" s="31" t="str" cm="1">
        <f t="array" ref="D35">INDEX('Prod-uc1-1'!$Q$10:$W$53,1+B35,C35)</f>
        <v>* differential.element[0].short = "[R] Set of product codes"</v>
      </c>
    </row>
    <row r="36" spans="1:4" x14ac:dyDescent="0.75">
      <c r="A36" s="32">
        <v>8</v>
      </c>
      <c r="B36" s="32">
        <f t="shared" si="0"/>
        <v>1</v>
      </c>
      <c r="C36" s="32">
        <f t="shared" si="1"/>
        <v>1</v>
      </c>
      <c r="D36" s="31" t="str" cm="1">
        <f t="array" ref="D36">INDEX('Prod-uc1-1'!$Q$10:$W$53,1+B36,C36)</f>
        <v>* differential.element[1].id = "Product.codeSet.productCode"</v>
      </c>
    </row>
    <row r="37" spans="1:4" x14ac:dyDescent="0.75">
      <c r="A37" s="32">
        <v>9</v>
      </c>
      <c r="B37" s="32">
        <f t="shared" si="0"/>
        <v>1</v>
      </c>
      <c r="C37" s="32">
        <f t="shared" si="1"/>
        <v>2</v>
      </c>
      <c r="D37" s="31" t="str" cm="1">
        <f t="array" ref="D37">INDEX('Prod-uc1-1'!$Q$10:$W$53,1+B37,C37)</f>
        <v>* differential.element[1].path = "Product.codeSet.productCode"</v>
      </c>
    </row>
    <row r="38" spans="1:4" x14ac:dyDescent="0.75">
      <c r="A38" s="32">
        <v>10</v>
      </c>
      <c r="B38" s="32">
        <f t="shared" si="0"/>
        <v>1</v>
      </c>
      <c r="C38" s="32">
        <f t="shared" si="1"/>
        <v>3</v>
      </c>
      <c r="D38" s="31" t="str" cm="1">
        <f t="array" ref="D38">INDEX('Prod-uc1-1'!$Q$10:$W$53,1+B38,C38)</f>
        <v>* differential.element[1].min = 1</v>
      </c>
    </row>
    <row r="39" spans="1:4" x14ac:dyDescent="0.75">
      <c r="A39" s="32">
        <v>11</v>
      </c>
      <c r="B39" s="32">
        <f t="shared" si="0"/>
        <v>1</v>
      </c>
      <c r="C39" s="32">
        <f t="shared" si="1"/>
        <v>4</v>
      </c>
      <c r="D39" s="31" t="str" cm="1">
        <f t="array" ref="D39">INDEX('Prod-uc1-1'!$Q$10:$W$53,1+B39,C39)</f>
        <v>* differential.element[1].max = "*"</v>
      </c>
    </row>
    <row r="40" spans="1:4" x14ac:dyDescent="0.75">
      <c r="A40" s="32">
        <v>12</v>
      </c>
      <c r="B40" s="32">
        <f t="shared" si="0"/>
        <v>1</v>
      </c>
      <c r="C40" s="32">
        <f t="shared" si="1"/>
        <v>5</v>
      </c>
      <c r="D40" s="31" t="str" cm="1">
        <f t="array" ref="D40">INDEX('Prod-uc1-1'!$Q$10:$W$53,1+B40,C40)</f>
        <v>* differential.element[1].type.code = #CodeableConcept</v>
      </c>
    </row>
    <row r="41" spans="1:4" x14ac:dyDescent="0.75">
      <c r="A41" s="32">
        <v>13</v>
      </c>
      <c r="B41" s="32">
        <f t="shared" si="0"/>
        <v>1</v>
      </c>
      <c r="C41" s="32">
        <f t="shared" si="1"/>
        <v>6</v>
      </c>
      <c r="D41" s="31" t="str" cm="1">
        <f t="array" ref="D41">INDEX('Prod-uc1-1'!$Q$10:$W$53,1+B41,C41)</f>
        <v/>
      </c>
    </row>
    <row r="42" spans="1:4" x14ac:dyDescent="0.75">
      <c r="A42" s="32">
        <v>14</v>
      </c>
      <c r="B42" s="32">
        <f t="shared" si="0"/>
        <v>1</v>
      </c>
      <c r="C42" s="32">
        <f t="shared" si="1"/>
        <v>7</v>
      </c>
      <c r="D42" s="31" t="str" cm="1">
        <f t="array" ref="D42">INDEX('Prod-uc1-1'!$Q$10:$W$53,1+B42,C42)</f>
        <v>* differential.element[1].short = "[R] Product code"</v>
      </c>
    </row>
    <row r="43" spans="1:4" x14ac:dyDescent="0.75">
      <c r="A43" s="32">
        <v>15</v>
      </c>
      <c r="B43" s="32">
        <f t="shared" si="0"/>
        <v>2</v>
      </c>
      <c r="C43" s="32">
        <f t="shared" si="1"/>
        <v>1</v>
      </c>
      <c r="D43" s="31" t="str" cm="1">
        <f t="array" ref="D43">INDEX('Prod-uc1-1'!$Q$10:$W$53,1+B43,C43)</f>
        <v>* differential.element[2].id = "Product.codeSet.PCID"</v>
      </c>
    </row>
    <row r="44" spans="1:4" x14ac:dyDescent="0.75">
      <c r="A44" s="32">
        <v>16</v>
      </c>
      <c r="B44" s="32">
        <f t="shared" si="0"/>
        <v>2</v>
      </c>
      <c r="C44" s="32">
        <f t="shared" si="1"/>
        <v>2</v>
      </c>
      <c r="D44" s="31" t="str" cm="1">
        <f t="array" ref="D44">INDEX('Prod-uc1-1'!$Q$10:$W$53,1+B44,C44)</f>
        <v>* differential.element[2].path = "Product.codeSet.PCID"</v>
      </c>
    </row>
    <row r="45" spans="1:4" x14ac:dyDescent="0.75">
      <c r="A45" s="32">
        <v>17</v>
      </c>
      <c r="B45" s="32">
        <f t="shared" si="0"/>
        <v>2</v>
      </c>
      <c r="C45" s="32">
        <f t="shared" si="1"/>
        <v>3</v>
      </c>
      <c r="D45" s="31" t="str" cm="1">
        <f t="array" ref="D45">INDEX('Prod-uc1-1'!$Q$10:$W$53,1+B45,C45)</f>
        <v/>
      </c>
    </row>
    <row r="46" spans="1:4" x14ac:dyDescent="0.75">
      <c r="A46" s="32">
        <v>18</v>
      </c>
      <c r="B46" s="32">
        <f t="shared" si="0"/>
        <v>2</v>
      </c>
      <c r="C46" s="32">
        <f t="shared" si="1"/>
        <v>4</v>
      </c>
      <c r="D46" s="31" t="str" cm="1">
        <f t="array" ref="D46">INDEX('Prod-uc1-1'!$Q$10:$W$53,1+B46,C46)</f>
        <v/>
      </c>
    </row>
    <row r="47" spans="1:4" x14ac:dyDescent="0.75">
      <c r="A47" s="32">
        <v>19</v>
      </c>
      <c r="B47" s="32">
        <f t="shared" si="0"/>
        <v>2</v>
      </c>
      <c r="C47" s="32">
        <f t="shared" si="1"/>
        <v>5</v>
      </c>
      <c r="D47" s="31" t="str" cm="1">
        <f t="array" ref="D47">INDEX('Prod-uc1-1'!$Q$10:$W$53,1+B47,C47)</f>
        <v>* differential.element[2].type.code = #CodeableConcept</v>
      </c>
    </row>
    <row r="48" spans="1:4" x14ac:dyDescent="0.75">
      <c r="A48" s="32">
        <v>20</v>
      </c>
      <c r="B48" s="32">
        <f t="shared" si="0"/>
        <v>2</v>
      </c>
      <c r="C48" s="32">
        <f t="shared" si="1"/>
        <v>6</v>
      </c>
      <c r="D48" s="31" t="str" cm="1">
        <f t="array" ref="D48">INDEX('Prod-uc1-1'!$Q$10:$W$53,1+B48,C48)</f>
        <v/>
      </c>
    </row>
    <row r="49" spans="1:4" x14ac:dyDescent="0.75">
      <c r="A49" s="32">
        <v>21</v>
      </c>
      <c r="B49" s="32">
        <f t="shared" si="0"/>
        <v>2</v>
      </c>
      <c r="C49" s="32">
        <f t="shared" si="1"/>
        <v>7</v>
      </c>
      <c r="D49" s="31" t="str" cm="1">
        <f t="array" ref="D49">INDEX('Prod-uc1-1'!$Q$10:$W$53,1+B49,C49)</f>
        <v>* differential.element[2].short = "[O] IDMP PCID"</v>
      </c>
    </row>
    <row r="50" spans="1:4" x14ac:dyDescent="0.75">
      <c r="A50" s="32">
        <v>22</v>
      </c>
      <c r="B50" s="32">
        <f t="shared" si="0"/>
        <v>3</v>
      </c>
      <c r="C50" s="32">
        <f t="shared" si="1"/>
        <v>1</v>
      </c>
      <c r="D50" s="31" t="str" cm="1">
        <f t="array" ref="D50">INDEX('Prod-uc1-1'!$Q$10:$W$53,1+B50,C50)</f>
        <v>* differential.element[3].id = "Product.codeSet.MPID"</v>
      </c>
    </row>
    <row r="51" spans="1:4" x14ac:dyDescent="0.75">
      <c r="A51" s="32">
        <v>23</v>
      </c>
      <c r="B51" s="32">
        <f t="shared" si="0"/>
        <v>3</v>
      </c>
      <c r="C51" s="32">
        <f t="shared" si="1"/>
        <v>2</v>
      </c>
      <c r="D51" s="31" t="str" cm="1">
        <f t="array" ref="D51">INDEX('Prod-uc1-1'!$Q$10:$W$53,1+B51,C51)</f>
        <v>* differential.element[3].path = "Product.codeSet.MPID"</v>
      </c>
    </row>
    <row r="52" spans="1:4" x14ac:dyDescent="0.75">
      <c r="A52" s="32">
        <v>24</v>
      </c>
      <c r="B52" s="32">
        <f t="shared" si="0"/>
        <v>3</v>
      </c>
      <c r="C52" s="32">
        <f t="shared" si="1"/>
        <v>3</v>
      </c>
      <c r="D52" s="31" t="str" cm="1">
        <f t="array" ref="D52">INDEX('Prod-uc1-1'!$Q$10:$W$53,1+B52,C52)</f>
        <v/>
      </c>
    </row>
    <row r="53" spans="1:4" x14ac:dyDescent="0.75">
      <c r="A53" s="32">
        <v>25</v>
      </c>
      <c r="B53" s="32">
        <f t="shared" si="0"/>
        <v>3</v>
      </c>
      <c r="C53" s="32">
        <f t="shared" si="1"/>
        <v>4</v>
      </c>
      <c r="D53" s="31" t="str" cm="1">
        <f t="array" ref="D53">INDEX('Prod-uc1-1'!$Q$10:$W$53,1+B53,C53)</f>
        <v/>
      </c>
    </row>
    <row r="54" spans="1:4" x14ac:dyDescent="0.75">
      <c r="A54" s="32">
        <v>26</v>
      </c>
      <c r="B54" s="32">
        <f t="shared" si="0"/>
        <v>3</v>
      </c>
      <c r="C54" s="32">
        <f t="shared" si="1"/>
        <v>5</v>
      </c>
      <c r="D54" s="31" t="str" cm="1">
        <f t="array" ref="D54">INDEX('Prod-uc1-1'!$Q$10:$W$53,1+B54,C54)</f>
        <v>* differential.element[3].type.code = #CodeableConcept</v>
      </c>
    </row>
    <row r="55" spans="1:4" x14ac:dyDescent="0.75">
      <c r="A55" s="32">
        <v>27</v>
      </c>
      <c r="B55" s="32">
        <f t="shared" si="0"/>
        <v>3</v>
      </c>
      <c r="C55" s="32">
        <f t="shared" si="1"/>
        <v>6</v>
      </c>
      <c r="D55" s="31" t="str" cm="1">
        <f t="array" ref="D55">INDEX('Prod-uc1-1'!$Q$10:$W$53,1+B55,C55)</f>
        <v/>
      </c>
    </row>
    <row r="56" spans="1:4" x14ac:dyDescent="0.75">
      <c r="A56" s="32">
        <v>28</v>
      </c>
      <c r="B56" s="32">
        <f t="shared" si="0"/>
        <v>3</v>
      </c>
      <c r="C56" s="32">
        <f t="shared" si="1"/>
        <v>7</v>
      </c>
      <c r="D56" s="31" t="str" cm="1">
        <f t="array" ref="D56">INDEX('Prod-uc1-1'!$Q$10:$W$53,1+B56,C56)</f>
        <v>* differential.element[3].short = "[O] IDMP MPID"</v>
      </c>
    </row>
    <row r="57" spans="1:4" x14ac:dyDescent="0.75">
      <c r="A57" s="32">
        <v>29</v>
      </c>
      <c r="B57" s="32">
        <f t="shared" si="0"/>
        <v>4</v>
      </c>
      <c r="C57" s="32">
        <f t="shared" si="1"/>
        <v>1</v>
      </c>
      <c r="D57" s="31" t="str" cm="1">
        <f t="array" ref="D57">INDEX('Prod-uc1-1'!$Q$10:$W$53,1+B57,C57)</f>
        <v>* differential.element[4].id = "Product.codeSet.PhPID"</v>
      </c>
    </row>
    <row r="58" spans="1:4" x14ac:dyDescent="0.75">
      <c r="A58" s="32">
        <v>30</v>
      </c>
      <c r="B58" s="32">
        <f t="shared" si="0"/>
        <v>4</v>
      </c>
      <c r="C58" s="32">
        <f t="shared" si="1"/>
        <v>2</v>
      </c>
      <c r="D58" s="31" t="str" cm="1">
        <f t="array" ref="D58">INDEX('Prod-uc1-1'!$Q$10:$W$53,1+B58,C58)</f>
        <v>* differential.element[4].path = "Product.codeSet.PhPID"</v>
      </c>
    </row>
    <row r="59" spans="1:4" x14ac:dyDescent="0.75">
      <c r="A59" s="32">
        <v>31</v>
      </c>
      <c r="B59" s="32">
        <f t="shared" si="0"/>
        <v>4</v>
      </c>
      <c r="C59" s="32">
        <f t="shared" si="1"/>
        <v>3</v>
      </c>
      <c r="D59" s="31" t="str" cm="1">
        <f t="array" ref="D59">INDEX('Prod-uc1-1'!$Q$10:$W$53,1+B59,C59)</f>
        <v/>
      </c>
    </row>
    <row r="60" spans="1:4" x14ac:dyDescent="0.75">
      <c r="A60" s="32">
        <v>32</v>
      </c>
      <c r="B60" s="32">
        <f t="shared" si="0"/>
        <v>4</v>
      </c>
      <c r="C60" s="32">
        <f t="shared" si="1"/>
        <v>4</v>
      </c>
      <c r="D60" s="31" t="str" cm="1">
        <f t="array" ref="D60">INDEX('Prod-uc1-1'!$Q$10:$W$53,1+B60,C60)</f>
        <v/>
      </c>
    </row>
    <row r="61" spans="1:4" x14ac:dyDescent="0.75">
      <c r="A61" s="32">
        <v>33</v>
      </c>
      <c r="B61" s="32">
        <f t="shared" si="0"/>
        <v>4</v>
      </c>
      <c r="C61" s="32">
        <f t="shared" si="1"/>
        <v>5</v>
      </c>
      <c r="D61" s="31" t="str" cm="1">
        <f t="array" ref="D61">INDEX('Prod-uc1-1'!$Q$10:$W$53,1+B61,C61)</f>
        <v>* differential.element[4].type.code = #CodeableConcept</v>
      </c>
    </row>
    <row r="62" spans="1:4" x14ac:dyDescent="0.75">
      <c r="A62" s="32">
        <v>34</v>
      </c>
      <c r="B62" s="32">
        <f t="shared" si="0"/>
        <v>4</v>
      </c>
      <c r="C62" s="32">
        <f t="shared" si="1"/>
        <v>6</v>
      </c>
      <c r="D62" s="31" t="str" cm="1">
        <f t="array" ref="D62">INDEX('Prod-uc1-1'!$Q$10:$W$53,1+B62,C62)</f>
        <v/>
      </c>
    </row>
    <row r="63" spans="1:4" x14ac:dyDescent="0.75">
      <c r="A63" s="32">
        <v>35</v>
      </c>
      <c r="B63" s="32">
        <f t="shared" si="0"/>
        <v>4</v>
      </c>
      <c r="C63" s="32">
        <f t="shared" si="1"/>
        <v>7</v>
      </c>
      <c r="D63" s="31" t="str" cm="1">
        <f t="array" ref="D63">INDEX('Prod-uc1-1'!$Q$10:$W$53,1+B63,C63)</f>
        <v>* differential.element[4].short = "[O] IDMP PhP"</v>
      </c>
    </row>
    <row r="64" spans="1:4" x14ac:dyDescent="0.75">
      <c r="A64" s="32">
        <v>36</v>
      </c>
      <c r="B64" s="32">
        <f t="shared" si="0"/>
        <v>5</v>
      </c>
      <c r="C64" s="32">
        <f t="shared" si="1"/>
        <v>1</v>
      </c>
      <c r="D64" s="31" t="str" cm="1">
        <f t="array" ref="D64">INDEX('Prod-uc1-1'!$Q$10:$W$53,1+B64,C64)</f>
        <v>* differential.element[5].id = "Product.packageIdentifiers"</v>
      </c>
    </row>
    <row r="65" spans="1:4" x14ac:dyDescent="0.75">
      <c r="A65" s="32">
        <v>37</v>
      </c>
      <c r="B65" s="32">
        <f t="shared" si="0"/>
        <v>5</v>
      </c>
      <c r="C65" s="32">
        <f t="shared" si="1"/>
        <v>2</v>
      </c>
      <c r="D65" s="31" t="str" cm="1">
        <f t="array" ref="D65">INDEX('Prod-uc1-1'!$Q$10:$W$53,1+B65,C65)</f>
        <v>* differential.element[5].path = "Product.packageIdentifiers"</v>
      </c>
    </row>
    <row r="66" spans="1:4" x14ac:dyDescent="0.75">
      <c r="A66" s="32">
        <v>38</v>
      </c>
      <c r="B66" s="32">
        <f t="shared" si="0"/>
        <v>5</v>
      </c>
      <c r="C66" s="32">
        <f t="shared" si="1"/>
        <v>3</v>
      </c>
      <c r="D66" s="31" t="str" cm="1">
        <f t="array" ref="D66">INDEX('Prod-uc1-1'!$Q$10:$W$53,1+B66,C66)</f>
        <v/>
      </c>
    </row>
    <row r="67" spans="1:4" x14ac:dyDescent="0.75">
      <c r="A67" s="32">
        <v>39</v>
      </c>
      <c r="B67" s="32">
        <f t="shared" si="0"/>
        <v>5</v>
      </c>
      <c r="C67" s="32">
        <f t="shared" si="1"/>
        <v>4</v>
      </c>
      <c r="D67" s="31" t="str" cm="1">
        <f t="array" ref="D67">INDEX('Prod-uc1-1'!$Q$10:$W$53,1+B67,C67)</f>
        <v/>
      </c>
    </row>
    <row r="68" spans="1:4" x14ac:dyDescent="0.75">
      <c r="A68" s="32">
        <v>40</v>
      </c>
      <c r="B68" s="32">
        <f t="shared" si="0"/>
        <v>5</v>
      </c>
      <c r="C68" s="32">
        <f t="shared" si="1"/>
        <v>5</v>
      </c>
      <c r="D68" s="31" t="str" cm="1">
        <f t="array" ref="D68">INDEX('Prod-uc1-1'!$Q$10:$W$53,1+B68,C68)</f>
        <v>* differential.element[5].type.code = #BackboneElement</v>
      </c>
    </row>
    <row r="69" spans="1:4" x14ac:dyDescent="0.75">
      <c r="A69" s="32">
        <v>41</v>
      </c>
      <c r="B69" s="32">
        <f t="shared" si="0"/>
        <v>5</v>
      </c>
      <c r="C69" s="32">
        <f t="shared" si="1"/>
        <v>6</v>
      </c>
      <c r="D69" s="31" t="str" cm="1">
        <f t="array" ref="D69">INDEX('Prod-uc1-1'!$Q$10:$W$53,1+B69,C69)</f>
        <v/>
      </c>
    </row>
    <row r="70" spans="1:4" x14ac:dyDescent="0.75">
      <c r="A70" s="32">
        <v>42</v>
      </c>
      <c r="B70" s="32">
        <f t="shared" si="0"/>
        <v>5</v>
      </c>
      <c r="C70" s="32">
        <f t="shared" si="1"/>
        <v>7</v>
      </c>
      <c r="D70" s="31" t="str" cm="1">
        <f t="array" ref="D70">INDEX('Prod-uc1-1'!$Q$10:$W$53,1+B70,C70)</f>
        <v>* differential.element[5].short = "[O] Set of identifiers"</v>
      </c>
    </row>
    <row r="71" spans="1:4" x14ac:dyDescent="0.75">
      <c r="A71" s="32">
        <v>43</v>
      </c>
      <c r="B71" s="32">
        <f t="shared" si="0"/>
        <v>6</v>
      </c>
      <c r="C71" s="32">
        <f t="shared" si="1"/>
        <v>1</v>
      </c>
      <c r="D71" s="31" t="str" cm="1">
        <f t="array" ref="D71">INDEX('Prod-uc1-1'!$Q$10:$W$53,1+B71,C71)</f>
        <v>* differential.element[6].id = "Product.packageIdentifiers.uniqueIdentifier"</v>
      </c>
    </row>
    <row r="72" spans="1:4" x14ac:dyDescent="0.75">
      <c r="A72" s="32">
        <v>44</v>
      </c>
      <c r="B72" s="32">
        <f t="shared" si="0"/>
        <v>6</v>
      </c>
      <c r="C72" s="32">
        <f t="shared" si="1"/>
        <v>2</v>
      </c>
      <c r="D72" s="31" t="str" cm="1">
        <f t="array" ref="D72">INDEX('Prod-uc1-1'!$Q$10:$W$53,1+B72,C72)</f>
        <v>* differential.element[6].path = "Product.packageIdentifiers.uniqueIdentifier"</v>
      </c>
    </row>
    <row r="73" spans="1:4" x14ac:dyDescent="0.75">
      <c r="A73" s="32">
        <v>45</v>
      </c>
      <c r="B73" s="32">
        <f t="shared" si="0"/>
        <v>6</v>
      </c>
      <c r="C73" s="32">
        <f t="shared" si="1"/>
        <v>3</v>
      </c>
      <c r="D73" s="31" t="str" cm="1">
        <f t="array" ref="D73">INDEX('Prod-uc1-1'!$Q$10:$W$53,1+B73,C73)</f>
        <v/>
      </c>
    </row>
    <row r="74" spans="1:4" x14ac:dyDescent="0.75">
      <c r="A74" s="32">
        <v>46</v>
      </c>
      <c r="B74" s="32">
        <f t="shared" si="0"/>
        <v>6</v>
      </c>
      <c r="C74" s="32">
        <f t="shared" si="1"/>
        <v>4</v>
      </c>
      <c r="D74" s="31" t="str" cm="1">
        <f t="array" ref="D74">INDEX('Prod-uc1-1'!$Q$10:$W$53,1+B74,C74)</f>
        <v/>
      </c>
    </row>
    <row r="75" spans="1:4" x14ac:dyDescent="0.75">
      <c r="A75" s="32">
        <v>47</v>
      </c>
      <c r="B75" s="32">
        <f t="shared" si="0"/>
        <v>6</v>
      </c>
      <c r="C75" s="32">
        <f t="shared" si="1"/>
        <v>5</v>
      </c>
      <c r="D75" s="31" t="str" cm="1">
        <f t="array" ref="D75">INDEX('Prod-uc1-1'!$Q$10:$W$53,1+B75,C75)</f>
        <v>* differential.element[6].type.code = #string</v>
      </c>
    </row>
    <row r="76" spans="1:4" x14ac:dyDescent="0.75">
      <c r="A76" s="32">
        <v>48</v>
      </c>
      <c r="B76" s="32">
        <f t="shared" si="0"/>
        <v>6</v>
      </c>
      <c r="C76" s="32">
        <f t="shared" si="1"/>
        <v>6</v>
      </c>
      <c r="D76" s="31" t="str" cm="1">
        <f t="array" ref="D76">INDEX('Prod-uc1-1'!$Q$10:$W$53,1+B76,C76)</f>
        <v/>
      </c>
    </row>
    <row r="77" spans="1:4" x14ac:dyDescent="0.75">
      <c r="A77" s="32">
        <v>49</v>
      </c>
      <c r="B77" s="32">
        <f t="shared" si="0"/>
        <v>6</v>
      </c>
      <c r="C77" s="32">
        <f t="shared" si="1"/>
        <v>7</v>
      </c>
      <c r="D77" s="31" t="str" cm="1">
        <f t="array" ref="D77">INDEX('Prod-uc1-1'!$Q$10:$W$53,1+B77,C77)</f>
        <v>* differential.element[6].short = "[O] Unique Identifier"</v>
      </c>
    </row>
    <row r="78" spans="1:4" x14ac:dyDescent="0.75">
      <c r="A78" s="32">
        <v>50</v>
      </c>
      <c r="B78" s="32">
        <f t="shared" si="0"/>
        <v>7</v>
      </c>
      <c r="C78" s="32">
        <f t="shared" si="1"/>
        <v>1</v>
      </c>
      <c r="D78" s="31" t="str" cm="1">
        <f t="array" ref="D78">INDEX('Prod-uc1-1'!$Q$10:$W$53,1+B78,C78)</f>
        <v>* differential.element[7].id = "Product.packageIdentifiers.dataCarrierIdentifier"</v>
      </c>
    </row>
    <row r="79" spans="1:4" x14ac:dyDescent="0.75">
      <c r="A79" s="32">
        <v>51</v>
      </c>
      <c r="B79" s="32">
        <f t="shared" si="0"/>
        <v>7</v>
      </c>
      <c r="C79" s="32">
        <f t="shared" si="1"/>
        <v>2</v>
      </c>
      <c r="D79" s="31" t="str" cm="1">
        <f t="array" ref="D79">INDEX('Prod-uc1-1'!$Q$10:$W$53,1+B79,C79)</f>
        <v>* differential.element[7].path = "Product.packageIdentifiers.dataCarrierIdentifier"</v>
      </c>
    </row>
    <row r="80" spans="1:4" x14ac:dyDescent="0.75">
      <c r="A80" s="32">
        <v>52</v>
      </c>
      <c r="B80" s="32">
        <f t="shared" si="0"/>
        <v>7</v>
      </c>
      <c r="C80" s="32">
        <f t="shared" si="1"/>
        <v>3</v>
      </c>
      <c r="D80" s="31" t="str" cm="1">
        <f t="array" ref="D80">INDEX('Prod-uc1-1'!$Q$10:$W$53,1+B80,C80)</f>
        <v/>
      </c>
    </row>
    <row r="81" spans="1:7" x14ac:dyDescent="0.75">
      <c r="A81" s="32">
        <v>53</v>
      </c>
      <c r="B81" s="32">
        <f t="shared" si="0"/>
        <v>7</v>
      </c>
      <c r="C81" s="32">
        <f t="shared" si="1"/>
        <v>4</v>
      </c>
      <c r="D81" s="31" t="str" cm="1">
        <f t="array" ref="D81">INDEX('Prod-uc1-1'!$Q$10:$W$53,1+B81,C81)</f>
        <v/>
      </c>
      <c r="G81" s="16"/>
    </row>
    <row r="82" spans="1:7" x14ac:dyDescent="0.75">
      <c r="A82" s="32">
        <v>54</v>
      </c>
      <c r="B82" s="32">
        <f t="shared" si="0"/>
        <v>7</v>
      </c>
      <c r="C82" s="32">
        <f t="shared" si="1"/>
        <v>5</v>
      </c>
      <c r="D82" s="31" t="str" cm="1">
        <f t="array" ref="D82">INDEX('Prod-uc1-1'!$Q$10:$W$53,1+B82,C82)</f>
        <v>* differential.element[7].type.code = #Identifier</v>
      </c>
    </row>
    <row r="83" spans="1:7" x14ac:dyDescent="0.75">
      <c r="A83" s="32">
        <v>55</v>
      </c>
      <c r="B83" s="32">
        <f t="shared" si="0"/>
        <v>7</v>
      </c>
      <c r="C83" s="32">
        <f t="shared" si="1"/>
        <v>6</v>
      </c>
      <c r="D83" s="31" t="str" cm="1">
        <f t="array" ref="D83">INDEX('Prod-uc1-1'!$Q$10:$W$53,1+B83,C83)</f>
        <v/>
      </c>
    </row>
    <row r="84" spans="1:7" x14ac:dyDescent="0.75">
      <c r="A84" s="32">
        <v>56</v>
      </c>
      <c r="B84" s="32">
        <f t="shared" si="0"/>
        <v>7</v>
      </c>
      <c r="C84" s="32">
        <f t="shared" si="1"/>
        <v>7</v>
      </c>
      <c r="D84" s="31" t="str" cm="1">
        <f t="array" ref="D84">INDEX('Prod-uc1-1'!$Q$10:$W$53,1+B84,C84)</f>
        <v>* differential.element[7].short = "[O] Data Carrier Identifier (e.g. GTIN)"</v>
      </c>
    </row>
    <row r="85" spans="1:7" x14ac:dyDescent="0.75">
      <c r="A85" s="32">
        <v>57</v>
      </c>
      <c r="B85" s="32">
        <f t="shared" si="0"/>
        <v>8</v>
      </c>
      <c r="C85" s="32">
        <f t="shared" si="1"/>
        <v>1</v>
      </c>
      <c r="D85" s="31" t="str" cm="1">
        <f t="array" ref="D85">INDEX('Prod-uc1-1'!$Q$10:$W$53,1+B85,C85)</f>
        <v>* differential.element[8].id = "Product.packageIdentifiers.serialNumber"</v>
      </c>
    </row>
    <row r="86" spans="1:7" x14ac:dyDescent="0.75">
      <c r="A86" s="32">
        <v>58</v>
      </c>
      <c r="B86" s="32">
        <f t="shared" si="0"/>
        <v>8</v>
      </c>
      <c r="C86" s="32">
        <f t="shared" si="1"/>
        <v>2</v>
      </c>
      <c r="D86" s="31" t="str" cm="1">
        <f t="array" ref="D86">INDEX('Prod-uc1-1'!$Q$10:$W$53,1+B86,C86)</f>
        <v>* differential.element[8].path = "Product.packageIdentifiers.serialNumber"</v>
      </c>
    </row>
    <row r="87" spans="1:7" x14ac:dyDescent="0.75">
      <c r="A87" s="32">
        <v>59</v>
      </c>
      <c r="B87" s="32">
        <f t="shared" si="0"/>
        <v>8</v>
      </c>
      <c r="C87" s="32">
        <f t="shared" si="1"/>
        <v>3</v>
      </c>
      <c r="D87" s="31" t="str" cm="1">
        <f t="array" ref="D87">INDEX('Prod-uc1-1'!$Q$10:$W$53,1+B87,C87)</f>
        <v/>
      </c>
    </row>
    <row r="88" spans="1:7" x14ac:dyDescent="0.75">
      <c r="A88" s="32">
        <v>60</v>
      </c>
      <c r="B88" s="32">
        <f t="shared" si="0"/>
        <v>8</v>
      </c>
      <c r="C88" s="32">
        <f t="shared" si="1"/>
        <v>4</v>
      </c>
      <c r="D88" s="31" t="str" cm="1">
        <f t="array" ref="D88">INDEX('Prod-uc1-1'!$Q$10:$W$53,1+B88,C88)</f>
        <v/>
      </c>
    </row>
    <row r="89" spans="1:7" x14ac:dyDescent="0.75">
      <c r="A89" s="32">
        <v>61</v>
      </c>
      <c r="B89" s="32">
        <f t="shared" si="0"/>
        <v>8</v>
      </c>
      <c r="C89" s="32">
        <f t="shared" si="1"/>
        <v>5</v>
      </c>
      <c r="D89" s="31" t="str" cm="1">
        <f t="array" ref="D89">INDEX('Prod-uc1-1'!$Q$10:$W$53,1+B89,C89)</f>
        <v>* differential.element[8].type.code = #string</v>
      </c>
    </row>
    <row r="90" spans="1:7" x14ac:dyDescent="0.75">
      <c r="A90" s="32">
        <v>62</v>
      </c>
      <c r="B90" s="32">
        <f t="shared" si="0"/>
        <v>8</v>
      </c>
      <c r="C90" s="32">
        <f t="shared" si="1"/>
        <v>6</v>
      </c>
      <c r="D90" s="31" t="str" cm="1">
        <f t="array" ref="D90">INDEX('Prod-uc1-1'!$Q$10:$W$53,1+B90,C90)</f>
        <v/>
      </c>
    </row>
    <row r="91" spans="1:7" x14ac:dyDescent="0.75">
      <c r="A91" s="32">
        <v>63</v>
      </c>
      <c r="B91" s="32">
        <f t="shared" si="0"/>
        <v>8</v>
      </c>
      <c r="C91" s="32">
        <f t="shared" si="1"/>
        <v>7</v>
      </c>
      <c r="D91" s="31" t="str" cm="1">
        <f t="array" ref="D91">INDEX('Prod-uc1-1'!$Q$10:$W$53,1+B91,C91)</f>
        <v>* differential.element[8].short = "[O] Serial number"</v>
      </c>
    </row>
    <row r="92" spans="1:7" x14ac:dyDescent="0.75">
      <c r="A92" s="32">
        <v>64</v>
      </c>
      <c r="B92" s="32">
        <f t="shared" si="0"/>
        <v>9</v>
      </c>
      <c r="C92" s="32">
        <f t="shared" si="1"/>
        <v>1</v>
      </c>
      <c r="D92" s="31" t="str" cm="1">
        <f t="array" ref="D92">INDEX('Prod-uc1-1'!$Q$10:$W$53,1+B92,C92)</f>
        <v>* differential.element[9].id = "Product.packageIdentifiers.lotNumber"</v>
      </c>
    </row>
    <row r="93" spans="1:7" x14ac:dyDescent="0.75">
      <c r="A93" s="32">
        <v>65</v>
      </c>
      <c r="B93" s="32">
        <f t="shared" ref="B93:B156" si="2">IF(MOD(A93,$B$6)=0,A93/$B$6-1,INT(A93/$B$6))</f>
        <v>9</v>
      </c>
      <c r="C93" s="32">
        <f t="shared" ref="C93:C156" si="3">IF(MOD(A93,$B$6)=0,$B$6,MOD(A93,$B$6))</f>
        <v>2</v>
      </c>
      <c r="D93" s="31" t="str" cm="1">
        <f t="array" ref="D93">INDEX('Prod-uc1-1'!$Q$10:$W$53,1+B93,C93)</f>
        <v>* differential.element[9].path = "Product.packageIdentifiers.lotNumber"</v>
      </c>
    </row>
    <row r="94" spans="1:7" x14ac:dyDescent="0.75">
      <c r="A94" s="32">
        <v>66</v>
      </c>
      <c r="B94" s="32">
        <f t="shared" si="2"/>
        <v>9</v>
      </c>
      <c r="C94" s="32">
        <f t="shared" si="3"/>
        <v>3</v>
      </c>
      <c r="D94" s="31" t="str" cm="1">
        <f t="array" ref="D94">INDEX('Prod-uc1-1'!$Q$10:$W$53,1+B94,C94)</f>
        <v/>
      </c>
    </row>
    <row r="95" spans="1:7" x14ac:dyDescent="0.75">
      <c r="A95" s="32">
        <v>67</v>
      </c>
      <c r="B95" s="32">
        <f t="shared" si="2"/>
        <v>9</v>
      </c>
      <c r="C95" s="32">
        <f t="shared" si="3"/>
        <v>4</v>
      </c>
      <c r="D95" s="31" t="str" cm="1">
        <f t="array" ref="D95">INDEX('Prod-uc1-1'!$Q$10:$W$53,1+B95,C95)</f>
        <v/>
      </c>
    </row>
    <row r="96" spans="1:7" x14ac:dyDescent="0.75">
      <c r="A96" s="32">
        <v>68</v>
      </c>
      <c r="B96" s="32">
        <f t="shared" si="2"/>
        <v>9</v>
      </c>
      <c r="C96" s="32">
        <f t="shared" si="3"/>
        <v>5</v>
      </c>
      <c r="D96" s="31" t="str" cm="1">
        <f t="array" ref="D96">INDEX('Prod-uc1-1'!$Q$10:$W$53,1+B96,C96)</f>
        <v>* differential.element[9].type.code = #string</v>
      </c>
    </row>
    <row r="97" spans="1:4" x14ac:dyDescent="0.75">
      <c r="A97" s="32">
        <v>69</v>
      </c>
      <c r="B97" s="32">
        <f t="shared" si="2"/>
        <v>9</v>
      </c>
      <c r="C97" s="32">
        <f t="shared" si="3"/>
        <v>6</v>
      </c>
      <c r="D97" s="31" t="str" cm="1">
        <f t="array" ref="D97">INDEX('Prod-uc1-1'!$Q$10:$W$53,1+B97,C97)</f>
        <v/>
      </c>
    </row>
    <row r="98" spans="1:4" x14ac:dyDescent="0.75">
      <c r="A98" s="32">
        <v>70</v>
      </c>
      <c r="B98" s="32">
        <f t="shared" si="2"/>
        <v>9</v>
      </c>
      <c r="C98" s="32">
        <f t="shared" si="3"/>
        <v>7</v>
      </c>
      <c r="D98" s="31" t="str" cm="1">
        <f t="array" ref="D98">INDEX('Prod-uc1-1'!$Q$10:$W$53,1+B98,C98)</f>
        <v>* differential.element[9].short = "[O] Lot Number"</v>
      </c>
    </row>
    <row r="99" spans="1:4" x14ac:dyDescent="0.75">
      <c r="A99" s="32">
        <v>71</v>
      </c>
      <c r="B99" s="32">
        <f t="shared" si="2"/>
        <v>10</v>
      </c>
      <c r="C99" s="32">
        <f t="shared" si="3"/>
        <v>1</v>
      </c>
      <c r="D99" s="31" t="str" cm="1">
        <f t="array" ref="D99">INDEX('Prod-uc1-1'!$Q$10:$W$53,1+B99,C99)</f>
        <v>* differential.element[10].id = "Product.name"</v>
      </c>
    </row>
    <row r="100" spans="1:4" x14ac:dyDescent="0.75">
      <c r="A100" s="32">
        <v>72</v>
      </c>
      <c r="B100" s="32">
        <f t="shared" si="2"/>
        <v>10</v>
      </c>
      <c r="C100" s="32">
        <f t="shared" si="3"/>
        <v>2</v>
      </c>
      <c r="D100" s="31" t="str" cm="1">
        <f t="array" ref="D100">INDEX('Prod-uc1-1'!$Q$10:$W$53,1+B100,C100)</f>
        <v>* differential.element[10].path = "Product.name"</v>
      </c>
    </row>
    <row r="101" spans="1:4" x14ac:dyDescent="0.75">
      <c r="A101" s="32">
        <v>73</v>
      </c>
      <c r="B101" s="32">
        <f t="shared" si="2"/>
        <v>10</v>
      </c>
      <c r="C101" s="32">
        <f t="shared" si="3"/>
        <v>3</v>
      </c>
      <c r="D101" s="31" t="str" cm="1">
        <f t="array" ref="D101">INDEX('Prod-uc1-1'!$Q$10:$W$53,1+B101,C101)</f>
        <v/>
      </c>
    </row>
    <row r="102" spans="1:4" x14ac:dyDescent="0.75">
      <c r="A102" s="32">
        <v>74</v>
      </c>
      <c r="B102" s="32">
        <f t="shared" si="2"/>
        <v>10</v>
      </c>
      <c r="C102" s="32">
        <f t="shared" si="3"/>
        <v>4</v>
      </c>
      <c r="D102" s="31" t="str" cm="1">
        <f t="array" ref="D102">INDEX('Prod-uc1-1'!$Q$10:$W$53,1+B102,C102)</f>
        <v/>
      </c>
    </row>
    <row r="103" spans="1:4" x14ac:dyDescent="0.75">
      <c r="A103" s="32">
        <v>75</v>
      </c>
      <c r="B103" s="32">
        <f t="shared" si="2"/>
        <v>10</v>
      </c>
      <c r="C103" s="32">
        <f t="shared" si="3"/>
        <v>5</v>
      </c>
      <c r="D103" s="31" t="str" cm="1">
        <f t="array" ref="D103">INDEX('Prod-uc1-1'!$Q$10:$W$53,1+B103,C103)</f>
        <v>* differential.element[10].type.code = #string</v>
      </c>
    </row>
    <row r="104" spans="1:4" x14ac:dyDescent="0.75">
      <c r="A104" s="32">
        <v>76</v>
      </c>
      <c r="B104" s="32">
        <f t="shared" si="2"/>
        <v>10</v>
      </c>
      <c r="C104" s="32">
        <f t="shared" si="3"/>
        <v>6</v>
      </c>
      <c r="D104" s="31" t="str" cm="1">
        <f t="array" ref="D104">INDEX('Prod-uc1-1'!$Q$10:$W$53,1+B104,C104)</f>
        <v>* differential.element[10].mustSupport = true</v>
      </c>
    </row>
    <row r="105" spans="1:4" x14ac:dyDescent="0.75">
      <c r="A105" s="32">
        <v>77</v>
      </c>
      <c r="B105" s="32">
        <f t="shared" si="2"/>
        <v>10</v>
      </c>
      <c r="C105" s="32">
        <f t="shared" si="3"/>
        <v>7</v>
      </c>
      <c r="D105" s="31" t="str" cm="1">
        <f t="array" ref="D105">INDEX('Prod-uc1-1'!$Q$10:$W$53,1+B105,C105)</f>
        <v>* differential.element[10].short = "[RK] Product Name"</v>
      </c>
    </row>
    <row r="106" spans="1:4" x14ac:dyDescent="0.75">
      <c r="A106" s="32">
        <v>78</v>
      </c>
      <c r="B106" s="32">
        <f t="shared" si="2"/>
        <v>11</v>
      </c>
      <c r="C106" s="32">
        <f t="shared" si="3"/>
        <v>1</v>
      </c>
      <c r="D106" s="31" t="str" cm="1">
        <f t="array" ref="D106">INDEX('Prod-uc1-1'!$Q$10:$W$53,1+B106,C106)</f>
        <v>* differential.element[11].id = "Product.composition"</v>
      </c>
    </row>
    <row r="107" spans="1:4" x14ac:dyDescent="0.75">
      <c r="A107" s="32">
        <v>79</v>
      </c>
      <c r="B107" s="32">
        <f t="shared" si="2"/>
        <v>11</v>
      </c>
      <c r="C107" s="32">
        <f t="shared" si="3"/>
        <v>2</v>
      </c>
      <c r="D107" s="31" t="str" cm="1">
        <f t="array" ref="D107">INDEX('Prod-uc1-1'!$Q$10:$W$53,1+B107,C107)</f>
        <v>* differential.element[11].path = "Product.composition"</v>
      </c>
    </row>
    <row r="108" spans="1:4" x14ac:dyDescent="0.75">
      <c r="A108" s="32">
        <v>80</v>
      </c>
      <c r="B108" s="32">
        <f t="shared" si="2"/>
        <v>11</v>
      </c>
      <c r="C108" s="32">
        <f t="shared" si="3"/>
        <v>3</v>
      </c>
      <c r="D108" s="31" t="str" cm="1">
        <f t="array" ref="D108">INDEX('Prod-uc1-1'!$Q$10:$W$53,1+B108,C108)</f>
        <v>* differential.element[11].min = 1</v>
      </c>
    </row>
    <row r="109" spans="1:4" x14ac:dyDescent="0.75">
      <c r="A109" s="32">
        <v>81</v>
      </c>
      <c r="B109" s="32">
        <f t="shared" si="2"/>
        <v>11</v>
      </c>
      <c r="C109" s="32">
        <f t="shared" si="3"/>
        <v>4</v>
      </c>
      <c r="D109" s="31" t="str" cm="1">
        <f t="array" ref="D109">INDEX('Prod-uc1-1'!$Q$10:$W$53,1+B109,C109)</f>
        <v>* differential.element[11].max = "1"</v>
      </c>
    </row>
    <row r="110" spans="1:4" x14ac:dyDescent="0.75">
      <c r="A110" s="32">
        <v>82</v>
      </c>
      <c r="B110" s="32">
        <f t="shared" si="2"/>
        <v>11</v>
      </c>
      <c r="C110" s="32">
        <f t="shared" si="3"/>
        <v>5</v>
      </c>
      <c r="D110" s="31" t="str" cm="1">
        <f t="array" ref="D110">INDEX('Prod-uc1-1'!$Q$10:$W$53,1+B110,C110)</f>
        <v>* differential.element[11].type.code = #BackboneElement</v>
      </c>
    </row>
    <row r="111" spans="1:4" x14ac:dyDescent="0.75">
      <c r="A111" s="32">
        <v>83</v>
      </c>
      <c r="B111" s="32">
        <f t="shared" si="2"/>
        <v>11</v>
      </c>
      <c r="C111" s="32">
        <f t="shared" si="3"/>
        <v>6</v>
      </c>
      <c r="D111" s="31" t="str" cm="1">
        <f t="array" ref="D111">INDEX('Prod-uc1-1'!$Q$10:$W$53,1+B111,C111)</f>
        <v>* differential.element[11].mustSupport = true</v>
      </c>
    </row>
    <row r="112" spans="1:4" x14ac:dyDescent="0.75">
      <c r="A112" s="32">
        <v>84</v>
      </c>
      <c r="B112" s="32">
        <f t="shared" si="2"/>
        <v>11</v>
      </c>
      <c r="C112" s="32">
        <f t="shared" si="3"/>
        <v>7</v>
      </c>
      <c r="D112" s="31" t="str" cm="1">
        <f t="array" ref="D112">INDEX('Prod-uc1-1'!$Q$10:$W$53,1+B112,C112)</f>
        <v>* differential.element[11].short = "[M] Composition"</v>
      </c>
    </row>
    <row r="113" spans="1:4" x14ac:dyDescent="0.75">
      <c r="A113" s="32">
        <v>85</v>
      </c>
      <c r="B113" s="32">
        <f t="shared" si="2"/>
        <v>12</v>
      </c>
      <c r="C113" s="32">
        <f t="shared" si="3"/>
        <v>1</v>
      </c>
      <c r="D113" s="31" t="str" cm="1">
        <f t="array" ref="D113">INDEX('Prod-uc1-1'!$Q$10:$W$53,1+B113,C113)</f>
        <v>* differential.element[12].id = "Product.composition.ingredient"</v>
      </c>
    </row>
    <row r="114" spans="1:4" x14ac:dyDescent="0.75">
      <c r="A114" s="32">
        <v>86</v>
      </c>
      <c r="B114" s="32">
        <f t="shared" si="2"/>
        <v>12</v>
      </c>
      <c r="C114" s="32">
        <f t="shared" si="3"/>
        <v>2</v>
      </c>
      <c r="D114" s="31" t="str" cm="1">
        <f t="array" ref="D114">INDEX('Prod-uc1-1'!$Q$10:$W$53,1+B114,C114)</f>
        <v>* differential.element[12].path = "Product.composition.ingredient"</v>
      </c>
    </row>
    <row r="115" spans="1:4" x14ac:dyDescent="0.75">
      <c r="A115" s="32">
        <v>87</v>
      </c>
      <c r="B115" s="32">
        <f t="shared" si="2"/>
        <v>12</v>
      </c>
      <c r="C115" s="32">
        <f t="shared" si="3"/>
        <v>3</v>
      </c>
      <c r="D115" s="31" t="str" cm="1">
        <f t="array" ref="D115">INDEX('Prod-uc1-1'!$Q$10:$W$53,1+B115,C115)</f>
        <v>* differential.element[12].min = 1</v>
      </c>
    </row>
    <row r="116" spans="1:4" x14ac:dyDescent="0.75">
      <c r="A116" s="32">
        <v>88</v>
      </c>
      <c r="B116" s="32">
        <f t="shared" si="2"/>
        <v>12</v>
      </c>
      <c r="C116" s="32">
        <f t="shared" si="3"/>
        <v>4</v>
      </c>
      <c r="D116" s="31" t="str" cm="1">
        <f t="array" ref="D116">INDEX('Prod-uc1-1'!$Q$10:$W$53,1+B116,C116)</f>
        <v>* differential.element[12].max = "*"</v>
      </c>
    </row>
    <row r="117" spans="1:4" x14ac:dyDescent="0.75">
      <c r="A117" s="32">
        <v>89</v>
      </c>
      <c r="B117" s="32">
        <f t="shared" si="2"/>
        <v>12</v>
      </c>
      <c r="C117" s="32">
        <f t="shared" si="3"/>
        <v>5</v>
      </c>
      <c r="D117" s="31" t="str" cm="1">
        <f t="array" ref="D117">INDEX('Prod-uc1-1'!$Q$10:$W$53,1+B117,C117)</f>
        <v>* differential.element[12].type.code = #BackboneElement</v>
      </c>
    </row>
    <row r="118" spans="1:4" x14ac:dyDescent="0.75">
      <c r="A118" s="32">
        <v>90</v>
      </c>
      <c r="B118" s="32">
        <f t="shared" si="2"/>
        <v>12</v>
      </c>
      <c r="C118" s="32">
        <f t="shared" si="3"/>
        <v>6</v>
      </c>
      <c r="D118" s="31" t="str" cm="1">
        <f t="array" ref="D118">INDEX('Prod-uc1-1'!$Q$10:$W$53,1+B118,C118)</f>
        <v>* differential.element[12].mustSupport = true</v>
      </c>
    </row>
    <row r="119" spans="1:4" x14ac:dyDescent="0.75">
      <c r="A119" s="32">
        <v>91</v>
      </c>
      <c r="B119" s="32">
        <f t="shared" si="2"/>
        <v>12</v>
      </c>
      <c r="C119" s="32">
        <f t="shared" si="3"/>
        <v>7</v>
      </c>
      <c r="D119" s="31" t="str" cm="1">
        <f t="array" ref="D119">INDEX('Prod-uc1-1'!$Q$10:$W$53,1+B119,C119)</f>
        <v>* differential.element[12].short = "[M] Ingredient (e.g. antigen)"</v>
      </c>
    </row>
    <row r="120" spans="1:4" x14ac:dyDescent="0.75">
      <c r="A120" s="32">
        <v>92</v>
      </c>
      <c r="B120" s="32">
        <f t="shared" si="2"/>
        <v>13</v>
      </c>
      <c r="C120" s="32">
        <f t="shared" si="3"/>
        <v>1</v>
      </c>
      <c r="D120" s="31" t="str" cm="1">
        <f t="array" ref="D120">INDEX('Prod-uc1-1'!$Q$10:$W$53,1+B120,C120)</f>
        <v>* differential.element[13].id = "Product.composition.ingredient.substanceName"</v>
      </c>
    </row>
    <row r="121" spans="1:4" x14ac:dyDescent="0.75">
      <c r="A121" s="32">
        <v>93</v>
      </c>
      <c r="B121" s="32">
        <f t="shared" si="2"/>
        <v>13</v>
      </c>
      <c r="C121" s="32">
        <f t="shared" si="3"/>
        <v>2</v>
      </c>
      <c r="D121" s="31" t="str" cm="1">
        <f t="array" ref="D121">INDEX('Prod-uc1-1'!$Q$10:$W$53,1+B121,C121)</f>
        <v>* differential.element[13].path = "Product.composition.ingredient.substanceName"</v>
      </c>
    </row>
    <row r="122" spans="1:4" x14ac:dyDescent="0.75">
      <c r="A122" s="32">
        <v>94</v>
      </c>
      <c r="B122" s="32">
        <f t="shared" si="2"/>
        <v>13</v>
      </c>
      <c r="C122" s="32">
        <f t="shared" si="3"/>
        <v>3</v>
      </c>
      <c r="D122" s="31" t="str" cm="1">
        <f t="array" ref="D122">INDEX('Prod-uc1-1'!$Q$10:$W$53,1+B122,C122)</f>
        <v>* differential.element[13].min = 1</v>
      </c>
    </row>
    <row r="123" spans="1:4" x14ac:dyDescent="0.75">
      <c r="A123" s="32">
        <v>95</v>
      </c>
      <c r="B123" s="32">
        <f t="shared" si="2"/>
        <v>13</v>
      </c>
      <c r="C123" s="32">
        <f t="shared" si="3"/>
        <v>4</v>
      </c>
      <c r="D123" s="31" t="str" cm="1">
        <f t="array" ref="D123">INDEX('Prod-uc1-1'!$Q$10:$W$53,1+B123,C123)</f>
        <v>* differential.element[13].max = "1"</v>
      </c>
    </row>
    <row r="124" spans="1:4" x14ac:dyDescent="0.75">
      <c r="A124" s="32">
        <v>96</v>
      </c>
      <c r="B124" s="32">
        <f t="shared" si="2"/>
        <v>13</v>
      </c>
      <c r="C124" s="32">
        <f t="shared" si="3"/>
        <v>5</v>
      </c>
      <c r="D124" s="31" t="str" cm="1">
        <f t="array" ref="D124">INDEX('Prod-uc1-1'!$Q$10:$W$53,1+B124,C124)</f>
        <v>* differential.element[13].type.code = #string</v>
      </c>
    </row>
    <row r="125" spans="1:4" x14ac:dyDescent="0.75">
      <c r="A125" s="32">
        <v>97</v>
      </c>
      <c r="B125" s="32">
        <f t="shared" si="2"/>
        <v>13</v>
      </c>
      <c r="C125" s="32">
        <f t="shared" si="3"/>
        <v>6</v>
      </c>
      <c r="D125" s="31" t="str" cm="1">
        <f t="array" ref="D125">INDEX('Prod-uc1-1'!$Q$10:$W$53,1+B125,C125)</f>
        <v>* differential.element[13].mustSupport = true</v>
      </c>
    </row>
    <row r="126" spans="1:4" x14ac:dyDescent="0.75">
      <c r="A126" s="32">
        <v>98</v>
      </c>
      <c r="B126" s="32">
        <f t="shared" si="2"/>
        <v>13</v>
      </c>
      <c r="C126" s="32">
        <f t="shared" si="3"/>
        <v>7</v>
      </c>
      <c r="D126" s="31" t="str" cm="1">
        <f t="array" ref="D126">INDEX('Prod-uc1-1'!$Q$10:$W$53,1+B126,C126)</f>
        <v>* differential.element[13].short = "[M] Substance name"</v>
      </c>
    </row>
    <row r="127" spans="1:4" x14ac:dyDescent="0.75">
      <c r="A127" s="32">
        <v>99</v>
      </c>
      <c r="B127" s="32">
        <f t="shared" si="2"/>
        <v>14</v>
      </c>
      <c r="C127" s="32">
        <f t="shared" si="3"/>
        <v>1</v>
      </c>
      <c r="D127" s="31" t="str" cm="1">
        <f t="array" ref="D127">INDEX('Prod-uc1-1'!$Q$10:$W$53,1+B127,C127)</f>
        <v>* differential.element[14].id = "Product.composition.ingredient.substanceCode"</v>
      </c>
    </row>
    <row r="128" spans="1:4" x14ac:dyDescent="0.75">
      <c r="A128" s="32">
        <v>100</v>
      </c>
      <c r="B128" s="32">
        <f t="shared" si="2"/>
        <v>14</v>
      </c>
      <c r="C128" s="32">
        <f t="shared" si="3"/>
        <v>2</v>
      </c>
      <c r="D128" s="31" t="str" cm="1">
        <f t="array" ref="D128">INDEX('Prod-uc1-1'!$Q$10:$W$53,1+B128,C128)</f>
        <v>* differential.element[14].path = "Product.composition.ingredient.substanceCode"</v>
      </c>
    </row>
    <row r="129" spans="1:4" x14ac:dyDescent="0.75">
      <c r="A129" s="32">
        <v>101</v>
      </c>
      <c r="B129" s="32">
        <f t="shared" si="2"/>
        <v>14</v>
      </c>
      <c r="C129" s="32">
        <f t="shared" si="3"/>
        <v>3</v>
      </c>
      <c r="D129" s="31" t="str" cm="1">
        <f t="array" ref="D129">INDEX('Prod-uc1-1'!$Q$10:$W$53,1+B129,C129)</f>
        <v/>
      </c>
    </row>
    <row r="130" spans="1:4" x14ac:dyDescent="0.75">
      <c r="A130" s="32">
        <v>102</v>
      </c>
      <c r="B130" s="32">
        <f t="shared" si="2"/>
        <v>14</v>
      </c>
      <c r="C130" s="32">
        <f t="shared" si="3"/>
        <v>4</v>
      </c>
      <c r="D130" s="31" t="str" cm="1">
        <f t="array" ref="D130">INDEX('Prod-uc1-1'!$Q$10:$W$53,1+B130,C130)</f>
        <v/>
      </c>
    </row>
    <row r="131" spans="1:4" x14ac:dyDescent="0.75">
      <c r="A131" s="32">
        <v>103</v>
      </c>
      <c r="B131" s="32">
        <f t="shared" si="2"/>
        <v>14</v>
      </c>
      <c r="C131" s="32">
        <f t="shared" si="3"/>
        <v>5</v>
      </c>
      <c r="D131" s="31" t="str" cm="1">
        <f t="array" ref="D131">INDEX('Prod-uc1-1'!$Q$10:$W$53,1+B131,C131)</f>
        <v>* differential.element[14].type.code = #CodeableConcept</v>
      </c>
    </row>
    <row r="132" spans="1:4" x14ac:dyDescent="0.75">
      <c r="A132" s="32">
        <v>104</v>
      </c>
      <c r="B132" s="32">
        <f t="shared" si="2"/>
        <v>14</v>
      </c>
      <c r="C132" s="32">
        <f t="shared" si="3"/>
        <v>6</v>
      </c>
      <c r="D132" s="31" t="str" cm="1">
        <f t="array" ref="D132">INDEX('Prod-uc1-1'!$Q$10:$W$53,1+B132,C132)</f>
        <v>* differential.element[14].mustSupport = true</v>
      </c>
    </row>
    <row r="133" spans="1:4" x14ac:dyDescent="0.75">
      <c r="A133" s="32">
        <v>105</v>
      </c>
      <c r="B133" s="32">
        <f t="shared" si="2"/>
        <v>14</v>
      </c>
      <c r="C133" s="32">
        <f t="shared" si="3"/>
        <v>7</v>
      </c>
      <c r="D133" s="31" t="str" cm="1">
        <f t="array" ref="D133">INDEX('Prod-uc1-1'!$Q$10:$W$53,1+B133,C133)</f>
        <v>* differential.element[14].short = "[RK] Substance code"</v>
      </c>
    </row>
    <row r="134" spans="1:4" x14ac:dyDescent="0.75">
      <c r="A134" s="32">
        <v>106</v>
      </c>
      <c r="B134" s="32">
        <f t="shared" si="2"/>
        <v>15</v>
      </c>
      <c r="C134" s="32">
        <f t="shared" si="3"/>
        <v>1</v>
      </c>
      <c r="D134" s="31" t="str" cm="1">
        <f t="array" ref="D134">INDEX('Prod-uc1-1'!$Q$10:$W$53,1+B134,C134)</f>
        <v>* differential.element[15].id = "Product.composition.ingredient.ingredientRole"</v>
      </c>
    </row>
    <row r="135" spans="1:4" x14ac:dyDescent="0.75">
      <c r="A135" s="32">
        <v>107</v>
      </c>
      <c r="B135" s="32">
        <f t="shared" si="2"/>
        <v>15</v>
      </c>
      <c r="C135" s="32">
        <f t="shared" si="3"/>
        <v>2</v>
      </c>
      <c r="D135" s="31" t="str" cm="1">
        <f t="array" ref="D135">INDEX('Prod-uc1-1'!$Q$10:$W$53,1+B135,C135)</f>
        <v>* differential.element[15].path = "Product.composition.ingredient.ingredientRole"</v>
      </c>
    </row>
    <row r="136" spans="1:4" x14ac:dyDescent="0.75">
      <c r="A136" s="32">
        <v>108</v>
      </c>
      <c r="B136" s="32">
        <f t="shared" si="2"/>
        <v>15</v>
      </c>
      <c r="C136" s="32">
        <f t="shared" si="3"/>
        <v>3</v>
      </c>
      <c r="D136" s="31" t="str" cm="1">
        <f t="array" ref="D136">INDEX('Prod-uc1-1'!$Q$10:$W$53,1+B136,C136)</f>
        <v/>
      </c>
    </row>
    <row r="137" spans="1:4" x14ac:dyDescent="0.75">
      <c r="A137" s="32">
        <v>109</v>
      </c>
      <c r="B137" s="32">
        <f t="shared" si="2"/>
        <v>15</v>
      </c>
      <c r="C137" s="32">
        <f t="shared" si="3"/>
        <v>4</v>
      </c>
      <c r="D137" s="31" t="str" cm="1">
        <f t="array" ref="D137">INDEX('Prod-uc1-1'!$Q$10:$W$53,1+B137,C137)</f>
        <v/>
      </c>
    </row>
    <row r="138" spans="1:4" x14ac:dyDescent="0.75">
      <c r="A138" s="32">
        <v>110</v>
      </c>
      <c r="B138" s="32">
        <f t="shared" si="2"/>
        <v>15</v>
      </c>
      <c r="C138" s="32">
        <f t="shared" si="3"/>
        <v>5</v>
      </c>
      <c r="D138" s="31" t="str" cm="1">
        <f t="array" ref="D138">INDEX('Prod-uc1-1'!$Q$10:$W$53,1+B138,C138)</f>
        <v>* differential.element[15].type.code = #CodeableConcept</v>
      </c>
    </row>
    <row r="139" spans="1:4" x14ac:dyDescent="0.75">
      <c r="A139" s="32">
        <v>111</v>
      </c>
      <c r="B139" s="32">
        <f t="shared" si="2"/>
        <v>15</v>
      </c>
      <c r="C139" s="32">
        <f t="shared" si="3"/>
        <v>6</v>
      </c>
      <c r="D139" s="31" t="str" cm="1">
        <f t="array" ref="D139">INDEX('Prod-uc1-1'!$Q$10:$W$53,1+B139,C139)</f>
        <v/>
      </c>
    </row>
    <row r="140" spans="1:4" x14ac:dyDescent="0.75">
      <c r="A140" s="32">
        <v>112</v>
      </c>
      <c r="B140" s="32">
        <f t="shared" si="2"/>
        <v>15</v>
      </c>
      <c r="C140" s="32">
        <f t="shared" si="3"/>
        <v>7</v>
      </c>
      <c r="D140" s="31" t="str" cm="1">
        <f t="array" ref="D140">INDEX('Prod-uc1-1'!$Q$10:$W$53,1+B140,C140)</f>
        <v>* differential.element[15].short = "[O] Ingredient role"</v>
      </c>
    </row>
    <row r="141" spans="1:4" x14ac:dyDescent="0.75">
      <c r="A141" s="32">
        <v>113</v>
      </c>
      <c r="B141" s="32">
        <f t="shared" si="2"/>
        <v>16</v>
      </c>
      <c r="C141" s="32">
        <f t="shared" si="3"/>
        <v>1</v>
      </c>
      <c r="D141" s="31" t="str" cm="1">
        <f t="array" ref="D141">INDEX('Prod-uc1-1'!$Q$10:$W$53,1+B141,C141)</f>
        <v>* differential.element[16].id = "Product.composition.ingredient.substanceQuantity"</v>
      </c>
    </row>
    <row r="142" spans="1:4" x14ac:dyDescent="0.75">
      <c r="A142" s="32">
        <v>114</v>
      </c>
      <c r="B142" s="32">
        <f t="shared" si="2"/>
        <v>16</v>
      </c>
      <c r="C142" s="32">
        <f t="shared" si="3"/>
        <v>2</v>
      </c>
      <c r="D142" s="31" t="str" cm="1">
        <f t="array" ref="D142">INDEX('Prod-uc1-1'!$Q$10:$W$53,1+B142,C142)</f>
        <v>* differential.element[16].path = "Product.composition.ingredient.substanceQuantity"</v>
      </c>
    </row>
    <row r="143" spans="1:4" x14ac:dyDescent="0.75">
      <c r="A143" s="32">
        <v>115</v>
      </c>
      <c r="B143" s="32">
        <f t="shared" si="2"/>
        <v>16</v>
      </c>
      <c r="C143" s="32">
        <f t="shared" si="3"/>
        <v>3</v>
      </c>
      <c r="D143" s="31" t="str" cm="1">
        <f t="array" ref="D143">INDEX('Prod-uc1-1'!$Q$10:$W$53,1+B143,C143)</f>
        <v/>
      </c>
    </row>
    <row r="144" spans="1:4" x14ac:dyDescent="0.75">
      <c r="A144" s="32">
        <v>116</v>
      </c>
      <c r="B144" s="32">
        <f t="shared" si="2"/>
        <v>16</v>
      </c>
      <c r="C144" s="32">
        <f t="shared" si="3"/>
        <v>4</v>
      </c>
      <c r="D144" s="31" t="str" cm="1">
        <f t="array" ref="D144">INDEX('Prod-uc1-1'!$Q$10:$W$53,1+B144,C144)</f>
        <v/>
      </c>
    </row>
    <row r="145" spans="1:4" x14ac:dyDescent="0.75">
      <c r="A145" s="32">
        <v>117</v>
      </c>
      <c r="B145" s="32">
        <f t="shared" si="2"/>
        <v>16</v>
      </c>
      <c r="C145" s="32">
        <f t="shared" si="3"/>
        <v>5</v>
      </c>
      <c r="D145" s="31" t="str" cm="1">
        <f t="array" ref="D145">INDEX('Prod-uc1-1'!$Q$10:$W$53,1+B145,C145)</f>
        <v>* differential.element[16].type.code = #Ratio</v>
      </c>
    </row>
    <row r="146" spans="1:4" x14ac:dyDescent="0.75">
      <c r="A146" s="32">
        <v>118</v>
      </c>
      <c r="B146" s="32">
        <f t="shared" si="2"/>
        <v>16</v>
      </c>
      <c r="C146" s="32">
        <f t="shared" si="3"/>
        <v>6</v>
      </c>
      <c r="D146" s="31" t="str" cm="1">
        <f t="array" ref="D146">INDEX('Prod-uc1-1'!$Q$10:$W$53,1+B146,C146)</f>
        <v/>
      </c>
    </row>
    <row r="147" spans="1:4" x14ac:dyDescent="0.75">
      <c r="A147" s="32">
        <v>119</v>
      </c>
      <c r="B147" s="32">
        <f t="shared" si="2"/>
        <v>16</v>
      </c>
      <c r="C147" s="32">
        <f t="shared" si="3"/>
        <v>7</v>
      </c>
      <c r="D147" s="31" t="str" cm="1">
        <f t="array" ref="D147">INDEX('Prod-uc1-1'!$Q$10:$W$53,1+B147,C147)</f>
        <v>* differential.element[16].short = "[O] Substance quantity"</v>
      </c>
    </row>
    <row r="148" spans="1:4" x14ac:dyDescent="0.75">
      <c r="A148" s="32">
        <v>120</v>
      </c>
      <c r="B148" s="32">
        <f t="shared" si="2"/>
        <v>17</v>
      </c>
      <c r="C148" s="32">
        <f t="shared" si="3"/>
        <v>1</v>
      </c>
      <c r="D148" s="31" t="str" cm="1">
        <f t="array" ref="D148">INDEX('Prod-uc1-1'!$Q$10:$W$53,1+B148,C148)</f>
        <v>* differential.element[17].id = "Product.composition.description"</v>
      </c>
    </row>
    <row r="149" spans="1:4" x14ac:dyDescent="0.75">
      <c r="A149" s="32">
        <v>121</v>
      </c>
      <c r="B149" s="32">
        <f t="shared" si="2"/>
        <v>17</v>
      </c>
      <c r="C149" s="32">
        <f t="shared" si="3"/>
        <v>2</v>
      </c>
      <c r="D149" s="31" t="str" cm="1">
        <f t="array" ref="D149">INDEX('Prod-uc1-1'!$Q$10:$W$53,1+B149,C149)</f>
        <v>* differential.element[17].path = "Product.composition.description"</v>
      </c>
    </row>
    <row r="150" spans="1:4" x14ac:dyDescent="0.75">
      <c r="A150" s="32">
        <v>122</v>
      </c>
      <c r="B150" s="32">
        <f t="shared" si="2"/>
        <v>17</v>
      </c>
      <c r="C150" s="32">
        <f t="shared" si="3"/>
        <v>3</v>
      </c>
      <c r="D150" s="31" t="str" cm="1">
        <f t="array" ref="D150">INDEX('Prod-uc1-1'!$Q$10:$W$53,1+B150,C150)</f>
        <v/>
      </c>
    </row>
    <row r="151" spans="1:4" x14ac:dyDescent="0.75">
      <c r="A151" s="32">
        <v>123</v>
      </c>
      <c r="B151" s="32">
        <f t="shared" si="2"/>
        <v>17</v>
      </c>
      <c r="C151" s="32">
        <f t="shared" si="3"/>
        <v>4</v>
      </c>
      <c r="D151" s="31" t="str" cm="1">
        <f t="array" ref="D151">INDEX('Prod-uc1-1'!$Q$10:$W$53,1+B151,C151)</f>
        <v/>
      </c>
    </row>
    <row r="152" spans="1:4" x14ac:dyDescent="0.75">
      <c r="A152" s="32">
        <v>124</v>
      </c>
      <c r="B152" s="32">
        <f t="shared" si="2"/>
        <v>17</v>
      </c>
      <c r="C152" s="32">
        <f t="shared" si="3"/>
        <v>5</v>
      </c>
      <c r="D152" s="31" t="str" cm="1">
        <f t="array" ref="D152">INDEX('Prod-uc1-1'!$Q$10:$W$53,1+B152,C152)</f>
        <v>* differential.element[17].type.code = #string</v>
      </c>
    </row>
    <row r="153" spans="1:4" x14ac:dyDescent="0.75">
      <c r="A153" s="32">
        <v>125</v>
      </c>
      <c r="B153" s="32">
        <f t="shared" si="2"/>
        <v>17</v>
      </c>
      <c r="C153" s="32">
        <f t="shared" si="3"/>
        <v>6</v>
      </c>
      <c r="D153" s="31" t="str" cm="1">
        <f t="array" ref="D153">INDEX('Prod-uc1-1'!$Q$10:$W$53,1+B153,C153)</f>
        <v/>
      </c>
    </row>
    <row r="154" spans="1:4" x14ac:dyDescent="0.75">
      <c r="A154" s="32">
        <v>126</v>
      </c>
      <c r="B154" s="32">
        <f t="shared" si="2"/>
        <v>17</v>
      </c>
      <c r="C154" s="32">
        <f t="shared" si="3"/>
        <v>7</v>
      </c>
      <c r="D154" s="31" t="str" cm="1">
        <f t="array" ref="D154">INDEX('Prod-uc1-1'!$Q$10:$W$53,1+B154,C154)</f>
        <v>* differential.element[17].short = "[O] Composition (textual tescription)"</v>
      </c>
    </row>
    <row r="155" spans="1:4" x14ac:dyDescent="0.75">
      <c r="A155" s="32">
        <v>127</v>
      </c>
      <c r="B155" s="32">
        <f t="shared" si="2"/>
        <v>18</v>
      </c>
      <c r="C155" s="32">
        <f t="shared" si="3"/>
        <v>1</v>
      </c>
      <c r="D155" s="31" t="str" cm="1">
        <f t="array" ref="D155">INDEX('Prod-uc1-1'!$Q$10:$W$53,1+B155,C155)</f>
        <v>* differential.element[18].id = "Product.marketAuthorizationHolder"</v>
      </c>
    </row>
    <row r="156" spans="1:4" x14ac:dyDescent="0.75">
      <c r="A156" s="32">
        <v>128</v>
      </c>
      <c r="B156" s="32">
        <f t="shared" si="2"/>
        <v>18</v>
      </c>
      <c r="C156" s="32">
        <f t="shared" si="3"/>
        <v>2</v>
      </c>
      <c r="D156" s="31" t="str" cm="1">
        <f t="array" ref="D156">INDEX('Prod-uc1-1'!$Q$10:$W$53,1+B156,C156)</f>
        <v>* differential.element[18].path = "Product.marketAuthorizationHolder"</v>
      </c>
    </row>
    <row r="157" spans="1:4" x14ac:dyDescent="0.75">
      <c r="A157" s="32">
        <v>129</v>
      </c>
      <c r="B157" s="32">
        <f t="shared" ref="B157:B220" si="4">IF(MOD(A157,$B$6)=0,A157/$B$6-1,INT(A157/$B$6))</f>
        <v>18</v>
      </c>
      <c r="C157" s="32">
        <f t="shared" ref="C157:C220" si="5">IF(MOD(A157,$B$6)=0,$B$6,MOD(A157,$B$6))</f>
        <v>3</v>
      </c>
      <c r="D157" s="31" t="str" cm="1">
        <f t="array" ref="D157">INDEX('Prod-uc1-1'!$Q$10:$W$53,1+B157,C157)</f>
        <v/>
      </c>
    </row>
    <row r="158" spans="1:4" x14ac:dyDescent="0.75">
      <c r="A158" s="32">
        <v>130</v>
      </c>
      <c r="B158" s="32">
        <f t="shared" si="4"/>
        <v>18</v>
      </c>
      <c r="C158" s="32">
        <f t="shared" si="5"/>
        <v>4</v>
      </c>
      <c r="D158" s="31" t="str" cm="1">
        <f t="array" ref="D158">INDEX('Prod-uc1-1'!$Q$10:$W$53,1+B158,C158)</f>
        <v/>
      </c>
    </row>
    <row r="159" spans="1:4" x14ac:dyDescent="0.75">
      <c r="A159" s="32">
        <v>131</v>
      </c>
      <c r="B159" s="32">
        <f t="shared" si="4"/>
        <v>18</v>
      </c>
      <c r="C159" s="32">
        <f t="shared" si="5"/>
        <v>5</v>
      </c>
      <c r="D159" s="31" t="str" cm="1">
        <f t="array" ref="D159">INDEX('Prod-uc1-1'!$Q$10:$W$53,1+B159,C159)</f>
        <v>* differential.element[18].type.code = #http://iso.org/fhir/ts-5384/StructureDefinition/SimpleOrganization</v>
      </c>
    </row>
    <row r="160" spans="1:4" x14ac:dyDescent="0.75">
      <c r="A160" s="32">
        <v>132</v>
      </c>
      <c r="B160" s="32">
        <f t="shared" si="4"/>
        <v>18</v>
      </c>
      <c r="C160" s="32">
        <f t="shared" si="5"/>
        <v>6</v>
      </c>
      <c r="D160" s="31" t="str" cm="1">
        <f t="array" ref="D160">INDEX('Prod-uc1-1'!$Q$10:$W$53,1+B160,C160)</f>
        <v>* differential.element[18].mustSupport = true</v>
      </c>
    </row>
    <row r="161" spans="1:4" x14ac:dyDescent="0.75">
      <c r="A161" s="32">
        <v>133</v>
      </c>
      <c r="B161" s="32">
        <f t="shared" si="4"/>
        <v>18</v>
      </c>
      <c r="C161" s="32">
        <f t="shared" si="5"/>
        <v>7</v>
      </c>
      <c r="D161" s="31" t="str" cm="1">
        <f t="array" ref="D161">INDEX('Prod-uc1-1'!$Q$10:$W$53,1+B161,C161)</f>
        <v>* differential.element[18].short = "[RK] Market Authorization Holder (MAH)"</v>
      </c>
    </row>
    <row r="162" spans="1:4" x14ac:dyDescent="0.75">
      <c r="A162" s="32">
        <v>134</v>
      </c>
      <c r="B162" s="32">
        <f t="shared" si="4"/>
        <v>19</v>
      </c>
      <c r="C162" s="32">
        <f t="shared" si="5"/>
        <v>1</v>
      </c>
      <c r="D162" s="31" t="str" cm="1">
        <f t="array" ref="D162">INDEX('Prod-uc1-1'!$Q$10:$W$53,1+B162,C162)</f>
        <v>* differential.element[19].id = "Product.manufacturer"</v>
      </c>
    </row>
    <row r="163" spans="1:4" x14ac:dyDescent="0.75">
      <c r="A163" s="32">
        <v>135</v>
      </c>
      <c r="B163" s="32">
        <f t="shared" si="4"/>
        <v>19</v>
      </c>
      <c r="C163" s="32">
        <f t="shared" si="5"/>
        <v>2</v>
      </c>
      <c r="D163" s="31" t="str" cm="1">
        <f t="array" ref="D163">INDEX('Prod-uc1-1'!$Q$10:$W$53,1+B163,C163)</f>
        <v>* differential.element[19].path = "Product.manufacturer"</v>
      </c>
    </row>
    <row r="164" spans="1:4" x14ac:dyDescent="0.75">
      <c r="A164" s="32">
        <v>136</v>
      </c>
      <c r="B164" s="32">
        <f t="shared" si="4"/>
        <v>19</v>
      </c>
      <c r="C164" s="32">
        <f t="shared" si="5"/>
        <v>3</v>
      </c>
      <c r="D164" s="31" t="str" cm="1">
        <f t="array" ref="D164">INDEX('Prod-uc1-1'!$Q$10:$W$53,1+B164,C164)</f>
        <v/>
      </c>
    </row>
    <row r="165" spans="1:4" x14ac:dyDescent="0.75">
      <c r="A165" s="32">
        <v>137</v>
      </c>
      <c r="B165" s="32">
        <f t="shared" si="4"/>
        <v>19</v>
      </c>
      <c r="C165" s="32">
        <f t="shared" si="5"/>
        <v>4</v>
      </c>
      <c r="D165" s="31" t="str" cm="1">
        <f t="array" ref="D165">INDEX('Prod-uc1-1'!$Q$10:$W$53,1+B165,C165)</f>
        <v/>
      </c>
    </row>
    <row r="166" spans="1:4" x14ac:dyDescent="0.75">
      <c r="A166" s="32">
        <v>138</v>
      </c>
      <c r="B166" s="32">
        <f t="shared" si="4"/>
        <v>19</v>
      </c>
      <c r="C166" s="32">
        <f t="shared" si="5"/>
        <v>5</v>
      </c>
      <c r="D166" s="31" t="str" cm="1">
        <f t="array" ref="D166">INDEX('Prod-uc1-1'!$Q$10:$W$53,1+B166,C166)</f>
        <v>* differential.element[19].type.code = #http://iso.org/fhir/ts-5384/StructureDefinition/SimpleOrganization</v>
      </c>
    </row>
    <row r="167" spans="1:4" x14ac:dyDescent="0.75">
      <c r="A167" s="32">
        <v>139</v>
      </c>
      <c r="B167" s="32">
        <f t="shared" si="4"/>
        <v>19</v>
      </c>
      <c r="C167" s="32">
        <f t="shared" si="5"/>
        <v>6</v>
      </c>
      <c r="D167" s="31" t="str" cm="1">
        <f t="array" ref="D167">INDEX('Prod-uc1-1'!$Q$10:$W$53,1+B167,C167)</f>
        <v>* differential.element[19].mustSupport = true</v>
      </c>
    </row>
    <row r="168" spans="1:4" x14ac:dyDescent="0.75">
      <c r="A168" s="32">
        <v>140</v>
      </c>
      <c r="B168" s="32">
        <f t="shared" si="4"/>
        <v>19</v>
      </c>
      <c r="C168" s="32">
        <f t="shared" si="5"/>
        <v>7</v>
      </c>
      <c r="D168" s="31" t="str" cm="1">
        <f t="array" ref="D168">INDEX('Prod-uc1-1'!$Q$10:$W$53,1+B168,C168)</f>
        <v>* differential.element[19].short = "[RK] manufacturer"</v>
      </c>
    </row>
    <row r="169" spans="1:4" x14ac:dyDescent="0.75">
      <c r="A169" s="32">
        <v>141</v>
      </c>
      <c r="B169" s="32">
        <f t="shared" si="4"/>
        <v>20</v>
      </c>
      <c r="C169" s="32">
        <f t="shared" si="5"/>
        <v>1</v>
      </c>
      <c r="D169" s="31" t="str" cm="1">
        <f t="array" ref="D169">INDEX('Prod-uc1-1'!$Q$10:$W$53,1+B169,C169)</f>
        <v>* differential.element[20].id = "Product.expiryDate"</v>
      </c>
    </row>
    <row r="170" spans="1:4" x14ac:dyDescent="0.75">
      <c r="A170" s="32">
        <v>142</v>
      </c>
      <c r="B170" s="32">
        <f t="shared" si="4"/>
        <v>20</v>
      </c>
      <c r="C170" s="32">
        <f t="shared" si="5"/>
        <v>2</v>
      </c>
      <c r="D170" s="31" t="str" cm="1">
        <f t="array" ref="D170">INDEX('Prod-uc1-1'!$Q$10:$W$53,1+B170,C170)</f>
        <v>* differential.element[20].path = "Product.expiryDate"</v>
      </c>
    </row>
    <row r="171" spans="1:4" x14ac:dyDescent="0.75">
      <c r="A171" s="32">
        <v>143</v>
      </c>
      <c r="B171" s="32">
        <f t="shared" si="4"/>
        <v>20</v>
      </c>
      <c r="C171" s="32">
        <f t="shared" si="5"/>
        <v>3</v>
      </c>
      <c r="D171" s="31" t="str" cm="1">
        <f t="array" ref="D171">INDEX('Prod-uc1-1'!$Q$10:$W$53,1+B171,C171)</f>
        <v/>
      </c>
    </row>
    <row r="172" spans="1:4" x14ac:dyDescent="0.75">
      <c r="A172" s="32">
        <v>144</v>
      </c>
      <c r="B172" s="32">
        <f t="shared" si="4"/>
        <v>20</v>
      </c>
      <c r="C172" s="32">
        <f t="shared" si="5"/>
        <v>4</v>
      </c>
      <c r="D172" s="31" t="str" cm="1">
        <f t="array" ref="D172">INDEX('Prod-uc1-1'!$Q$10:$W$53,1+B172,C172)</f>
        <v/>
      </c>
    </row>
    <row r="173" spans="1:4" x14ac:dyDescent="0.75">
      <c r="A173" s="32">
        <v>145</v>
      </c>
      <c r="B173" s="32">
        <f t="shared" si="4"/>
        <v>20</v>
      </c>
      <c r="C173" s="32">
        <f t="shared" si="5"/>
        <v>5</v>
      </c>
      <c r="D173" s="31" t="str" cm="1">
        <f t="array" ref="D173">INDEX('Prod-uc1-1'!$Q$10:$W$53,1+B173,C173)</f>
        <v>* differential.element[20].type.code = #date</v>
      </c>
    </row>
    <row r="174" spans="1:4" x14ac:dyDescent="0.75">
      <c r="A174" s="32">
        <v>146</v>
      </c>
      <c r="B174" s="32">
        <f t="shared" si="4"/>
        <v>20</v>
      </c>
      <c r="C174" s="32">
        <f t="shared" si="5"/>
        <v>6</v>
      </c>
      <c r="D174" s="31" t="str" cm="1">
        <f t="array" ref="D174">INDEX('Prod-uc1-1'!$Q$10:$W$53,1+B174,C174)</f>
        <v>* differential.element[20].mustSupport = true</v>
      </c>
    </row>
    <row r="175" spans="1:4" x14ac:dyDescent="0.75">
      <c r="A175" s="32">
        <v>147</v>
      </c>
      <c r="B175" s="32">
        <f t="shared" si="4"/>
        <v>20</v>
      </c>
      <c r="C175" s="32">
        <f t="shared" si="5"/>
        <v>7</v>
      </c>
      <c r="D175" s="31" t="str" cm="1">
        <f t="array" ref="D175">INDEX('Prod-uc1-1'!$Q$10:$W$53,1+B175,C175)</f>
        <v>* differential.element[20].short = "[RK] Expiry Date"</v>
      </c>
    </row>
    <row r="176" spans="1:4" x14ac:dyDescent="0.75">
      <c r="A176" s="32">
        <v>148</v>
      </c>
      <c r="B176" s="32">
        <f t="shared" si="4"/>
        <v>21</v>
      </c>
      <c r="C176" s="32">
        <f t="shared" si="5"/>
        <v>1</v>
      </c>
      <c r="D176" s="31" t="str" cm="1">
        <f t="array" ref="D176">INDEX('Prod-uc1-1'!$Q$10:$W$53,1+B176,C176)</f>
        <v/>
      </c>
    </row>
    <row r="177" spans="1:4" x14ac:dyDescent="0.75">
      <c r="A177" s="32">
        <v>149</v>
      </c>
      <c r="B177" s="32">
        <f t="shared" si="4"/>
        <v>21</v>
      </c>
      <c r="C177" s="32">
        <f t="shared" si="5"/>
        <v>2</v>
      </c>
      <c r="D177" s="31" t="str" cm="1">
        <f t="array" ref="D177">INDEX('Prod-uc1-1'!$Q$10:$W$53,1+B177,C177)</f>
        <v/>
      </c>
    </row>
    <row r="178" spans="1:4" x14ac:dyDescent="0.75">
      <c r="A178" s="32">
        <v>150</v>
      </c>
      <c r="B178" s="32">
        <f t="shared" si="4"/>
        <v>21</v>
      </c>
      <c r="C178" s="32">
        <f t="shared" si="5"/>
        <v>3</v>
      </c>
      <c r="D178" s="31" t="str" cm="1">
        <f t="array" ref="D178">INDEX('Prod-uc1-1'!$Q$10:$W$53,1+B178,C178)</f>
        <v/>
      </c>
    </row>
    <row r="179" spans="1:4" x14ac:dyDescent="0.75">
      <c r="A179" s="32">
        <v>151</v>
      </c>
      <c r="B179" s="32">
        <f t="shared" si="4"/>
        <v>21</v>
      </c>
      <c r="C179" s="32">
        <f t="shared" si="5"/>
        <v>4</v>
      </c>
      <c r="D179" s="31" t="str" cm="1">
        <f t="array" ref="D179">INDEX('Prod-uc1-1'!$Q$10:$W$53,1+B179,C179)</f>
        <v/>
      </c>
    </row>
    <row r="180" spans="1:4" x14ac:dyDescent="0.75">
      <c r="A180" s="32">
        <v>152</v>
      </c>
      <c r="B180" s="32">
        <f t="shared" si="4"/>
        <v>21</v>
      </c>
      <c r="C180" s="32">
        <f t="shared" si="5"/>
        <v>5</v>
      </c>
      <c r="D180" s="31" t="str" cm="1">
        <f t="array" ref="D180">INDEX('Prod-uc1-1'!$Q$10:$W$53,1+B180,C180)</f>
        <v/>
      </c>
    </row>
    <row r="181" spans="1:4" x14ac:dyDescent="0.75">
      <c r="A181" s="32">
        <v>153</v>
      </c>
      <c r="B181" s="32">
        <f t="shared" si="4"/>
        <v>21</v>
      </c>
      <c r="C181" s="32">
        <f t="shared" si="5"/>
        <v>6</v>
      </c>
      <c r="D181" s="31" t="str" cm="1">
        <f t="array" ref="D181">INDEX('Prod-uc1-1'!$Q$10:$W$53,1+B181,C181)</f>
        <v/>
      </c>
    </row>
    <row r="182" spans="1:4" x14ac:dyDescent="0.75">
      <c r="A182" s="32">
        <v>154</v>
      </c>
      <c r="B182" s="32">
        <f t="shared" si="4"/>
        <v>21</v>
      </c>
      <c r="C182" s="32">
        <f t="shared" si="5"/>
        <v>7</v>
      </c>
      <c r="D182" s="31" t="str" cm="1">
        <f t="array" ref="D182">INDEX('Prod-uc1-1'!$Q$10:$W$53,1+B182,C182)</f>
        <v/>
      </c>
    </row>
    <row r="183" spans="1:4" x14ac:dyDescent="0.75">
      <c r="A183" s="32">
        <v>155</v>
      </c>
      <c r="B183" s="32">
        <f t="shared" si="4"/>
        <v>22</v>
      </c>
      <c r="C183" s="32">
        <f t="shared" si="5"/>
        <v>1</v>
      </c>
      <c r="D183" s="31" t="str" cm="1">
        <f t="array" ref="D183">INDEX('Prod-uc1-1'!$Q$10:$W$53,1+B183,C183)</f>
        <v/>
      </c>
    </row>
    <row r="184" spans="1:4" x14ac:dyDescent="0.75">
      <c r="A184" s="32">
        <v>156</v>
      </c>
      <c r="B184" s="32">
        <f t="shared" si="4"/>
        <v>22</v>
      </c>
      <c r="C184" s="32">
        <f t="shared" si="5"/>
        <v>2</v>
      </c>
      <c r="D184" s="31" t="str" cm="1">
        <f t="array" ref="D184">INDEX('Prod-uc1-1'!$Q$10:$W$53,1+B184,C184)</f>
        <v/>
      </c>
    </row>
    <row r="185" spans="1:4" x14ac:dyDescent="0.75">
      <c r="A185" s="32">
        <v>157</v>
      </c>
      <c r="B185" s="32">
        <f t="shared" si="4"/>
        <v>22</v>
      </c>
      <c r="C185" s="32">
        <f t="shared" si="5"/>
        <v>3</v>
      </c>
      <c r="D185" s="31" t="str" cm="1">
        <f t="array" ref="D185">INDEX('Prod-uc1-1'!$Q$10:$W$53,1+B185,C185)</f>
        <v/>
      </c>
    </row>
    <row r="186" spans="1:4" x14ac:dyDescent="0.75">
      <c r="A186" s="32">
        <v>158</v>
      </c>
      <c r="B186" s="32">
        <f t="shared" si="4"/>
        <v>22</v>
      </c>
      <c r="C186" s="32">
        <f t="shared" si="5"/>
        <v>4</v>
      </c>
      <c r="D186" s="31" t="str" cm="1">
        <f t="array" ref="D186">INDEX('Prod-uc1-1'!$Q$10:$W$53,1+B186,C186)</f>
        <v/>
      </c>
    </row>
    <row r="187" spans="1:4" x14ac:dyDescent="0.75">
      <c r="A187" s="32">
        <v>159</v>
      </c>
      <c r="B187" s="32">
        <f t="shared" si="4"/>
        <v>22</v>
      </c>
      <c r="C187" s="32">
        <f t="shared" si="5"/>
        <v>5</v>
      </c>
      <c r="D187" s="31" t="str" cm="1">
        <f t="array" ref="D187">INDEX('Prod-uc1-1'!$Q$10:$W$53,1+B187,C187)</f>
        <v/>
      </c>
    </row>
    <row r="188" spans="1:4" x14ac:dyDescent="0.75">
      <c r="A188" s="32">
        <v>160</v>
      </c>
      <c r="B188" s="32">
        <f t="shared" si="4"/>
        <v>22</v>
      </c>
      <c r="C188" s="32">
        <f t="shared" si="5"/>
        <v>6</v>
      </c>
      <c r="D188" s="31" t="str" cm="1">
        <f t="array" ref="D188">INDEX('Prod-uc1-1'!$Q$10:$W$53,1+B188,C188)</f>
        <v/>
      </c>
    </row>
    <row r="189" spans="1:4" x14ac:dyDescent="0.75">
      <c r="A189" s="32">
        <v>161</v>
      </c>
      <c r="B189" s="32">
        <f t="shared" si="4"/>
        <v>22</v>
      </c>
      <c r="C189" s="32">
        <f t="shared" si="5"/>
        <v>7</v>
      </c>
      <c r="D189" s="31" t="str" cm="1">
        <f t="array" ref="D189">INDEX('Prod-uc1-1'!$Q$10:$W$53,1+B189,C189)</f>
        <v/>
      </c>
    </row>
    <row r="190" spans="1:4" x14ac:dyDescent="0.75">
      <c r="A190" s="32">
        <v>162</v>
      </c>
      <c r="B190" s="32">
        <f t="shared" si="4"/>
        <v>23</v>
      </c>
      <c r="C190" s="32">
        <f t="shared" si="5"/>
        <v>1</v>
      </c>
      <c r="D190" s="31" t="str" cm="1">
        <f t="array" ref="D190">INDEX('Prod-uc1-1'!$Q$10:$W$53,1+B190,C190)</f>
        <v/>
      </c>
    </row>
    <row r="191" spans="1:4" x14ac:dyDescent="0.75">
      <c r="A191" s="32">
        <v>163</v>
      </c>
      <c r="B191" s="32">
        <f t="shared" si="4"/>
        <v>23</v>
      </c>
      <c r="C191" s="32">
        <f t="shared" si="5"/>
        <v>2</v>
      </c>
      <c r="D191" s="31" t="str" cm="1">
        <f t="array" ref="D191">INDEX('Prod-uc1-1'!$Q$10:$W$53,1+B191,C191)</f>
        <v/>
      </c>
    </row>
    <row r="192" spans="1:4" x14ac:dyDescent="0.75">
      <c r="A192" s="32">
        <v>164</v>
      </c>
      <c r="B192" s="32">
        <f t="shared" si="4"/>
        <v>23</v>
      </c>
      <c r="C192" s="32">
        <f t="shared" si="5"/>
        <v>3</v>
      </c>
      <c r="D192" s="31" t="str" cm="1">
        <f t="array" ref="D192">INDEX('Prod-uc1-1'!$Q$10:$W$53,1+B192,C192)</f>
        <v/>
      </c>
    </row>
    <row r="193" spans="1:4" x14ac:dyDescent="0.75">
      <c r="A193" s="32">
        <v>165</v>
      </c>
      <c r="B193" s="32">
        <f t="shared" si="4"/>
        <v>23</v>
      </c>
      <c r="C193" s="32">
        <f t="shared" si="5"/>
        <v>4</v>
      </c>
      <c r="D193" s="31" t="str" cm="1">
        <f t="array" ref="D193">INDEX('Prod-uc1-1'!$Q$10:$W$53,1+B193,C193)</f>
        <v/>
      </c>
    </row>
    <row r="194" spans="1:4" x14ac:dyDescent="0.75">
      <c r="A194" s="32">
        <v>166</v>
      </c>
      <c r="B194" s="32">
        <f t="shared" si="4"/>
        <v>23</v>
      </c>
      <c r="C194" s="32">
        <f t="shared" si="5"/>
        <v>5</v>
      </c>
      <c r="D194" s="31" t="str" cm="1">
        <f t="array" ref="D194">INDEX('Prod-uc1-1'!$Q$10:$W$53,1+B194,C194)</f>
        <v/>
      </c>
    </row>
    <row r="195" spans="1:4" x14ac:dyDescent="0.75">
      <c r="A195" s="32">
        <v>167</v>
      </c>
      <c r="B195" s="32">
        <f t="shared" si="4"/>
        <v>23</v>
      </c>
      <c r="C195" s="32">
        <f t="shared" si="5"/>
        <v>6</v>
      </c>
      <c r="D195" s="31" t="str" cm="1">
        <f t="array" ref="D195">INDEX('Prod-uc1-1'!$Q$10:$W$53,1+B195,C195)</f>
        <v/>
      </c>
    </row>
    <row r="196" spans="1:4" x14ac:dyDescent="0.75">
      <c r="A196" s="32">
        <v>168</v>
      </c>
      <c r="B196" s="32">
        <f t="shared" si="4"/>
        <v>23</v>
      </c>
      <c r="C196" s="32">
        <f t="shared" si="5"/>
        <v>7</v>
      </c>
      <c r="D196" s="31" t="str" cm="1">
        <f t="array" ref="D196">INDEX('Prod-uc1-1'!$Q$10:$W$53,1+B196,C196)</f>
        <v/>
      </c>
    </row>
    <row r="197" spans="1:4" x14ac:dyDescent="0.75">
      <c r="A197" s="32">
        <v>169</v>
      </c>
      <c r="B197" s="32">
        <f t="shared" si="4"/>
        <v>24</v>
      </c>
      <c r="C197" s="32">
        <f t="shared" si="5"/>
        <v>1</v>
      </c>
      <c r="D197" s="31" t="str" cm="1">
        <f t="array" ref="D197">INDEX('Prod-uc1-1'!$Q$10:$W$53,1+B197,C197)</f>
        <v/>
      </c>
    </row>
    <row r="198" spans="1:4" x14ac:dyDescent="0.75">
      <c r="A198" s="32">
        <v>170</v>
      </c>
      <c r="B198" s="32">
        <f t="shared" si="4"/>
        <v>24</v>
      </c>
      <c r="C198" s="32">
        <f t="shared" si="5"/>
        <v>2</v>
      </c>
      <c r="D198" s="31" t="str" cm="1">
        <f t="array" ref="D198">INDEX('Prod-uc1-1'!$Q$10:$W$53,1+B198,C198)</f>
        <v/>
      </c>
    </row>
    <row r="199" spans="1:4" x14ac:dyDescent="0.75">
      <c r="A199" s="32">
        <v>171</v>
      </c>
      <c r="B199" s="32">
        <f t="shared" si="4"/>
        <v>24</v>
      </c>
      <c r="C199" s="32">
        <f t="shared" si="5"/>
        <v>3</v>
      </c>
      <c r="D199" s="31" t="str" cm="1">
        <f t="array" ref="D199">INDEX('Prod-uc1-1'!$Q$10:$W$53,1+B199,C199)</f>
        <v/>
      </c>
    </row>
    <row r="200" spans="1:4" x14ac:dyDescent="0.75">
      <c r="A200" s="32">
        <v>172</v>
      </c>
      <c r="B200" s="32">
        <f t="shared" si="4"/>
        <v>24</v>
      </c>
      <c r="C200" s="32">
        <f t="shared" si="5"/>
        <v>4</v>
      </c>
      <c r="D200" s="31" t="str" cm="1">
        <f t="array" ref="D200">INDEX('Prod-uc1-1'!$Q$10:$W$53,1+B200,C200)</f>
        <v/>
      </c>
    </row>
    <row r="201" spans="1:4" x14ac:dyDescent="0.75">
      <c r="A201" s="32">
        <v>173</v>
      </c>
      <c r="B201" s="32">
        <f t="shared" si="4"/>
        <v>24</v>
      </c>
      <c r="C201" s="32">
        <f t="shared" si="5"/>
        <v>5</v>
      </c>
      <c r="D201" s="31" t="str" cm="1">
        <f t="array" ref="D201">INDEX('Prod-uc1-1'!$Q$10:$W$53,1+B201,C201)</f>
        <v/>
      </c>
    </row>
    <row r="202" spans="1:4" x14ac:dyDescent="0.75">
      <c r="A202" s="32">
        <v>174</v>
      </c>
      <c r="B202" s="32">
        <f t="shared" si="4"/>
        <v>24</v>
      </c>
      <c r="C202" s="32">
        <f t="shared" si="5"/>
        <v>6</v>
      </c>
      <c r="D202" s="31" t="str" cm="1">
        <f t="array" ref="D202">INDEX('Prod-uc1-1'!$Q$10:$W$53,1+B202,C202)</f>
        <v/>
      </c>
    </row>
    <row r="203" spans="1:4" x14ac:dyDescent="0.75">
      <c r="A203" s="32">
        <v>175</v>
      </c>
      <c r="B203" s="32">
        <f t="shared" si="4"/>
        <v>24</v>
      </c>
      <c r="C203" s="32">
        <f t="shared" si="5"/>
        <v>7</v>
      </c>
      <c r="D203" s="31" t="str" cm="1">
        <f t="array" ref="D203">INDEX('Prod-uc1-1'!$Q$10:$W$53,1+B203,C203)</f>
        <v/>
      </c>
    </row>
    <row r="204" spans="1:4" x14ac:dyDescent="0.75">
      <c r="A204" s="32">
        <v>176</v>
      </c>
      <c r="B204" s="32">
        <f t="shared" si="4"/>
        <v>25</v>
      </c>
      <c r="C204" s="32">
        <f t="shared" si="5"/>
        <v>1</v>
      </c>
      <c r="D204" s="31" t="str" cm="1">
        <f t="array" ref="D204">INDEX('Prod-uc1-1'!$Q$10:$W$53,1+B204,C204)</f>
        <v/>
      </c>
    </row>
    <row r="205" spans="1:4" x14ac:dyDescent="0.75">
      <c r="A205" s="32">
        <v>177</v>
      </c>
      <c r="B205" s="32">
        <f t="shared" si="4"/>
        <v>25</v>
      </c>
      <c r="C205" s="32">
        <f t="shared" si="5"/>
        <v>2</v>
      </c>
      <c r="D205" s="31" t="str" cm="1">
        <f t="array" ref="D205">INDEX('Prod-uc1-1'!$Q$10:$W$53,1+B205,C205)</f>
        <v/>
      </c>
    </row>
    <row r="206" spans="1:4" x14ac:dyDescent="0.75">
      <c r="A206" s="32">
        <v>178</v>
      </c>
      <c r="B206" s="32">
        <f t="shared" si="4"/>
        <v>25</v>
      </c>
      <c r="C206" s="32">
        <f t="shared" si="5"/>
        <v>3</v>
      </c>
      <c r="D206" s="31" t="str" cm="1">
        <f t="array" ref="D206">INDEX('Prod-uc1-1'!$Q$10:$W$53,1+B206,C206)</f>
        <v/>
      </c>
    </row>
    <row r="207" spans="1:4" x14ac:dyDescent="0.75">
      <c r="A207" s="32">
        <v>179</v>
      </c>
      <c r="B207" s="32">
        <f t="shared" si="4"/>
        <v>25</v>
      </c>
      <c r="C207" s="32">
        <f t="shared" si="5"/>
        <v>4</v>
      </c>
      <c r="D207" s="31" t="str" cm="1">
        <f t="array" ref="D207">INDEX('Prod-uc1-1'!$Q$10:$W$53,1+B207,C207)</f>
        <v/>
      </c>
    </row>
    <row r="208" spans="1:4" x14ac:dyDescent="0.75">
      <c r="A208" s="32">
        <v>180</v>
      </c>
      <c r="B208" s="32">
        <f t="shared" si="4"/>
        <v>25</v>
      </c>
      <c r="C208" s="32">
        <f t="shared" si="5"/>
        <v>5</v>
      </c>
      <c r="D208" s="31" t="str" cm="1">
        <f t="array" ref="D208">INDEX('Prod-uc1-1'!$Q$10:$W$53,1+B208,C208)</f>
        <v/>
      </c>
    </row>
    <row r="209" spans="1:4" x14ac:dyDescent="0.75">
      <c r="A209" s="32">
        <v>181</v>
      </c>
      <c r="B209" s="32">
        <f t="shared" si="4"/>
        <v>25</v>
      </c>
      <c r="C209" s="32">
        <f t="shared" si="5"/>
        <v>6</v>
      </c>
      <c r="D209" s="31" t="str" cm="1">
        <f t="array" ref="D209">INDEX('Prod-uc1-1'!$Q$10:$W$53,1+B209,C209)</f>
        <v/>
      </c>
    </row>
    <row r="210" spans="1:4" x14ac:dyDescent="0.75">
      <c r="A210" s="32">
        <v>182</v>
      </c>
      <c r="B210" s="32">
        <f t="shared" si="4"/>
        <v>25</v>
      </c>
      <c r="C210" s="32">
        <f t="shared" si="5"/>
        <v>7</v>
      </c>
      <c r="D210" s="31" t="str" cm="1">
        <f t="array" ref="D210">INDEX('Prod-uc1-1'!$Q$10:$W$53,1+B210,C210)</f>
        <v/>
      </c>
    </row>
    <row r="211" spans="1:4" x14ac:dyDescent="0.75">
      <c r="A211" s="32">
        <v>183</v>
      </c>
      <c r="B211" s="32">
        <f t="shared" si="4"/>
        <v>26</v>
      </c>
      <c r="C211" s="32">
        <f t="shared" si="5"/>
        <v>1</v>
      </c>
      <c r="D211" s="31" t="str" cm="1">
        <f t="array" ref="D211">INDEX('Prod-uc1-1'!$Q$10:$W$53,1+B211,C211)</f>
        <v/>
      </c>
    </row>
    <row r="212" spans="1:4" x14ac:dyDescent="0.75">
      <c r="A212" s="32">
        <v>184</v>
      </c>
      <c r="B212" s="32">
        <f t="shared" si="4"/>
        <v>26</v>
      </c>
      <c r="C212" s="32">
        <f t="shared" si="5"/>
        <v>2</v>
      </c>
      <c r="D212" s="31" t="str" cm="1">
        <f t="array" ref="D212">INDEX('Prod-uc1-1'!$Q$10:$W$53,1+B212,C212)</f>
        <v/>
      </c>
    </row>
    <row r="213" spans="1:4" x14ac:dyDescent="0.75">
      <c r="A213" s="32">
        <v>185</v>
      </c>
      <c r="B213" s="32">
        <f t="shared" si="4"/>
        <v>26</v>
      </c>
      <c r="C213" s="32">
        <f t="shared" si="5"/>
        <v>3</v>
      </c>
      <c r="D213" s="31" t="str" cm="1">
        <f t="array" ref="D213">INDEX('Prod-uc1-1'!$Q$10:$W$53,1+B213,C213)</f>
        <v/>
      </c>
    </row>
    <row r="214" spans="1:4" x14ac:dyDescent="0.75">
      <c r="A214" s="32">
        <v>186</v>
      </c>
      <c r="B214" s="32">
        <f t="shared" si="4"/>
        <v>26</v>
      </c>
      <c r="C214" s="32">
        <f t="shared" si="5"/>
        <v>4</v>
      </c>
      <c r="D214" s="31" t="str" cm="1">
        <f t="array" ref="D214">INDEX('Prod-uc1-1'!$Q$10:$W$53,1+B214,C214)</f>
        <v/>
      </c>
    </row>
    <row r="215" spans="1:4" x14ac:dyDescent="0.75">
      <c r="A215" s="32">
        <v>187</v>
      </c>
      <c r="B215" s="32">
        <f t="shared" si="4"/>
        <v>26</v>
      </c>
      <c r="C215" s="32">
        <f t="shared" si="5"/>
        <v>5</v>
      </c>
      <c r="D215" s="31" t="str" cm="1">
        <f t="array" ref="D215">INDEX('Prod-uc1-1'!$Q$10:$W$53,1+B215,C215)</f>
        <v/>
      </c>
    </row>
    <row r="216" spans="1:4" x14ac:dyDescent="0.75">
      <c r="A216" s="32">
        <v>188</v>
      </c>
      <c r="B216" s="32">
        <f t="shared" si="4"/>
        <v>26</v>
      </c>
      <c r="C216" s="32">
        <f t="shared" si="5"/>
        <v>6</v>
      </c>
      <c r="D216" s="31" t="str" cm="1">
        <f t="array" ref="D216">INDEX('Prod-uc1-1'!$Q$10:$W$53,1+B216,C216)</f>
        <v/>
      </c>
    </row>
    <row r="217" spans="1:4" x14ac:dyDescent="0.75">
      <c r="A217" s="32">
        <v>189</v>
      </c>
      <c r="B217" s="32">
        <f t="shared" si="4"/>
        <v>26</v>
      </c>
      <c r="C217" s="32">
        <f t="shared" si="5"/>
        <v>7</v>
      </c>
      <c r="D217" s="31" t="str" cm="1">
        <f t="array" ref="D217">INDEX('Prod-uc1-1'!$Q$10:$W$53,1+B217,C217)</f>
        <v/>
      </c>
    </row>
    <row r="218" spans="1:4" x14ac:dyDescent="0.75">
      <c r="A218" s="32">
        <v>190</v>
      </c>
      <c r="B218" s="32">
        <f t="shared" si="4"/>
        <v>27</v>
      </c>
      <c r="C218" s="32">
        <f t="shared" si="5"/>
        <v>1</v>
      </c>
      <c r="D218" s="31" t="str" cm="1">
        <f t="array" ref="D218">INDEX('Prod-uc1-1'!$Q$10:$W$53,1+B218,C218)</f>
        <v/>
      </c>
    </row>
    <row r="219" spans="1:4" x14ac:dyDescent="0.75">
      <c r="A219" s="32">
        <v>191</v>
      </c>
      <c r="B219" s="32">
        <f t="shared" si="4"/>
        <v>27</v>
      </c>
      <c r="C219" s="32">
        <f t="shared" si="5"/>
        <v>2</v>
      </c>
      <c r="D219" s="31" t="str" cm="1">
        <f t="array" ref="D219">INDEX('Prod-uc1-1'!$Q$10:$W$53,1+B219,C219)</f>
        <v/>
      </c>
    </row>
    <row r="220" spans="1:4" x14ac:dyDescent="0.75">
      <c r="A220" s="32">
        <v>192</v>
      </c>
      <c r="B220" s="32">
        <f t="shared" si="4"/>
        <v>27</v>
      </c>
      <c r="C220" s="32">
        <f t="shared" si="5"/>
        <v>3</v>
      </c>
      <c r="D220" s="31" t="str" cm="1">
        <f t="array" ref="D220">INDEX('Prod-uc1-1'!$Q$10:$W$53,1+B220,C220)</f>
        <v/>
      </c>
    </row>
    <row r="221" spans="1:4" x14ac:dyDescent="0.75">
      <c r="A221" s="32">
        <v>193</v>
      </c>
      <c r="B221" s="32">
        <f t="shared" ref="B221:B284" si="6">IF(MOD(A221,$B$6)=0,A221/$B$6-1,INT(A221/$B$6))</f>
        <v>27</v>
      </c>
      <c r="C221" s="32">
        <f t="shared" ref="C221:C284" si="7">IF(MOD(A221,$B$6)=0,$B$6,MOD(A221,$B$6))</f>
        <v>4</v>
      </c>
      <c r="D221" s="31" t="str" cm="1">
        <f t="array" ref="D221">INDEX('Prod-uc1-1'!$Q$10:$W$53,1+B221,C221)</f>
        <v/>
      </c>
    </row>
    <row r="222" spans="1:4" x14ac:dyDescent="0.75">
      <c r="A222" s="32">
        <v>194</v>
      </c>
      <c r="B222" s="32">
        <f t="shared" si="6"/>
        <v>27</v>
      </c>
      <c r="C222" s="32">
        <f t="shared" si="7"/>
        <v>5</v>
      </c>
      <c r="D222" s="31" t="str" cm="1">
        <f t="array" ref="D222">INDEX('Prod-uc1-1'!$Q$10:$W$53,1+B222,C222)</f>
        <v/>
      </c>
    </row>
    <row r="223" spans="1:4" x14ac:dyDescent="0.75">
      <c r="A223" s="32">
        <v>195</v>
      </c>
      <c r="B223" s="32">
        <f t="shared" si="6"/>
        <v>27</v>
      </c>
      <c r="C223" s="32">
        <f t="shared" si="7"/>
        <v>6</v>
      </c>
      <c r="D223" s="31" t="str" cm="1">
        <f t="array" ref="D223">INDEX('Prod-uc1-1'!$Q$10:$W$53,1+B223,C223)</f>
        <v/>
      </c>
    </row>
    <row r="224" spans="1:4" x14ac:dyDescent="0.75">
      <c r="A224" s="32">
        <v>196</v>
      </c>
      <c r="B224" s="32">
        <f t="shared" si="6"/>
        <v>27</v>
      </c>
      <c r="C224" s="32">
        <f t="shared" si="7"/>
        <v>7</v>
      </c>
      <c r="D224" s="31" t="str" cm="1">
        <f t="array" ref="D224">INDEX('Prod-uc1-1'!$Q$10:$W$53,1+B224,C224)</f>
        <v/>
      </c>
    </row>
    <row r="225" spans="1:4" x14ac:dyDescent="0.75">
      <c r="A225" s="32">
        <v>197</v>
      </c>
      <c r="B225" s="32">
        <f t="shared" si="6"/>
        <v>28</v>
      </c>
      <c r="C225" s="32">
        <f t="shared" si="7"/>
        <v>1</v>
      </c>
      <c r="D225" s="31" t="str" cm="1">
        <f t="array" ref="D225">INDEX('Prod-uc1-1'!$Q$10:$W$53,1+B225,C225)</f>
        <v/>
      </c>
    </row>
    <row r="226" spans="1:4" x14ac:dyDescent="0.75">
      <c r="A226" s="32">
        <v>198</v>
      </c>
      <c r="B226" s="32">
        <f t="shared" si="6"/>
        <v>28</v>
      </c>
      <c r="C226" s="32">
        <f t="shared" si="7"/>
        <v>2</v>
      </c>
      <c r="D226" s="31" t="str" cm="1">
        <f t="array" ref="D226">INDEX('Prod-uc1-1'!$Q$10:$W$53,1+B226,C226)</f>
        <v/>
      </c>
    </row>
    <row r="227" spans="1:4" x14ac:dyDescent="0.75">
      <c r="A227" s="32">
        <v>199</v>
      </c>
      <c r="B227" s="32">
        <f t="shared" si="6"/>
        <v>28</v>
      </c>
      <c r="C227" s="32">
        <f t="shared" si="7"/>
        <v>3</v>
      </c>
      <c r="D227" s="31" t="str" cm="1">
        <f t="array" ref="D227">INDEX('Prod-uc1-1'!$Q$10:$W$53,1+B227,C227)</f>
        <v/>
      </c>
    </row>
    <row r="228" spans="1:4" x14ac:dyDescent="0.75">
      <c r="A228" s="32">
        <v>200</v>
      </c>
      <c r="B228" s="32">
        <f t="shared" si="6"/>
        <v>28</v>
      </c>
      <c r="C228" s="32">
        <f t="shared" si="7"/>
        <v>4</v>
      </c>
      <c r="D228" s="31" t="str" cm="1">
        <f t="array" ref="D228">INDEX('Prod-uc1-1'!$Q$10:$W$53,1+B228,C228)</f>
        <v/>
      </c>
    </row>
    <row r="229" spans="1:4" x14ac:dyDescent="0.75">
      <c r="A229" s="32">
        <v>201</v>
      </c>
      <c r="B229" s="32">
        <f t="shared" si="6"/>
        <v>28</v>
      </c>
      <c r="C229" s="32">
        <f t="shared" si="7"/>
        <v>5</v>
      </c>
      <c r="D229" s="31" t="str" cm="1">
        <f t="array" ref="D229">INDEX('Prod-uc1-1'!$Q$10:$W$53,1+B229,C229)</f>
        <v/>
      </c>
    </row>
    <row r="230" spans="1:4" x14ac:dyDescent="0.75">
      <c r="A230" s="32">
        <v>202</v>
      </c>
      <c r="B230" s="32">
        <f t="shared" si="6"/>
        <v>28</v>
      </c>
      <c r="C230" s="32">
        <f t="shared" si="7"/>
        <v>6</v>
      </c>
      <c r="D230" s="31" t="str" cm="1">
        <f t="array" ref="D230">INDEX('Prod-uc1-1'!$Q$10:$W$53,1+B230,C230)</f>
        <v/>
      </c>
    </row>
    <row r="231" spans="1:4" x14ac:dyDescent="0.75">
      <c r="A231" s="32">
        <v>203</v>
      </c>
      <c r="B231" s="32">
        <f t="shared" si="6"/>
        <v>28</v>
      </c>
      <c r="C231" s="32">
        <f t="shared" si="7"/>
        <v>7</v>
      </c>
      <c r="D231" s="31" t="str" cm="1">
        <f t="array" ref="D231">INDEX('Prod-uc1-1'!$Q$10:$W$53,1+B231,C231)</f>
        <v/>
      </c>
    </row>
    <row r="232" spans="1:4" x14ac:dyDescent="0.75">
      <c r="A232" s="32">
        <v>204</v>
      </c>
      <c r="B232" s="32">
        <f t="shared" si="6"/>
        <v>29</v>
      </c>
      <c r="C232" s="32">
        <f t="shared" si="7"/>
        <v>1</v>
      </c>
      <c r="D232" s="31" t="str" cm="1">
        <f t="array" ref="D232">INDEX('Prod-uc1-1'!$Q$10:$W$53,1+B232,C232)</f>
        <v/>
      </c>
    </row>
    <row r="233" spans="1:4" x14ac:dyDescent="0.75">
      <c r="A233" s="32">
        <v>205</v>
      </c>
      <c r="B233" s="32">
        <f t="shared" si="6"/>
        <v>29</v>
      </c>
      <c r="C233" s="32">
        <f t="shared" si="7"/>
        <v>2</v>
      </c>
      <c r="D233" s="31" t="str" cm="1">
        <f t="array" ref="D233">INDEX('Prod-uc1-1'!$Q$10:$W$53,1+B233,C233)</f>
        <v/>
      </c>
    </row>
    <row r="234" spans="1:4" x14ac:dyDescent="0.75">
      <c r="A234" s="32">
        <v>206</v>
      </c>
      <c r="B234" s="32">
        <f t="shared" si="6"/>
        <v>29</v>
      </c>
      <c r="C234" s="32">
        <f t="shared" si="7"/>
        <v>3</v>
      </c>
      <c r="D234" s="31" t="str" cm="1">
        <f t="array" ref="D234">INDEX('Prod-uc1-1'!$Q$10:$W$53,1+B234,C234)</f>
        <v/>
      </c>
    </row>
    <row r="235" spans="1:4" x14ac:dyDescent="0.75">
      <c r="A235" s="32">
        <v>207</v>
      </c>
      <c r="B235" s="32">
        <f t="shared" si="6"/>
        <v>29</v>
      </c>
      <c r="C235" s="32">
        <f t="shared" si="7"/>
        <v>4</v>
      </c>
      <c r="D235" s="31" t="str" cm="1">
        <f t="array" ref="D235">INDEX('Prod-uc1-1'!$Q$10:$W$53,1+B235,C235)</f>
        <v/>
      </c>
    </row>
    <row r="236" spans="1:4" x14ac:dyDescent="0.75">
      <c r="A236" s="32">
        <v>208</v>
      </c>
      <c r="B236" s="32">
        <f t="shared" si="6"/>
        <v>29</v>
      </c>
      <c r="C236" s="32">
        <f t="shared" si="7"/>
        <v>5</v>
      </c>
      <c r="D236" s="31" t="str" cm="1">
        <f t="array" ref="D236">INDEX('Prod-uc1-1'!$Q$10:$W$53,1+B236,C236)</f>
        <v/>
      </c>
    </row>
    <row r="237" spans="1:4" x14ac:dyDescent="0.75">
      <c r="A237" s="32">
        <v>209</v>
      </c>
      <c r="B237" s="32">
        <f t="shared" si="6"/>
        <v>29</v>
      </c>
      <c r="C237" s="32">
        <f t="shared" si="7"/>
        <v>6</v>
      </c>
      <c r="D237" s="31" t="str" cm="1">
        <f t="array" ref="D237">INDEX('Prod-uc1-1'!$Q$10:$W$53,1+B237,C237)</f>
        <v/>
      </c>
    </row>
    <row r="238" spans="1:4" x14ac:dyDescent="0.75">
      <c r="A238" s="32">
        <v>210</v>
      </c>
      <c r="B238" s="32">
        <f t="shared" si="6"/>
        <v>29</v>
      </c>
      <c r="C238" s="32">
        <f t="shared" si="7"/>
        <v>7</v>
      </c>
      <c r="D238" s="31" t="str" cm="1">
        <f t="array" ref="D238">INDEX('Prod-uc1-1'!$Q$10:$W$53,1+B238,C238)</f>
        <v/>
      </c>
    </row>
    <row r="239" spans="1:4" x14ac:dyDescent="0.75">
      <c r="A239" s="32">
        <v>211</v>
      </c>
      <c r="B239" s="32">
        <f t="shared" si="6"/>
        <v>30</v>
      </c>
      <c r="C239" s="32">
        <f t="shared" si="7"/>
        <v>1</v>
      </c>
      <c r="D239" s="31" t="str" cm="1">
        <f t="array" ref="D239">INDEX('Prod-uc1-1'!$Q$10:$W$53,1+B239,C239)</f>
        <v/>
      </c>
    </row>
    <row r="240" spans="1:4" x14ac:dyDescent="0.75">
      <c r="A240" s="32">
        <v>212</v>
      </c>
      <c r="B240" s="32">
        <f t="shared" si="6"/>
        <v>30</v>
      </c>
      <c r="C240" s="32">
        <f t="shared" si="7"/>
        <v>2</v>
      </c>
      <c r="D240" s="31" t="str" cm="1">
        <f t="array" ref="D240">INDEX('Prod-uc1-1'!$Q$10:$W$53,1+B240,C240)</f>
        <v/>
      </c>
    </row>
    <row r="241" spans="1:4" x14ac:dyDescent="0.75">
      <c r="A241" s="32">
        <v>213</v>
      </c>
      <c r="B241" s="32">
        <f t="shared" si="6"/>
        <v>30</v>
      </c>
      <c r="C241" s="32">
        <f t="shared" si="7"/>
        <v>3</v>
      </c>
      <c r="D241" s="31" t="str" cm="1">
        <f t="array" ref="D241">INDEX('Prod-uc1-1'!$Q$10:$W$53,1+B241,C241)</f>
        <v/>
      </c>
    </row>
    <row r="242" spans="1:4" x14ac:dyDescent="0.75">
      <c r="A242" s="32">
        <v>214</v>
      </c>
      <c r="B242" s="32">
        <f t="shared" si="6"/>
        <v>30</v>
      </c>
      <c r="C242" s="32">
        <f t="shared" si="7"/>
        <v>4</v>
      </c>
      <c r="D242" s="31" t="str" cm="1">
        <f t="array" ref="D242">INDEX('Prod-uc1-1'!$Q$10:$W$53,1+B242,C242)</f>
        <v/>
      </c>
    </row>
    <row r="243" spans="1:4" x14ac:dyDescent="0.75">
      <c r="A243" s="32">
        <v>215</v>
      </c>
      <c r="B243" s="32">
        <f t="shared" si="6"/>
        <v>30</v>
      </c>
      <c r="C243" s="32">
        <f t="shared" si="7"/>
        <v>5</v>
      </c>
      <c r="D243" s="31" t="str" cm="1">
        <f t="array" ref="D243">INDEX('Prod-uc1-1'!$Q$10:$W$53,1+B243,C243)</f>
        <v/>
      </c>
    </row>
    <row r="244" spans="1:4" x14ac:dyDescent="0.75">
      <c r="A244" s="32">
        <v>216</v>
      </c>
      <c r="B244" s="32">
        <f t="shared" si="6"/>
        <v>30</v>
      </c>
      <c r="C244" s="32">
        <f t="shared" si="7"/>
        <v>6</v>
      </c>
      <c r="D244" s="31" t="str" cm="1">
        <f t="array" ref="D244">INDEX('Prod-uc1-1'!$Q$10:$W$53,1+B244,C244)</f>
        <v/>
      </c>
    </row>
    <row r="245" spans="1:4" x14ac:dyDescent="0.75">
      <c r="A245" s="32">
        <v>217</v>
      </c>
      <c r="B245" s="32">
        <f t="shared" si="6"/>
        <v>30</v>
      </c>
      <c r="C245" s="32">
        <f t="shared" si="7"/>
        <v>7</v>
      </c>
      <c r="D245" s="31" t="str" cm="1">
        <f t="array" ref="D245">INDEX('Prod-uc1-1'!$Q$10:$W$53,1+B245,C245)</f>
        <v/>
      </c>
    </row>
    <row r="246" spans="1:4" x14ac:dyDescent="0.75">
      <c r="A246" s="32">
        <v>218</v>
      </c>
      <c r="B246" s="32">
        <f t="shared" si="6"/>
        <v>31</v>
      </c>
      <c r="C246" s="32">
        <f t="shared" si="7"/>
        <v>1</v>
      </c>
      <c r="D246" s="31" t="str" cm="1">
        <f t="array" ref="D246">INDEX('Prod-uc1-1'!$Q$10:$W$53,1+B246,C246)</f>
        <v/>
      </c>
    </row>
    <row r="247" spans="1:4" x14ac:dyDescent="0.75">
      <c r="A247" s="32">
        <v>219</v>
      </c>
      <c r="B247" s="32">
        <f t="shared" si="6"/>
        <v>31</v>
      </c>
      <c r="C247" s="32">
        <f t="shared" si="7"/>
        <v>2</v>
      </c>
      <c r="D247" s="31" t="str" cm="1">
        <f t="array" ref="D247">INDEX('Prod-uc1-1'!$Q$10:$W$53,1+B247,C247)</f>
        <v/>
      </c>
    </row>
    <row r="248" spans="1:4" x14ac:dyDescent="0.75">
      <c r="A248" s="32">
        <v>220</v>
      </c>
      <c r="B248" s="32">
        <f t="shared" si="6"/>
        <v>31</v>
      </c>
      <c r="C248" s="32">
        <f t="shared" si="7"/>
        <v>3</v>
      </c>
      <c r="D248" s="31" t="str" cm="1">
        <f t="array" ref="D248">INDEX('Prod-uc1-1'!$Q$10:$W$53,1+B248,C248)</f>
        <v/>
      </c>
    </row>
    <row r="249" spans="1:4" x14ac:dyDescent="0.75">
      <c r="A249" s="32">
        <v>221</v>
      </c>
      <c r="B249" s="32">
        <f t="shared" si="6"/>
        <v>31</v>
      </c>
      <c r="C249" s="32">
        <f t="shared" si="7"/>
        <v>4</v>
      </c>
      <c r="D249" s="31" t="str" cm="1">
        <f t="array" ref="D249">INDEX('Prod-uc1-1'!$Q$10:$W$53,1+B249,C249)</f>
        <v/>
      </c>
    </row>
    <row r="250" spans="1:4" x14ac:dyDescent="0.75">
      <c r="A250" s="32">
        <v>222</v>
      </c>
      <c r="B250" s="32">
        <f t="shared" si="6"/>
        <v>31</v>
      </c>
      <c r="C250" s="32">
        <f t="shared" si="7"/>
        <v>5</v>
      </c>
      <c r="D250" s="31" t="str" cm="1">
        <f t="array" ref="D250">INDEX('Prod-uc1-1'!$Q$10:$W$53,1+B250,C250)</f>
        <v/>
      </c>
    </row>
    <row r="251" spans="1:4" x14ac:dyDescent="0.75">
      <c r="A251" s="32">
        <v>223</v>
      </c>
      <c r="B251" s="32">
        <f t="shared" si="6"/>
        <v>31</v>
      </c>
      <c r="C251" s="32">
        <f t="shared" si="7"/>
        <v>6</v>
      </c>
      <c r="D251" s="31" t="str" cm="1">
        <f t="array" ref="D251">INDEX('Prod-uc1-1'!$Q$10:$W$53,1+B251,C251)</f>
        <v/>
      </c>
    </row>
    <row r="252" spans="1:4" x14ac:dyDescent="0.75">
      <c r="A252" s="32">
        <v>224</v>
      </c>
      <c r="B252" s="32">
        <f t="shared" si="6"/>
        <v>31</v>
      </c>
      <c r="C252" s="32">
        <f t="shared" si="7"/>
        <v>7</v>
      </c>
      <c r="D252" s="31" t="str" cm="1">
        <f t="array" ref="D252">INDEX('Prod-uc1-1'!$Q$10:$W$53,1+B252,C252)</f>
        <v/>
      </c>
    </row>
    <row r="253" spans="1:4" x14ac:dyDescent="0.75">
      <c r="A253" s="32">
        <v>225</v>
      </c>
      <c r="B253" s="32">
        <f t="shared" si="6"/>
        <v>32</v>
      </c>
      <c r="C253" s="32">
        <f t="shared" si="7"/>
        <v>1</v>
      </c>
      <c r="D253" s="31" t="str" cm="1">
        <f t="array" ref="D253">INDEX('Prod-uc1-1'!$Q$10:$W$53,1+B253,C253)</f>
        <v/>
      </c>
    </row>
    <row r="254" spans="1:4" x14ac:dyDescent="0.75">
      <c r="A254" s="32">
        <v>226</v>
      </c>
      <c r="B254" s="32">
        <f t="shared" si="6"/>
        <v>32</v>
      </c>
      <c r="C254" s="32">
        <f t="shared" si="7"/>
        <v>2</v>
      </c>
      <c r="D254" s="31" t="str" cm="1">
        <f t="array" ref="D254">INDEX('Prod-uc1-1'!$Q$10:$W$53,1+B254,C254)</f>
        <v/>
      </c>
    </row>
    <row r="255" spans="1:4" x14ac:dyDescent="0.75">
      <c r="A255" s="32">
        <v>227</v>
      </c>
      <c r="B255" s="32">
        <f t="shared" si="6"/>
        <v>32</v>
      </c>
      <c r="C255" s="32">
        <f t="shared" si="7"/>
        <v>3</v>
      </c>
      <c r="D255" s="31" t="str" cm="1">
        <f t="array" ref="D255">INDEX('Prod-uc1-1'!$Q$10:$W$53,1+B255,C255)</f>
        <v/>
      </c>
    </row>
    <row r="256" spans="1:4" x14ac:dyDescent="0.75">
      <c r="A256" s="32">
        <v>228</v>
      </c>
      <c r="B256" s="32">
        <f t="shared" si="6"/>
        <v>32</v>
      </c>
      <c r="C256" s="32">
        <f t="shared" si="7"/>
        <v>4</v>
      </c>
      <c r="D256" s="31" t="str" cm="1">
        <f t="array" ref="D256">INDEX('Prod-uc1-1'!$Q$10:$W$53,1+B256,C256)</f>
        <v/>
      </c>
    </row>
    <row r="257" spans="1:4" x14ac:dyDescent="0.75">
      <c r="A257" s="32">
        <v>229</v>
      </c>
      <c r="B257" s="32">
        <f t="shared" si="6"/>
        <v>32</v>
      </c>
      <c r="C257" s="32">
        <f t="shared" si="7"/>
        <v>5</v>
      </c>
      <c r="D257" s="31" t="str" cm="1">
        <f t="array" ref="D257">INDEX('Prod-uc1-1'!$Q$10:$W$53,1+B257,C257)</f>
        <v/>
      </c>
    </row>
    <row r="258" spans="1:4" x14ac:dyDescent="0.75">
      <c r="A258" s="32">
        <v>230</v>
      </c>
      <c r="B258" s="32">
        <f t="shared" si="6"/>
        <v>32</v>
      </c>
      <c r="C258" s="32">
        <f t="shared" si="7"/>
        <v>6</v>
      </c>
      <c r="D258" s="31" t="str" cm="1">
        <f t="array" ref="D258">INDEX('Prod-uc1-1'!$Q$10:$W$53,1+B258,C258)</f>
        <v/>
      </c>
    </row>
    <row r="259" spans="1:4" x14ac:dyDescent="0.75">
      <c r="A259" s="32">
        <v>231</v>
      </c>
      <c r="B259" s="32">
        <f t="shared" si="6"/>
        <v>32</v>
      </c>
      <c r="C259" s="32">
        <f t="shared" si="7"/>
        <v>7</v>
      </c>
      <c r="D259" s="31" t="str" cm="1">
        <f t="array" ref="D259">INDEX('Prod-uc1-1'!$Q$10:$W$53,1+B259,C259)</f>
        <v/>
      </c>
    </row>
    <row r="260" spans="1:4" x14ac:dyDescent="0.75">
      <c r="A260" s="32">
        <v>232</v>
      </c>
      <c r="B260" s="32">
        <f t="shared" si="6"/>
        <v>33</v>
      </c>
      <c r="C260" s="32">
        <f t="shared" si="7"/>
        <v>1</v>
      </c>
      <c r="D260" s="31" t="str" cm="1">
        <f t="array" ref="D260">INDEX('Prod-uc1-1'!$Q$10:$W$53,1+B260,C260)</f>
        <v/>
      </c>
    </row>
    <row r="261" spans="1:4" x14ac:dyDescent="0.75">
      <c r="A261" s="32">
        <v>233</v>
      </c>
      <c r="B261" s="32">
        <f t="shared" si="6"/>
        <v>33</v>
      </c>
      <c r="C261" s="32">
        <f t="shared" si="7"/>
        <v>2</v>
      </c>
      <c r="D261" s="31" t="str" cm="1">
        <f t="array" ref="D261">INDEX('Prod-uc1-1'!$Q$10:$W$53,1+B261,C261)</f>
        <v/>
      </c>
    </row>
    <row r="262" spans="1:4" x14ac:dyDescent="0.75">
      <c r="A262" s="32">
        <v>234</v>
      </c>
      <c r="B262" s="32">
        <f t="shared" si="6"/>
        <v>33</v>
      </c>
      <c r="C262" s="32">
        <f t="shared" si="7"/>
        <v>3</v>
      </c>
      <c r="D262" s="31" t="str" cm="1">
        <f t="array" ref="D262">INDEX('Prod-uc1-1'!$Q$10:$W$53,1+B262,C262)</f>
        <v/>
      </c>
    </row>
    <row r="263" spans="1:4" x14ac:dyDescent="0.75">
      <c r="A263" s="32">
        <v>235</v>
      </c>
      <c r="B263" s="32">
        <f t="shared" si="6"/>
        <v>33</v>
      </c>
      <c r="C263" s="32">
        <f t="shared" si="7"/>
        <v>4</v>
      </c>
      <c r="D263" s="31" t="str" cm="1">
        <f t="array" ref="D263">INDEX('Prod-uc1-1'!$Q$10:$W$53,1+B263,C263)</f>
        <v/>
      </c>
    </row>
    <row r="264" spans="1:4" x14ac:dyDescent="0.75">
      <c r="A264" s="32">
        <v>236</v>
      </c>
      <c r="B264" s="32">
        <f t="shared" si="6"/>
        <v>33</v>
      </c>
      <c r="C264" s="32">
        <f t="shared" si="7"/>
        <v>5</v>
      </c>
      <c r="D264" s="31" t="str" cm="1">
        <f t="array" ref="D264">INDEX('Prod-uc1-1'!$Q$10:$W$53,1+B264,C264)</f>
        <v/>
      </c>
    </row>
    <row r="265" spans="1:4" x14ac:dyDescent="0.75">
      <c r="A265" s="32">
        <v>237</v>
      </c>
      <c r="B265" s="32">
        <f t="shared" si="6"/>
        <v>33</v>
      </c>
      <c r="C265" s="32">
        <f t="shared" si="7"/>
        <v>6</v>
      </c>
      <c r="D265" s="31" cm="1">
        <f t="array" ref="D265">INDEX('Prod-uc1-1'!$Q$10:$W$53,1+B265,C265)</f>
        <v>0</v>
      </c>
    </row>
    <row r="266" spans="1:4" x14ac:dyDescent="0.75">
      <c r="A266" s="32">
        <v>238</v>
      </c>
      <c r="B266" s="32">
        <f t="shared" si="6"/>
        <v>33</v>
      </c>
      <c r="C266" s="32">
        <f t="shared" si="7"/>
        <v>7</v>
      </c>
      <c r="D266" s="31" t="str" cm="1">
        <f t="array" ref="D266">INDEX('Prod-uc1-1'!$Q$10:$W$53,1+B266,C266)</f>
        <v/>
      </c>
    </row>
    <row r="267" spans="1:4" x14ac:dyDescent="0.75">
      <c r="A267" s="32">
        <v>239</v>
      </c>
      <c r="B267" s="32">
        <f t="shared" si="6"/>
        <v>34</v>
      </c>
      <c r="C267" s="32">
        <f t="shared" si="7"/>
        <v>1</v>
      </c>
      <c r="D267" s="31" t="str" cm="1">
        <f t="array" ref="D267">INDEX('Prod-uc1-1'!$Q$10:$W$53,1+B267,C267)</f>
        <v/>
      </c>
    </row>
    <row r="268" spans="1:4" x14ac:dyDescent="0.75">
      <c r="A268" s="32">
        <v>240</v>
      </c>
      <c r="B268" s="32">
        <f t="shared" si="6"/>
        <v>34</v>
      </c>
      <c r="C268" s="32">
        <f t="shared" si="7"/>
        <v>2</v>
      </c>
      <c r="D268" s="31" t="str" cm="1">
        <f t="array" ref="D268">INDEX('Prod-uc1-1'!$Q$10:$W$53,1+B268,C268)</f>
        <v/>
      </c>
    </row>
    <row r="269" spans="1:4" x14ac:dyDescent="0.75">
      <c r="A269" s="32">
        <v>241</v>
      </c>
      <c r="B269" s="32">
        <f t="shared" si="6"/>
        <v>34</v>
      </c>
      <c r="C269" s="32">
        <f t="shared" si="7"/>
        <v>3</v>
      </c>
      <c r="D269" s="31" t="str" cm="1">
        <f t="array" ref="D269">INDEX('Prod-uc1-1'!$Q$10:$W$53,1+B269,C269)</f>
        <v/>
      </c>
    </row>
    <row r="270" spans="1:4" x14ac:dyDescent="0.75">
      <c r="A270" s="32">
        <v>242</v>
      </c>
      <c r="B270" s="32">
        <f t="shared" si="6"/>
        <v>34</v>
      </c>
      <c r="C270" s="32">
        <f t="shared" si="7"/>
        <v>4</v>
      </c>
      <c r="D270" s="31" t="str" cm="1">
        <f t="array" ref="D270">INDEX('Prod-uc1-1'!$Q$10:$W$53,1+B270,C270)</f>
        <v/>
      </c>
    </row>
    <row r="271" spans="1:4" x14ac:dyDescent="0.75">
      <c r="A271" s="32">
        <v>243</v>
      </c>
      <c r="B271" s="32">
        <f t="shared" si="6"/>
        <v>34</v>
      </c>
      <c r="C271" s="32">
        <f t="shared" si="7"/>
        <v>5</v>
      </c>
      <c r="D271" s="31" t="str" cm="1">
        <f t="array" ref="D271">INDEX('Prod-uc1-1'!$Q$10:$W$53,1+B271,C271)</f>
        <v/>
      </c>
    </row>
    <row r="272" spans="1:4" x14ac:dyDescent="0.75">
      <c r="A272" s="32">
        <v>244</v>
      </c>
      <c r="B272" s="32">
        <f t="shared" si="6"/>
        <v>34</v>
      </c>
      <c r="C272" s="32">
        <f t="shared" si="7"/>
        <v>6</v>
      </c>
      <c r="D272" s="31" cm="1">
        <f t="array" ref="D272">INDEX('Prod-uc1-1'!$Q$10:$W$53,1+B272,C272)</f>
        <v>0</v>
      </c>
    </row>
    <row r="273" spans="1:4" x14ac:dyDescent="0.75">
      <c r="A273" s="32">
        <v>245</v>
      </c>
      <c r="B273" s="32">
        <f t="shared" si="6"/>
        <v>34</v>
      </c>
      <c r="C273" s="32">
        <f t="shared" si="7"/>
        <v>7</v>
      </c>
      <c r="D273" s="31" t="str" cm="1">
        <f t="array" ref="D273">INDEX('Prod-uc1-1'!$Q$10:$W$53,1+B273,C273)</f>
        <v/>
      </c>
    </row>
    <row r="274" spans="1:4" x14ac:dyDescent="0.75">
      <c r="A274" s="32">
        <v>246</v>
      </c>
      <c r="B274" s="32">
        <f t="shared" si="6"/>
        <v>35</v>
      </c>
      <c r="C274" s="32">
        <f t="shared" si="7"/>
        <v>1</v>
      </c>
      <c r="D274" s="31" cm="1">
        <f t="array" ref="D274">INDEX('Prod-uc1-1'!$Q$10:$W$53,1+B274,C274)</f>
        <v>0</v>
      </c>
    </row>
    <row r="275" spans="1:4" x14ac:dyDescent="0.75">
      <c r="A275" s="32">
        <v>247</v>
      </c>
      <c r="B275" s="32">
        <f t="shared" si="6"/>
        <v>35</v>
      </c>
      <c r="C275" s="32">
        <f t="shared" si="7"/>
        <v>2</v>
      </c>
      <c r="D275" s="31" cm="1">
        <f t="array" ref="D275">INDEX('Prod-uc1-1'!$Q$10:$W$53,1+B275,C275)</f>
        <v>0</v>
      </c>
    </row>
    <row r="276" spans="1:4" x14ac:dyDescent="0.75">
      <c r="A276" s="32">
        <v>248</v>
      </c>
      <c r="B276" s="32">
        <f t="shared" si="6"/>
        <v>35</v>
      </c>
      <c r="C276" s="32">
        <f t="shared" si="7"/>
        <v>3</v>
      </c>
      <c r="D276" s="31" t="str" cm="1">
        <f t="array" ref="D276">INDEX('Prod-uc1-1'!$Q$10:$W$53,1+B276,C276)</f>
        <v/>
      </c>
    </row>
    <row r="277" spans="1:4" x14ac:dyDescent="0.75">
      <c r="A277" s="32">
        <v>249</v>
      </c>
      <c r="B277" s="32">
        <f t="shared" si="6"/>
        <v>35</v>
      </c>
      <c r="C277" s="32">
        <f t="shared" si="7"/>
        <v>4</v>
      </c>
      <c r="D277" s="31" t="str" cm="1">
        <f t="array" ref="D277">INDEX('Prod-uc1-1'!$Q$10:$W$53,1+B277,C277)</f>
        <v/>
      </c>
    </row>
    <row r="278" spans="1:4" x14ac:dyDescent="0.75">
      <c r="A278" s="32">
        <v>250</v>
      </c>
      <c r="B278" s="32">
        <f t="shared" si="6"/>
        <v>35</v>
      </c>
      <c r="C278" s="32">
        <f t="shared" si="7"/>
        <v>5</v>
      </c>
      <c r="D278" s="31" t="str" cm="1">
        <f t="array" ref="D278">INDEX('Prod-uc1-1'!$Q$10:$W$53,1+B278,C278)</f>
        <v/>
      </c>
    </row>
    <row r="279" spans="1:4" x14ac:dyDescent="0.75">
      <c r="A279" s="32">
        <v>251</v>
      </c>
      <c r="B279" s="32">
        <f t="shared" si="6"/>
        <v>35</v>
      </c>
      <c r="C279" s="32">
        <f t="shared" si="7"/>
        <v>6</v>
      </c>
      <c r="D279" s="31" cm="1">
        <f t="array" ref="D279">INDEX('Prod-uc1-1'!$Q$10:$W$53,1+B279,C279)</f>
        <v>0</v>
      </c>
    </row>
    <row r="280" spans="1:4" x14ac:dyDescent="0.75">
      <c r="A280" s="32">
        <v>252</v>
      </c>
      <c r="B280" s="32">
        <f t="shared" si="6"/>
        <v>35</v>
      </c>
      <c r="C280" s="32">
        <f t="shared" si="7"/>
        <v>7</v>
      </c>
      <c r="D280" s="31" t="str" cm="1">
        <f t="array" ref="D280">INDEX('Prod-uc1-1'!$Q$10:$W$53,1+B280,C280)</f>
        <v/>
      </c>
    </row>
    <row r="281" spans="1:4" x14ac:dyDescent="0.75">
      <c r="A281" s="32">
        <v>253</v>
      </c>
      <c r="B281" s="32">
        <f t="shared" si="6"/>
        <v>36</v>
      </c>
      <c r="C281" s="32">
        <f t="shared" si="7"/>
        <v>1</v>
      </c>
      <c r="D281" s="31" cm="1">
        <f t="array" ref="D281">INDEX('Prod-uc1-1'!$Q$10:$W$53,1+B281,C281)</f>
        <v>0</v>
      </c>
    </row>
    <row r="282" spans="1:4" x14ac:dyDescent="0.75">
      <c r="A282" s="32">
        <v>254</v>
      </c>
      <c r="B282" s="32">
        <f t="shared" si="6"/>
        <v>36</v>
      </c>
      <c r="C282" s="32">
        <f t="shared" si="7"/>
        <v>2</v>
      </c>
      <c r="D282" s="31" cm="1">
        <f t="array" ref="D282">INDEX('Prod-uc1-1'!$Q$10:$W$53,1+B282,C282)</f>
        <v>0</v>
      </c>
    </row>
    <row r="283" spans="1:4" x14ac:dyDescent="0.75">
      <c r="A283" s="32">
        <v>255</v>
      </c>
      <c r="B283" s="32">
        <f t="shared" si="6"/>
        <v>36</v>
      </c>
      <c r="C283" s="32">
        <f t="shared" si="7"/>
        <v>3</v>
      </c>
      <c r="D283" s="31" t="str" cm="1">
        <f t="array" ref="D283">INDEX('Prod-uc1-1'!$Q$10:$W$53,1+B283,C283)</f>
        <v/>
      </c>
    </row>
    <row r="284" spans="1:4" x14ac:dyDescent="0.75">
      <c r="A284" s="32">
        <v>256</v>
      </c>
      <c r="B284" s="32">
        <f t="shared" si="6"/>
        <v>36</v>
      </c>
      <c r="C284" s="32">
        <f t="shared" si="7"/>
        <v>4</v>
      </c>
      <c r="D284" s="31" t="str" cm="1">
        <f t="array" ref="D284">INDEX('Prod-uc1-1'!$Q$10:$W$53,1+B284,C284)</f>
        <v/>
      </c>
    </row>
    <row r="285" spans="1:4" x14ac:dyDescent="0.75">
      <c r="A285" s="32">
        <v>257</v>
      </c>
      <c r="B285" s="32">
        <f t="shared" ref="B285:B348" si="8">IF(MOD(A285,$B$6)=0,A285/$B$6-1,INT(A285/$B$6))</f>
        <v>36</v>
      </c>
      <c r="C285" s="32">
        <f t="shared" ref="C285:C348" si="9">IF(MOD(A285,$B$6)=0,$B$6,MOD(A285,$B$6))</f>
        <v>5</v>
      </c>
      <c r="D285" s="31" t="str" cm="1">
        <f t="array" ref="D285">INDEX('Prod-uc1-1'!$Q$10:$W$53,1+B285,C285)</f>
        <v/>
      </c>
    </row>
    <row r="286" spans="1:4" x14ac:dyDescent="0.75">
      <c r="A286" s="32">
        <v>258</v>
      </c>
      <c r="B286" s="32">
        <f t="shared" si="8"/>
        <v>36</v>
      </c>
      <c r="C286" s="32">
        <f t="shared" si="9"/>
        <v>6</v>
      </c>
      <c r="D286" s="31" cm="1">
        <f t="array" ref="D286">INDEX('Prod-uc1-1'!$Q$10:$W$53,1+B286,C286)</f>
        <v>0</v>
      </c>
    </row>
    <row r="287" spans="1:4" x14ac:dyDescent="0.75">
      <c r="A287" s="32">
        <v>259</v>
      </c>
      <c r="B287" s="32">
        <f t="shared" si="8"/>
        <v>36</v>
      </c>
      <c r="C287" s="32">
        <f t="shared" si="9"/>
        <v>7</v>
      </c>
      <c r="D287" s="31" t="str" cm="1">
        <f t="array" ref="D287">INDEX('Prod-uc1-1'!$Q$10:$W$53,1+B287,C287)</f>
        <v/>
      </c>
    </row>
    <row r="288" spans="1:4" x14ac:dyDescent="0.75">
      <c r="A288" s="32">
        <v>260</v>
      </c>
      <c r="B288" s="32">
        <f t="shared" si="8"/>
        <v>37</v>
      </c>
      <c r="C288" s="32">
        <f t="shared" si="9"/>
        <v>1</v>
      </c>
      <c r="D288" s="31" cm="1">
        <f t="array" ref="D288">INDEX('Prod-uc1-1'!$Q$10:$W$53,1+B288,C288)</f>
        <v>0</v>
      </c>
    </row>
    <row r="289" spans="1:4" x14ac:dyDescent="0.75">
      <c r="A289" s="32">
        <v>261</v>
      </c>
      <c r="B289" s="32">
        <f t="shared" si="8"/>
        <v>37</v>
      </c>
      <c r="C289" s="32">
        <f t="shared" si="9"/>
        <v>2</v>
      </c>
      <c r="D289" s="31" cm="1">
        <f t="array" ref="D289">INDEX('Prod-uc1-1'!$Q$10:$W$53,1+B289,C289)</f>
        <v>0</v>
      </c>
    </row>
    <row r="290" spans="1:4" x14ac:dyDescent="0.75">
      <c r="A290" s="32">
        <v>262</v>
      </c>
      <c r="B290" s="32">
        <f t="shared" si="8"/>
        <v>37</v>
      </c>
      <c r="C290" s="32">
        <f t="shared" si="9"/>
        <v>3</v>
      </c>
      <c r="D290" s="31" t="str" cm="1">
        <f t="array" ref="D290">INDEX('Prod-uc1-1'!$Q$10:$W$53,1+B290,C290)</f>
        <v/>
      </c>
    </row>
    <row r="291" spans="1:4" x14ac:dyDescent="0.75">
      <c r="A291" s="32">
        <v>263</v>
      </c>
      <c r="B291" s="32">
        <f t="shared" si="8"/>
        <v>37</v>
      </c>
      <c r="C291" s="32">
        <f t="shared" si="9"/>
        <v>4</v>
      </c>
      <c r="D291" s="31" t="str" cm="1">
        <f t="array" ref="D291">INDEX('Prod-uc1-1'!$Q$10:$W$53,1+B291,C291)</f>
        <v/>
      </c>
    </row>
    <row r="292" spans="1:4" x14ac:dyDescent="0.75">
      <c r="A292" s="32">
        <v>264</v>
      </c>
      <c r="B292" s="32">
        <f t="shared" si="8"/>
        <v>37</v>
      </c>
      <c r="C292" s="32">
        <f t="shared" si="9"/>
        <v>5</v>
      </c>
      <c r="D292" s="31" t="str" cm="1">
        <f t="array" ref="D292">INDEX('Prod-uc1-1'!$Q$10:$W$53,1+B292,C292)</f>
        <v/>
      </c>
    </row>
    <row r="293" spans="1:4" x14ac:dyDescent="0.75">
      <c r="A293" s="32">
        <v>265</v>
      </c>
      <c r="B293" s="32">
        <f t="shared" si="8"/>
        <v>37</v>
      </c>
      <c r="C293" s="32">
        <f t="shared" si="9"/>
        <v>6</v>
      </c>
      <c r="D293" s="31" cm="1">
        <f t="array" ref="D293">INDEX('Prod-uc1-1'!$Q$10:$W$53,1+B293,C293)</f>
        <v>0</v>
      </c>
    </row>
    <row r="294" spans="1:4" x14ac:dyDescent="0.75">
      <c r="A294" s="32">
        <v>266</v>
      </c>
      <c r="B294" s="32">
        <f t="shared" si="8"/>
        <v>37</v>
      </c>
      <c r="C294" s="32">
        <f t="shared" si="9"/>
        <v>7</v>
      </c>
      <c r="D294" s="31" t="str" cm="1">
        <f t="array" ref="D294">INDEX('Prod-uc1-1'!$Q$10:$W$53,1+B294,C294)</f>
        <v/>
      </c>
    </row>
    <row r="295" spans="1:4" x14ac:dyDescent="0.75">
      <c r="A295" s="32">
        <v>267</v>
      </c>
      <c r="B295" s="32">
        <f t="shared" si="8"/>
        <v>38</v>
      </c>
      <c r="C295" s="32">
        <f t="shared" si="9"/>
        <v>1</v>
      </c>
      <c r="D295" s="31" cm="1">
        <f t="array" ref="D295">INDEX('Prod-uc1-1'!$Q$10:$W$53,1+B295,C295)</f>
        <v>0</v>
      </c>
    </row>
    <row r="296" spans="1:4" x14ac:dyDescent="0.75">
      <c r="A296" s="32">
        <v>268</v>
      </c>
      <c r="B296" s="32">
        <f t="shared" si="8"/>
        <v>38</v>
      </c>
      <c r="C296" s="32">
        <f t="shared" si="9"/>
        <v>2</v>
      </c>
      <c r="D296" s="31" cm="1">
        <f t="array" ref="D296">INDEX('Prod-uc1-1'!$Q$10:$W$53,1+B296,C296)</f>
        <v>0</v>
      </c>
    </row>
    <row r="297" spans="1:4" x14ac:dyDescent="0.75">
      <c r="A297" s="32">
        <v>269</v>
      </c>
      <c r="B297" s="32">
        <f t="shared" si="8"/>
        <v>38</v>
      </c>
      <c r="C297" s="32">
        <f t="shared" si="9"/>
        <v>3</v>
      </c>
      <c r="D297" s="31" t="str" cm="1">
        <f t="array" ref="D297">INDEX('Prod-uc1-1'!$Q$10:$W$53,1+B297,C297)</f>
        <v/>
      </c>
    </row>
    <row r="298" spans="1:4" x14ac:dyDescent="0.75">
      <c r="A298" s="32">
        <v>270</v>
      </c>
      <c r="B298" s="32">
        <f t="shared" si="8"/>
        <v>38</v>
      </c>
      <c r="C298" s="32">
        <f t="shared" si="9"/>
        <v>4</v>
      </c>
      <c r="D298" s="31" t="str" cm="1">
        <f t="array" ref="D298">INDEX('Prod-uc1-1'!$Q$10:$W$53,1+B298,C298)</f>
        <v/>
      </c>
    </row>
    <row r="299" spans="1:4" x14ac:dyDescent="0.75">
      <c r="A299" s="32">
        <v>271</v>
      </c>
      <c r="B299" s="32">
        <f t="shared" si="8"/>
        <v>38</v>
      </c>
      <c r="C299" s="32">
        <f t="shared" si="9"/>
        <v>5</v>
      </c>
      <c r="D299" s="31" t="str" cm="1">
        <f t="array" ref="D299">INDEX('Prod-uc1-1'!$Q$10:$W$53,1+B299,C299)</f>
        <v/>
      </c>
    </row>
    <row r="300" spans="1:4" x14ac:dyDescent="0.75">
      <c r="A300" s="32">
        <v>272</v>
      </c>
      <c r="B300" s="32">
        <f t="shared" si="8"/>
        <v>38</v>
      </c>
      <c r="C300" s="32">
        <f t="shared" si="9"/>
        <v>6</v>
      </c>
      <c r="D300" s="31" cm="1">
        <f t="array" ref="D300">INDEX('Prod-uc1-1'!$Q$10:$W$53,1+B300,C300)</f>
        <v>0</v>
      </c>
    </row>
    <row r="301" spans="1:4" x14ac:dyDescent="0.75">
      <c r="A301" s="32">
        <v>273</v>
      </c>
      <c r="B301" s="32">
        <f t="shared" si="8"/>
        <v>38</v>
      </c>
      <c r="C301" s="32">
        <f t="shared" si="9"/>
        <v>7</v>
      </c>
      <c r="D301" s="31" t="str" cm="1">
        <f t="array" ref="D301">INDEX('Prod-uc1-1'!$Q$10:$W$53,1+B301,C301)</f>
        <v/>
      </c>
    </row>
    <row r="302" spans="1:4" x14ac:dyDescent="0.75">
      <c r="A302" s="32">
        <v>274</v>
      </c>
      <c r="B302" s="32">
        <f t="shared" si="8"/>
        <v>39</v>
      </c>
      <c r="C302" s="32">
        <f t="shared" si="9"/>
        <v>1</v>
      </c>
      <c r="D302" s="31" cm="1">
        <f t="array" ref="D302">INDEX('Prod-uc1-1'!$Q$10:$W$53,1+B302,C302)</f>
        <v>0</v>
      </c>
    </row>
    <row r="303" spans="1:4" x14ac:dyDescent="0.75">
      <c r="A303" s="32">
        <v>275</v>
      </c>
      <c r="B303" s="32">
        <f t="shared" si="8"/>
        <v>39</v>
      </c>
      <c r="C303" s="32">
        <f t="shared" si="9"/>
        <v>2</v>
      </c>
      <c r="D303" s="31" cm="1">
        <f t="array" ref="D303">INDEX('Prod-uc1-1'!$Q$10:$W$53,1+B303,C303)</f>
        <v>0</v>
      </c>
    </row>
    <row r="304" spans="1:4" x14ac:dyDescent="0.75">
      <c r="A304" s="32">
        <v>276</v>
      </c>
      <c r="B304" s="32">
        <f t="shared" si="8"/>
        <v>39</v>
      </c>
      <c r="C304" s="32">
        <f t="shared" si="9"/>
        <v>3</v>
      </c>
      <c r="D304" s="31" t="str" cm="1">
        <f t="array" ref="D304">INDEX('Prod-uc1-1'!$Q$10:$W$53,1+B304,C304)</f>
        <v/>
      </c>
    </row>
    <row r="305" spans="1:4" x14ac:dyDescent="0.75">
      <c r="A305" s="32">
        <v>277</v>
      </c>
      <c r="B305" s="32">
        <f t="shared" si="8"/>
        <v>39</v>
      </c>
      <c r="C305" s="32">
        <f t="shared" si="9"/>
        <v>4</v>
      </c>
      <c r="D305" s="31" t="str" cm="1">
        <f t="array" ref="D305">INDEX('Prod-uc1-1'!$Q$10:$W$53,1+B305,C305)</f>
        <v/>
      </c>
    </row>
    <row r="306" spans="1:4" x14ac:dyDescent="0.75">
      <c r="A306" s="32">
        <v>278</v>
      </c>
      <c r="B306" s="32">
        <f t="shared" si="8"/>
        <v>39</v>
      </c>
      <c r="C306" s="32">
        <f t="shared" si="9"/>
        <v>5</v>
      </c>
      <c r="D306" s="31" t="str" cm="1">
        <f t="array" ref="D306">INDEX('Prod-uc1-1'!$Q$10:$W$53,1+B306,C306)</f>
        <v/>
      </c>
    </row>
    <row r="307" spans="1:4" x14ac:dyDescent="0.75">
      <c r="A307" s="32">
        <v>279</v>
      </c>
      <c r="B307" s="32">
        <f t="shared" si="8"/>
        <v>39</v>
      </c>
      <c r="C307" s="32">
        <f t="shared" si="9"/>
        <v>6</v>
      </c>
      <c r="D307" s="31" cm="1">
        <f t="array" ref="D307">INDEX('Prod-uc1-1'!$Q$10:$W$53,1+B307,C307)</f>
        <v>0</v>
      </c>
    </row>
    <row r="308" spans="1:4" x14ac:dyDescent="0.75">
      <c r="A308" s="32">
        <v>280</v>
      </c>
      <c r="B308" s="32">
        <f t="shared" si="8"/>
        <v>39</v>
      </c>
      <c r="C308" s="32">
        <f t="shared" si="9"/>
        <v>7</v>
      </c>
      <c r="D308" s="31" t="str" cm="1">
        <f t="array" ref="D308">INDEX('Prod-uc1-1'!$Q$10:$W$53,1+B308,C308)</f>
        <v/>
      </c>
    </row>
    <row r="309" spans="1:4" x14ac:dyDescent="0.75">
      <c r="A309" s="32">
        <v>281</v>
      </c>
      <c r="B309" s="32">
        <f t="shared" si="8"/>
        <v>40</v>
      </c>
      <c r="C309" s="32">
        <f t="shared" si="9"/>
        <v>1</v>
      </c>
      <c r="D309" s="31" cm="1">
        <f t="array" ref="D309">INDEX('Prod-uc1-1'!$Q$10:$W$53,1+B309,C309)</f>
        <v>0</v>
      </c>
    </row>
    <row r="310" spans="1:4" x14ac:dyDescent="0.75">
      <c r="A310" s="32">
        <v>282</v>
      </c>
      <c r="B310" s="32">
        <f t="shared" si="8"/>
        <v>40</v>
      </c>
      <c r="C310" s="32">
        <f t="shared" si="9"/>
        <v>2</v>
      </c>
      <c r="D310" s="31" cm="1">
        <f t="array" ref="D310">INDEX('Prod-uc1-1'!$Q$10:$W$53,1+B310,C310)</f>
        <v>0</v>
      </c>
    </row>
    <row r="311" spans="1:4" x14ac:dyDescent="0.75">
      <c r="A311" s="32">
        <v>283</v>
      </c>
      <c r="B311" s="32">
        <f t="shared" si="8"/>
        <v>40</v>
      </c>
      <c r="C311" s="32">
        <f t="shared" si="9"/>
        <v>3</v>
      </c>
      <c r="D311" s="31" t="str" cm="1">
        <f t="array" ref="D311">INDEX('Prod-uc1-1'!$Q$10:$W$53,1+B311,C311)</f>
        <v/>
      </c>
    </row>
    <row r="312" spans="1:4" x14ac:dyDescent="0.75">
      <c r="A312" s="32">
        <v>284</v>
      </c>
      <c r="B312" s="32">
        <f t="shared" si="8"/>
        <v>40</v>
      </c>
      <c r="C312" s="32">
        <f t="shared" si="9"/>
        <v>4</v>
      </c>
      <c r="D312" s="31" t="str" cm="1">
        <f t="array" ref="D312">INDEX('Prod-uc1-1'!$Q$10:$W$53,1+B312,C312)</f>
        <v/>
      </c>
    </row>
    <row r="313" spans="1:4" x14ac:dyDescent="0.75">
      <c r="A313" s="32">
        <v>285</v>
      </c>
      <c r="B313" s="32">
        <f t="shared" si="8"/>
        <v>40</v>
      </c>
      <c r="C313" s="32">
        <f t="shared" si="9"/>
        <v>5</v>
      </c>
      <c r="D313" s="31" t="str" cm="1">
        <f t="array" ref="D313">INDEX('Prod-uc1-1'!$Q$10:$W$53,1+B313,C313)</f>
        <v/>
      </c>
    </row>
    <row r="314" spans="1:4" x14ac:dyDescent="0.75">
      <c r="A314" s="32">
        <v>286</v>
      </c>
      <c r="B314" s="32">
        <f t="shared" si="8"/>
        <v>40</v>
      </c>
      <c r="C314" s="32">
        <f t="shared" si="9"/>
        <v>6</v>
      </c>
      <c r="D314" s="31" cm="1">
        <f t="array" ref="D314">INDEX('Prod-uc1-1'!$Q$10:$W$53,1+B314,C314)</f>
        <v>0</v>
      </c>
    </row>
    <row r="315" spans="1:4" x14ac:dyDescent="0.75">
      <c r="A315" s="32">
        <v>287</v>
      </c>
      <c r="B315" s="32">
        <f t="shared" si="8"/>
        <v>40</v>
      </c>
      <c r="C315" s="32">
        <f t="shared" si="9"/>
        <v>7</v>
      </c>
      <c r="D315" s="31" t="str" cm="1">
        <f t="array" ref="D315">INDEX('Prod-uc1-1'!$Q$10:$W$53,1+B315,C315)</f>
        <v/>
      </c>
    </row>
    <row r="316" spans="1:4" x14ac:dyDescent="0.75">
      <c r="A316" s="32">
        <v>288</v>
      </c>
      <c r="B316" s="32">
        <f t="shared" si="8"/>
        <v>41</v>
      </c>
      <c r="C316" s="32">
        <f t="shared" si="9"/>
        <v>1</v>
      </c>
      <c r="D316" s="31" cm="1">
        <f t="array" ref="D316">INDEX('Prod-uc1-1'!$Q$10:$W$53,1+B316,C316)</f>
        <v>0</v>
      </c>
    </row>
    <row r="317" spans="1:4" x14ac:dyDescent="0.75">
      <c r="A317" s="32">
        <v>289</v>
      </c>
      <c r="B317" s="32">
        <f t="shared" si="8"/>
        <v>41</v>
      </c>
      <c r="C317" s="32">
        <f t="shared" si="9"/>
        <v>2</v>
      </c>
      <c r="D317" s="31" cm="1">
        <f t="array" ref="D317">INDEX('Prod-uc1-1'!$Q$10:$W$53,1+B317,C317)</f>
        <v>0</v>
      </c>
    </row>
    <row r="318" spans="1:4" x14ac:dyDescent="0.75">
      <c r="A318" s="32">
        <v>290</v>
      </c>
      <c r="B318" s="32">
        <f t="shared" si="8"/>
        <v>41</v>
      </c>
      <c r="C318" s="32">
        <f t="shared" si="9"/>
        <v>3</v>
      </c>
      <c r="D318" s="31" t="str" cm="1">
        <f t="array" ref="D318">INDEX('Prod-uc1-1'!$Q$10:$W$53,1+B318,C318)</f>
        <v/>
      </c>
    </row>
    <row r="319" spans="1:4" x14ac:dyDescent="0.75">
      <c r="A319" s="32">
        <v>291</v>
      </c>
      <c r="B319" s="32">
        <f t="shared" si="8"/>
        <v>41</v>
      </c>
      <c r="C319" s="32">
        <f t="shared" si="9"/>
        <v>4</v>
      </c>
      <c r="D319" s="31" t="str" cm="1">
        <f t="array" ref="D319">INDEX('Prod-uc1-1'!$Q$10:$W$53,1+B319,C319)</f>
        <v/>
      </c>
    </row>
    <row r="320" spans="1:4" x14ac:dyDescent="0.75">
      <c r="A320" s="32">
        <v>292</v>
      </c>
      <c r="B320" s="32">
        <f t="shared" si="8"/>
        <v>41</v>
      </c>
      <c r="C320" s="32">
        <f t="shared" si="9"/>
        <v>5</v>
      </c>
      <c r="D320" s="31" t="str" cm="1">
        <f t="array" ref="D320">INDEX('Prod-uc1-1'!$Q$10:$W$53,1+B320,C320)</f>
        <v/>
      </c>
    </row>
    <row r="321" spans="1:4" x14ac:dyDescent="0.75">
      <c r="A321" s="32">
        <v>293</v>
      </c>
      <c r="B321" s="32">
        <f t="shared" si="8"/>
        <v>41</v>
      </c>
      <c r="C321" s="32">
        <f t="shared" si="9"/>
        <v>6</v>
      </c>
      <c r="D321" s="31" cm="1">
        <f t="array" ref="D321">INDEX('Prod-uc1-1'!$Q$10:$W$53,1+B321,C321)</f>
        <v>0</v>
      </c>
    </row>
    <row r="322" spans="1:4" x14ac:dyDescent="0.75">
      <c r="A322" s="32">
        <v>294</v>
      </c>
      <c r="B322" s="32">
        <f t="shared" si="8"/>
        <v>41</v>
      </c>
      <c r="C322" s="32">
        <f t="shared" si="9"/>
        <v>7</v>
      </c>
      <c r="D322" s="31" t="str" cm="1">
        <f t="array" ref="D322">INDEX('Prod-uc1-1'!$Q$10:$W$53,1+B322,C322)</f>
        <v/>
      </c>
    </row>
    <row r="323" spans="1:4" x14ac:dyDescent="0.75">
      <c r="A323" s="32">
        <v>295</v>
      </c>
      <c r="B323" s="32">
        <f t="shared" si="8"/>
        <v>42</v>
      </c>
      <c r="C323" s="32">
        <f t="shared" si="9"/>
        <v>1</v>
      </c>
      <c r="D323" s="31" cm="1">
        <f t="array" ref="D323">INDEX('Prod-uc1-1'!$Q$10:$W$53,1+B323,C323)</f>
        <v>0</v>
      </c>
    </row>
    <row r="324" spans="1:4" x14ac:dyDescent="0.75">
      <c r="A324" s="32">
        <v>296</v>
      </c>
      <c r="B324" s="32">
        <f t="shared" si="8"/>
        <v>42</v>
      </c>
      <c r="C324" s="32">
        <f t="shared" si="9"/>
        <v>2</v>
      </c>
      <c r="D324" s="31" cm="1">
        <f t="array" ref="D324">INDEX('Prod-uc1-1'!$Q$10:$W$53,1+B324,C324)</f>
        <v>0</v>
      </c>
    </row>
    <row r="325" spans="1:4" x14ac:dyDescent="0.75">
      <c r="A325" s="32">
        <v>297</v>
      </c>
      <c r="B325" s="32">
        <f t="shared" si="8"/>
        <v>42</v>
      </c>
      <c r="C325" s="32">
        <f t="shared" si="9"/>
        <v>3</v>
      </c>
      <c r="D325" s="31" t="str" cm="1">
        <f t="array" ref="D325">INDEX('Prod-uc1-1'!$Q$10:$W$53,1+B325,C325)</f>
        <v/>
      </c>
    </row>
    <row r="326" spans="1:4" x14ac:dyDescent="0.75">
      <c r="A326" s="32">
        <v>298</v>
      </c>
      <c r="B326" s="32">
        <f t="shared" si="8"/>
        <v>42</v>
      </c>
      <c r="C326" s="32">
        <f t="shared" si="9"/>
        <v>4</v>
      </c>
      <c r="D326" s="31" t="str" cm="1">
        <f t="array" ref="D326">INDEX('Prod-uc1-1'!$Q$10:$W$53,1+B326,C326)</f>
        <v/>
      </c>
    </row>
    <row r="327" spans="1:4" x14ac:dyDescent="0.75">
      <c r="A327" s="32">
        <v>299</v>
      </c>
      <c r="B327" s="32">
        <f t="shared" si="8"/>
        <v>42</v>
      </c>
      <c r="C327" s="32">
        <f t="shared" si="9"/>
        <v>5</v>
      </c>
      <c r="D327" s="31" t="str" cm="1">
        <f t="array" ref="D327">INDEX('Prod-uc1-1'!$Q$10:$W$53,1+B327,C327)</f>
        <v/>
      </c>
    </row>
    <row r="328" spans="1:4" x14ac:dyDescent="0.75">
      <c r="A328" s="32">
        <v>300</v>
      </c>
      <c r="B328" s="32">
        <f t="shared" si="8"/>
        <v>42</v>
      </c>
      <c r="C328" s="32">
        <f t="shared" si="9"/>
        <v>6</v>
      </c>
      <c r="D328" s="31" cm="1">
        <f t="array" ref="D328">INDEX('Prod-uc1-1'!$Q$10:$W$53,1+B328,C328)</f>
        <v>0</v>
      </c>
    </row>
    <row r="329" spans="1:4" x14ac:dyDescent="0.75">
      <c r="A329" s="32">
        <v>301</v>
      </c>
      <c r="B329" s="32">
        <f t="shared" si="8"/>
        <v>42</v>
      </c>
      <c r="C329" s="32">
        <f t="shared" si="9"/>
        <v>7</v>
      </c>
      <c r="D329" s="31" t="str" cm="1">
        <f t="array" ref="D329">INDEX('Prod-uc1-1'!$Q$10:$W$53,1+B329,C329)</f>
        <v/>
      </c>
    </row>
    <row r="330" spans="1:4" x14ac:dyDescent="0.75">
      <c r="A330" s="32">
        <v>302</v>
      </c>
      <c r="B330" s="32">
        <f t="shared" si="8"/>
        <v>43</v>
      </c>
      <c r="C330" s="32">
        <f t="shared" si="9"/>
        <v>1</v>
      </c>
      <c r="D330" s="31" cm="1">
        <f t="array" ref="D330">INDEX('Prod-uc1-1'!$Q$10:$W$53,1+B330,C330)</f>
        <v>0</v>
      </c>
    </row>
    <row r="331" spans="1:4" x14ac:dyDescent="0.75">
      <c r="A331" s="32">
        <v>303</v>
      </c>
      <c r="B331" s="32">
        <f t="shared" si="8"/>
        <v>43</v>
      </c>
      <c r="C331" s="32">
        <f t="shared" si="9"/>
        <v>2</v>
      </c>
      <c r="D331" s="31" cm="1">
        <f t="array" ref="D331">INDEX('Prod-uc1-1'!$Q$10:$W$53,1+B331,C331)</f>
        <v>0</v>
      </c>
    </row>
    <row r="332" spans="1:4" x14ac:dyDescent="0.75">
      <c r="A332" s="32">
        <v>304</v>
      </c>
      <c r="B332" s="32">
        <f t="shared" si="8"/>
        <v>43</v>
      </c>
      <c r="C332" s="32">
        <f t="shared" si="9"/>
        <v>3</v>
      </c>
      <c r="D332" s="31" t="str" cm="1">
        <f t="array" ref="D332">INDEX('Prod-uc1-1'!$Q$10:$W$53,1+B332,C332)</f>
        <v/>
      </c>
    </row>
    <row r="333" spans="1:4" x14ac:dyDescent="0.75">
      <c r="A333" s="32">
        <v>305</v>
      </c>
      <c r="B333" s="32">
        <f t="shared" si="8"/>
        <v>43</v>
      </c>
      <c r="C333" s="32">
        <f t="shared" si="9"/>
        <v>4</v>
      </c>
      <c r="D333" s="31" t="str" cm="1">
        <f t="array" ref="D333">INDEX('Prod-uc1-1'!$Q$10:$W$53,1+B333,C333)</f>
        <v/>
      </c>
    </row>
    <row r="334" spans="1:4" x14ac:dyDescent="0.75">
      <c r="A334" s="32">
        <v>306</v>
      </c>
      <c r="B334" s="32">
        <f t="shared" si="8"/>
        <v>43</v>
      </c>
      <c r="C334" s="32">
        <f t="shared" si="9"/>
        <v>5</v>
      </c>
      <c r="D334" s="31" t="str" cm="1">
        <f t="array" ref="D334">INDEX('Prod-uc1-1'!$Q$10:$W$53,1+B334,C334)</f>
        <v/>
      </c>
    </row>
    <row r="335" spans="1:4" x14ac:dyDescent="0.75">
      <c r="A335" s="32">
        <v>307</v>
      </c>
      <c r="B335" s="32">
        <f t="shared" si="8"/>
        <v>43</v>
      </c>
      <c r="C335" s="32">
        <f t="shared" si="9"/>
        <v>6</v>
      </c>
      <c r="D335" s="31" cm="1">
        <f t="array" ref="D335">INDEX('Prod-uc1-1'!$Q$10:$W$53,1+B335,C335)</f>
        <v>0</v>
      </c>
    </row>
    <row r="336" spans="1:4" x14ac:dyDescent="0.75">
      <c r="A336" s="32">
        <v>308</v>
      </c>
      <c r="B336" s="32">
        <f t="shared" si="8"/>
        <v>43</v>
      </c>
      <c r="C336" s="32">
        <f t="shared" si="9"/>
        <v>7</v>
      </c>
      <c r="D336" s="31" t="str" cm="1">
        <f t="array" ref="D336">INDEX('Prod-uc1-1'!$Q$10:$W$53,1+B336,C336)</f>
        <v/>
      </c>
    </row>
    <row r="337" spans="1:4" x14ac:dyDescent="0.75">
      <c r="A337" s="32">
        <v>309</v>
      </c>
      <c r="B337" s="32">
        <f t="shared" si="8"/>
        <v>44</v>
      </c>
      <c r="C337" s="32">
        <f t="shared" si="9"/>
        <v>1</v>
      </c>
      <c r="D337" s="31" t="e" cm="1">
        <f t="array" ref="D337">INDEX('Prod-uc1-1'!$Q$10:$W$53,1+B337,C337)</f>
        <v>#REF!</v>
      </c>
    </row>
    <row r="338" spans="1:4" x14ac:dyDescent="0.75">
      <c r="A338" s="32">
        <v>310</v>
      </c>
      <c r="B338" s="32">
        <f t="shared" si="8"/>
        <v>44</v>
      </c>
      <c r="C338" s="32">
        <f t="shared" si="9"/>
        <v>2</v>
      </c>
      <c r="D338" s="31" t="e" cm="1">
        <f t="array" ref="D338">INDEX('Prod-uc1-1'!$Q$10:$W$53,1+B338,C338)</f>
        <v>#REF!</v>
      </c>
    </row>
    <row r="339" spans="1:4" x14ac:dyDescent="0.75">
      <c r="A339" s="32">
        <v>311</v>
      </c>
      <c r="B339" s="32">
        <f t="shared" si="8"/>
        <v>44</v>
      </c>
      <c r="C339" s="32">
        <f t="shared" si="9"/>
        <v>3</v>
      </c>
      <c r="D339" s="31" t="e" cm="1">
        <f t="array" ref="D339">INDEX('Prod-uc1-1'!$Q$10:$W$53,1+B339,C339)</f>
        <v>#REF!</v>
      </c>
    </row>
    <row r="340" spans="1:4" x14ac:dyDescent="0.75">
      <c r="A340" s="32">
        <v>312</v>
      </c>
      <c r="B340" s="32">
        <f t="shared" si="8"/>
        <v>44</v>
      </c>
      <c r="C340" s="32">
        <f t="shared" si="9"/>
        <v>4</v>
      </c>
      <c r="D340" s="31" t="e" cm="1">
        <f t="array" ref="D340">INDEX('Prod-uc1-1'!$Q$10:$W$53,1+B340,C340)</f>
        <v>#REF!</v>
      </c>
    </row>
    <row r="341" spans="1:4" x14ac:dyDescent="0.75">
      <c r="A341" s="32">
        <v>313</v>
      </c>
      <c r="B341" s="32">
        <f t="shared" si="8"/>
        <v>44</v>
      </c>
      <c r="C341" s="32">
        <f t="shared" si="9"/>
        <v>5</v>
      </c>
      <c r="D341" s="31" t="e" cm="1">
        <f t="array" ref="D341">INDEX('Prod-uc1-1'!$Q$10:$W$53,1+B341,C341)</f>
        <v>#REF!</v>
      </c>
    </row>
    <row r="342" spans="1:4" x14ac:dyDescent="0.75">
      <c r="A342" s="32">
        <v>314</v>
      </c>
      <c r="B342" s="32">
        <f t="shared" si="8"/>
        <v>44</v>
      </c>
      <c r="C342" s="32">
        <f t="shared" si="9"/>
        <v>6</v>
      </c>
      <c r="D342" s="31" t="e" cm="1">
        <f t="array" ref="D342">INDEX('Prod-uc1-1'!$Q$10:$W$53,1+B342,C342)</f>
        <v>#REF!</v>
      </c>
    </row>
    <row r="343" spans="1:4" x14ac:dyDescent="0.75">
      <c r="A343" s="32">
        <v>315</v>
      </c>
      <c r="B343" s="32">
        <f t="shared" si="8"/>
        <v>44</v>
      </c>
      <c r="C343" s="32">
        <f t="shared" si="9"/>
        <v>7</v>
      </c>
      <c r="D343" s="31" t="e" cm="1">
        <f t="array" ref="D343">INDEX('Prod-uc1-1'!$Q$10:$W$53,1+B343,C343)</f>
        <v>#REF!</v>
      </c>
    </row>
    <row r="344" spans="1:4" x14ac:dyDescent="0.75">
      <c r="A344" s="32">
        <v>316</v>
      </c>
      <c r="B344" s="32">
        <f t="shared" si="8"/>
        <v>45</v>
      </c>
      <c r="C344" s="32">
        <f t="shared" si="9"/>
        <v>1</v>
      </c>
      <c r="D344" s="31" t="e" cm="1">
        <f t="array" ref="D344">INDEX('Prod-uc1-1'!$Q$10:$W$53,1+B344,C344)</f>
        <v>#REF!</v>
      </c>
    </row>
    <row r="345" spans="1:4" x14ac:dyDescent="0.75">
      <c r="A345" s="32">
        <v>317</v>
      </c>
      <c r="B345" s="32">
        <f t="shared" si="8"/>
        <v>45</v>
      </c>
      <c r="C345" s="32">
        <f t="shared" si="9"/>
        <v>2</v>
      </c>
      <c r="D345" s="31" t="e" cm="1">
        <f t="array" ref="D345">INDEX('Prod-uc1-1'!$Q$10:$W$53,1+B345,C345)</f>
        <v>#REF!</v>
      </c>
    </row>
    <row r="346" spans="1:4" x14ac:dyDescent="0.75">
      <c r="A346" s="32">
        <v>318</v>
      </c>
      <c r="B346" s="32">
        <f t="shared" si="8"/>
        <v>45</v>
      </c>
      <c r="C346" s="32">
        <f t="shared" si="9"/>
        <v>3</v>
      </c>
      <c r="D346" s="31" t="e" cm="1">
        <f t="array" ref="D346">INDEX('Prod-uc1-1'!$Q$10:$W$53,1+B346,C346)</f>
        <v>#REF!</v>
      </c>
    </row>
    <row r="347" spans="1:4" x14ac:dyDescent="0.75">
      <c r="A347" s="32">
        <v>319</v>
      </c>
      <c r="B347" s="32">
        <f t="shared" si="8"/>
        <v>45</v>
      </c>
      <c r="C347" s="32">
        <f t="shared" si="9"/>
        <v>4</v>
      </c>
      <c r="D347" s="31" t="e" cm="1">
        <f t="array" ref="D347">INDEX('Prod-uc1-1'!$Q$10:$W$53,1+B347,C347)</f>
        <v>#REF!</v>
      </c>
    </row>
    <row r="348" spans="1:4" x14ac:dyDescent="0.75">
      <c r="A348" s="32">
        <v>320</v>
      </c>
      <c r="B348" s="32">
        <f t="shared" si="8"/>
        <v>45</v>
      </c>
      <c r="C348" s="32">
        <f t="shared" si="9"/>
        <v>5</v>
      </c>
      <c r="D348" s="31" t="e" cm="1">
        <f t="array" ref="D348">INDEX('Prod-uc1-1'!$Q$10:$W$53,1+B348,C348)</f>
        <v>#REF!</v>
      </c>
    </row>
    <row r="349" spans="1:4" x14ac:dyDescent="0.75">
      <c r="A349" s="32">
        <v>321</v>
      </c>
      <c r="B349" s="32">
        <f t="shared" ref="B349:B412" si="10">IF(MOD(A349,$B$6)=0,A349/$B$6-1,INT(A349/$B$6))</f>
        <v>45</v>
      </c>
      <c r="C349" s="32">
        <f t="shared" ref="C349:C412" si="11">IF(MOD(A349,$B$6)=0,$B$6,MOD(A349,$B$6))</f>
        <v>6</v>
      </c>
      <c r="D349" s="31" t="e" cm="1">
        <f t="array" ref="D349">INDEX('Prod-uc1-1'!$Q$10:$W$53,1+B349,C349)</f>
        <v>#REF!</v>
      </c>
    </row>
    <row r="350" spans="1:4" x14ac:dyDescent="0.75">
      <c r="A350" s="32">
        <v>322</v>
      </c>
      <c r="B350" s="32">
        <f t="shared" si="10"/>
        <v>45</v>
      </c>
      <c r="C350" s="32">
        <f t="shared" si="11"/>
        <v>7</v>
      </c>
      <c r="D350" s="31" t="e" cm="1">
        <f t="array" ref="D350">INDEX('Prod-uc1-1'!$Q$10:$W$53,1+B350,C350)</f>
        <v>#REF!</v>
      </c>
    </row>
    <row r="351" spans="1:4" x14ac:dyDescent="0.75">
      <c r="A351" s="32">
        <v>323</v>
      </c>
      <c r="B351" s="32">
        <f t="shared" si="10"/>
        <v>46</v>
      </c>
      <c r="C351" s="32">
        <f t="shared" si="11"/>
        <v>1</v>
      </c>
      <c r="D351" s="31" t="e" cm="1">
        <f t="array" ref="D351">INDEX('Prod-uc1-1'!$Q$10:$W$53,1+B351,C351)</f>
        <v>#REF!</v>
      </c>
    </row>
    <row r="352" spans="1:4" x14ac:dyDescent="0.75">
      <c r="A352" s="32">
        <v>324</v>
      </c>
      <c r="B352" s="32">
        <f t="shared" si="10"/>
        <v>46</v>
      </c>
      <c r="C352" s="32">
        <f t="shared" si="11"/>
        <v>2</v>
      </c>
      <c r="D352" s="31" t="e" cm="1">
        <f t="array" ref="D352">INDEX('Prod-uc1-1'!$Q$10:$W$53,1+B352,C352)</f>
        <v>#REF!</v>
      </c>
    </row>
    <row r="353" spans="1:4" x14ac:dyDescent="0.75">
      <c r="A353" s="32">
        <v>325</v>
      </c>
      <c r="B353" s="32">
        <f t="shared" si="10"/>
        <v>46</v>
      </c>
      <c r="C353" s="32">
        <f t="shared" si="11"/>
        <v>3</v>
      </c>
      <c r="D353" s="31" t="e" cm="1">
        <f t="array" ref="D353">INDEX('Prod-uc1-1'!$Q$10:$W$53,1+B353,C353)</f>
        <v>#REF!</v>
      </c>
    </row>
    <row r="354" spans="1:4" x14ac:dyDescent="0.75">
      <c r="A354" s="32">
        <v>326</v>
      </c>
      <c r="B354" s="32">
        <f t="shared" si="10"/>
        <v>46</v>
      </c>
      <c r="C354" s="32">
        <f t="shared" si="11"/>
        <v>4</v>
      </c>
      <c r="D354" s="31" t="e" cm="1">
        <f t="array" ref="D354">INDEX('Prod-uc1-1'!$Q$10:$W$53,1+B354,C354)</f>
        <v>#REF!</v>
      </c>
    </row>
    <row r="355" spans="1:4" x14ac:dyDescent="0.75">
      <c r="A355" s="32">
        <v>327</v>
      </c>
      <c r="B355" s="32">
        <f t="shared" si="10"/>
        <v>46</v>
      </c>
      <c r="C355" s="32">
        <f t="shared" si="11"/>
        <v>5</v>
      </c>
      <c r="D355" s="31" t="e" cm="1">
        <f t="array" ref="D355">INDEX('Prod-uc1-1'!$Q$10:$W$53,1+B355,C355)</f>
        <v>#REF!</v>
      </c>
    </row>
    <row r="356" spans="1:4" x14ac:dyDescent="0.75">
      <c r="A356" s="32">
        <v>328</v>
      </c>
      <c r="B356" s="32">
        <f t="shared" si="10"/>
        <v>46</v>
      </c>
      <c r="C356" s="32">
        <f t="shared" si="11"/>
        <v>6</v>
      </c>
      <c r="D356" s="31" t="e" cm="1">
        <f t="array" ref="D356">INDEX('Prod-uc1-1'!$Q$10:$W$53,1+B356,C356)</f>
        <v>#REF!</v>
      </c>
    </row>
    <row r="357" spans="1:4" x14ac:dyDescent="0.75">
      <c r="A357" s="32">
        <v>329</v>
      </c>
      <c r="B357" s="32">
        <f t="shared" si="10"/>
        <v>46</v>
      </c>
      <c r="C357" s="32">
        <f t="shared" si="11"/>
        <v>7</v>
      </c>
      <c r="D357" s="31" t="e" cm="1">
        <f t="array" ref="D357">INDEX('Prod-uc1-1'!$Q$10:$W$53,1+B357,C357)</f>
        <v>#REF!</v>
      </c>
    </row>
    <row r="358" spans="1:4" x14ac:dyDescent="0.75">
      <c r="A358" s="32">
        <v>330</v>
      </c>
      <c r="B358" s="32">
        <f t="shared" si="10"/>
        <v>47</v>
      </c>
      <c r="C358" s="32">
        <f t="shared" si="11"/>
        <v>1</v>
      </c>
      <c r="D358" s="31" t="e" cm="1">
        <f t="array" ref="D358">INDEX('Prod-uc1-1'!$Q$10:$W$53,1+B358,C358)</f>
        <v>#REF!</v>
      </c>
    </row>
    <row r="359" spans="1:4" x14ac:dyDescent="0.75">
      <c r="A359" s="32">
        <v>331</v>
      </c>
      <c r="B359" s="32">
        <f t="shared" si="10"/>
        <v>47</v>
      </c>
      <c r="C359" s="32">
        <f t="shared" si="11"/>
        <v>2</v>
      </c>
      <c r="D359" s="31" t="e" cm="1">
        <f t="array" ref="D359">INDEX('Prod-uc1-1'!$Q$10:$W$53,1+B359,C359)</f>
        <v>#REF!</v>
      </c>
    </row>
    <row r="360" spans="1:4" x14ac:dyDescent="0.75">
      <c r="A360" s="32">
        <v>332</v>
      </c>
      <c r="B360" s="32">
        <f t="shared" si="10"/>
        <v>47</v>
      </c>
      <c r="C360" s="32">
        <f t="shared" si="11"/>
        <v>3</v>
      </c>
      <c r="D360" s="31" t="e" cm="1">
        <f t="array" ref="D360">INDEX('Prod-uc1-1'!$Q$10:$W$53,1+B360,C360)</f>
        <v>#REF!</v>
      </c>
    </row>
    <row r="361" spans="1:4" x14ac:dyDescent="0.75">
      <c r="A361" s="32">
        <v>333</v>
      </c>
      <c r="B361" s="32">
        <f t="shared" si="10"/>
        <v>47</v>
      </c>
      <c r="C361" s="32">
        <f t="shared" si="11"/>
        <v>4</v>
      </c>
      <c r="D361" s="31" t="e" cm="1">
        <f t="array" ref="D361">INDEX('Prod-uc1-1'!$Q$10:$W$53,1+B361,C361)</f>
        <v>#REF!</v>
      </c>
    </row>
    <row r="362" spans="1:4" x14ac:dyDescent="0.75">
      <c r="A362" s="32">
        <v>334</v>
      </c>
      <c r="B362" s="32">
        <f t="shared" si="10"/>
        <v>47</v>
      </c>
      <c r="C362" s="32">
        <f t="shared" si="11"/>
        <v>5</v>
      </c>
      <c r="D362" s="31" t="e" cm="1">
        <f t="array" ref="D362">INDEX('Prod-uc1-1'!$Q$10:$W$53,1+B362,C362)</f>
        <v>#REF!</v>
      </c>
    </row>
    <row r="363" spans="1:4" x14ac:dyDescent="0.75">
      <c r="A363" s="32">
        <v>335</v>
      </c>
      <c r="B363" s="32">
        <f t="shared" si="10"/>
        <v>47</v>
      </c>
      <c r="C363" s="32">
        <f t="shared" si="11"/>
        <v>6</v>
      </c>
      <c r="D363" s="31" t="e" cm="1">
        <f t="array" ref="D363">INDEX('Prod-uc1-1'!$Q$10:$W$53,1+B363,C363)</f>
        <v>#REF!</v>
      </c>
    </row>
    <row r="364" spans="1:4" x14ac:dyDescent="0.75">
      <c r="A364" s="32">
        <v>336</v>
      </c>
      <c r="B364" s="32">
        <f t="shared" si="10"/>
        <v>47</v>
      </c>
      <c r="C364" s="32">
        <f t="shared" si="11"/>
        <v>7</v>
      </c>
      <c r="D364" s="31" t="e" cm="1">
        <f t="array" ref="D364">INDEX('Prod-uc1-1'!$Q$10:$W$53,1+B364,C364)</f>
        <v>#REF!</v>
      </c>
    </row>
    <row r="365" spans="1:4" x14ac:dyDescent="0.75">
      <c r="A365" s="32">
        <v>337</v>
      </c>
      <c r="B365" s="32">
        <f t="shared" si="10"/>
        <v>48</v>
      </c>
      <c r="C365" s="32">
        <f t="shared" si="11"/>
        <v>1</v>
      </c>
      <c r="D365" s="31" t="e" cm="1">
        <f t="array" ref="D365">INDEX('Prod-uc1-1'!$Q$10:$W$53,1+B365,C365)</f>
        <v>#REF!</v>
      </c>
    </row>
    <row r="366" spans="1:4" x14ac:dyDescent="0.75">
      <c r="A366" s="32">
        <v>338</v>
      </c>
      <c r="B366" s="32">
        <f t="shared" si="10"/>
        <v>48</v>
      </c>
      <c r="C366" s="32">
        <f t="shared" si="11"/>
        <v>2</v>
      </c>
      <c r="D366" s="31" t="e" cm="1">
        <f t="array" ref="D366">INDEX('Prod-uc1-1'!$Q$10:$W$53,1+B366,C366)</f>
        <v>#REF!</v>
      </c>
    </row>
    <row r="367" spans="1:4" x14ac:dyDescent="0.75">
      <c r="A367" s="32">
        <v>339</v>
      </c>
      <c r="B367" s="32">
        <f t="shared" si="10"/>
        <v>48</v>
      </c>
      <c r="C367" s="32">
        <f t="shared" si="11"/>
        <v>3</v>
      </c>
      <c r="D367" s="31" t="e" cm="1">
        <f t="array" ref="D367">INDEX('Prod-uc1-1'!$Q$10:$W$53,1+B367,C367)</f>
        <v>#REF!</v>
      </c>
    </row>
    <row r="368" spans="1:4" x14ac:dyDescent="0.75">
      <c r="A368" s="32">
        <v>340</v>
      </c>
      <c r="B368" s="32">
        <f t="shared" si="10"/>
        <v>48</v>
      </c>
      <c r="C368" s="32">
        <f t="shared" si="11"/>
        <v>4</v>
      </c>
      <c r="D368" s="31" t="e" cm="1">
        <f t="array" ref="D368">INDEX('Prod-uc1-1'!$Q$10:$W$53,1+B368,C368)</f>
        <v>#REF!</v>
      </c>
    </row>
    <row r="369" spans="1:4" x14ac:dyDescent="0.75">
      <c r="A369" s="32">
        <v>341</v>
      </c>
      <c r="B369" s="32">
        <f t="shared" si="10"/>
        <v>48</v>
      </c>
      <c r="C369" s="32">
        <f t="shared" si="11"/>
        <v>5</v>
      </c>
      <c r="D369" s="31" t="e" cm="1">
        <f t="array" ref="D369">INDEX('Prod-uc1-1'!$Q$10:$W$53,1+B369,C369)</f>
        <v>#REF!</v>
      </c>
    </row>
    <row r="370" spans="1:4" x14ac:dyDescent="0.75">
      <c r="A370" s="32">
        <v>342</v>
      </c>
      <c r="B370" s="32">
        <f t="shared" si="10"/>
        <v>48</v>
      </c>
      <c r="C370" s="32">
        <f t="shared" si="11"/>
        <v>6</v>
      </c>
      <c r="D370" s="31" t="e" cm="1">
        <f t="array" ref="D370">INDEX('Prod-uc1-1'!$Q$10:$W$53,1+B370,C370)</f>
        <v>#REF!</v>
      </c>
    </row>
    <row r="371" spans="1:4" x14ac:dyDescent="0.75">
      <c r="A371" s="32">
        <v>343</v>
      </c>
      <c r="B371" s="32">
        <f t="shared" si="10"/>
        <v>48</v>
      </c>
      <c r="C371" s="32">
        <f t="shared" si="11"/>
        <v>7</v>
      </c>
      <c r="D371" s="31" t="e" cm="1">
        <f t="array" ref="D371">INDEX('Prod-uc1-1'!$Q$10:$W$53,1+B371,C371)</f>
        <v>#REF!</v>
      </c>
    </row>
    <row r="372" spans="1:4" x14ac:dyDescent="0.75">
      <c r="A372" s="32">
        <v>344</v>
      </c>
      <c r="B372" s="32">
        <f t="shared" si="10"/>
        <v>49</v>
      </c>
      <c r="C372" s="32">
        <f t="shared" si="11"/>
        <v>1</v>
      </c>
    </row>
    <row r="373" spans="1:4" x14ac:dyDescent="0.75">
      <c r="A373" s="32">
        <v>345</v>
      </c>
      <c r="B373" s="32">
        <f t="shared" si="10"/>
        <v>49</v>
      </c>
      <c r="C373" s="32">
        <f t="shared" si="11"/>
        <v>2</v>
      </c>
    </row>
    <row r="374" spans="1:4" x14ac:dyDescent="0.75">
      <c r="A374" s="32">
        <v>346</v>
      </c>
      <c r="B374" s="32">
        <f t="shared" si="10"/>
        <v>49</v>
      </c>
      <c r="C374" s="32">
        <f t="shared" si="11"/>
        <v>3</v>
      </c>
    </row>
    <row r="375" spans="1:4" x14ac:dyDescent="0.75">
      <c r="A375" s="32">
        <v>347</v>
      </c>
      <c r="B375" s="32">
        <f t="shared" si="10"/>
        <v>49</v>
      </c>
      <c r="C375" s="32">
        <f t="shared" si="11"/>
        <v>4</v>
      </c>
    </row>
    <row r="376" spans="1:4" x14ac:dyDescent="0.75">
      <c r="A376" s="32">
        <v>348</v>
      </c>
      <c r="B376" s="32">
        <f t="shared" si="10"/>
        <v>49</v>
      </c>
      <c r="C376" s="32">
        <f t="shared" si="11"/>
        <v>5</v>
      </c>
    </row>
    <row r="377" spans="1:4" x14ac:dyDescent="0.75">
      <c r="A377" s="32">
        <v>349</v>
      </c>
      <c r="B377" s="32">
        <f t="shared" si="10"/>
        <v>49</v>
      </c>
      <c r="C377" s="32">
        <f t="shared" si="11"/>
        <v>6</v>
      </c>
    </row>
    <row r="378" spans="1:4" x14ac:dyDescent="0.75">
      <c r="A378" s="32">
        <v>350</v>
      </c>
      <c r="B378" s="32">
        <f t="shared" si="10"/>
        <v>49</v>
      </c>
      <c r="C378" s="32">
        <f t="shared" si="11"/>
        <v>7</v>
      </c>
    </row>
    <row r="379" spans="1:4" x14ac:dyDescent="0.75">
      <c r="A379" s="32">
        <v>351</v>
      </c>
      <c r="B379" s="32">
        <f t="shared" si="10"/>
        <v>50</v>
      </c>
      <c r="C379" s="32">
        <f t="shared" si="11"/>
        <v>1</v>
      </c>
    </row>
    <row r="380" spans="1:4" x14ac:dyDescent="0.75">
      <c r="A380" s="32">
        <v>352</v>
      </c>
      <c r="B380" s="32">
        <f t="shared" si="10"/>
        <v>50</v>
      </c>
      <c r="C380" s="32">
        <f t="shared" si="11"/>
        <v>2</v>
      </c>
    </row>
    <row r="381" spans="1:4" x14ac:dyDescent="0.75">
      <c r="A381" s="32">
        <v>353</v>
      </c>
      <c r="B381" s="32">
        <f t="shared" si="10"/>
        <v>50</v>
      </c>
      <c r="C381" s="32">
        <f t="shared" si="11"/>
        <v>3</v>
      </c>
    </row>
    <row r="382" spans="1:4" x14ac:dyDescent="0.75">
      <c r="A382" s="32">
        <v>354</v>
      </c>
      <c r="B382" s="32">
        <f t="shared" si="10"/>
        <v>50</v>
      </c>
      <c r="C382" s="32">
        <f t="shared" si="11"/>
        <v>4</v>
      </c>
    </row>
    <row r="383" spans="1:4" x14ac:dyDescent="0.75">
      <c r="A383" s="32">
        <v>355</v>
      </c>
      <c r="B383" s="32">
        <f t="shared" si="10"/>
        <v>50</v>
      </c>
      <c r="C383" s="32">
        <f t="shared" si="11"/>
        <v>5</v>
      </c>
    </row>
    <row r="384" spans="1:4" x14ac:dyDescent="0.75">
      <c r="A384" s="32">
        <v>356</v>
      </c>
      <c r="B384" s="32">
        <f t="shared" si="10"/>
        <v>50</v>
      </c>
      <c r="C384" s="32">
        <f t="shared" si="11"/>
        <v>6</v>
      </c>
    </row>
    <row r="385" spans="1:3" x14ac:dyDescent="0.75">
      <c r="A385" s="32">
        <v>357</v>
      </c>
      <c r="B385" s="32">
        <f t="shared" si="10"/>
        <v>50</v>
      </c>
      <c r="C385" s="32">
        <f t="shared" si="11"/>
        <v>7</v>
      </c>
    </row>
    <row r="386" spans="1:3" x14ac:dyDescent="0.75">
      <c r="A386" s="32">
        <v>358</v>
      </c>
      <c r="B386" s="32">
        <f t="shared" si="10"/>
        <v>51</v>
      </c>
      <c r="C386" s="32">
        <f t="shared" si="11"/>
        <v>1</v>
      </c>
    </row>
    <row r="387" spans="1:3" x14ac:dyDescent="0.75">
      <c r="A387" s="32">
        <v>359</v>
      </c>
      <c r="B387" s="32">
        <f t="shared" si="10"/>
        <v>51</v>
      </c>
      <c r="C387" s="32">
        <f t="shared" si="11"/>
        <v>2</v>
      </c>
    </row>
    <row r="388" spans="1:3" x14ac:dyDescent="0.75">
      <c r="A388" s="32">
        <v>360</v>
      </c>
      <c r="B388" s="32">
        <f t="shared" si="10"/>
        <v>51</v>
      </c>
      <c r="C388" s="32">
        <f t="shared" si="11"/>
        <v>3</v>
      </c>
    </row>
    <row r="389" spans="1:3" x14ac:dyDescent="0.75">
      <c r="A389" s="32">
        <v>361</v>
      </c>
      <c r="B389" s="32">
        <f t="shared" si="10"/>
        <v>51</v>
      </c>
      <c r="C389" s="32">
        <f t="shared" si="11"/>
        <v>4</v>
      </c>
    </row>
    <row r="390" spans="1:3" x14ac:dyDescent="0.75">
      <c r="A390" s="32">
        <v>362</v>
      </c>
      <c r="B390" s="32">
        <f t="shared" si="10"/>
        <v>51</v>
      </c>
      <c r="C390" s="32">
        <f t="shared" si="11"/>
        <v>5</v>
      </c>
    </row>
    <row r="391" spans="1:3" x14ac:dyDescent="0.75">
      <c r="A391" s="32">
        <v>363</v>
      </c>
      <c r="B391" s="32">
        <f t="shared" si="10"/>
        <v>51</v>
      </c>
      <c r="C391" s="32">
        <f t="shared" si="11"/>
        <v>6</v>
      </c>
    </row>
    <row r="392" spans="1:3" x14ac:dyDescent="0.75">
      <c r="A392" s="32">
        <v>364</v>
      </c>
      <c r="B392" s="32">
        <f t="shared" si="10"/>
        <v>51</v>
      </c>
      <c r="C392" s="32">
        <f t="shared" si="11"/>
        <v>7</v>
      </c>
    </row>
    <row r="393" spans="1:3" x14ac:dyDescent="0.75">
      <c r="A393" s="32">
        <v>365</v>
      </c>
      <c r="B393" s="32">
        <f t="shared" si="10"/>
        <v>52</v>
      </c>
      <c r="C393" s="32">
        <f t="shared" si="11"/>
        <v>1</v>
      </c>
    </row>
    <row r="394" spans="1:3" x14ac:dyDescent="0.75">
      <c r="A394" s="32">
        <v>366</v>
      </c>
      <c r="B394" s="32">
        <f t="shared" si="10"/>
        <v>52</v>
      </c>
      <c r="C394" s="32">
        <f t="shared" si="11"/>
        <v>2</v>
      </c>
    </row>
    <row r="395" spans="1:3" x14ac:dyDescent="0.75">
      <c r="A395" s="32">
        <v>367</v>
      </c>
      <c r="B395" s="32">
        <f t="shared" si="10"/>
        <v>52</v>
      </c>
      <c r="C395" s="32">
        <f t="shared" si="11"/>
        <v>3</v>
      </c>
    </row>
    <row r="396" spans="1:3" x14ac:dyDescent="0.75">
      <c r="A396" s="32">
        <v>368</v>
      </c>
      <c r="B396" s="32">
        <f t="shared" si="10"/>
        <v>52</v>
      </c>
      <c r="C396" s="32">
        <f t="shared" si="11"/>
        <v>4</v>
      </c>
    </row>
    <row r="397" spans="1:3" x14ac:dyDescent="0.75">
      <c r="A397" s="32">
        <v>369</v>
      </c>
      <c r="B397" s="32">
        <f t="shared" si="10"/>
        <v>52</v>
      </c>
      <c r="C397" s="32">
        <f t="shared" si="11"/>
        <v>5</v>
      </c>
    </row>
    <row r="398" spans="1:3" x14ac:dyDescent="0.75">
      <c r="A398" s="32">
        <v>370</v>
      </c>
      <c r="B398" s="32">
        <f t="shared" si="10"/>
        <v>52</v>
      </c>
      <c r="C398" s="32">
        <f t="shared" si="11"/>
        <v>6</v>
      </c>
    </row>
    <row r="399" spans="1:3" x14ac:dyDescent="0.75">
      <c r="A399" s="32">
        <v>371</v>
      </c>
      <c r="B399" s="32">
        <f t="shared" si="10"/>
        <v>52</v>
      </c>
      <c r="C399" s="32">
        <f t="shared" si="11"/>
        <v>7</v>
      </c>
    </row>
    <row r="400" spans="1:3" x14ac:dyDescent="0.75">
      <c r="A400" s="32">
        <v>372</v>
      </c>
      <c r="B400" s="32">
        <f t="shared" si="10"/>
        <v>53</v>
      </c>
      <c r="C400" s="32">
        <f t="shared" si="11"/>
        <v>1</v>
      </c>
    </row>
    <row r="401" spans="1:3" x14ac:dyDescent="0.75">
      <c r="A401" s="32">
        <v>373</v>
      </c>
      <c r="B401" s="32">
        <f t="shared" si="10"/>
        <v>53</v>
      </c>
      <c r="C401" s="32">
        <f t="shared" si="11"/>
        <v>2</v>
      </c>
    </row>
    <row r="402" spans="1:3" x14ac:dyDescent="0.75">
      <c r="A402" s="32">
        <v>374</v>
      </c>
      <c r="B402" s="32">
        <f t="shared" si="10"/>
        <v>53</v>
      </c>
      <c r="C402" s="32">
        <f t="shared" si="11"/>
        <v>3</v>
      </c>
    </row>
    <row r="403" spans="1:3" x14ac:dyDescent="0.75">
      <c r="A403" s="32">
        <v>375</v>
      </c>
      <c r="B403" s="32">
        <f t="shared" si="10"/>
        <v>53</v>
      </c>
      <c r="C403" s="32">
        <f t="shared" si="11"/>
        <v>4</v>
      </c>
    </row>
    <row r="404" spans="1:3" x14ac:dyDescent="0.75">
      <c r="A404" s="32">
        <v>376</v>
      </c>
      <c r="B404" s="32">
        <f t="shared" si="10"/>
        <v>53</v>
      </c>
      <c r="C404" s="32">
        <f t="shared" si="11"/>
        <v>5</v>
      </c>
    </row>
    <row r="405" spans="1:3" x14ac:dyDescent="0.75">
      <c r="A405" s="32">
        <v>377</v>
      </c>
      <c r="B405" s="32">
        <f t="shared" si="10"/>
        <v>53</v>
      </c>
      <c r="C405" s="32">
        <f t="shared" si="11"/>
        <v>6</v>
      </c>
    </row>
    <row r="406" spans="1:3" x14ac:dyDescent="0.75">
      <c r="A406" s="32">
        <v>378</v>
      </c>
      <c r="B406" s="32">
        <f t="shared" si="10"/>
        <v>53</v>
      </c>
      <c r="C406" s="32">
        <f t="shared" si="11"/>
        <v>7</v>
      </c>
    </row>
    <row r="407" spans="1:3" x14ac:dyDescent="0.75">
      <c r="A407" s="32">
        <v>379</v>
      </c>
      <c r="B407" s="32">
        <f t="shared" si="10"/>
        <v>54</v>
      </c>
      <c r="C407" s="32">
        <f t="shared" si="11"/>
        <v>1</v>
      </c>
    </row>
    <row r="408" spans="1:3" x14ac:dyDescent="0.75">
      <c r="A408" s="32">
        <v>380</v>
      </c>
      <c r="B408" s="32">
        <f t="shared" si="10"/>
        <v>54</v>
      </c>
      <c r="C408" s="32">
        <f t="shared" si="11"/>
        <v>2</v>
      </c>
    </row>
    <row r="409" spans="1:3" x14ac:dyDescent="0.75">
      <c r="A409" s="32">
        <v>381</v>
      </c>
      <c r="B409" s="32">
        <f t="shared" si="10"/>
        <v>54</v>
      </c>
      <c r="C409" s="32">
        <f t="shared" si="11"/>
        <v>3</v>
      </c>
    </row>
    <row r="410" spans="1:3" x14ac:dyDescent="0.75">
      <c r="A410" s="32">
        <v>382</v>
      </c>
      <c r="B410" s="32">
        <f t="shared" si="10"/>
        <v>54</v>
      </c>
      <c r="C410" s="32">
        <f t="shared" si="11"/>
        <v>4</v>
      </c>
    </row>
    <row r="411" spans="1:3" x14ac:dyDescent="0.75">
      <c r="A411" s="32">
        <v>383</v>
      </c>
      <c r="B411" s="32">
        <f t="shared" si="10"/>
        <v>54</v>
      </c>
      <c r="C411" s="32">
        <f t="shared" si="11"/>
        <v>5</v>
      </c>
    </row>
    <row r="412" spans="1:3" x14ac:dyDescent="0.75">
      <c r="A412" s="32">
        <v>384</v>
      </c>
      <c r="B412" s="32">
        <f t="shared" si="10"/>
        <v>54</v>
      </c>
      <c r="C412" s="32">
        <f t="shared" si="11"/>
        <v>6</v>
      </c>
    </row>
    <row r="413" spans="1:3" x14ac:dyDescent="0.75">
      <c r="A413" s="32">
        <v>385</v>
      </c>
      <c r="B413" s="32">
        <f t="shared" ref="B413:B419" si="12">IF(MOD(A413,$B$6)=0,A413/$B$6-1,INT(A413/$B$6))</f>
        <v>54</v>
      </c>
      <c r="C413" s="32">
        <f t="shared" ref="C413:C419" si="13">IF(MOD(A413,$B$6)=0,$B$6,MOD(A413,$B$6))</f>
        <v>7</v>
      </c>
    </row>
    <row r="414" spans="1:3" x14ac:dyDescent="0.75">
      <c r="A414" s="32">
        <v>386</v>
      </c>
      <c r="B414" s="32">
        <f t="shared" si="12"/>
        <v>55</v>
      </c>
      <c r="C414" s="32">
        <f t="shared" si="13"/>
        <v>1</v>
      </c>
    </row>
    <row r="415" spans="1:3" x14ac:dyDescent="0.75">
      <c r="A415" s="32">
        <v>387</v>
      </c>
      <c r="B415" s="32">
        <f t="shared" si="12"/>
        <v>55</v>
      </c>
      <c r="C415" s="32">
        <f t="shared" si="13"/>
        <v>2</v>
      </c>
    </row>
    <row r="416" spans="1:3" x14ac:dyDescent="0.75">
      <c r="A416" s="32">
        <v>388</v>
      </c>
      <c r="B416" s="32">
        <f t="shared" si="12"/>
        <v>55</v>
      </c>
      <c r="C416" s="32">
        <f t="shared" si="13"/>
        <v>3</v>
      </c>
    </row>
    <row r="417" spans="1:3" x14ac:dyDescent="0.75">
      <c r="A417" s="32">
        <v>389</v>
      </c>
      <c r="B417" s="32">
        <f t="shared" si="12"/>
        <v>55</v>
      </c>
      <c r="C417" s="32">
        <f t="shared" si="13"/>
        <v>4</v>
      </c>
    </row>
    <row r="418" spans="1:3" x14ac:dyDescent="0.75">
      <c r="A418" s="32">
        <v>390</v>
      </c>
      <c r="B418" s="32">
        <f t="shared" si="12"/>
        <v>55</v>
      </c>
      <c r="C418" s="32">
        <f t="shared" si="13"/>
        <v>5</v>
      </c>
    </row>
    <row r="419" spans="1:3" x14ac:dyDescent="0.75">
      <c r="A419" s="32">
        <v>391</v>
      </c>
      <c r="B419" s="32">
        <f t="shared" si="12"/>
        <v>55</v>
      </c>
      <c r="C419" s="32">
        <f t="shared" si="13"/>
        <v>6</v>
      </c>
    </row>
  </sheetData>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1EADC-0132-45C9-A3A7-0DED879AA512}">
  <sheetPr codeName="Foglio52"/>
  <dimension ref="A1:X100"/>
  <sheetViews>
    <sheetView topLeftCell="Q1" workbookViewId="0">
      <selection activeCell="W11" sqref="W10:W11"/>
    </sheetView>
  </sheetViews>
  <sheetFormatPr defaultRowHeight="14.75" x14ac:dyDescent="0.75"/>
  <cols>
    <col min="1" max="2" width="8.7265625" style="31"/>
    <col min="3" max="3" width="35.40625" style="1" customWidth="1"/>
    <col min="4" max="4" width="20.54296875" style="31" customWidth="1"/>
    <col min="5" max="5" width="27.453125" style="31" customWidth="1"/>
    <col min="6" max="6" width="22.1796875" style="31" customWidth="1"/>
    <col min="7" max="8" width="18.1796875" style="1" customWidth="1"/>
    <col min="9" max="9" width="57.1328125" style="1" bestFit="1" customWidth="1"/>
    <col min="10" max="14" width="16.1328125" style="31" customWidth="1"/>
    <col min="15" max="15" width="16.1328125" style="48" customWidth="1"/>
    <col min="16" max="16" width="16.1328125" style="31" customWidth="1"/>
    <col min="17" max="17" width="21.26953125" style="31" customWidth="1"/>
    <col min="18" max="18" width="18.76953125" style="31" customWidth="1"/>
    <col min="19" max="19" width="28.40625" style="31" customWidth="1"/>
    <col min="20" max="20" width="35" style="31" customWidth="1"/>
    <col min="21" max="21" width="40.1328125" style="1" customWidth="1"/>
    <col min="22" max="22" width="58.31640625" style="1" customWidth="1"/>
    <col min="23" max="23" width="48.54296875" style="1" customWidth="1"/>
    <col min="24" max="24" width="53.36328125" style="31" customWidth="1"/>
    <col min="25" max="25" width="51.5" style="31" customWidth="1"/>
    <col min="26" max="16384" width="8.7265625" style="31"/>
  </cols>
  <sheetData>
    <row r="1" spans="1:24" x14ac:dyDescent="0.75">
      <c r="C1" s="77" t="s">
        <v>32</v>
      </c>
      <c r="D1" s="76" t="s">
        <v>31</v>
      </c>
      <c r="E1" s="76" t="s">
        <v>6</v>
      </c>
      <c r="F1" s="76" t="s">
        <v>89</v>
      </c>
      <c r="G1" s="71"/>
      <c r="H1" s="71"/>
      <c r="I1" s="71"/>
      <c r="J1" s="59"/>
      <c r="K1" s="59"/>
      <c r="L1" s="59"/>
      <c r="M1" s="59"/>
      <c r="N1" s="59"/>
      <c r="O1" s="59"/>
      <c r="P1" s="59"/>
      <c r="Q1" s="59"/>
      <c r="R1" s="59"/>
    </row>
    <row r="2" spans="1:24" x14ac:dyDescent="0.75">
      <c r="C2" s="78" t="s">
        <v>45</v>
      </c>
      <c r="D2" s="18" t="s">
        <v>162</v>
      </c>
      <c r="E2" s="44" t="s">
        <v>163</v>
      </c>
      <c r="F2" s="32" t="s">
        <v>71</v>
      </c>
      <c r="X2" s="62"/>
    </row>
    <row r="3" spans="1:24" x14ac:dyDescent="0.75">
      <c r="C3" s="77" t="s">
        <v>33</v>
      </c>
      <c r="D3" s="84" t="s">
        <v>86</v>
      </c>
      <c r="E3" s="42" t="s">
        <v>66</v>
      </c>
      <c r="F3" s="32"/>
      <c r="X3" s="62"/>
    </row>
    <row r="4" spans="1:24" x14ac:dyDescent="0.75">
      <c r="C4" s="38" t="s">
        <v>44</v>
      </c>
      <c r="D4" s="90" t="s">
        <v>161</v>
      </c>
      <c r="E4" s="29" t="s">
        <v>164</v>
      </c>
      <c r="F4" s="32"/>
      <c r="X4" s="62"/>
    </row>
    <row r="5" spans="1:24" x14ac:dyDescent="0.75">
      <c r="C5" s="77" t="s">
        <v>110</v>
      </c>
      <c r="D5" s="85"/>
      <c r="E5" s="75" t="s">
        <v>37</v>
      </c>
      <c r="F5" s="32" t="s">
        <v>119</v>
      </c>
      <c r="X5" s="62"/>
    </row>
    <row r="6" spans="1:24" ht="44.25" x14ac:dyDescent="0.75">
      <c r="C6" s="78" t="str">
        <f>CONCATENATE($C$2,"/StructureDefinition/",E6)</f>
        <v>http://iso.org/fhir/ts-5384/StructureDefinition/Product</v>
      </c>
      <c r="D6" s="66"/>
      <c r="E6" s="32" t="str">
        <f>'Prod-1'!B6</f>
        <v>Product</v>
      </c>
      <c r="F6" s="78" t="str">
        <f>CONCATENATE($C$2,"/StructureDefinition/",D4)</f>
        <v>http://iso.org/fhir/ts-5384/StructureDefinition/Product-uc2</v>
      </c>
      <c r="X6" s="62"/>
    </row>
    <row r="7" spans="1:24" x14ac:dyDescent="0.75">
      <c r="C7" s="79"/>
      <c r="D7" s="23"/>
      <c r="E7" s="23"/>
      <c r="F7" s="23"/>
      <c r="X7" s="62"/>
    </row>
    <row r="8" spans="1:24" x14ac:dyDescent="0.75">
      <c r="F8" s="1"/>
      <c r="G8" s="31"/>
      <c r="H8" s="31"/>
      <c r="I8" s="31"/>
      <c r="K8" s="73"/>
      <c r="L8" s="73" t="s">
        <v>108</v>
      </c>
      <c r="M8" s="73"/>
      <c r="N8" s="73"/>
      <c r="O8" s="73" t="s">
        <v>107</v>
      </c>
      <c r="Q8" s="31" t="s">
        <v>113</v>
      </c>
      <c r="R8" s="50" t="s">
        <v>114</v>
      </c>
      <c r="S8" s="31" t="s">
        <v>105</v>
      </c>
      <c r="T8" s="1" t="s">
        <v>106</v>
      </c>
      <c r="U8" s="1" t="s">
        <v>21</v>
      </c>
      <c r="V8" s="1" t="s">
        <v>103</v>
      </c>
      <c r="W8" s="93" t="s">
        <v>149</v>
      </c>
    </row>
    <row r="9" spans="1:24" x14ac:dyDescent="0.75">
      <c r="A9" s="32"/>
      <c r="B9" s="32">
        <f>'Prod-1'!A6</f>
        <v>0</v>
      </c>
      <c r="C9" s="15" t="str">
        <f>'Prod-1'!B6</f>
        <v>Product</v>
      </c>
      <c r="D9" s="32" t="s">
        <v>14</v>
      </c>
      <c r="E9" s="32" t="s">
        <v>15</v>
      </c>
      <c r="F9" s="72" t="s">
        <v>104</v>
      </c>
      <c r="G9" s="39" t="s">
        <v>103</v>
      </c>
      <c r="H9" s="39" t="s">
        <v>145</v>
      </c>
      <c r="I9" s="39" t="s">
        <v>144</v>
      </c>
      <c r="J9" s="50"/>
      <c r="K9" s="80" t="s">
        <v>115</v>
      </c>
      <c r="L9" s="39" t="s">
        <v>104</v>
      </c>
      <c r="M9" s="39" t="s">
        <v>116</v>
      </c>
      <c r="N9" s="39" t="s">
        <v>117</v>
      </c>
      <c r="O9" s="92">
        <v>-1</v>
      </c>
      <c r="T9" s="1"/>
      <c r="W9" s="31"/>
    </row>
    <row r="10" spans="1:24" ht="59" x14ac:dyDescent="0.75">
      <c r="A10" s="32">
        <v>0</v>
      </c>
      <c r="B10" s="32">
        <f>'Prod-1'!A7</f>
        <v>1</v>
      </c>
      <c r="C10" s="38" t="str">
        <f>'Prod-1'!B7</f>
        <v>codeSet</v>
      </c>
      <c r="D10" s="70">
        <v>1</v>
      </c>
      <c r="E10" s="32">
        <f>'Prod-1'!F7</f>
        <v>1</v>
      </c>
      <c r="F10" s="32" t="str">
        <f>'Prod-1'!G7</f>
        <v>BackboneElement</v>
      </c>
      <c r="G10" s="32"/>
      <c r="H10" s="32" t="s">
        <v>147</v>
      </c>
      <c r="I10" s="32" t="str">
        <f>CONCATENATE("[",H10,"] ",'Prod-1'!C7)</f>
        <v>[R] Set of product codes</v>
      </c>
      <c r="J10" s="23"/>
      <c r="K10" s="32" t="b">
        <v>1</v>
      </c>
      <c r="L10" s="89" t="b">
        <f>IF(F10&gt;"",TRUE)</f>
        <v>1</v>
      </c>
      <c r="M10" s="89" t="b">
        <f>IF(G10&gt;"",TRUE)</f>
        <v>0</v>
      </c>
      <c r="N10" s="89" t="b">
        <f xml:space="preserve"> OR(K10,L10,M10)</f>
        <v>1</v>
      </c>
      <c r="O10" s="29">
        <f>IF(N10,O9+1,O9)</f>
        <v>0</v>
      </c>
      <c r="Q10" s="38" t="str">
        <f>IF(N10,CONCATENATE("* differential.element[",O10,"].id = """,$C$9,".",C10,""""),"")</f>
        <v>* differential.element[0].id = "Product.codeSet"</v>
      </c>
      <c r="R10" s="38" t="str">
        <f>IF(N10,CONCATENATE("* differential.element[",O10,"].path = """,$C$9,".",C10,""""),"")</f>
        <v>* differential.element[0].path = "Product.codeSet"</v>
      </c>
      <c r="S10" s="38" t="str">
        <f>IF(K10,CONCATENATE("* differential.element[",O10,"].min = ",D10,""),"")</f>
        <v>* differential.element[0].min = 1</v>
      </c>
      <c r="T10" s="38" t="str">
        <f>IF(K10,CONCATENATE("* differential.element[",O10,"].max = """,E10,""""),"")</f>
        <v>* differential.element[0].max = "1"</v>
      </c>
      <c r="U10" s="38" t="str">
        <f>IF( F10&gt;"", CONCATENATE("* differential.element[",O10,"].type.code = #",F10,""),"")</f>
        <v>* differential.element[0].type.code = #BackboneElement</v>
      </c>
      <c r="V10" s="94" t="str">
        <f t="shared" ref="V10:V42" si="0">IF( G10&gt;"", CONCATENATE("* differential.element[",O10,"].mustSupport = true"),"")</f>
        <v/>
      </c>
      <c r="W10" s="69" t="str">
        <f>IF( N10, CONCATENATE("* differential.element[",$O10,"].short = """,I10,""""),"")</f>
        <v>* differential.element[0].short = "[R] Set of product codes"</v>
      </c>
    </row>
    <row r="11" spans="1:24" ht="73.75" x14ac:dyDescent="0.75">
      <c r="A11" s="32">
        <v>0</v>
      </c>
      <c r="B11" s="32">
        <f>'Prod-1'!A8</f>
        <v>2</v>
      </c>
      <c r="C11" s="38" t="str">
        <f>'Prod-1'!B8</f>
        <v>codeSet.productCode</v>
      </c>
      <c r="D11" s="70">
        <v>1</v>
      </c>
      <c r="E11" s="32" t="str">
        <f>'Prod-1'!F8</f>
        <v>*</v>
      </c>
      <c r="F11" s="32"/>
      <c r="G11" s="32"/>
      <c r="H11" s="32" t="s">
        <v>147</v>
      </c>
      <c r="I11" s="32" t="str">
        <f>CONCATENATE("[",H11,"] ",'Prod-1'!C8)</f>
        <v>[R] Product code</v>
      </c>
      <c r="J11" s="23"/>
      <c r="K11" s="32" t="b">
        <v>1</v>
      </c>
      <c r="L11" s="89" t="b">
        <f>IF(F11&gt;"",TRUE)</f>
        <v>0</v>
      </c>
      <c r="M11" s="89" t="b">
        <f>IF(G11&gt;"",TRUE)</f>
        <v>0</v>
      </c>
      <c r="N11" s="89" t="b">
        <f t="shared" ref="N11:N45" si="1" xml:space="preserve"> OR(K11,L11,M11)</f>
        <v>1</v>
      </c>
      <c r="O11" s="29">
        <f t="shared" ref="O11:O45" si="2">IF(N11,O10+1,O10)</f>
        <v>1</v>
      </c>
      <c r="Q11" s="38" t="str">
        <f t="shared" ref="Q11:Q44" si="3">IF(N11,CONCATENATE("* differential.element[",O11,"].id = """,$C$9,".",C11,""""),"")</f>
        <v>* differential.element[1].id = "Product.codeSet.productCode"</v>
      </c>
      <c r="R11" s="38" t="str">
        <f t="shared" ref="R11:R44" si="4">IF(N11,CONCATENATE("* differential.element[",O11,"].path = """,$C$9,".",C11,""""),"")</f>
        <v>* differential.element[1].path = "Product.codeSet.productCode"</v>
      </c>
      <c r="S11" s="38" t="str">
        <f t="shared" ref="S11:S60" si="5">IF(K11,CONCATENATE("* differential.element[",O11,"].min = ",D11,""),"")</f>
        <v>* differential.element[1].min = 1</v>
      </c>
      <c r="T11" s="38" t="str">
        <f t="shared" ref="T11:T60" si="6">IF(K11,CONCATENATE("* differential.element[",O11,"].max = """,E11,""""),"")</f>
        <v>* differential.element[1].max = "*"</v>
      </c>
      <c r="U11" s="38" t="str">
        <f>IF( F11&gt;"", CONCATENATE("* differential.element[",$O11,"].type.code = #",F11,""),"")</f>
        <v/>
      </c>
      <c r="V11" s="94" t="str">
        <f t="shared" si="0"/>
        <v/>
      </c>
      <c r="W11" s="69" t="str">
        <f>IF( N11, CONCATENATE("* differential.element[",$O11,"].short = """,I11,""""),"")</f>
        <v>* differential.element[1].short = "[R] Product code"</v>
      </c>
    </row>
    <row r="12" spans="1:24" x14ac:dyDescent="0.75">
      <c r="A12" s="32">
        <v>0</v>
      </c>
      <c r="B12" s="32">
        <f>'Prod-1'!A9</f>
        <v>3</v>
      </c>
      <c r="C12" s="38" t="str">
        <f>'Prod-1'!B9</f>
        <v>codeSet.PCID</v>
      </c>
      <c r="D12" s="32">
        <f>'Prod-1'!E9</f>
        <v>0</v>
      </c>
      <c r="E12" s="32">
        <f>'Prod-1'!F9</f>
        <v>1</v>
      </c>
      <c r="F12" s="32"/>
      <c r="G12" s="32"/>
      <c r="H12" s="32" t="s">
        <v>146</v>
      </c>
      <c r="I12" s="32" t="str">
        <f>CONCATENATE("[",H12,"] ",'Prod-1'!C9)</f>
        <v>[O] IDMP PCID</v>
      </c>
      <c r="J12" s="23"/>
      <c r="K12" s="32"/>
      <c r="L12" s="89" t="b">
        <f t="shared" ref="L12:M45" si="7">IF(F12&gt;"",TRUE)</f>
        <v>0</v>
      </c>
      <c r="M12" s="89" t="b">
        <f t="shared" si="7"/>
        <v>0</v>
      </c>
      <c r="N12" s="89" t="b">
        <f t="shared" si="1"/>
        <v>0</v>
      </c>
      <c r="O12" s="29">
        <f t="shared" si="2"/>
        <v>1</v>
      </c>
      <c r="Q12" s="38" t="str">
        <f t="shared" si="3"/>
        <v/>
      </c>
      <c r="R12" s="38" t="str">
        <f t="shared" si="4"/>
        <v/>
      </c>
      <c r="S12" s="38" t="str">
        <f t="shared" si="5"/>
        <v/>
      </c>
      <c r="T12" s="38" t="str">
        <f t="shared" si="6"/>
        <v/>
      </c>
      <c r="U12" s="38" t="str">
        <f t="shared" ref="U12:U60" si="8">IF( F12&gt;"", CONCATENATE("* differential.element[",O12,"].type.code = #",F12,""),"")</f>
        <v/>
      </c>
      <c r="V12" s="94" t="str">
        <f t="shared" si="0"/>
        <v/>
      </c>
      <c r="W12" s="69" t="str">
        <f t="shared" ref="W12:W60" si="9">IF( N12, CONCATENATE("* differential.element[",$O12,"].short = """,I12,""""),"")</f>
        <v/>
      </c>
    </row>
    <row r="13" spans="1:24" x14ac:dyDescent="0.75">
      <c r="A13" s="32">
        <v>0</v>
      </c>
      <c r="B13" s="32">
        <f>'Prod-1'!A10</f>
        <v>4</v>
      </c>
      <c r="C13" s="38" t="str">
        <f>'Prod-1'!B10</f>
        <v>codeSet.MPID</v>
      </c>
      <c r="D13" s="32">
        <f>'Prod-1'!E10</f>
        <v>0</v>
      </c>
      <c r="E13" s="32">
        <f>'Prod-1'!F10</f>
        <v>1</v>
      </c>
      <c r="F13" s="32"/>
      <c r="G13" s="32"/>
      <c r="H13" s="32" t="s">
        <v>146</v>
      </c>
      <c r="I13" s="32" t="str">
        <f>CONCATENATE("[",H13,"] ",'Prod-1'!C10)</f>
        <v>[O] IDMP MPID</v>
      </c>
      <c r="J13" s="23"/>
      <c r="K13" s="32"/>
      <c r="L13" s="89" t="b">
        <f t="shared" si="7"/>
        <v>0</v>
      </c>
      <c r="M13" s="89" t="b">
        <f t="shared" si="7"/>
        <v>0</v>
      </c>
      <c r="N13" s="89" t="b">
        <f t="shared" si="1"/>
        <v>0</v>
      </c>
      <c r="O13" s="29">
        <f t="shared" si="2"/>
        <v>1</v>
      </c>
      <c r="Q13" s="38" t="str">
        <f t="shared" si="3"/>
        <v/>
      </c>
      <c r="R13" s="38" t="str">
        <f t="shared" si="4"/>
        <v/>
      </c>
      <c r="S13" s="38" t="str">
        <f t="shared" si="5"/>
        <v/>
      </c>
      <c r="T13" s="38" t="str">
        <f t="shared" si="6"/>
        <v/>
      </c>
      <c r="U13" s="38" t="str">
        <f t="shared" si="8"/>
        <v/>
      </c>
      <c r="V13" s="94" t="str">
        <f t="shared" si="0"/>
        <v/>
      </c>
      <c r="W13" s="69" t="str">
        <f t="shared" si="9"/>
        <v/>
      </c>
    </row>
    <row r="14" spans="1:24" x14ac:dyDescent="0.75">
      <c r="A14" s="32">
        <v>0</v>
      </c>
      <c r="B14" s="32">
        <f>'Prod-1'!A11</f>
        <v>5</v>
      </c>
      <c r="C14" s="38" t="str">
        <f>'Prod-1'!B11</f>
        <v>codeSet.PhPID</v>
      </c>
      <c r="D14" s="32">
        <f>'Prod-1'!E11</f>
        <v>0</v>
      </c>
      <c r="E14" s="32" t="str">
        <f>'Prod-1'!F11</f>
        <v>*</v>
      </c>
      <c r="F14" s="32"/>
      <c r="G14" s="32"/>
      <c r="H14" s="32" t="s">
        <v>146</v>
      </c>
      <c r="I14" s="32" t="str">
        <f>CONCATENATE("[",H14,"] ",'Prod-1'!C11)</f>
        <v>[O] IDMP PhP</v>
      </c>
      <c r="J14" s="23"/>
      <c r="K14" s="32"/>
      <c r="L14" s="89" t="b">
        <f t="shared" si="7"/>
        <v>0</v>
      </c>
      <c r="M14" s="89" t="b">
        <f t="shared" si="7"/>
        <v>0</v>
      </c>
      <c r="N14" s="89" t="b">
        <f t="shared" si="1"/>
        <v>0</v>
      </c>
      <c r="O14" s="29">
        <f t="shared" si="2"/>
        <v>1</v>
      </c>
      <c r="Q14" s="38" t="str">
        <f t="shared" si="3"/>
        <v/>
      </c>
      <c r="R14" s="38" t="str">
        <f t="shared" si="4"/>
        <v/>
      </c>
      <c r="S14" s="38" t="str">
        <f t="shared" si="5"/>
        <v/>
      </c>
      <c r="T14" s="38" t="str">
        <f t="shared" si="6"/>
        <v/>
      </c>
      <c r="U14" s="38" t="str">
        <f t="shared" si="8"/>
        <v/>
      </c>
      <c r="V14" s="94" t="str">
        <f t="shared" si="0"/>
        <v/>
      </c>
      <c r="W14" s="69" t="str">
        <f t="shared" si="9"/>
        <v/>
      </c>
      <c r="X14" s="58"/>
    </row>
    <row r="15" spans="1:24" x14ac:dyDescent="0.75">
      <c r="A15" s="32">
        <v>0</v>
      </c>
      <c r="B15" s="32">
        <f>'Prod-1'!A12</f>
        <v>6</v>
      </c>
      <c r="C15" s="38" t="str">
        <f>'Prod-1'!B12</f>
        <v>packageIdentifiers</v>
      </c>
      <c r="D15" s="32">
        <f>'Prod-1'!E12</f>
        <v>0</v>
      </c>
      <c r="E15" s="32">
        <f>'Prod-1'!F12</f>
        <v>1</v>
      </c>
      <c r="F15" s="32"/>
      <c r="G15" s="32"/>
      <c r="H15" s="32" t="s">
        <v>146</v>
      </c>
      <c r="I15" s="32" t="str">
        <f>CONCATENATE("[",H15,"] ",'Prod-1'!C12)</f>
        <v>[O] Set of identifiers</v>
      </c>
      <c r="J15" s="23"/>
      <c r="K15" s="32"/>
      <c r="L15" s="89" t="b">
        <f t="shared" si="7"/>
        <v>0</v>
      </c>
      <c r="M15" s="89" t="b">
        <f>IF(G15&gt;"",TRUE)</f>
        <v>0</v>
      </c>
      <c r="N15" s="89" t="b">
        <f t="shared" si="1"/>
        <v>0</v>
      </c>
      <c r="O15" s="29">
        <f t="shared" si="2"/>
        <v>1</v>
      </c>
      <c r="Q15" s="38" t="str">
        <f t="shared" si="3"/>
        <v/>
      </c>
      <c r="R15" s="38" t="str">
        <f t="shared" si="4"/>
        <v/>
      </c>
      <c r="S15" s="38" t="str">
        <f t="shared" si="5"/>
        <v/>
      </c>
      <c r="T15" s="38" t="str">
        <f t="shared" si="6"/>
        <v/>
      </c>
      <c r="U15" s="38" t="str">
        <f t="shared" si="8"/>
        <v/>
      </c>
      <c r="V15" s="94" t="str">
        <f t="shared" si="0"/>
        <v/>
      </c>
      <c r="W15" s="69" t="str">
        <f t="shared" si="9"/>
        <v/>
      </c>
    </row>
    <row r="16" spans="1:24" x14ac:dyDescent="0.75">
      <c r="A16" s="32">
        <v>0</v>
      </c>
      <c r="B16" s="32">
        <f>'Prod-1'!A13</f>
        <v>7</v>
      </c>
      <c r="C16" s="38" t="str">
        <f>'Prod-1'!B13</f>
        <v>packageIdentifiers.uniqueIdentifier</v>
      </c>
      <c r="D16" s="32">
        <f>'Prod-1'!E13</f>
        <v>0</v>
      </c>
      <c r="E16" s="32">
        <f>'Prod-1'!F13</f>
        <v>1</v>
      </c>
      <c r="F16" s="32"/>
      <c r="G16" s="32"/>
      <c r="H16" s="32" t="s">
        <v>146</v>
      </c>
      <c r="I16" s="32" t="str">
        <f>CONCATENATE("[",H16,"] ",'Prod-1'!C13)</f>
        <v>[O] Unique Identifier</v>
      </c>
      <c r="J16" s="23"/>
      <c r="K16" s="32"/>
      <c r="L16" s="89" t="b">
        <f t="shared" si="7"/>
        <v>0</v>
      </c>
      <c r="M16" s="89" t="b">
        <f t="shared" si="7"/>
        <v>0</v>
      </c>
      <c r="N16" s="89" t="b">
        <f t="shared" si="1"/>
        <v>0</v>
      </c>
      <c r="O16" s="29">
        <f t="shared" si="2"/>
        <v>1</v>
      </c>
      <c r="Q16" s="38" t="str">
        <f t="shared" si="3"/>
        <v/>
      </c>
      <c r="R16" s="38" t="str">
        <f t="shared" si="4"/>
        <v/>
      </c>
      <c r="S16" s="38" t="str">
        <f t="shared" si="5"/>
        <v/>
      </c>
      <c r="T16" s="38" t="str">
        <f t="shared" si="6"/>
        <v/>
      </c>
      <c r="U16" s="38" t="str">
        <f t="shared" si="8"/>
        <v/>
      </c>
      <c r="V16" s="94" t="str">
        <f t="shared" si="0"/>
        <v/>
      </c>
      <c r="W16" s="69" t="str">
        <f t="shared" si="9"/>
        <v/>
      </c>
    </row>
    <row r="17" spans="1:23" x14ac:dyDescent="0.75">
      <c r="A17" s="32">
        <v>0</v>
      </c>
      <c r="B17" s="32">
        <f>'Prod-1'!A14</f>
        <v>8</v>
      </c>
      <c r="C17" s="38" t="str">
        <f>'Prod-1'!B14</f>
        <v>packageIdentifiers.dataCarrierIdentifier</v>
      </c>
      <c r="D17" s="32">
        <f>'Prod-1'!E14</f>
        <v>0</v>
      </c>
      <c r="E17" s="32" t="str">
        <f>'Prod-1'!F14</f>
        <v>*</v>
      </c>
      <c r="F17" s="32"/>
      <c r="G17" s="32"/>
      <c r="H17" s="32" t="s">
        <v>146</v>
      </c>
      <c r="I17" s="32" t="str">
        <f>CONCATENATE("[",H17,"] ",'Prod-1'!C14)</f>
        <v>[O] Data Carrier Identifier (e.g. GTIN)</v>
      </c>
      <c r="J17" s="23"/>
      <c r="K17" s="32"/>
      <c r="L17" s="89" t="b">
        <f t="shared" si="7"/>
        <v>0</v>
      </c>
      <c r="M17" s="89" t="b">
        <f t="shared" si="7"/>
        <v>0</v>
      </c>
      <c r="N17" s="89" t="b">
        <f t="shared" si="1"/>
        <v>0</v>
      </c>
      <c r="O17" s="29">
        <f t="shared" si="2"/>
        <v>1</v>
      </c>
      <c r="Q17" s="38" t="str">
        <f t="shared" si="3"/>
        <v/>
      </c>
      <c r="R17" s="38" t="str">
        <f t="shared" si="4"/>
        <v/>
      </c>
      <c r="S17" s="38" t="str">
        <f t="shared" si="5"/>
        <v/>
      </c>
      <c r="T17" s="38" t="str">
        <f t="shared" si="6"/>
        <v/>
      </c>
      <c r="U17" s="38" t="str">
        <f t="shared" si="8"/>
        <v/>
      </c>
      <c r="V17" s="94" t="str">
        <f t="shared" si="0"/>
        <v/>
      </c>
      <c r="W17" s="69" t="str">
        <f t="shared" si="9"/>
        <v/>
      </c>
    </row>
    <row r="18" spans="1:23" x14ac:dyDescent="0.75">
      <c r="A18" s="32">
        <v>0</v>
      </c>
      <c r="B18" s="32">
        <f>'Prod-1'!A15</f>
        <v>9</v>
      </c>
      <c r="C18" s="38" t="str">
        <f>'Prod-1'!B15</f>
        <v>packageIdentifiers.serialNumber</v>
      </c>
      <c r="D18" s="32">
        <f>'Prod-1'!E15</f>
        <v>0</v>
      </c>
      <c r="E18" s="32">
        <f>'Prod-1'!F15</f>
        <v>1</v>
      </c>
      <c r="F18" s="32"/>
      <c r="G18" s="32"/>
      <c r="H18" s="32" t="s">
        <v>146</v>
      </c>
      <c r="I18" s="32" t="str">
        <f>CONCATENATE("[",H18,"] ",'Prod-1'!C15)</f>
        <v>[O] Serial number</v>
      </c>
      <c r="J18" s="52"/>
      <c r="K18" s="32"/>
      <c r="L18" s="89" t="b">
        <f t="shared" si="7"/>
        <v>0</v>
      </c>
      <c r="M18" s="89" t="b">
        <f t="shared" si="7"/>
        <v>0</v>
      </c>
      <c r="N18" s="89" t="b">
        <f t="shared" si="1"/>
        <v>0</v>
      </c>
      <c r="O18" s="29">
        <f t="shared" si="2"/>
        <v>1</v>
      </c>
      <c r="Q18" s="38" t="str">
        <f t="shared" si="3"/>
        <v/>
      </c>
      <c r="R18" s="38" t="str">
        <f t="shared" si="4"/>
        <v/>
      </c>
      <c r="S18" s="38" t="str">
        <f t="shared" si="5"/>
        <v/>
      </c>
      <c r="T18" s="38" t="str">
        <f t="shared" si="6"/>
        <v/>
      </c>
      <c r="U18" s="38" t="str">
        <f t="shared" si="8"/>
        <v/>
      </c>
      <c r="V18" s="94" t="str">
        <f t="shared" si="0"/>
        <v/>
      </c>
      <c r="W18" s="69" t="str">
        <f t="shared" si="9"/>
        <v/>
      </c>
    </row>
    <row r="19" spans="1:23" ht="73.75" x14ac:dyDescent="0.75">
      <c r="A19" s="32">
        <v>0</v>
      </c>
      <c r="B19" s="32">
        <f>'Prod-1'!A16</f>
        <v>10</v>
      </c>
      <c r="C19" s="38" t="str">
        <f>'Prod-1'!B16</f>
        <v>packageIdentifiers.lotNumber</v>
      </c>
      <c r="D19" s="70">
        <v>1</v>
      </c>
      <c r="E19" s="32">
        <f>'Prod-1'!F16</f>
        <v>1</v>
      </c>
      <c r="F19" s="32"/>
      <c r="G19" s="32" t="b">
        <v>1</v>
      </c>
      <c r="H19" s="32" t="s">
        <v>148</v>
      </c>
      <c r="I19" s="32" t="str">
        <f>CONCATENATE("[",H19,"] ",'Prod-1'!C16)</f>
        <v>[M] Lot Number</v>
      </c>
      <c r="J19" s="23"/>
      <c r="K19" s="32" t="b">
        <v>1</v>
      </c>
      <c r="L19" s="89" t="b">
        <f t="shared" si="7"/>
        <v>0</v>
      </c>
      <c r="M19" s="89" t="b">
        <f t="shared" si="7"/>
        <v>1</v>
      </c>
      <c r="N19" s="89" t="b">
        <f t="shared" si="1"/>
        <v>1</v>
      </c>
      <c r="O19" s="29">
        <f t="shared" si="2"/>
        <v>2</v>
      </c>
      <c r="Q19" s="38" t="str">
        <f t="shared" si="3"/>
        <v>* differential.element[2].id = "Product.packageIdentifiers.lotNumber"</v>
      </c>
      <c r="R19" s="38" t="str">
        <f t="shared" si="4"/>
        <v>* differential.element[2].path = "Product.packageIdentifiers.lotNumber"</v>
      </c>
      <c r="S19" s="38" t="str">
        <f t="shared" si="5"/>
        <v>* differential.element[2].min = 1</v>
      </c>
      <c r="T19" s="38" t="str">
        <f t="shared" si="6"/>
        <v>* differential.element[2].max = "1"</v>
      </c>
      <c r="U19" s="38" t="str">
        <f t="shared" si="8"/>
        <v/>
      </c>
      <c r="V19" s="94" t="str">
        <f t="shared" si="0"/>
        <v>* differential.element[2].mustSupport = true</v>
      </c>
      <c r="W19" s="69" t="str">
        <f t="shared" si="9"/>
        <v>* differential.element[2].short = "[M] Lot Number"</v>
      </c>
    </row>
    <row r="20" spans="1:23" ht="59" x14ac:dyDescent="0.75">
      <c r="A20" s="32">
        <v>0</v>
      </c>
      <c r="B20" s="32">
        <f>'Prod-1'!A17</f>
        <v>11</v>
      </c>
      <c r="C20" s="38" t="str">
        <f>'Prod-1'!B17</f>
        <v>name</v>
      </c>
      <c r="D20" s="32">
        <f>'Prod-1'!E17</f>
        <v>0</v>
      </c>
      <c r="E20" s="32" t="str">
        <f>'Prod-1'!F17</f>
        <v>*</v>
      </c>
      <c r="F20" s="32"/>
      <c r="G20" s="32" t="b">
        <v>1</v>
      </c>
      <c r="H20" s="32" t="s">
        <v>152</v>
      </c>
      <c r="I20" s="32" t="str">
        <f>CONCATENATE("[",H20,"] ",'Prod-1'!C17)</f>
        <v>[RK] Product Name</v>
      </c>
      <c r="J20" s="23"/>
      <c r="K20" s="32"/>
      <c r="L20" s="89" t="b">
        <f t="shared" si="7"/>
        <v>0</v>
      </c>
      <c r="M20" s="89" t="b">
        <f t="shared" si="7"/>
        <v>1</v>
      </c>
      <c r="N20" s="89" t="b">
        <f t="shared" si="1"/>
        <v>1</v>
      </c>
      <c r="O20" s="29">
        <f t="shared" si="2"/>
        <v>3</v>
      </c>
      <c r="Q20" s="38" t="str">
        <f t="shared" si="3"/>
        <v>* differential.element[3].id = "Product.name"</v>
      </c>
      <c r="R20" s="38" t="str">
        <f t="shared" si="4"/>
        <v>* differential.element[3].path = "Product.name"</v>
      </c>
      <c r="S20" s="38" t="str">
        <f t="shared" si="5"/>
        <v/>
      </c>
      <c r="T20" s="38" t="str">
        <f t="shared" si="6"/>
        <v/>
      </c>
      <c r="U20" s="38" t="str">
        <f t="shared" si="8"/>
        <v/>
      </c>
      <c r="V20" s="94" t="str">
        <f t="shared" si="0"/>
        <v>* differential.element[3].mustSupport = true</v>
      </c>
      <c r="W20" s="69" t="str">
        <f t="shared" si="9"/>
        <v>* differential.element[3].short = "[RK] Product Name"</v>
      </c>
    </row>
    <row r="21" spans="1:23" x14ac:dyDescent="0.75">
      <c r="A21" s="32">
        <v>0</v>
      </c>
      <c r="B21" s="32">
        <f>'Prod-1'!A18</f>
        <v>12</v>
      </c>
      <c r="C21" s="38" t="str">
        <f>'Prod-1'!B18</f>
        <v>composition</v>
      </c>
      <c r="D21" s="32">
        <f>'Prod-1'!E18</f>
        <v>0</v>
      </c>
      <c r="E21" s="32">
        <f>'Prod-1'!F18</f>
        <v>1</v>
      </c>
      <c r="F21" s="32"/>
      <c r="G21" s="32"/>
      <c r="H21" s="32"/>
      <c r="I21" s="32"/>
      <c r="J21" s="23"/>
      <c r="K21" s="32"/>
      <c r="L21" s="89" t="b">
        <f t="shared" si="7"/>
        <v>0</v>
      </c>
      <c r="M21" s="89" t="b">
        <f t="shared" si="7"/>
        <v>0</v>
      </c>
      <c r="N21" s="89" t="b">
        <f t="shared" si="1"/>
        <v>0</v>
      </c>
      <c r="O21" s="29">
        <f t="shared" si="2"/>
        <v>3</v>
      </c>
      <c r="Q21" s="38" t="str">
        <f t="shared" si="3"/>
        <v/>
      </c>
      <c r="R21" s="38" t="str">
        <f t="shared" si="4"/>
        <v/>
      </c>
      <c r="S21" s="38" t="str">
        <f t="shared" si="5"/>
        <v/>
      </c>
      <c r="T21" s="38" t="str">
        <f t="shared" si="6"/>
        <v/>
      </c>
      <c r="U21" s="38" t="str">
        <f t="shared" si="8"/>
        <v/>
      </c>
      <c r="V21" s="94" t="str">
        <f t="shared" si="0"/>
        <v/>
      </c>
      <c r="W21" s="69" t="str">
        <f t="shared" si="9"/>
        <v/>
      </c>
    </row>
    <row r="22" spans="1:23" x14ac:dyDescent="0.75">
      <c r="A22" s="32">
        <v>0</v>
      </c>
      <c r="B22" s="32">
        <f>'Prod-1'!A19</f>
        <v>13</v>
      </c>
      <c r="C22" s="38" t="str">
        <f>'Prod-1'!B19</f>
        <v>composition.ingredient</v>
      </c>
      <c r="D22" s="32">
        <f>'Prod-1'!E19</f>
        <v>0</v>
      </c>
      <c r="E22" s="32" t="str">
        <f>'Prod-1'!F19</f>
        <v>*</v>
      </c>
      <c r="F22" s="32"/>
      <c r="G22" s="32"/>
      <c r="H22" s="32"/>
      <c r="I22" s="32"/>
      <c r="J22" s="23"/>
      <c r="K22" s="32"/>
      <c r="L22" s="89" t="b">
        <f t="shared" si="7"/>
        <v>0</v>
      </c>
      <c r="M22" s="89" t="b">
        <f t="shared" si="7"/>
        <v>0</v>
      </c>
      <c r="N22" s="89" t="b">
        <f t="shared" si="1"/>
        <v>0</v>
      </c>
      <c r="O22" s="29">
        <f t="shared" si="2"/>
        <v>3</v>
      </c>
      <c r="Q22" s="38" t="str">
        <f t="shared" si="3"/>
        <v/>
      </c>
      <c r="R22" s="38" t="str">
        <f t="shared" si="4"/>
        <v/>
      </c>
      <c r="S22" s="38" t="str">
        <f t="shared" si="5"/>
        <v/>
      </c>
      <c r="T22" s="38" t="str">
        <f t="shared" si="6"/>
        <v/>
      </c>
      <c r="U22" s="38" t="str">
        <f t="shared" si="8"/>
        <v/>
      </c>
      <c r="V22" s="94" t="str">
        <f t="shared" si="0"/>
        <v/>
      </c>
      <c r="W22" s="69" t="str">
        <f t="shared" si="9"/>
        <v/>
      </c>
    </row>
    <row r="23" spans="1:23" x14ac:dyDescent="0.75">
      <c r="A23" s="32">
        <v>0</v>
      </c>
      <c r="B23" s="32">
        <f>'Prod-1'!A20</f>
        <v>14</v>
      </c>
      <c r="C23" s="38" t="str">
        <f>'Prod-1'!B20</f>
        <v>composition.ingredient.substanceName</v>
      </c>
      <c r="D23" s="32">
        <f>'Prod-1'!E20</f>
        <v>0</v>
      </c>
      <c r="E23" s="32">
        <f>'Prod-1'!F20</f>
        <v>1</v>
      </c>
      <c r="F23" s="32"/>
      <c r="G23" s="32"/>
      <c r="H23" s="32"/>
      <c r="I23" s="32"/>
      <c r="J23" s="23"/>
      <c r="K23" s="32"/>
      <c r="L23" s="89" t="b">
        <f t="shared" si="7"/>
        <v>0</v>
      </c>
      <c r="M23" s="89" t="b">
        <f t="shared" si="7"/>
        <v>0</v>
      </c>
      <c r="N23" s="89" t="b">
        <f t="shared" si="1"/>
        <v>0</v>
      </c>
      <c r="O23" s="29">
        <f t="shared" si="2"/>
        <v>3</v>
      </c>
      <c r="Q23" s="38" t="str">
        <f t="shared" si="3"/>
        <v/>
      </c>
      <c r="R23" s="38" t="str">
        <f t="shared" si="4"/>
        <v/>
      </c>
      <c r="S23" s="38" t="str">
        <f t="shared" si="5"/>
        <v/>
      </c>
      <c r="T23" s="38" t="str">
        <f t="shared" si="6"/>
        <v/>
      </c>
      <c r="U23" s="38" t="str">
        <f t="shared" si="8"/>
        <v/>
      </c>
      <c r="V23" s="94" t="str">
        <f t="shared" si="0"/>
        <v/>
      </c>
      <c r="W23" s="69" t="str">
        <f t="shared" si="9"/>
        <v/>
      </c>
    </row>
    <row r="24" spans="1:23" x14ac:dyDescent="0.75">
      <c r="A24" s="32">
        <v>0</v>
      </c>
      <c r="B24" s="32">
        <f>'Prod-1'!A21</f>
        <v>15</v>
      </c>
      <c r="C24" s="38" t="str">
        <f>'Prod-1'!B21</f>
        <v>composition.ingredient.substanceCode</v>
      </c>
      <c r="D24" s="32">
        <f>'Prod-1'!E21</f>
        <v>0</v>
      </c>
      <c r="E24" s="32" t="str">
        <f>'Prod-1'!F21</f>
        <v>*</v>
      </c>
      <c r="F24" s="32"/>
      <c r="G24" s="32"/>
      <c r="H24" s="32"/>
      <c r="I24" s="32"/>
      <c r="J24" s="23"/>
      <c r="K24" s="32"/>
      <c r="L24" s="89" t="b">
        <f t="shared" si="7"/>
        <v>0</v>
      </c>
      <c r="M24" s="89" t="b">
        <f t="shared" si="7"/>
        <v>0</v>
      </c>
      <c r="N24" s="89" t="b">
        <f t="shared" si="1"/>
        <v>0</v>
      </c>
      <c r="O24" s="29">
        <f t="shared" si="2"/>
        <v>3</v>
      </c>
      <c r="Q24" s="38" t="str">
        <f t="shared" si="3"/>
        <v/>
      </c>
      <c r="R24" s="38" t="str">
        <f t="shared" si="4"/>
        <v/>
      </c>
      <c r="S24" s="38" t="str">
        <f t="shared" si="5"/>
        <v/>
      </c>
      <c r="T24" s="38" t="str">
        <f t="shared" si="6"/>
        <v/>
      </c>
      <c r="U24" s="38" t="str">
        <f t="shared" si="8"/>
        <v/>
      </c>
      <c r="V24" s="94" t="str">
        <f t="shared" si="0"/>
        <v/>
      </c>
      <c r="W24" s="69" t="str">
        <f t="shared" si="9"/>
        <v/>
      </c>
    </row>
    <row r="25" spans="1:23" x14ac:dyDescent="0.75">
      <c r="A25" s="32">
        <v>0</v>
      </c>
      <c r="B25" s="32">
        <f>'Prod-1'!A22</f>
        <v>16</v>
      </c>
      <c r="C25" s="38" t="str">
        <f>'Prod-1'!B22</f>
        <v>composition.ingredient.ingredientRole</v>
      </c>
      <c r="D25" s="32">
        <f>'Prod-1'!E22</f>
        <v>0</v>
      </c>
      <c r="E25" s="32">
        <f>'Prod-1'!F22</f>
        <v>1</v>
      </c>
      <c r="F25" s="32"/>
      <c r="G25" s="32"/>
      <c r="H25" s="32"/>
      <c r="I25" s="32"/>
      <c r="J25" s="23"/>
      <c r="K25" s="32"/>
      <c r="L25" s="89" t="b">
        <f t="shared" si="7"/>
        <v>0</v>
      </c>
      <c r="M25" s="89" t="b">
        <f t="shared" si="7"/>
        <v>0</v>
      </c>
      <c r="N25" s="89" t="b">
        <f t="shared" si="1"/>
        <v>0</v>
      </c>
      <c r="O25" s="29">
        <f t="shared" si="2"/>
        <v>3</v>
      </c>
      <c r="Q25" s="38" t="str">
        <f t="shared" si="3"/>
        <v/>
      </c>
      <c r="R25" s="38" t="str">
        <f t="shared" si="4"/>
        <v/>
      </c>
      <c r="S25" s="38" t="str">
        <f t="shared" si="5"/>
        <v/>
      </c>
      <c r="T25" s="38" t="str">
        <f t="shared" si="6"/>
        <v/>
      </c>
      <c r="U25" s="38" t="str">
        <f t="shared" si="8"/>
        <v/>
      </c>
      <c r="V25" s="94" t="str">
        <f t="shared" si="0"/>
        <v/>
      </c>
      <c r="W25" s="69" t="str">
        <f t="shared" si="9"/>
        <v/>
      </c>
    </row>
    <row r="26" spans="1:23" ht="29.5" x14ac:dyDescent="0.75">
      <c r="A26" s="32">
        <v>0</v>
      </c>
      <c r="B26" s="32">
        <f>'Prod-1'!A23</f>
        <v>17</v>
      </c>
      <c r="C26" s="38" t="str">
        <f>'Prod-1'!B23</f>
        <v>composition.ingredient.substanceQuantity</v>
      </c>
      <c r="D26" s="32">
        <f>'Prod-1'!E23</f>
        <v>0</v>
      </c>
      <c r="E26" s="32">
        <f>'Prod-1'!F23</f>
        <v>1</v>
      </c>
      <c r="F26" s="32"/>
      <c r="G26" s="32"/>
      <c r="H26" s="32"/>
      <c r="I26" s="32"/>
      <c r="J26" s="23"/>
      <c r="K26" s="32"/>
      <c r="L26" s="89" t="b">
        <f t="shared" si="7"/>
        <v>0</v>
      </c>
      <c r="M26" s="89" t="b">
        <f t="shared" si="7"/>
        <v>0</v>
      </c>
      <c r="N26" s="89" t="b">
        <f t="shared" si="1"/>
        <v>0</v>
      </c>
      <c r="O26" s="29">
        <f t="shared" si="2"/>
        <v>3</v>
      </c>
      <c r="Q26" s="38" t="str">
        <f t="shared" si="3"/>
        <v/>
      </c>
      <c r="R26" s="38" t="str">
        <f t="shared" si="4"/>
        <v/>
      </c>
      <c r="S26" s="38" t="str">
        <f t="shared" si="5"/>
        <v/>
      </c>
      <c r="T26" s="38" t="str">
        <f t="shared" si="6"/>
        <v/>
      </c>
      <c r="U26" s="38" t="str">
        <f t="shared" si="8"/>
        <v/>
      </c>
      <c r="V26" s="94" t="str">
        <f t="shared" si="0"/>
        <v/>
      </c>
      <c r="W26" s="69" t="str">
        <f t="shared" si="9"/>
        <v/>
      </c>
    </row>
    <row r="27" spans="1:23" ht="73.75" x14ac:dyDescent="0.75">
      <c r="A27" s="32">
        <v>0</v>
      </c>
      <c r="B27" s="32">
        <f>'Prod-1'!A24</f>
        <v>18</v>
      </c>
      <c r="C27" s="38" t="str">
        <f>'Prod-1'!B24</f>
        <v>composition.description</v>
      </c>
      <c r="D27" s="32">
        <f>'Prod-1'!E24</f>
        <v>0</v>
      </c>
      <c r="E27" s="32">
        <f>'Prod-1'!F24</f>
        <v>1</v>
      </c>
      <c r="F27" s="32"/>
      <c r="G27" s="32" t="b">
        <v>1</v>
      </c>
      <c r="H27" s="32"/>
      <c r="I27" s="32"/>
      <c r="J27" s="23"/>
      <c r="K27" s="32"/>
      <c r="L27" s="89" t="b">
        <f t="shared" si="7"/>
        <v>0</v>
      </c>
      <c r="M27" s="89" t="b">
        <f t="shared" si="7"/>
        <v>1</v>
      </c>
      <c r="N27" s="89" t="b">
        <f t="shared" si="1"/>
        <v>1</v>
      </c>
      <c r="O27" s="29">
        <f t="shared" si="2"/>
        <v>4</v>
      </c>
      <c r="Q27" s="38" t="str">
        <f t="shared" si="3"/>
        <v>* differential.element[4].id = "Product.composition.description"</v>
      </c>
      <c r="R27" s="38" t="str">
        <f t="shared" si="4"/>
        <v>* differential.element[4].path = "Product.composition.description"</v>
      </c>
      <c r="S27" s="38" t="str">
        <f t="shared" si="5"/>
        <v/>
      </c>
      <c r="T27" s="38" t="str">
        <f t="shared" si="6"/>
        <v/>
      </c>
      <c r="U27" s="38" t="str">
        <f t="shared" si="8"/>
        <v/>
      </c>
      <c r="V27" s="94" t="str">
        <f t="shared" si="0"/>
        <v>* differential.element[4].mustSupport = true</v>
      </c>
      <c r="W27" s="69" t="str">
        <f t="shared" si="9"/>
        <v>* differential.element[4].short = ""</v>
      </c>
    </row>
    <row r="28" spans="1:23" ht="73.75" x14ac:dyDescent="0.75">
      <c r="A28" s="32">
        <v>0</v>
      </c>
      <c r="B28" s="32">
        <f>'Prod-1'!A25</f>
        <v>19</v>
      </c>
      <c r="C28" s="38" t="str">
        <f>'Prod-1'!B25</f>
        <v>marketAuthorizationHolder</v>
      </c>
      <c r="D28" s="70">
        <v>1</v>
      </c>
      <c r="E28" s="32">
        <f>'Prod-1'!F25</f>
        <v>1</v>
      </c>
      <c r="F28" s="32"/>
      <c r="G28" s="32" t="b">
        <v>1</v>
      </c>
      <c r="H28" s="32" t="s">
        <v>148</v>
      </c>
      <c r="I28" s="32" t="str">
        <f>CONCATENATE("[",H28,"] ",'Prod-1'!C25)</f>
        <v>[M] Market Authorization Holder (MAH)</v>
      </c>
      <c r="J28" s="23"/>
      <c r="K28" s="32" t="b">
        <v>1</v>
      </c>
      <c r="L28" s="89" t="b">
        <f t="shared" si="7"/>
        <v>0</v>
      </c>
      <c r="M28" s="89" t="b">
        <f t="shared" si="7"/>
        <v>1</v>
      </c>
      <c r="N28" s="89" t="b">
        <f t="shared" si="1"/>
        <v>1</v>
      </c>
      <c r="O28" s="29">
        <f t="shared" si="2"/>
        <v>5</v>
      </c>
      <c r="Q28" s="38" t="str">
        <f t="shared" si="3"/>
        <v>* differential.element[5].id = "Product.marketAuthorizationHolder"</v>
      </c>
      <c r="R28" s="38" t="str">
        <f t="shared" si="4"/>
        <v>* differential.element[5].path = "Product.marketAuthorizationHolder"</v>
      </c>
      <c r="S28" s="38" t="str">
        <f t="shared" si="5"/>
        <v>* differential.element[5].min = 1</v>
      </c>
      <c r="T28" s="38" t="str">
        <f t="shared" si="6"/>
        <v>* differential.element[5].max = "1"</v>
      </c>
      <c r="U28" s="38" t="str">
        <f t="shared" si="8"/>
        <v/>
      </c>
      <c r="V28" s="94" t="str">
        <f t="shared" si="0"/>
        <v>* differential.element[5].mustSupport = true</v>
      </c>
      <c r="W28" s="69" t="str">
        <f t="shared" si="9"/>
        <v>* differential.element[5].short = "[M] Market Authorization Holder (MAH)"</v>
      </c>
    </row>
    <row r="29" spans="1:23" ht="73.75" x14ac:dyDescent="0.75">
      <c r="A29" s="32">
        <v>1</v>
      </c>
      <c r="B29" s="32">
        <f>'Prod-1'!A26</f>
        <v>20</v>
      </c>
      <c r="C29" s="38" t="str">
        <f>'Prod-1'!B26</f>
        <v>manufacturer</v>
      </c>
      <c r="D29" s="70">
        <v>1</v>
      </c>
      <c r="E29" s="32">
        <f>'Prod-1'!F26</f>
        <v>1</v>
      </c>
      <c r="F29" s="32"/>
      <c r="G29" s="32" t="b">
        <v>1</v>
      </c>
      <c r="H29" s="32" t="s">
        <v>148</v>
      </c>
      <c r="I29" s="32" t="str">
        <f>CONCATENATE("[",H29,"] ",'Prod-1'!C26)</f>
        <v>[M] manufacturer</v>
      </c>
      <c r="J29" s="23"/>
      <c r="K29" s="32" t="b">
        <v>1</v>
      </c>
      <c r="L29" s="89" t="b">
        <f t="shared" si="7"/>
        <v>0</v>
      </c>
      <c r="M29" s="89" t="b">
        <f t="shared" si="7"/>
        <v>1</v>
      </c>
      <c r="N29" s="89" t="b">
        <f t="shared" si="1"/>
        <v>1</v>
      </c>
      <c r="O29" s="29">
        <f t="shared" si="2"/>
        <v>6</v>
      </c>
      <c r="Q29" s="38" t="str">
        <f t="shared" si="3"/>
        <v>* differential.element[6].id = "Product.manufacturer"</v>
      </c>
      <c r="R29" s="38" t="str">
        <f t="shared" si="4"/>
        <v>* differential.element[6].path = "Product.manufacturer"</v>
      </c>
      <c r="S29" s="38" t="str">
        <f t="shared" si="5"/>
        <v>* differential.element[6].min = 1</v>
      </c>
      <c r="T29" s="38" t="str">
        <f t="shared" si="6"/>
        <v>* differential.element[6].max = "1"</v>
      </c>
      <c r="U29" s="38" t="str">
        <f t="shared" si="8"/>
        <v/>
      </c>
      <c r="V29" s="94" t="str">
        <f t="shared" si="0"/>
        <v>* differential.element[6].mustSupport = true</v>
      </c>
      <c r="W29" s="69" t="str">
        <f t="shared" si="9"/>
        <v>* differential.element[6].short = "[M] manufacturer"</v>
      </c>
    </row>
    <row r="30" spans="1:23" ht="59" x14ac:dyDescent="0.75">
      <c r="A30" s="32">
        <v>0</v>
      </c>
      <c r="B30" s="32">
        <f>'Prod-1'!A27</f>
        <v>21</v>
      </c>
      <c r="C30" s="38" t="str">
        <f>'Prod-1'!B27</f>
        <v>expiryDate</v>
      </c>
      <c r="D30" s="70">
        <v>1</v>
      </c>
      <c r="E30" s="32">
        <f>'Prod-1'!F27</f>
        <v>1</v>
      </c>
      <c r="F30" s="32"/>
      <c r="G30" s="32" t="b">
        <v>1</v>
      </c>
      <c r="H30" s="32" t="s">
        <v>148</v>
      </c>
      <c r="I30" s="32" t="str">
        <f>CONCATENATE("[",H30,"] ",'Prod-1'!C27)</f>
        <v>[M] Expiry Date</v>
      </c>
      <c r="J30" s="23"/>
      <c r="K30" s="32" t="b">
        <v>1</v>
      </c>
      <c r="L30" s="89" t="b">
        <f t="shared" si="7"/>
        <v>0</v>
      </c>
      <c r="M30" s="89" t="b">
        <f t="shared" si="7"/>
        <v>1</v>
      </c>
      <c r="N30" s="89" t="b">
        <f t="shared" si="1"/>
        <v>1</v>
      </c>
      <c r="O30" s="29">
        <f t="shared" si="2"/>
        <v>7</v>
      </c>
      <c r="Q30" s="38" t="str">
        <f t="shared" si="3"/>
        <v>* differential.element[7].id = "Product.expiryDate"</v>
      </c>
      <c r="R30" s="38" t="str">
        <f t="shared" si="4"/>
        <v>* differential.element[7].path = "Product.expiryDate"</v>
      </c>
      <c r="S30" s="38" t="str">
        <f t="shared" si="5"/>
        <v>* differential.element[7].min = 1</v>
      </c>
      <c r="T30" s="38" t="str">
        <f t="shared" si="6"/>
        <v>* differential.element[7].max = "1"</v>
      </c>
      <c r="U30" s="38" t="str">
        <f t="shared" si="8"/>
        <v/>
      </c>
      <c r="V30" s="94" t="str">
        <f t="shared" si="0"/>
        <v>* differential.element[7].mustSupport = true</v>
      </c>
      <c r="W30" s="69" t="str">
        <f t="shared" si="9"/>
        <v>* differential.element[7].short = "[M] Expiry Date"</v>
      </c>
    </row>
    <row r="31" spans="1:23" x14ac:dyDescent="0.75">
      <c r="A31" s="32">
        <v>0</v>
      </c>
      <c r="B31" s="32">
        <f>'Prod-1'!A28</f>
        <v>22</v>
      </c>
      <c r="C31" s="38"/>
      <c r="D31" s="32"/>
      <c r="E31" s="32"/>
      <c r="F31" s="32"/>
      <c r="G31" s="32"/>
      <c r="H31" s="32"/>
      <c r="I31" s="32"/>
      <c r="J31" s="23"/>
      <c r="K31" s="32"/>
      <c r="L31" s="89" t="b">
        <f t="shared" si="7"/>
        <v>0</v>
      </c>
      <c r="M31" s="89" t="b">
        <f t="shared" si="7"/>
        <v>0</v>
      </c>
      <c r="N31" s="89" t="b">
        <f t="shared" si="1"/>
        <v>0</v>
      </c>
      <c r="O31" s="29">
        <f t="shared" si="2"/>
        <v>7</v>
      </c>
      <c r="Q31" s="38" t="str">
        <f t="shared" si="3"/>
        <v/>
      </c>
      <c r="R31" s="38" t="str">
        <f t="shared" si="4"/>
        <v/>
      </c>
      <c r="S31" s="38" t="str">
        <f t="shared" si="5"/>
        <v/>
      </c>
      <c r="T31" s="38" t="str">
        <f t="shared" si="6"/>
        <v/>
      </c>
      <c r="U31" s="38" t="str">
        <f t="shared" si="8"/>
        <v/>
      </c>
      <c r="V31" s="94" t="str">
        <f t="shared" si="0"/>
        <v/>
      </c>
      <c r="W31" s="69" t="str">
        <f t="shared" si="9"/>
        <v/>
      </c>
    </row>
    <row r="32" spans="1:23" x14ac:dyDescent="0.75">
      <c r="A32" s="32">
        <v>0</v>
      </c>
      <c r="B32" s="32">
        <f>'Prod-1'!A29</f>
        <v>23</v>
      </c>
      <c r="C32" s="38"/>
      <c r="D32" s="32"/>
      <c r="E32" s="32"/>
      <c r="F32" s="32"/>
      <c r="G32" s="32"/>
      <c r="H32" s="32"/>
      <c r="I32" s="32"/>
      <c r="J32" s="23"/>
      <c r="K32" s="32"/>
      <c r="L32" s="89" t="b">
        <f t="shared" si="7"/>
        <v>0</v>
      </c>
      <c r="M32" s="89" t="b">
        <f t="shared" si="7"/>
        <v>0</v>
      </c>
      <c r="N32" s="89" t="b">
        <f t="shared" si="1"/>
        <v>0</v>
      </c>
      <c r="O32" s="29">
        <f t="shared" si="2"/>
        <v>7</v>
      </c>
      <c r="Q32" s="38" t="str">
        <f t="shared" si="3"/>
        <v/>
      </c>
      <c r="R32" s="38" t="str">
        <f t="shared" si="4"/>
        <v/>
      </c>
      <c r="S32" s="38" t="str">
        <f t="shared" si="5"/>
        <v/>
      </c>
      <c r="T32" s="38" t="str">
        <f t="shared" si="6"/>
        <v/>
      </c>
      <c r="U32" s="38" t="str">
        <f t="shared" si="8"/>
        <v/>
      </c>
      <c r="V32" s="94" t="str">
        <f t="shared" si="0"/>
        <v/>
      </c>
      <c r="W32" s="69" t="str">
        <f t="shared" si="9"/>
        <v/>
      </c>
    </row>
    <row r="33" spans="1:23" x14ac:dyDescent="0.75">
      <c r="A33" s="32">
        <v>0</v>
      </c>
      <c r="B33" s="32">
        <f>'Prod-1'!A30</f>
        <v>24</v>
      </c>
      <c r="C33" s="38"/>
      <c r="D33" s="32"/>
      <c r="E33" s="32"/>
      <c r="F33" s="32"/>
      <c r="G33" s="32"/>
      <c r="H33" s="32"/>
      <c r="I33" s="32"/>
      <c r="J33" s="23"/>
      <c r="K33" s="32"/>
      <c r="L33" s="89" t="b">
        <f t="shared" si="7"/>
        <v>0</v>
      </c>
      <c r="M33" s="89" t="b">
        <f t="shared" si="7"/>
        <v>0</v>
      </c>
      <c r="N33" s="89" t="b">
        <f t="shared" si="1"/>
        <v>0</v>
      </c>
      <c r="O33" s="29">
        <f t="shared" si="2"/>
        <v>7</v>
      </c>
      <c r="Q33" s="38" t="str">
        <f t="shared" si="3"/>
        <v/>
      </c>
      <c r="R33" s="38" t="str">
        <f t="shared" si="4"/>
        <v/>
      </c>
      <c r="S33" s="38" t="str">
        <f t="shared" si="5"/>
        <v/>
      </c>
      <c r="T33" s="38" t="str">
        <f t="shared" si="6"/>
        <v/>
      </c>
      <c r="U33" s="38" t="str">
        <f t="shared" si="8"/>
        <v/>
      </c>
      <c r="V33" s="94" t="str">
        <f t="shared" si="0"/>
        <v/>
      </c>
      <c r="W33" s="69" t="str">
        <f t="shared" si="9"/>
        <v/>
      </c>
    </row>
    <row r="34" spans="1:23" x14ac:dyDescent="0.75">
      <c r="A34" s="32">
        <v>0</v>
      </c>
      <c r="B34" s="32">
        <f>'Prod-1'!A31</f>
        <v>25</v>
      </c>
      <c r="C34" s="38"/>
      <c r="D34" s="32"/>
      <c r="E34" s="32"/>
      <c r="F34" s="32"/>
      <c r="G34" s="32"/>
      <c r="H34" s="42"/>
      <c r="I34" s="32"/>
      <c r="J34" s="23"/>
      <c r="K34" s="32"/>
      <c r="L34" s="89" t="b">
        <f t="shared" si="7"/>
        <v>0</v>
      </c>
      <c r="M34" s="89" t="b">
        <f t="shared" si="7"/>
        <v>0</v>
      </c>
      <c r="N34" s="89" t="b">
        <f t="shared" si="1"/>
        <v>0</v>
      </c>
      <c r="O34" s="29">
        <f t="shared" si="2"/>
        <v>7</v>
      </c>
      <c r="Q34" s="38" t="str">
        <f t="shared" si="3"/>
        <v/>
      </c>
      <c r="R34" s="38" t="str">
        <f t="shared" si="4"/>
        <v/>
      </c>
      <c r="S34" s="38" t="str">
        <f t="shared" si="5"/>
        <v/>
      </c>
      <c r="T34" s="38" t="str">
        <f t="shared" si="6"/>
        <v/>
      </c>
      <c r="U34" s="38" t="str">
        <f t="shared" si="8"/>
        <v/>
      </c>
      <c r="V34" s="94" t="str">
        <f t="shared" si="0"/>
        <v/>
      </c>
      <c r="W34" s="69" t="str">
        <f t="shared" si="9"/>
        <v/>
      </c>
    </row>
    <row r="35" spans="1:23" x14ac:dyDescent="0.75">
      <c r="A35" s="32">
        <v>0</v>
      </c>
      <c r="B35" s="32">
        <f>'Prod-1'!A32</f>
        <v>26</v>
      </c>
      <c r="C35" s="38"/>
      <c r="D35" s="32"/>
      <c r="E35" s="32"/>
      <c r="F35" s="32"/>
      <c r="G35" s="32"/>
      <c r="H35" s="32"/>
      <c r="I35" s="32"/>
      <c r="J35" s="23"/>
      <c r="K35" s="32"/>
      <c r="L35" s="89" t="b">
        <f t="shared" si="7"/>
        <v>0</v>
      </c>
      <c r="M35" s="89" t="b">
        <f t="shared" si="7"/>
        <v>0</v>
      </c>
      <c r="N35" s="89" t="b">
        <f t="shared" si="1"/>
        <v>0</v>
      </c>
      <c r="O35" s="29">
        <f t="shared" si="2"/>
        <v>7</v>
      </c>
      <c r="Q35" s="38" t="str">
        <f t="shared" si="3"/>
        <v/>
      </c>
      <c r="R35" s="38" t="str">
        <f t="shared" si="4"/>
        <v/>
      </c>
      <c r="S35" s="38" t="str">
        <f t="shared" si="5"/>
        <v/>
      </c>
      <c r="T35" s="38" t="str">
        <f t="shared" si="6"/>
        <v/>
      </c>
      <c r="U35" s="38" t="str">
        <f t="shared" si="8"/>
        <v/>
      </c>
      <c r="V35" s="94" t="str">
        <f t="shared" si="0"/>
        <v/>
      </c>
      <c r="W35" s="69" t="str">
        <f t="shared" si="9"/>
        <v/>
      </c>
    </row>
    <row r="36" spans="1:23" x14ac:dyDescent="0.75">
      <c r="A36" s="32">
        <v>0</v>
      </c>
      <c r="B36" s="32">
        <f>'Prod-1'!A33</f>
        <v>27</v>
      </c>
      <c r="C36" s="38"/>
      <c r="D36" s="32"/>
      <c r="E36" s="32"/>
      <c r="F36" s="32"/>
      <c r="G36" s="32"/>
      <c r="H36" s="32"/>
      <c r="I36" s="32"/>
      <c r="J36" s="23"/>
      <c r="K36" s="32"/>
      <c r="L36" s="89" t="b">
        <f t="shared" si="7"/>
        <v>0</v>
      </c>
      <c r="M36" s="89" t="b">
        <f t="shared" si="7"/>
        <v>0</v>
      </c>
      <c r="N36" s="89" t="b">
        <f t="shared" si="1"/>
        <v>0</v>
      </c>
      <c r="O36" s="29">
        <f t="shared" si="2"/>
        <v>7</v>
      </c>
      <c r="Q36" s="38" t="str">
        <f t="shared" si="3"/>
        <v/>
      </c>
      <c r="R36" s="38" t="str">
        <f t="shared" si="4"/>
        <v/>
      </c>
      <c r="S36" s="38" t="str">
        <f t="shared" si="5"/>
        <v/>
      </c>
      <c r="T36" s="38" t="str">
        <f t="shared" si="6"/>
        <v/>
      </c>
      <c r="U36" s="38" t="str">
        <f t="shared" si="8"/>
        <v/>
      </c>
      <c r="V36" s="94" t="str">
        <f t="shared" si="0"/>
        <v/>
      </c>
      <c r="W36" s="69" t="str">
        <f t="shared" si="9"/>
        <v/>
      </c>
    </row>
    <row r="37" spans="1:23" x14ac:dyDescent="0.75">
      <c r="A37" s="32">
        <v>0</v>
      </c>
      <c r="B37" s="32">
        <f>'Prod-1'!A34</f>
        <v>28</v>
      </c>
      <c r="C37" s="38"/>
      <c r="D37" s="32"/>
      <c r="E37" s="32"/>
      <c r="F37" s="32"/>
      <c r="G37" s="32"/>
      <c r="H37" s="32"/>
      <c r="I37" s="32"/>
      <c r="J37" s="23"/>
      <c r="K37" s="32"/>
      <c r="L37" s="89" t="b">
        <f t="shared" si="7"/>
        <v>0</v>
      </c>
      <c r="M37" s="89" t="b">
        <f t="shared" si="7"/>
        <v>0</v>
      </c>
      <c r="N37" s="89" t="b">
        <f t="shared" si="1"/>
        <v>0</v>
      </c>
      <c r="O37" s="29">
        <f t="shared" si="2"/>
        <v>7</v>
      </c>
      <c r="Q37" s="38" t="str">
        <f t="shared" si="3"/>
        <v/>
      </c>
      <c r="R37" s="38" t="str">
        <f t="shared" si="4"/>
        <v/>
      </c>
      <c r="S37" s="38" t="str">
        <f t="shared" si="5"/>
        <v/>
      </c>
      <c r="T37" s="38" t="str">
        <f t="shared" si="6"/>
        <v/>
      </c>
      <c r="U37" s="38" t="str">
        <f t="shared" si="8"/>
        <v/>
      </c>
      <c r="V37" s="94" t="str">
        <f t="shared" si="0"/>
        <v/>
      </c>
      <c r="W37" s="69" t="str">
        <f t="shared" si="9"/>
        <v/>
      </c>
    </row>
    <row r="38" spans="1:23" x14ac:dyDescent="0.75">
      <c r="A38" s="32">
        <v>0</v>
      </c>
      <c r="B38" s="32">
        <f>'Prod-1'!A35</f>
        <v>0</v>
      </c>
      <c r="C38" s="38"/>
      <c r="D38" s="32"/>
      <c r="E38" s="32"/>
      <c r="F38" s="38"/>
      <c r="G38" s="32"/>
      <c r="H38" s="32"/>
      <c r="I38" s="32"/>
      <c r="J38" s="23"/>
      <c r="K38" s="32"/>
      <c r="L38" s="89" t="b">
        <f t="shared" si="7"/>
        <v>0</v>
      </c>
      <c r="M38" s="89" t="b">
        <f t="shared" si="7"/>
        <v>0</v>
      </c>
      <c r="N38" s="89" t="b">
        <f t="shared" si="1"/>
        <v>0</v>
      </c>
      <c r="O38" s="29">
        <f t="shared" si="2"/>
        <v>7</v>
      </c>
      <c r="Q38" s="38" t="str">
        <f t="shared" si="3"/>
        <v/>
      </c>
      <c r="R38" s="38" t="str">
        <f t="shared" si="4"/>
        <v/>
      </c>
      <c r="S38" s="38" t="str">
        <f t="shared" si="5"/>
        <v/>
      </c>
      <c r="T38" s="38" t="str">
        <f t="shared" si="6"/>
        <v/>
      </c>
      <c r="U38" s="38" t="str">
        <f t="shared" si="8"/>
        <v/>
      </c>
      <c r="V38" s="94" t="str">
        <f t="shared" si="0"/>
        <v/>
      </c>
      <c r="W38" s="69" t="str">
        <f t="shared" si="9"/>
        <v/>
      </c>
    </row>
    <row r="39" spans="1:23" x14ac:dyDescent="0.75">
      <c r="A39" s="32"/>
      <c r="B39" s="32"/>
      <c r="C39" s="38"/>
      <c r="D39" s="32"/>
      <c r="E39" s="32"/>
      <c r="F39" s="38"/>
      <c r="G39" s="32"/>
      <c r="H39" s="32"/>
      <c r="I39" s="32"/>
      <c r="J39" s="23"/>
      <c r="K39" s="32"/>
      <c r="L39" s="89" t="b">
        <f t="shared" si="7"/>
        <v>0</v>
      </c>
      <c r="M39" s="89" t="b">
        <f t="shared" si="7"/>
        <v>0</v>
      </c>
      <c r="N39" s="89" t="b">
        <f t="shared" si="1"/>
        <v>0</v>
      </c>
      <c r="O39" s="29">
        <f t="shared" si="2"/>
        <v>7</v>
      </c>
      <c r="Q39" s="38" t="str">
        <f t="shared" si="3"/>
        <v/>
      </c>
      <c r="R39" s="38" t="str">
        <f t="shared" si="4"/>
        <v/>
      </c>
      <c r="S39" s="38" t="str">
        <f t="shared" si="5"/>
        <v/>
      </c>
      <c r="T39" s="38" t="str">
        <f t="shared" si="6"/>
        <v/>
      </c>
      <c r="U39" s="38" t="str">
        <f t="shared" si="8"/>
        <v/>
      </c>
      <c r="V39" s="94" t="str">
        <f t="shared" si="0"/>
        <v/>
      </c>
      <c r="W39" s="69" t="str">
        <f t="shared" si="9"/>
        <v/>
      </c>
    </row>
    <row r="40" spans="1:23" x14ac:dyDescent="0.75">
      <c r="A40" s="32"/>
      <c r="B40" s="32"/>
      <c r="C40" s="38"/>
      <c r="D40" s="32"/>
      <c r="E40" s="32"/>
      <c r="F40" s="38"/>
      <c r="G40" s="32"/>
      <c r="H40" s="32"/>
      <c r="I40" s="32"/>
      <c r="J40" s="23"/>
      <c r="K40" s="32"/>
      <c r="L40" s="89" t="b">
        <f t="shared" si="7"/>
        <v>0</v>
      </c>
      <c r="M40" s="89" t="b">
        <f t="shared" si="7"/>
        <v>0</v>
      </c>
      <c r="N40" s="89" t="b">
        <f t="shared" si="1"/>
        <v>0</v>
      </c>
      <c r="O40" s="29">
        <f t="shared" si="2"/>
        <v>7</v>
      </c>
      <c r="Q40" s="38" t="str">
        <f t="shared" si="3"/>
        <v/>
      </c>
      <c r="R40" s="38" t="str">
        <f t="shared" si="4"/>
        <v/>
      </c>
      <c r="S40" s="38" t="str">
        <f t="shared" si="5"/>
        <v/>
      </c>
      <c r="T40" s="38" t="str">
        <f t="shared" si="6"/>
        <v/>
      </c>
      <c r="U40" s="38" t="str">
        <f t="shared" si="8"/>
        <v/>
      </c>
      <c r="V40" s="94" t="str">
        <f t="shared" si="0"/>
        <v/>
      </c>
      <c r="W40" s="69" t="str">
        <f t="shared" si="9"/>
        <v/>
      </c>
    </row>
    <row r="41" spans="1:23" x14ac:dyDescent="0.75">
      <c r="B41" s="31">
        <f>'Prod-1'!A37</f>
        <v>0</v>
      </c>
      <c r="D41" s="32"/>
      <c r="E41" s="32"/>
      <c r="F41" s="38"/>
      <c r="G41" s="32"/>
      <c r="H41" s="32"/>
      <c r="I41" s="32"/>
      <c r="J41" s="23"/>
      <c r="K41" s="32"/>
      <c r="L41" s="89" t="b">
        <f t="shared" si="7"/>
        <v>0</v>
      </c>
      <c r="M41" s="89" t="b">
        <f t="shared" si="7"/>
        <v>0</v>
      </c>
      <c r="N41" s="89" t="b">
        <f t="shared" si="1"/>
        <v>0</v>
      </c>
      <c r="O41" s="29">
        <f t="shared" si="2"/>
        <v>7</v>
      </c>
      <c r="Q41" s="38" t="str">
        <f t="shared" si="3"/>
        <v/>
      </c>
      <c r="R41" s="38" t="str">
        <f t="shared" si="4"/>
        <v/>
      </c>
      <c r="S41" s="38" t="str">
        <f t="shared" si="5"/>
        <v/>
      </c>
      <c r="T41" s="38" t="str">
        <f t="shared" si="6"/>
        <v/>
      </c>
      <c r="U41" s="38" t="str">
        <f t="shared" si="8"/>
        <v/>
      </c>
      <c r="V41" s="94" t="str">
        <f t="shared" si="0"/>
        <v/>
      </c>
      <c r="W41" s="69" t="str">
        <f t="shared" si="9"/>
        <v/>
      </c>
    </row>
    <row r="42" spans="1:23" x14ac:dyDescent="0.75">
      <c r="B42" s="31">
        <f>'Prod-1'!A38</f>
        <v>0</v>
      </c>
      <c r="C42" s="1">
        <f>'Prod-1'!B38</f>
        <v>0</v>
      </c>
      <c r="D42" s="32"/>
      <c r="E42" s="32"/>
      <c r="F42" s="38"/>
      <c r="G42" s="32"/>
      <c r="H42" s="32"/>
      <c r="I42" s="32"/>
      <c r="J42" s="23"/>
      <c r="K42" s="32"/>
      <c r="L42" s="89" t="b">
        <f t="shared" si="7"/>
        <v>0</v>
      </c>
      <c r="M42" s="89" t="b">
        <f t="shared" si="7"/>
        <v>0</v>
      </c>
      <c r="N42" s="89" t="b">
        <f t="shared" si="1"/>
        <v>0</v>
      </c>
      <c r="O42" s="29">
        <f t="shared" si="2"/>
        <v>7</v>
      </c>
      <c r="Q42" s="38" t="str">
        <f t="shared" si="3"/>
        <v/>
      </c>
      <c r="R42" s="38" t="str">
        <f t="shared" si="4"/>
        <v/>
      </c>
      <c r="S42" s="38" t="str">
        <f t="shared" si="5"/>
        <v/>
      </c>
      <c r="T42" s="38" t="str">
        <f t="shared" si="6"/>
        <v/>
      </c>
      <c r="U42" s="38" t="str">
        <f t="shared" si="8"/>
        <v/>
      </c>
      <c r="V42" s="94" t="str">
        <f t="shared" si="0"/>
        <v/>
      </c>
      <c r="W42" s="69" t="str">
        <f t="shared" si="9"/>
        <v/>
      </c>
    </row>
    <row r="43" spans="1:23" x14ac:dyDescent="0.75">
      <c r="B43" s="31">
        <f>'Prod-1'!A39</f>
        <v>0</v>
      </c>
      <c r="C43" s="1">
        <f>'Prod-1'!B39</f>
        <v>0</v>
      </c>
      <c r="D43" s="32"/>
      <c r="E43" s="32"/>
      <c r="F43" s="38"/>
      <c r="G43" s="32"/>
      <c r="H43" s="32"/>
      <c r="I43" s="32"/>
      <c r="J43" s="23"/>
      <c r="K43" s="32"/>
      <c r="L43" s="89" t="b">
        <f t="shared" si="7"/>
        <v>0</v>
      </c>
      <c r="M43" s="89" t="b">
        <f t="shared" si="7"/>
        <v>0</v>
      </c>
      <c r="N43" s="89" t="b">
        <f t="shared" si="1"/>
        <v>0</v>
      </c>
      <c r="O43" s="29">
        <f t="shared" si="2"/>
        <v>7</v>
      </c>
      <c r="Q43" s="38" t="str">
        <f t="shared" si="3"/>
        <v/>
      </c>
      <c r="R43" s="38" t="str">
        <f t="shared" si="4"/>
        <v/>
      </c>
      <c r="S43" s="38" t="str">
        <f t="shared" si="5"/>
        <v/>
      </c>
      <c r="T43" s="38" t="str">
        <f t="shared" si="6"/>
        <v/>
      </c>
      <c r="U43" s="38" t="str">
        <f t="shared" si="8"/>
        <v/>
      </c>
      <c r="W43" s="69" t="str">
        <f t="shared" si="9"/>
        <v/>
      </c>
    </row>
    <row r="44" spans="1:23" x14ac:dyDescent="0.75">
      <c r="B44" s="31">
        <f>'Prod-1'!A40</f>
        <v>0</v>
      </c>
      <c r="C44" s="1">
        <f>'Prod-1'!B40</f>
        <v>0</v>
      </c>
      <c r="D44" s="32"/>
      <c r="E44" s="32"/>
      <c r="F44" s="38"/>
      <c r="G44" s="32"/>
      <c r="H44" s="32"/>
      <c r="I44" s="32"/>
      <c r="J44" s="23"/>
      <c r="K44" s="32"/>
      <c r="L44" s="89" t="b">
        <f t="shared" si="7"/>
        <v>0</v>
      </c>
      <c r="M44" s="89" t="b">
        <f t="shared" si="7"/>
        <v>0</v>
      </c>
      <c r="N44" s="89" t="b">
        <f t="shared" si="1"/>
        <v>0</v>
      </c>
      <c r="O44" s="29">
        <f t="shared" si="2"/>
        <v>7</v>
      </c>
      <c r="Q44" s="38" t="str">
        <f t="shared" si="3"/>
        <v/>
      </c>
      <c r="R44" s="38" t="str">
        <f t="shared" si="4"/>
        <v/>
      </c>
      <c r="S44" s="38" t="str">
        <f t="shared" si="5"/>
        <v/>
      </c>
      <c r="T44" s="38" t="str">
        <f t="shared" si="6"/>
        <v/>
      </c>
      <c r="U44" s="38" t="str">
        <f t="shared" si="8"/>
        <v/>
      </c>
      <c r="W44" s="69" t="str">
        <f t="shared" si="9"/>
        <v/>
      </c>
    </row>
    <row r="45" spans="1:23" x14ac:dyDescent="0.75">
      <c r="B45" s="31">
        <f>'Prod-1'!A41</f>
        <v>0</v>
      </c>
      <c r="C45" s="1">
        <f>'Prod-1'!B41</f>
        <v>0</v>
      </c>
      <c r="D45" s="32"/>
      <c r="E45" s="32"/>
      <c r="F45" s="38"/>
      <c r="G45" s="32"/>
      <c r="H45" s="32"/>
      <c r="I45" s="32"/>
      <c r="J45" s="23"/>
      <c r="K45" s="32"/>
      <c r="L45" s="89" t="b">
        <f t="shared" si="7"/>
        <v>0</v>
      </c>
      <c r="M45" s="89" t="b">
        <f t="shared" si="7"/>
        <v>0</v>
      </c>
      <c r="N45" s="89" t="b">
        <f t="shared" si="1"/>
        <v>0</v>
      </c>
      <c r="O45" s="29">
        <f t="shared" si="2"/>
        <v>7</v>
      </c>
      <c r="S45" s="38" t="str">
        <f t="shared" si="5"/>
        <v/>
      </c>
      <c r="T45" s="38" t="str">
        <f t="shared" si="6"/>
        <v/>
      </c>
      <c r="U45" s="38" t="str">
        <f t="shared" si="8"/>
        <v/>
      </c>
      <c r="W45" s="69" t="str">
        <f t="shared" si="9"/>
        <v/>
      </c>
    </row>
    <row r="46" spans="1:23" x14ac:dyDescent="0.75">
      <c r="B46" s="31">
        <f>'Prod-1'!A42</f>
        <v>0</v>
      </c>
      <c r="C46" s="1">
        <f>'Prod-1'!B42</f>
        <v>0</v>
      </c>
      <c r="D46" s="32"/>
      <c r="E46" s="32"/>
      <c r="F46" s="38"/>
      <c r="G46" s="32"/>
      <c r="H46" s="32"/>
      <c r="I46" s="32"/>
      <c r="J46" s="23"/>
      <c r="S46" s="38" t="str">
        <f t="shared" si="5"/>
        <v/>
      </c>
      <c r="T46" s="38" t="str">
        <f t="shared" si="6"/>
        <v/>
      </c>
      <c r="U46" s="38" t="str">
        <f t="shared" si="8"/>
        <v/>
      </c>
      <c r="W46" s="69" t="str">
        <f t="shared" si="9"/>
        <v/>
      </c>
    </row>
    <row r="47" spans="1:23" x14ac:dyDescent="0.75">
      <c r="B47" s="31">
        <f>'Prod-1'!A43</f>
        <v>0</v>
      </c>
      <c r="C47" s="1">
        <f>'Prod-1'!B43</f>
        <v>0</v>
      </c>
      <c r="D47" s="32"/>
      <c r="E47" s="32"/>
      <c r="F47" s="38"/>
      <c r="G47" s="32"/>
      <c r="H47" s="32"/>
      <c r="I47" s="32"/>
      <c r="J47" s="23"/>
      <c r="S47" s="38" t="str">
        <f t="shared" si="5"/>
        <v/>
      </c>
      <c r="T47" s="38" t="str">
        <f t="shared" si="6"/>
        <v/>
      </c>
      <c r="U47" s="38" t="str">
        <f t="shared" si="8"/>
        <v/>
      </c>
      <c r="W47" s="69" t="str">
        <f t="shared" si="9"/>
        <v/>
      </c>
    </row>
    <row r="48" spans="1:23" x14ac:dyDescent="0.75">
      <c r="B48" s="31">
        <f>'Prod-1'!A44</f>
        <v>0</v>
      </c>
      <c r="C48" s="1">
        <f>'Prod-1'!B44</f>
        <v>0</v>
      </c>
      <c r="D48" s="32"/>
      <c r="E48" s="32"/>
      <c r="F48" s="38"/>
      <c r="G48" s="32"/>
      <c r="H48" s="32"/>
      <c r="I48" s="32"/>
      <c r="J48" s="23"/>
      <c r="S48" s="38" t="str">
        <f t="shared" si="5"/>
        <v/>
      </c>
      <c r="T48" s="38" t="str">
        <f t="shared" si="6"/>
        <v/>
      </c>
      <c r="U48" s="38" t="str">
        <f t="shared" si="8"/>
        <v/>
      </c>
      <c r="W48" s="69" t="str">
        <f t="shared" si="9"/>
        <v/>
      </c>
    </row>
    <row r="49" spans="1:24" x14ac:dyDescent="0.75">
      <c r="B49" s="31">
        <f>'Prod-1'!A45</f>
        <v>0</v>
      </c>
      <c r="C49" s="1">
        <f>'Prod-1'!B45</f>
        <v>0</v>
      </c>
      <c r="D49" s="32"/>
      <c r="E49" s="32"/>
      <c r="F49" s="38"/>
      <c r="G49" s="32"/>
      <c r="H49" s="32"/>
      <c r="I49" s="32"/>
      <c r="J49" s="23"/>
      <c r="S49" s="38" t="str">
        <f t="shared" si="5"/>
        <v/>
      </c>
      <c r="T49" s="38" t="str">
        <f t="shared" si="6"/>
        <v/>
      </c>
      <c r="U49" s="38" t="str">
        <f t="shared" si="8"/>
        <v/>
      </c>
      <c r="W49" s="69" t="str">
        <f t="shared" si="9"/>
        <v/>
      </c>
    </row>
    <row r="50" spans="1:24" s="1" customFormat="1" x14ac:dyDescent="0.75">
      <c r="A50" s="31"/>
      <c r="B50" s="31">
        <f>'Prod-1'!A46</f>
        <v>0</v>
      </c>
      <c r="C50" s="1">
        <f>'Prod-1'!B46</f>
        <v>0</v>
      </c>
      <c r="D50" s="32"/>
      <c r="E50" s="32"/>
      <c r="F50" s="38"/>
      <c r="G50" s="32"/>
      <c r="H50" s="32"/>
      <c r="I50" s="32"/>
      <c r="J50" s="23"/>
      <c r="K50" s="31"/>
      <c r="L50" s="31"/>
      <c r="M50" s="31"/>
      <c r="N50" s="31"/>
      <c r="O50" s="48"/>
      <c r="P50" s="31"/>
      <c r="Q50" s="31"/>
      <c r="R50" s="31"/>
      <c r="S50" s="38" t="str">
        <f t="shared" si="5"/>
        <v/>
      </c>
      <c r="T50" s="38" t="str">
        <f t="shared" si="6"/>
        <v/>
      </c>
      <c r="U50" s="38" t="str">
        <f t="shared" si="8"/>
        <v/>
      </c>
      <c r="W50" s="69" t="str">
        <f t="shared" si="9"/>
        <v/>
      </c>
      <c r="X50" s="31"/>
    </row>
    <row r="51" spans="1:24" s="1" customFormat="1" x14ac:dyDescent="0.75">
      <c r="A51" s="31"/>
      <c r="B51" s="31">
        <f>'Prod-1'!A47</f>
        <v>0</v>
      </c>
      <c r="C51" s="1">
        <f>'Prod-1'!B47</f>
        <v>0</v>
      </c>
      <c r="D51" s="32"/>
      <c r="E51" s="32"/>
      <c r="F51" s="38"/>
      <c r="G51" s="32"/>
      <c r="H51" s="32"/>
      <c r="I51" s="32"/>
      <c r="J51" s="23"/>
      <c r="K51" s="31"/>
      <c r="L51" s="31"/>
      <c r="M51" s="31"/>
      <c r="N51" s="31"/>
      <c r="O51" s="48"/>
      <c r="P51" s="31"/>
      <c r="Q51" s="31"/>
      <c r="R51" s="31"/>
      <c r="S51" s="38" t="str">
        <f t="shared" si="5"/>
        <v/>
      </c>
      <c r="T51" s="38" t="str">
        <f t="shared" si="6"/>
        <v/>
      </c>
      <c r="U51" s="38" t="str">
        <f t="shared" si="8"/>
        <v/>
      </c>
      <c r="W51" s="69" t="str">
        <f t="shared" si="9"/>
        <v/>
      </c>
      <c r="X51" s="31"/>
    </row>
    <row r="52" spans="1:24" s="1" customFormat="1" x14ac:dyDescent="0.75">
      <c r="A52" s="31"/>
      <c r="B52" s="31">
        <f>'Prod-1'!A48</f>
        <v>0</v>
      </c>
      <c r="C52" s="1">
        <f>'Prod-1'!B48</f>
        <v>0</v>
      </c>
      <c r="D52" s="32"/>
      <c r="E52" s="32"/>
      <c r="F52" s="38"/>
      <c r="G52" s="32"/>
      <c r="H52" s="32"/>
      <c r="I52" s="32"/>
      <c r="J52" s="23"/>
      <c r="K52" s="31"/>
      <c r="L52" s="31"/>
      <c r="M52" s="31"/>
      <c r="N52" s="31"/>
      <c r="O52" s="48"/>
      <c r="P52" s="31"/>
      <c r="Q52" s="31"/>
      <c r="R52" s="31"/>
      <c r="S52" s="38" t="str">
        <f t="shared" si="5"/>
        <v/>
      </c>
      <c r="T52" s="38" t="str">
        <f t="shared" si="6"/>
        <v/>
      </c>
      <c r="U52" s="38" t="str">
        <f t="shared" si="8"/>
        <v/>
      </c>
      <c r="W52" s="69" t="str">
        <f t="shared" si="9"/>
        <v/>
      </c>
      <c r="X52" s="31"/>
    </row>
    <row r="53" spans="1:24" s="1" customFormat="1" x14ac:dyDescent="0.75">
      <c r="A53" s="31"/>
      <c r="B53" s="31">
        <f>'Prod-1'!A49</f>
        <v>0</v>
      </c>
      <c r="C53" s="1">
        <f>'Prod-1'!B49</f>
        <v>0</v>
      </c>
      <c r="D53" s="32"/>
      <c r="E53" s="32"/>
      <c r="F53" s="38"/>
      <c r="G53" s="32"/>
      <c r="H53" s="32"/>
      <c r="I53" s="32"/>
      <c r="J53" s="23"/>
      <c r="K53" s="31"/>
      <c r="L53" s="31"/>
      <c r="M53" s="31"/>
      <c r="N53" s="31"/>
      <c r="O53" s="48"/>
      <c r="P53" s="31"/>
      <c r="Q53" s="31"/>
      <c r="R53" s="31"/>
      <c r="S53" s="38" t="str">
        <f t="shared" si="5"/>
        <v/>
      </c>
      <c r="T53" s="38" t="str">
        <f t="shared" si="6"/>
        <v/>
      </c>
      <c r="U53" s="38" t="str">
        <f t="shared" si="8"/>
        <v/>
      </c>
      <c r="W53" s="69" t="str">
        <f t="shared" si="9"/>
        <v/>
      </c>
      <c r="X53" s="31"/>
    </row>
    <row r="54" spans="1:24" s="1" customFormat="1" x14ac:dyDescent="0.75">
      <c r="A54" s="31"/>
      <c r="B54" s="31">
        <f>'Prod-1'!A50</f>
        <v>0</v>
      </c>
      <c r="C54" s="1">
        <f>'Prod-1'!B50</f>
        <v>0</v>
      </c>
      <c r="D54" s="31"/>
      <c r="E54" s="31"/>
      <c r="G54" s="31"/>
      <c r="H54" s="31"/>
      <c r="I54" s="31"/>
      <c r="J54" s="31"/>
      <c r="K54" s="31"/>
      <c r="L54" s="31"/>
      <c r="M54" s="31"/>
      <c r="N54" s="31"/>
      <c r="O54" s="48"/>
      <c r="P54" s="31"/>
      <c r="Q54" s="31"/>
      <c r="R54" s="31"/>
      <c r="S54" s="38" t="str">
        <f t="shared" si="5"/>
        <v/>
      </c>
      <c r="T54" s="38" t="str">
        <f t="shared" si="6"/>
        <v/>
      </c>
      <c r="U54" s="38" t="str">
        <f t="shared" si="8"/>
        <v/>
      </c>
      <c r="W54" s="69" t="str">
        <f t="shared" si="9"/>
        <v/>
      </c>
      <c r="X54" s="31"/>
    </row>
    <row r="55" spans="1:24" s="1" customFormat="1" x14ac:dyDescent="0.75">
      <c r="A55" s="31"/>
      <c r="B55" s="31">
        <f>'Prod-1'!A51</f>
        <v>0</v>
      </c>
      <c r="C55" s="1">
        <f>'Prod-1'!B51</f>
        <v>0</v>
      </c>
      <c r="D55" s="31"/>
      <c r="E55" s="31"/>
      <c r="G55" s="31"/>
      <c r="H55" s="31"/>
      <c r="I55" s="31"/>
      <c r="J55" s="31"/>
      <c r="K55" s="31"/>
      <c r="L55" s="31"/>
      <c r="M55" s="31"/>
      <c r="N55" s="31"/>
      <c r="O55" s="48"/>
      <c r="P55" s="31"/>
      <c r="Q55" s="31"/>
      <c r="R55" s="31"/>
      <c r="S55" s="38" t="str">
        <f t="shared" si="5"/>
        <v/>
      </c>
      <c r="T55" s="38" t="str">
        <f t="shared" si="6"/>
        <v/>
      </c>
      <c r="U55" s="38" t="str">
        <f t="shared" si="8"/>
        <v/>
      </c>
      <c r="W55" s="69" t="str">
        <f t="shared" si="9"/>
        <v/>
      </c>
      <c r="X55" s="31"/>
    </row>
    <row r="56" spans="1:24" s="1" customFormat="1" x14ac:dyDescent="0.75">
      <c r="A56" s="31"/>
      <c r="B56" s="31">
        <f>'Prod-1'!A52</f>
        <v>0</v>
      </c>
      <c r="C56" s="1">
        <f>'Prod-1'!B52</f>
        <v>0</v>
      </c>
      <c r="D56" s="31"/>
      <c r="E56" s="31"/>
      <c r="G56" s="31"/>
      <c r="H56" s="31"/>
      <c r="I56" s="31"/>
      <c r="J56" s="31"/>
      <c r="K56" s="31"/>
      <c r="L56" s="31"/>
      <c r="M56" s="31"/>
      <c r="N56" s="31"/>
      <c r="O56" s="48"/>
      <c r="P56" s="31"/>
      <c r="Q56" s="31"/>
      <c r="R56" s="31"/>
      <c r="S56" s="38" t="str">
        <f t="shared" si="5"/>
        <v/>
      </c>
      <c r="T56" s="38" t="str">
        <f t="shared" si="6"/>
        <v/>
      </c>
      <c r="U56" s="38" t="str">
        <f t="shared" si="8"/>
        <v/>
      </c>
      <c r="W56" s="69" t="str">
        <f t="shared" si="9"/>
        <v/>
      </c>
      <c r="X56" s="31"/>
    </row>
    <row r="57" spans="1:24" s="1" customFormat="1" x14ac:dyDescent="0.75">
      <c r="A57" s="31"/>
      <c r="B57" s="31">
        <f>'Prod-1'!A53</f>
        <v>0</v>
      </c>
      <c r="C57" s="1">
        <f>'Prod-1'!B53</f>
        <v>0</v>
      </c>
      <c r="D57" s="31"/>
      <c r="E57" s="31"/>
      <c r="G57" s="31"/>
      <c r="H57" s="31"/>
      <c r="I57" s="31"/>
      <c r="J57" s="31"/>
      <c r="K57" s="31"/>
      <c r="L57" s="31"/>
      <c r="M57" s="31"/>
      <c r="N57" s="31"/>
      <c r="O57" s="48"/>
      <c r="P57" s="31"/>
      <c r="Q57" s="31"/>
      <c r="R57" s="31"/>
      <c r="S57" s="38" t="str">
        <f t="shared" si="5"/>
        <v/>
      </c>
      <c r="T57" s="38" t="str">
        <f t="shared" si="6"/>
        <v/>
      </c>
      <c r="U57" s="38" t="str">
        <f t="shared" si="8"/>
        <v/>
      </c>
      <c r="W57" s="69" t="str">
        <f t="shared" si="9"/>
        <v/>
      </c>
      <c r="X57" s="31"/>
    </row>
    <row r="58" spans="1:24" s="1" customFormat="1" x14ac:dyDescent="0.75">
      <c r="A58" s="31"/>
      <c r="B58" s="31">
        <f>'Prod-1'!A54</f>
        <v>0</v>
      </c>
      <c r="C58" s="1">
        <f>'Prod-1'!B54</f>
        <v>0</v>
      </c>
      <c r="D58" s="31"/>
      <c r="E58" s="31"/>
      <c r="G58" s="31"/>
      <c r="H58" s="31"/>
      <c r="I58" s="31"/>
      <c r="J58" s="31"/>
      <c r="K58" s="31"/>
      <c r="L58" s="31"/>
      <c r="M58" s="31"/>
      <c r="N58" s="31"/>
      <c r="O58" s="48"/>
      <c r="P58" s="31"/>
      <c r="Q58" s="31"/>
      <c r="R58" s="31"/>
      <c r="S58" s="38" t="str">
        <f t="shared" si="5"/>
        <v/>
      </c>
      <c r="T58" s="38" t="str">
        <f t="shared" si="6"/>
        <v/>
      </c>
      <c r="U58" s="38" t="str">
        <f t="shared" si="8"/>
        <v/>
      </c>
      <c r="W58" s="69" t="str">
        <f t="shared" si="9"/>
        <v/>
      </c>
      <c r="X58" s="31"/>
    </row>
    <row r="59" spans="1:24" s="1" customFormat="1" x14ac:dyDescent="0.75">
      <c r="A59" s="31"/>
      <c r="B59" s="31">
        <f>'Prod-1'!A55</f>
        <v>0</v>
      </c>
      <c r="C59" s="1">
        <f>'Prod-1'!B55</f>
        <v>0</v>
      </c>
      <c r="D59" s="31"/>
      <c r="E59" s="31"/>
      <c r="G59" s="31"/>
      <c r="H59" s="31"/>
      <c r="I59" s="31"/>
      <c r="J59" s="31"/>
      <c r="K59" s="31"/>
      <c r="L59" s="31"/>
      <c r="M59" s="31"/>
      <c r="N59" s="31"/>
      <c r="O59" s="48"/>
      <c r="P59" s="31"/>
      <c r="Q59" s="31"/>
      <c r="R59" s="31"/>
      <c r="S59" s="38" t="str">
        <f t="shared" si="5"/>
        <v/>
      </c>
      <c r="T59" s="38" t="str">
        <f t="shared" si="6"/>
        <v/>
      </c>
      <c r="U59" s="38" t="str">
        <f t="shared" si="8"/>
        <v/>
      </c>
      <c r="W59" s="69" t="str">
        <f t="shared" si="9"/>
        <v/>
      </c>
      <c r="X59" s="31"/>
    </row>
    <row r="60" spans="1:24" s="1" customFormat="1" x14ac:dyDescent="0.75">
      <c r="A60" s="31"/>
      <c r="B60" s="31">
        <f>'Prod-1'!A56</f>
        <v>0</v>
      </c>
      <c r="C60" s="1">
        <f>'Prod-1'!B56</f>
        <v>0</v>
      </c>
      <c r="D60" s="31"/>
      <c r="E60" s="31"/>
      <c r="G60" s="31"/>
      <c r="H60" s="31"/>
      <c r="I60" s="31"/>
      <c r="J60" s="31"/>
      <c r="K60" s="31"/>
      <c r="L60" s="31"/>
      <c r="M60" s="31"/>
      <c r="N60" s="31"/>
      <c r="O60" s="48"/>
      <c r="P60" s="31"/>
      <c r="Q60" s="31"/>
      <c r="R60" s="31"/>
      <c r="S60" s="38" t="str">
        <f t="shared" si="5"/>
        <v/>
      </c>
      <c r="T60" s="38" t="str">
        <f t="shared" si="6"/>
        <v/>
      </c>
      <c r="U60" s="38" t="str">
        <f t="shared" si="8"/>
        <v/>
      </c>
      <c r="W60" s="69" t="str">
        <f t="shared" si="9"/>
        <v/>
      </c>
      <c r="X60" s="31"/>
    </row>
    <row r="61" spans="1:24" s="1" customFormat="1" x14ac:dyDescent="0.75">
      <c r="A61" s="31"/>
      <c r="B61" s="31">
        <f>'Prod-1'!A57</f>
        <v>0</v>
      </c>
      <c r="C61" s="1">
        <f>'Prod-1'!B57</f>
        <v>0</v>
      </c>
      <c r="D61" s="31"/>
      <c r="E61" s="31"/>
      <c r="G61" s="31"/>
      <c r="H61" s="31"/>
      <c r="I61" s="31"/>
      <c r="J61" s="31"/>
      <c r="K61" s="31"/>
      <c r="L61" s="31"/>
      <c r="M61" s="31"/>
      <c r="N61" s="31"/>
      <c r="O61" s="48"/>
      <c r="P61" s="31"/>
      <c r="Q61" s="31"/>
      <c r="R61" s="31"/>
      <c r="S61" s="31"/>
      <c r="W61" s="32"/>
      <c r="X61" s="31"/>
    </row>
    <row r="62" spans="1:24" s="1" customFormat="1" x14ac:dyDescent="0.75">
      <c r="A62" s="31"/>
      <c r="B62" s="31">
        <f>'Prod-1'!A58</f>
        <v>0</v>
      </c>
      <c r="C62" s="1">
        <f>'Prod-1'!B58</f>
        <v>0</v>
      </c>
      <c r="D62" s="31"/>
      <c r="E62" s="31"/>
      <c r="G62" s="31"/>
      <c r="H62" s="31"/>
      <c r="I62" s="31"/>
      <c r="J62" s="31"/>
      <c r="K62" s="31"/>
      <c r="L62" s="31"/>
      <c r="M62" s="31"/>
      <c r="N62" s="31"/>
      <c r="O62" s="48"/>
      <c r="P62" s="31"/>
      <c r="Q62" s="31"/>
      <c r="R62" s="31"/>
      <c r="S62" s="31"/>
      <c r="W62" s="31"/>
      <c r="X62" s="31"/>
    </row>
    <row r="63" spans="1:24" s="1" customFormat="1" x14ac:dyDescent="0.75">
      <c r="A63" s="31"/>
      <c r="B63" s="31">
        <f>'Prod-1'!A59</f>
        <v>0</v>
      </c>
      <c r="C63" s="1">
        <f>'Prod-1'!B59</f>
        <v>0</v>
      </c>
      <c r="D63" s="31"/>
      <c r="E63" s="31"/>
      <c r="G63" s="31"/>
      <c r="H63" s="31"/>
      <c r="I63" s="31"/>
      <c r="J63" s="31"/>
      <c r="K63" s="31"/>
      <c r="L63" s="31"/>
      <c r="M63" s="31"/>
      <c r="N63" s="31"/>
      <c r="O63" s="48"/>
      <c r="P63" s="31"/>
      <c r="Q63" s="31"/>
      <c r="R63" s="31"/>
      <c r="S63" s="31"/>
      <c r="W63" s="31"/>
      <c r="X63" s="31"/>
    </row>
    <row r="64" spans="1:24" s="1" customFormat="1" x14ac:dyDescent="0.75">
      <c r="A64" s="31"/>
      <c r="B64" s="31">
        <f>'Prod-1'!A60</f>
        <v>0</v>
      </c>
      <c r="C64" s="1">
        <f>'Prod-1'!B60</f>
        <v>0</v>
      </c>
      <c r="D64" s="31"/>
      <c r="E64" s="31"/>
      <c r="G64" s="31"/>
      <c r="H64" s="31"/>
      <c r="I64" s="31"/>
      <c r="J64" s="31"/>
      <c r="K64" s="31"/>
      <c r="L64" s="31"/>
      <c r="M64" s="31"/>
      <c r="N64" s="31"/>
      <c r="O64" s="48"/>
      <c r="P64" s="31"/>
      <c r="Q64" s="31"/>
      <c r="R64" s="31"/>
      <c r="S64" s="31"/>
      <c r="W64" s="31"/>
      <c r="X64" s="31"/>
    </row>
    <row r="65" spans="1:24" s="1" customFormat="1" x14ac:dyDescent="0.75">
      <c r="A65" s="31"/>
      <c r="B65" s="31">
        <f>'Prod-1'!A61</f>
        <v>0</v>
      </c>
      <c r="C65" s="1">
        <f>'Prod-1'!B61</f>
        <v>0</v>
      </c>
      <c r="D65" s="31"/>
      <c r="E65" s="31"/>
      <c r="G65" s="31"/>
      <c r="H65" s="31"/>
      <c r="I65" s="31"/>
      <c r="J65" s="31"/>
      <c r="K65" s="31"/>
      <c r="L65" s="31"/>
      <c r="M65" s="31"/>
      <c r="N65" s="31"/>
      <c r="O65" s="48"/>
      <c r="P65" s="31"/>
      <c r="Q65" s="31"/>
      <c r="R65" s="31"/>
      <c r="S65" s="31"/>
      <c r="W65" s="31"/>
      <c r="X65" s="31"/>
    </row>
    <row r="66" spans="1:24" x14ac:dyDescent="0.75">
      <c r="B66" s="31">
        <f>'Prod-1'!A62</f>
        <v>0</v>
      </c>
      <c r="C66" s="1">
        <f>'Prod-1'!B62</f>
        <v>0</v>
      </c>
      <c r="F66" s="1"/>
      <c r="G66" s="31"/>
      <c r="H66" s="31"/>
      <c r="I66" s="31"/>
      <c r="T66" s="1"/>
      <c r="W66" s="31"/>
    </row>
    <row r="67" spans="1:24" x14ac:dyDescent="0.75">
      <c r="B67" s="31">
        <f>'Prod-1'!A63</f>
        <v>0</v>
      </c>
      <c r="C67" s="1">
        <f>'Prod-1'!B63</f>
        <v>0</v>
      </c>
      <c r="F67" s="1"/>
      <c r="G67" s="31"/>
      <c r="H67" s="31"/>
      <c r="I67" s="31"/>
      <c r="T67" s="1"/>
      <c r="W67" s="31"/>
    </row>
    <row r="68" spans="1:24" x14ac:dyDescent="0.75">
      <c r="B68" s="31">
        <f>'Prod-1'!A64</f>
        <v>0</v>
      </c>
      <c r="C68" s="1">
        <f>'Prod-1'!B64</f>
        <v>0</v>
      </c>
      <c r="F68" s="1"/>
      <c r="G68" s="31"/>
      <c r="H68" s="31"/>
      <c r="I68" s="31"/>
      <c r="T68" s="1"/>
      <c r="W68" s="31"/>
    </row>
    <row r="69" spans="1:24" x14ac:dyDescent="0.75">
      <c r="B69" s="31">
        <f>'Prod-1'!A65</f>
        <v>0</v>
      </c>
      <c r="C69" s="1">
        <f>'Prod-1'!B65</f>
        <v>0</v>
      </c>
      <c r="F69" s="1"/>
      <c r="G69" s="31"/>
      <c r="H69" s="31"/>
      <c r="I69" s="31"/>
      <c r="T69" s="1"/>
      <c r="W69" s="31"/>
    </row>
    <row r="70" spans="1:24" x14ac:dyDescent="0.75">
      <c r="B70" s="31">
        <f>'Prod-1'!A66</f>
        <v>0</v>
      </c>
      <c r="C70" s="1">
        <f>'Prod-1'!B66</f>
        <v>0</v>
      </c>
      <c r="F70" s="1"/>
      <c r="G70" s="31"/>
      <c r="H70" s="31"/>
      <c r="I70" s="31"/>
      <c r="T70" s="1"/>
      <c r="W70" s="31"/>
    </row>
    <row r="71" spans="1:24" x14ac:dyDescent="0.75">
      <c r="B71" s="31">
        <f>'Prod-1'!A67</f>
        <v>0</v>
      </c>
      <c r="C71" s="1">
        <f>'Prod-1'!B67</f>
        <v>0</v>
      </c>
      <c r="F71" s="1"/>
      <c r="G71" s="31"/>
      <c r="H71" s="31"/>
      <c r="I71" s="31"/>
      <c r="T71" s="1"/>
      <c r="W71" s="31"/>
    </row>
    <row r="72" spans="1:24" x14ac:dyDescent="0.75">
      <c r="B72" s="31">
        <f>'Prod-1'!A68</f>
        <v>0</v>
      </c>
      <c r="C72" s="1">
        <f>'Prod-1'!B68</f>
        <v>0</v>
      </c>
      <c r="F72" s="1"/>
      <c r="G72" s="31"/>
      <c r="H72" s="31"/>
      <c r="I72" s="31"/>
      <c r="T72" s="1"/>
      <c r="W72" s="31"/>
    </row>
    <row r="73" spans="1:24" x14ac:dyDescent="0.75">
      <c r="B73" s="31">
        <f>'Prod-1'!A69</f>
        <v>0</v>
      </c>
      <c r="C73" s="1">
        <f>'Prod-1'!B69</f>
        <v>0</v>
      </c>
      <c r="F73" s="1"/>
      <c r="G73" s="31"/>
      <c r="H73" s="31"/>
      <c r="I73" s="31"/>
      <c r="T73" s="1"/>
      <c r="W73" s="31"/>
    </row>
    <row r="74" spans="1:24" x14ac:dyDescent="0.75">
      <c r="B74" s="31">
        <f>'Prod-1'!A70</f>
        <v>0</v>
      </c>
      <c r="C74" s="1">
        <f>'Prod-1'!B70</f>
        <v>0</v>
      </c>
      <c r="F74" s="1"/>
      <c r="G74" s="31"/>
      <c r="H74" s="31"/>
      <c r="I74" s="31"/>
      <c r="T74" s="1"/>
      <c r="W74" s="31"/>
    </row>
    <row r="75" spans="1:24" x14ac:dyDescent="0.75">
      <c r="B75" s="31">
        <f>'Prod-1'!A71</f>
        <v>0</v>
      </c>
      <c r="C75" s="1">
        <f>'Prod-1'!B71</f>
        <v>0</v>
      </c>
      <c r="F75" s="1"/>
      <c r="G75" s="31"/>
      <c r="H75" s="31"/>
      <c r="I75" s="31"/>
      <c r="T75" s="1"/>
      <c r="W75" s="31"/>
    </row>
    <row r="76" spans="1:24" x14ac:dyDescent="0.75">
      <c r="B76" s="31">
        <f>'Prod-1'!A72</f>
        <v>0</v>
      </c>
      <c r="C76" s="1">
        <f>'Prod-1'!B72</f>
        <v>0</v>
      </c>
      <c r="F76" s="1"/>
      <c r="G76" s="31"/>
      <c r="H76" s="31"/>
      <c r="I76" s="31"/>
      <c r="T76" s="1"/>
      <c r="W76" s="31"/>
    </row>
    <row r="77" spans="1:24" x14ac:dyDescent="0.75">
      <c r="B77" s="31">
        <f>'Prod-1'!A73</f>
        <v>0</v>
      </c>
      <c r="C77" s="1">
        <f>'Prod-1'!B73</f>
        <v>0</v>
      </c>
      <c r="F77" s="1"/>
      <c r="G77" s="31"/>
      <c r="H77" s="31"/>
      <c r="I77" s="31"/>
      <c r="T77" s="1"/>
      <c r="W77" s="31"/>
    </row>
    <row r="78" spans="1:24" x14ac:dyDescent="0.75">
      <c r="B78" s="31">
        <f>'Prod-1'!A74</f>
        <v>0</v>
      </c>
      <c r="C78" s="1">
        <f>'Prod-1'!B74</f>
        <v>0</v>
      </c>
      <c r="F78" s="1"/>
      <c r="G78" s="31"/>
      <c r="H78" s="31"/>
      <c r="I78" s="31"/>
      <c r="T78" s="1"/>
      <c r="W78" s="31"/>
    </row>
    <row r="79" spans="1:24" x14ac:dyDescent="0.75">
      <c r="B79" s="31">
        <f>'Prod-1'!A75</f>
        <v>0</v>
      </c>
      <c r="C79" s="1">
        <f>'Prod-1'!B75</f>
        <v>0</v>
      </c>
      <c r="F79" s="1"/>
      <c r="G79" s="31"/>
      <c r="H79" s="31"/>
      <c r="I79" s="31"/>
      <c r="T79" s="1"/>
      <c r="W79" s="31"/>
    </row>
    <row r="80" spans="1:24" x14ac:dyDescent="0.75">
      <c r="B80" s="31">
        <f>'Prod-1'!A76</f>
        <v>0</v>
      </c>
      <c r="C80" s="1">
        <f>'Prod-1'!B76</f>
        <v>0</v>
      </c>
      <c r="F80" s="1"/>
      <c r="G80" s="31"/>
      <c r="H80" s="31"/>
      <c r="I80" s="31"/>
      <c r="T80" s="1"/>
      <c r="W80" s="31"/>
    </row>
    <row r="81" spans="2:23" x14ac:dyDescent="0.75">
      <c r="B81" s="31">
        <f>'Prod-1'!A77</f>
        <v>0</v>
      </c>
      <c r="C81" s="1">
        <f>'Prod-1'!B77</f>
        <v>0</v>
      </c>
      <c r="F81" s="1"/>
      <c r="G81" s="31"/>
      <c r="H81" s="31"/>
      <c r="I81" s="31"/>
      <c r="T81" s="1"/>
      <c r="W81" s="31"/>
    </row>
    <row r="82" spans="2:23" x14ac:dyDescent="0.75">
      <c r="B82" s="31">
        <f>'Prod-1'!A78</f>
        <v>0</v>
      </c>
      <c r="C82" s="1">
        <f>'Prod-1'!B78</f>
        <v>0</v>
      </c>
      <c r="F82" s="1"/>
      <c r="G82" s="31"/>
      <c r="H82" s="31"/>
      <c r="I82" s="31"/>
      <c r="T82" s="1"/>
      <c r="W82" s="31"/>
    </row>
    <row r="83" spans="2:23" x14ac:dyDescent="0.75">
      <c r="B83" s="31">
        <f>'Prod-1'!A79</f>
        <v>0</v>
      </c>
      <c r="C83" s="1">
        <f>'Prod-1'!B79</f>
        <v>0</v>
      </c>
      <c r="F83" s="1"/>
      <c r="G83" s="31"/>
      <c r="H83" s="31"/>
      <c r="I83" s="31"/>
      <c r="T83" s="1"/>
      <c r="W83" s="31"/>
    </row>
    <row r="84" spans="2:23" x14ac:dyDescent="0.75">
      <c r="B84" s="31">
        <f>'Prod-1'!A80</f>
        <v>0</v>
      </c>
      <c r="C84" s="1">
        <f>'Prod-1'!B80</f>
        <v>0</v>
      </c>
      <c r="F84" s="1"/>
      <c r="G84" s="31"/>
      <c r="H84" s="31"/>
      <c r="I84" s="31"/>
      <c r="T84" s="1"/>
      <c r="W84" s="31"/>
    </row>
    <row r="85" spans="2:23" x14ac:dyDescent="0.75">
      <c r="B85" s="31">
        <f>'Prod-1'!A81</f>
        <v>0</v>
      </c>
      <c r="C85" s="1">
        <f>'Prod-1'!B81</f>
        <v>0</v>
      </c>
      <c r="F85" s="1"/>
      <c r="G85" s="31"/>
      <c r="H85" s="31"/>
      <c r="I85" s="31"/>
      <c r="T85" s="1"/>
      <c r="W85" s="31"/>
    </row>
    <row r="86" spans="2:23" x14ac:dyDescent="0.75">
      <c r="B86" s="31">
        <f>'Prod-1'!A82</f>
        <v>0</v>
      </c>
      <c r="C86" s="1">
        <f>'Prod-1'!B82</f>
        <v>0</v>
      </c>
      <c r="F86" s="1"/>
      <c r="G86" s="31"/>
      <c r="H86" s="31"/>
      <c r="I86" s="31"/>
      <c r="T86" s="1"/>
      <c r="W86" s="31"/>
    </row>
    <row r="87" spans="2:23" x14ac:dyDescent="0.75">
      <c r="B87" s="31">
        <f>'Prod-1'!A83</f>
        <v>0</v>
      </c>
      <c r="C87" s="1">
        <f>'Prod-1'!B83</f>
        <v>0</v>
      </c>
      <c r="F87" s="1"/>
      <c r="G87" s="31"/>
      <c r="H87" s="31"/>
      <c r="I87" s="31"/>
      <c r="T87" s="1"/>
      <c r="W87" s="31"/>
    </row>
    <row r="88" spans="2:23" x14ac:dyDescent="0.75">
      <c r="B88" s="31">
        <f>'Prod-1'!A84</f>
        <v>0</v>
      </c>
      <c r="C88" s="1">
        <f>'Prod-1'!B84</f>
        <v>0</v>
      </c>
      <c r="F88" s="1"/>
      <c r="G88" s="31"/>
      <c r="H88" s="31"/>
      <c r="I88" s="31"/>
      <c r="T88" s="1"/>
      <c r="W88" s="31"/>
    </row>
    <row r="89" spans="2:23" x14ac:dyDescent="0.75">
      <c r="B89" s="31">
        <f>'Prod-1'!A85</f>
        <v>0</v>
      </c>
      <c r="C89" s="1">
        <f>'Prod-1'!B85</f>
        <v>0</v>
      </c>
      <c r="F89" s="1"/>
      <c r="G89" s="31"/>
      <c r="H89" s="31"/>
      <c r="I89" s="31"/>
      <c r="T89" s="1"/>
      <c r="W89" s="31"/>
    </row>
    <row r="90" spans="2:23" x14ac:dyDescent="0.75">
      <c r="B90" s="31">
        <f>'Prod-1'!A86</f>
        <v>0</v>
      </c>
      <c r="C90" s="1">
        <f>'Prod-1'!B86</f>
        <v>0</v>
      </c>
      <c r="F90" s="1"/>
      <c r="G90" s="31"/>
      <c r="H90" s="31"/>
      <c r="I90" s="31"/>
      <c r="T90" s="1"/>
      <c r="W90" s="31"/>
    </row>
    <row r="91" spans="2:23" x14ac:dyDescent="0.75">
      <c r="B91" s="31">
        <f>'Prod-1'!A87</f>
        <v>0</v>
      </c>
      <c r="C91" s="1">
        <f>'Prod-1'!B87</f>
        <v>0</v>
      </c>
      <c r="F91" s="1"/>
      <c r="G91" s="31"/>
      <c r="H91" s="31"/>
      <c r="I91" s="31"/>
      <c r="T91" s="1"/>
      <c r="W91" s="31"/>
    </row>
    <row r="92" spans="2:23" x14ac:dyDescent="0.75">
      <c r="B92" s="31">
        <f>'Prod-1'!A88</f>
        <v>0</v>
      </c>
      <c r="C92" s="1">
        <f>'Prod-1'!B88</f>
        <v>0</v>
      </c>
      <c r="F92" s="1"/>
      <c r="G92" s="31"/>
      <c r="H92" s="31"/>
      <c r="I92" s="31"/>
      <c r="T92" s="1"/>
      <c r="W92" s="31"/>
    </row>
    <row r="93" spans="2:23" x14ac:dyDescent="0.75">
      <c r="B93" s="31">
        <f>'Prod-1'!A89</f>
        <v>0</v>
      </c>
      <c r="C93" s="1">
        <f>'Prod-1'!B89</f>
        <v>0</v>
      </c>
      <c r="F93" s="1"/>
      <c r="G93" s="31"/>
      <c r="H93" s="31"/>
      <c r="I93" s="31"/>
      <c r="T93" s="1"/>
      <c r="W93" s="31"/>
    </row>
    <row r="94" spans="2:23" x14ac:dyDescent="0.75">
      <c r="B94" s="31">
        <f>'Prod-1'!A90</f>
        <v>0</v>
      </c>
      <c r="C94" s="1">
        <f>'Prod-1'!B90</f>
        <v>0</v>
      </c>
      <c r="F94" s="1"/>
      <c r="G94" s="31"/>
      <c r="H94" s="31"/>
      <c r="I94" s="31"/>
      <c r="T94" s="1"/>
      <c r="W94" s="31"/>
    </row>
    <row r="95" spans="2:23" x14ac:dyDescent="0.75">
      <c r="B95" s="31">
        <f>'Prod-1'!A91</f>
        <v>0</v>
      </c>
      <c r="C95" s="1">
        <f>'Prod-1'!B91</f>
        <v>0</v>
      </c>
      <c r="F95" s="1"/>
      <c r="G95" s="31"/>
      <c r="H95" s="31"/>
      <c r="I95" s="31"/>
      <c r="T95" s="1"/>
      <c r="W95" s="31"/>
    </row>
    <row r="96" spans="2:23" x14ac:dyDescent="0.75">
      <c r="B96" s="31">
        <f>'Prod-1'!A92</f>
        <v>0</v>
      </c>
      <c r="C96" s="1">
        <f>'Prod-1'!B92</f>
        <v>0</v>
      </c>
      <c r="F96" s="1"/>
      <c r="G96" s="31"/>
      <c r="H96" s="31"/>
      <c r="I96" s="31"/>
      <c r="T96" s="1"/>
      <c r="W96" s="31"/>
    </row>
    <row r="97" spans="2:23" x14ac:dyDescent="0.75">
      <c r="B97" s="31">
        <f>'Prod-1'!A93</f>
        <v>0</v>
      </c>
      <c r="C97" s="1">
        <f>'Prod-1'!B93</f>
        <v>0</v>
      </c>
      <c r="F97" s="1"/>
      <c r="G97" s="31"/>
      <c r="H97" s="31"/>
      <c r="I97" s="31"/>
      <c r="T97" s="1"/>
      <c r="W97" s="31"/>
    </row>
    <row r="98" spans="2:23" x14ac:dyDescent="0.75">
      <c r="B98" s="31">
        <f>'Prod-1'!A94</f>
        <v>0</v>
      </c>
      <c r="C98" s="1">
        <f>'Prod-1'!B94</f>
        <v>0</v>
      </c>
      <c r="F98" s="1"/>
      <c r="G98" s="31"/>
      <c r="H98" s="31"/>
      <c r="I98" s="31"/>
      <c r="T98" s="1"/>
      <c r="W98" s="31"/>
    </row>
    <row r="99" spans="2:23" x14ac:dyDescent="0.75">
      <c r="B99" s="31">
        <f>'Prod-1'!A95</f>
        <v>0</v>
      </c>
      <c r="C99" s="1">
        <f>'Prod-1'!B95</f>
        <v>0</v>
      </c>
      <c r="F99" s="1"/>
      <c r="G99" s="31"/>
      <c r="H99" s="31"/>
      <c r="I99" s="31"/>
      <c r="T99" s="1"/>
      <c r="W99" s="31"/>
    </row>
    <row r="100" spans="2:23" x14ac:dyDescent="0.75">
      <c r="B100" s="31">
        <f>'Prod-1'!A96</f>
        <v>0</v>
      </c>
      <c r="C100" s="1">
        <f>'Prod-1'!B96</f>
        <v>0</v>
      </c>
      <c r="F100" s="1"/>
      <c r="G100" s="31"/>
      <c r="H100" s="31"/>
      <c r="I100" s="31"/>
      <c r="T100" s="1"/>
      <c r="W100" s="31"/>
    </row>
  </sheetData>
  <hyperlinks>
    <hyperlink ref="C2" r:id="rId1" xr:uid="{B8C6E45A-BD03-48AA-9236-A45D7A322CDA}"/>
    <hyperlink ref="D4" r:id="rId2" display="http://hl7.org/fhir/StructureDefinition/Immunization" xr:uid="{45C9EFC9-D5D7-4013-81CB-9BBE96AF7495}"/>
    <hyperlink ref="C6" r:id="rId3" display="http://iso.org/fhir/ts-5384/StructureDefinition/Immunization" xr:uid="{88472860-8043-43B3-8EA4-DF08FD8F5AD8}"/>
    <hyperlink ref="F6" r:id="rId4" display="http://iso.org/fhir/ts-5384/StructureDefinition/Immunization" xr:uid="{5872FE9E-7A1F-4709-9FD2-852DC258DE3D}"/>
  </hyperlinks>
  <pageMargins left="0.7" right="0.7" top="0.75" bottom="0.75" header="0.3" footer="0.3"/>
  <pageSetup paperSize="9" orientation="portrait" r:id="rId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21C64-C701-4EE5-8E59-E4D7F4116027}">
  <sheetPr codeName="Foglio53"/>
  <dimension ref="A2:G419"/>
  <sheetViews>
    <sheetView topLeftCell="A85" workbookViewId="0">
      <selection activeCell="D29" sqref="D29:D371"/>
    </sheetView>
  </sheetViews>
  <sheetFormatPr defaultRowHeight="14.75" x14ac:dyDescent="0.75"/>
  <cols>
    <col min="1" max="1" width="15.1796875" style="31" customWidth="1"/>
    <col min="2" max="3" width="8.7265625" style="31"/>
    <col min="4" max="4" width="130.81640625" style="31" customWidth="1"/>
    <col min="5" max="5" width="19.86328125" style="31" customWidth="1"/>
    <col min="6" max="6" width="13.54296875" style="31" customWidth="1"/>
    <col min="7" max="7" width="69.36328125" style="31" customWidth="1"/>
    <col min="8" max="16384" width="8.7265625" style="31"/>
  </cols>
  <sheetData>
    <row r="2" spans="1:4" x14ac:dyDescent="0.75">
      <c r="D2" s="17" t="str">
        <f>CONCATENATE("Instance: ",'Prod-uc2-1'!D4)</f>
        <v>Instance: Product-uc2</v>
      </c>
    </row>
    <row r="3" spans="1:4" x14ac:dyDescent="0.75">
      <c r="D3" s="17" t="s">
        <v>22</v>
      </c>
    </row>
    <row r="4" spans="1:4" x14ac:dyDescent="0.75">
      <c r="D4" s="17" t="str">
        <f>CONCATENATE("Description: """,'Prod-uc2-1'!E2,"""")</f>
        <v>Description: "Product Model for the 'Record a Current immunization event'"</v>
      </c>
    </row>
    <row r="5" spans="1:4" x14ac:dyDescent="0.75">
      <c r="D5" s="17" t="str">
        <f>CONCATENATE("Title: """,'Prod-uc2-1'!D2,"""")</f>
        <v>Title: "Product: Record a Current immunization event"</v>
      </c>
    </row>
    <row r="6" spans="1:4" x14ac:dyDescent="0.75">
      <c r="A6" s="40" t="s">
        <v>150</v>
      </c>
      <c r="B6" s="95">
        <v>7</v>
      </c>
      <c r="D6" s="17" t="s">
        <v>23</v>
      </c>
    </row>
    <row r="7" spans="1:4" x14ac:dyDescent="0.75">
      <c r="D7" s="17"/>
    </row>
    <row r="8" spans="1:4" x14ac:dyDescent="0.75">
      <c r="A8" s="31" t="s">
        <v>151</v>
      </c>
      <c r="B8" s="31">
        <v>223</v>
      </c>
      <c r="D8" s="17" t="str">
        <f>CONCATENATE("* publisher = """,'Prod-uc2-1'!C4,"""")</f>
        <v>* publisher = "ISO/TC 521 WG3"</v>
      </c>
    </row>
    <row r="9" spans="1:4" x14ac:dyDescent="0.75">
      <c r="B9" s="31">
        <v>196</v>
      </c>
      <c r="D9" s="17" t="s">
        <v>24</v>
      </c>
    </row>
    <row r="10" spans="1:4" x14ac:dyDescent="0.75">
      <c r="B10" s="58"/>
      <c r="D10" s="17" t="str">
        <f>CONCATENATE("* url = """,'Base-1'!B2,"/StructureDefinition/",'Prod-uc2-1'!D4,"""")</f>
        <v>* url = "http://hl7.eu/fhir/ig/pcsp/StructureDefinition/Product-uc2"</v>
      </c>
    </row>
    <row r="11" spans="1:4" x14ac:dyDescent="0.75">
      <c r="D11" s="17" t="str">
        <f>CONCATENATE("* name = """,'Prod-uc2-1'!E4,"""")</f>
        <v>* name = "ProductUcCurrentEvent"</v>
      </c>
    </row>
    <row r="12" spans="1:4" x14ac:dyDescent="0.75">
      <c r="D12" s="17" t="str">
        <f>CONCATENATE("* title = """,'Prod-uc2-1'!D2,"""")</f>
        <v>* title = "Product: Record a Current immunization event"</v>
      </c>
    </row>
    <row r="13" spans="1:4" x14ac:dyDescent="0.75">
      <c r="D13" s="17" t="s">
        <v>24</v>
      </c>
    </row>
    <row r="14" spans="1:4" x14ac:dyDescent="0.75">
      <c r="D14" s="17" t="s">
        <v>25</v>
      </c>
    </row>
    <row r="15" spans="1:4" x14ac:dyDescent="0.75">
      <c r="D15" s="17" t="str">
        <f>CONCATENATE("* description = """,'Prod-uc2-1'!E2,"""")</f>
        <v>* description = "Product Model for the 'Record a Current immunization event'"</v>
      </c>
    </row>
    <row r="16" spans="1:4" x14ac:dyDescent="0.75">
      <c r="D16" s="17" t="s">
        <v>26</v>
      </c>
    </row>
    <row r="18" spans="1:7" x14ac:dyDescent="0.75">
      <c r="C18" s="31">
        <v>0</v>
      </c>
      <c r="D18" s="64"/>
      <c r="G18" s="1" t="s">
        <v>91</v>
      </c>
    </row>
    <row r="19" spans="1:7" x14ac:dyDescent="0.75">
      <c r="B19" s="65" t="s">
        <v>93</v>
      </c>
      <c r="C19" s="31">
        <v>0</v>
      </c>
      <c r="D19" s="64"/>
      <c r="G19" s="1" t="s">
        <v>92</v>
      </c>
    </row>
    <row r="20" spans="1:7" x14ac:dyDescent="0.75">
      <c r="C20" s="31">
        <v>0</v>
      </c>
      <c r="D20" s="64"/>
      <c r="G20" s="1" t="s">
        <v>94</v>
      </c>
    </row>
    <row r="22" spans="1:7" x14ac:dyDescent="0.75">
      <c r="D22" s="17" t="s">
        <v>27</v>
      </c>
    </row>
    <row r="23" spans="1:7" x14ac:dyDescent="0.75">
      <c r="D23" s="17" t="s">
        <v>28</v>
      </c>
    </row>
    <row r="24" spans="1:7" x14ac:dyDescent="0.75">
      <c r="D24" s="17" t="str">
        <f>CONCATENATE("* type = """,'Prod-uc2-1'!E6,"""")</f>
        <v>* type = "Product"</v>
      </c>
    </row>
    <row r="25" spans="1:7" x14ac:dyDescent="0.75">
      <c r="D25" s="17" t="str">
        <f>CONCATENATE("* baseDefinition = """,'Prod-uc2-1'!C6,"""")</f>
        <v>* baseDefinition = "http://iso.org/fhir/ts-5384/StructureDefinition/Product"</v>
      </c>
    </row>
    <row r="26" spans="1:7" x14ac:dyDescent="0.75">
      <c r="D26" s="17" t="s">
        <v>109</v>
      </c>
    </row>
    <row r="28" spans="1:7" x14ac:dyDescent="0.75">
      <c r="D28" s="8"/>
    </row>
    <row r="29" spans="1:7" x14ac:dyDescent="0.75">
      <c r="A29" s="32">
        <v>1</v>
      </c>
      <c r="B29" s="32">
        <f t="shared" ref="B29:B92" si="0">IF(MOD(A29,$B$6)=0,A29/$B$6-1,INT(A29/$B$6))</f>
        <v>0</v>
      </c>
      <c r="C29" s="32">
        <f t="shared" ref="C29:C92" si="1">IF(MOD(A29,$B$6)=0,$B$6,MOD(A29,$B$6))</f>
        <v>1</v>
      </c>
      <c r="D29" s="31" t="str" cm="1">
        <f t="array" ref="D29">INDEX('Prod-uc2-1'!$Q$10:$W$53,1+B29,C29)</f>
        <v>* differential.element[0].id = "Product.codeSet"</v>
      </c>
    </row>
    <row r="30" spans="1:7" x14ac:dyDescent="0.75">
      <c r="A30" s="32">
        <v>2</v>
      </c>
      <c r="B30" s="32">
        <f t="shared" si="0"/>
        <v>0</v>
      </c>
      <c r="C30" s="32">
        <f t="shared" si="1"/>
        <v>2</v>
      </c>
      <c r="D30" s="31" t="str" cm="1">
        <f t="array" ref="D30">INDEX('Prod-uc2-1'!$Q$10:$W$53,1+B30,C30)</f>
        <v>* differential.element[0].path = "Product.codeSet"</v>
      </c>
    </row>
    <row r="31" spans="1:7" x14ac:dyDescent="0.75">
      <c r="A31" s="32">
        <v>3</v>
      </c>
      <c r="B31" s="32">
        <f t="shared" si="0"/>
        <v>0</v>
      </c>
      <c r="C31" s="32">
        <f t="shared" si="1"/>
        <v>3</v>
      </c>
      <c r="D31" s="31" t="str" cm="1">
        <f t="array" ref="D31">INDEX('Prod-uc2-1'!$Q$10:$W$53,1+B31,C31)</f>
        <v>* differential.element[0].min = 1</v>
      </c>
    </row>
    <row r="32" spans="1:7" x14ac:dyDescent="0.75">
      <c r="A32" s="32">
        <v>4</v>
      </c>
      <c r="B32" s="32">
        <f t="shared" si="0"/>
        <v>0</v>
      </c>
      <c r="C32" s="32">
        <f t="shared" si="1"/>
        <v>4</v>
      </c>
      <c r="D32" s="31" t="str" cm="1">
        <f t="array" ref="D32">INDEX('Prod-uc2-1'!$Q$10:$W$53,1+B32,C32)</f>
        <v>* differential.element[0].max = "1"</v>
      </c>
    </row>
    <row r="33" spans="1:4" x14ac:dyDescent="0.75">
      <c r="A33" s="32">
        <v>5</v>
      </c>
      <c r="B33" s="32">
        <f t="shared" si="0"/>
        <v>0</v>
      </c>
      <c r="C33" s="32">
        <f t="shared" si="1"/>
        <v>5</v>
      </c>
      <c r="D33" s="31" t="str" cm="1">
        <f t="array" ref="D33">INDEX('Prod-uc2-1'!$Q$10:$W$53,1+B33,C33)</f>
        <v>* differential.element[0].type.code = #BackboneElement</v>
      </c>
    </row>
    <row r="34" spans="1:4" x14ac:dyDescent="0.75">
      <c r="A34" s="32">
        <v>6</v>
      </c>
      <c r="B34" s="32">
        <f t="shared" si="0"/>
        <v>0</v>
      </c>
      <c r="C34" s="32">
        <f t="shared" si="1"/>
        <v>6</v>
      </c>
      <c r="D34" s="31" t="str" cm="1">
        <f t="array" ref="D34">INDEX('Prod-uc2-1'!$Q$10:$W$53,1+B34,C34)</f>
        <v/>
      </c>
    </row>
    <row r="35" spans="1:4" x14ac:dyDescent="0.75">
      <c r="A35" s="32">
        <v>7</v>
      </c>
      <c r="B35" s="32">
        <f t="shared" si="0"/>
        <v>0</v>
      </c>
      <c r="C35" s="32">
        <f t="shared" si="1"/>
        <v>7</v>
      </c>
      <c r="D35" s="31" t="str" cm="1">
        <f t="array" ref="D35">INDEX('Prod-uc2-1'!$Q$10:$W$53,1+B35,C35)</f>
        <v>* differential.element[0].short = "[R] Set of product codes"</v>
      </c>
    </row>
    <row r="36" spans="1:4" x14ac:dyDescent="0.75">
      <c r="A36" s="32">
        <v>8</v>
      </c>
      <c r="B36" s="32">
        <f t="shared" si="0"/>
        <v>1</v>
      </c>
      <c r="C36" s="32">
        <f t="shared" si="1"/>
        <v>1</v>
      </c>
      <c r="D36" s="31" t="str" cm="1">
        <f t="array" ref="D36">INDEX('Prod-uc2-1'!$Q$10:$W$53,1+B36,C36)</f>
        <v>* differential.element[1].id = "Product.codeSet.productCode"</v>
      </c>
    </row>
    <row r="37" spans="1:4" x14ac:dyDescent="0.75">
      <c r="A37" s="32">
        <v>9</v>
      </c>
      <c r="B37" s="32">
        <f t="shared" si="0"/>
        <v>1</v>
      </c>
      <c r="C37" s="32">
        <f t="shared" si="1"/>
        <v>2</v>
      </c>
      <c r="D37" s="31" t="str" cm="1">
        <f t="array" ref="D37">INDEX('Prod-uc2-1'!$Q$10:$W$53,1+B37,C37)</f>
        <v>* differential.element[1].path = "Product.codeSet.productCode"</v>
      </c>
    </row>
    <row r="38" spans="1:4" x14ac:dyDescent="0.75">
      <c r="A38" s="32">
        <v>10</v>
      </c>
      <c r="B38" s="32">
        <f t="shared" si="0"/>
        <v>1</v>
      </c>
      <c r="C38" s="32">
        <f t="shared" si="1"/>
        <v>3</v>
      </c>
      <c r="D38" s="31" t="str" cm="1">
        <f t="array" ref="D38">INDEX('Prod-uc2-1'!$Q$10:$W$53,1+B38,C38)</f>
        <v>* differential.element[1].min = 1</v>
      </c>
    </row>
    <row r="39" spans="1:4" x14ac:dyDescent="0.75">
      <c r="A39" s="32">
        <v>11</v>
      </c>
      <c r="B39" s="32">
        <f t="shared" si="0"/>
        <v>1</v>
      </c>
      <c r="C39" s="32">
        <f t="shared" si="1"/>
        <v>4</v>
      </c>
      <c r="D39" s="31" t="str" cm="1">
        <f t="array" ref="D39">INDEX('Prod-uc2-1'!$Q$10:$W$53,1+B39,C39)</f>
        <v>* differential.element[1].max = "*"</v>
      </c>
    </row>
    <row r="40" spans="1:4" x14ac:dyDescent="0.75">
      <c r="A40" s="32">
        <v>12</v>
      </c>
      <c r="B40" s="32">
        <f t="shared" si="0"/>
        <v>1</v>
      </c>
      <c r="C40" s="32">
        <f t="shared" si="1"/>
        <v>5</v>
      </c>
      <c r="D40" s="31" t="str" cm="1">
        <f t="array" ref="D40">INDEX('Prod-uc2-1'!$Q$10:$W$53,1+B40,C40)</f>
        <v/>
      </c>
    </row>
    <row r="41" spans="1:4" x14ac:dyDescent="0.75">
      <c r="A41" s="32">
        <v>13</v>
      </c>
      <c r="B41" s="32">
        <f t="shared" si="0"/>
        <v>1</v>
      </c>
      <c r="C41" s="32">
        <f t="shared" si="1"/>
        <v>6</v>
      </c>
      <c r="D41" s="31" t="str" cm="1">
        <f t="array" ref="D41">INDEX('Prod-uc2-1'!$Q$10:$W$53,1+B41,C41)</f>
        <v/>
      </c>
    </row>
    <row r="42" spans="1:4" x14ac:dyDescent="0.75">
      <c r="A42" s="32">
        <v>14</v>
      </c>
      <c r="B42" s="32">
        <f t="shared" si="0"/>
        <v>1</v>
      </c>
      <c r="C42" s="32">
        <f t="shared" si="1"/>
        <v>7</v>
      </c>
      <c r="D42" s="31" t="str" cm="1">
        <f t="array" ref="D42">INDEX('Prod-uc2-1'!$Q$10:$W$53,1+B42,C42)</f>
        <v>* differential.element[1].short = "[R] Product code"</v>
      </c>
    </row>
    <row r="43" spans="1:4" x14ac:dyDescent="0.75">
      <c r="A43" s="32">
        <v>15</v>
      </c>
      <c r="B43" s="32">
        <f t="shared" si="0"/>
        <v>2</v>
      </c>
      <c r="C43" s="32">
        <f t="shared" si="1"/>
        <v>1</v>
      </c>
      <c r="D43" s="31" t="str" cm="1">
        <f t="array" ref="D43">INDEX('Prod-uc2-1'!$Q$10:$W$53,1+B43,C43)</f>
        <v/>
      </c>
    </row>
    <row r="44" spans="1:4" x14ac:dyDescent="0.75">
      <c r="A44" s="32">
        <v>16</v>
      </c>
      <c r="B44" s="32">
        <f t="shared" si="0"/>
        <v>2</v>
      </c>
      <c r="C44" s="32">
        <f t="shared" si="1"/>
        <v>2</v>
      </c>
      <c r="D44" s="31" t="str" cm="1">
        <f t="array" ref="D44">INDEX('Prod-uc2-1'!$Q$10:$W$53,1+B44,C44)</f>
        <v/>
      </c>
    </row>
    <row r="45" spans="1:4" x14ac:dyDescent="0.75">
      <c r="A45" s="32">
        <v>17</v>
      </c>
      <c r="B45" s="32">
        <f t="shared" si="0"/>
        <v>2</v>
      </c>
      <c r="C45" s="32">
        <f t="shared" si="1"/>
        <v>3</v>
      </c>
      <c r="D45" s="31" t="str" cm="1">
        <f t="array" ref="D45">INDEX('Prod-uc2-1'!$Q$10:$W$53,1+B45,C45)</f>
        <v/>
      </c>
    </row>
    <row r="46" spans="1:4" x14ac:dyDescent="0.75">
      <c r="A46" s="32">
        <v>18</v>
      </c>
      <c r="B46" s="32">
        <f t="shared" si="0"/>
        <v>2</v>
      </c>
      <c r="C46" s="32">
        <f t="shared" si="1"/>
        <v>4</v>
      </c>
      <c r="D46" s="31" t="str" cm="1">
        <f t="array" ref="D46">INDEX('Prod-uc2-1'!$Q$10:$W$53,1+B46,C46)</f>
        <v/>
      </c>
    </row>
    <row r="47" spans="1:4" x14ac:dyDescent="0.75">
      <c r="A47" s="32">
        <v>19</v>
      </c>
      <c r="B47" s="32">
        <f t="shared" si="0"/>
        <v>2</v>
      </c>
      <c r="C47" s="32">
        <f t="shared" si="1"/>
        <v>5</v>
      </c>
      <c r="D47" s="31" t="str" cm="1">
        <f t="array" ref="D47">INDEX('Prod-uc2-1'!$Q$10:$W$53,1+B47,C47)</f>
        <v/>
      </c>
    </row>
    <row r="48" spans="1:4" x14ac:dyDescent="0.75">
      <c r="A48" s="32">
        <v>20</v>
      </c>
      <c r="B48" s="32">
        <f t="shared" si="0"/>
        <v>2</v>
      </c>
      <c r="C48" s="32">
        <f t="shared" si="1"/>
        <v>6</v>
      </c>
      <c r="D48" s="31" t="str" cm="1">
        <f t="array" ref="D48">INDEX('Prod-uc2-1'!$Q$10:$W$53,1+B48,C48)</f>
        <v/>
      </c>
    </row>
    <row r="49" spans="1:4" x14ac:dyDescent="0.75">
      <c r="A49" s="32">
        <v>21</v>
      </c>
      <c r="B49" s="32">
        <f t="shared" si="0"/>
        <v>2</v>
      </c>
      <c r="C49" s="32">
        <f t="shared" si="1"/>
        <v>7</v>
      </c>
      <c r="D49" s="31" t="str" cm="1">
        <f t="array" ref="D49">INDEX('Prod-uc2-1'!$Q$10:$W$53,1+B49,C49)</f>
        <v/>
      </c>
    </row>
    <row r="50" spans="1:4" x14ac:dyDescent="0.75">
      <c r="A50" s="32">
        <v>22</v>
      </c>
      <c r="B50" s="32">
        <f t="shared" si="0"/>
        <v>3</v>
      </c>
      <c r="C50" s="32">
        <f t="shared" si="1"/>
        <v>1</v>
      </c>
      <c r="D50" s="31" t="str" cm="1">
        <f t="array" ref="D50">INDEX('Prod-uc2-1'!$Q$10:$W$53,1+B50,C50)</f>
        <v/>
      </c>
    </row>
    <row r="51" spans="1:4" x14ac:dyDescent="0.75">
      <c r="A51" s="32">
        <v>23</v>
      </c>
      <c r="B51" s="32">
        <f t="shared" si="0"/>
        <v>3</v>
      </c>
      <c r="C51" s="32">
        <f t="shared" si="1"/>
        <v>2</v>
      </c>
      <c r="D51" s="31" t="str" cm="1">
        <f t="array" ref="D51">INDEX('Prod-uc2-1'!$Q$10:$W$53,1+B51,C51)</f>
        <v/>
      </c>
    </row>
    <row r="52" spans="1:4" x14ac:dyDescent="0.75">
      <c r="A52" s="32">
        <v>24</v>
      </c>
      <c r="B52" s="32">
        <f t="shared" si="0"/>
        <v>3</v>
      </c>
      <c r="C52" s="32">
        <f t="shared" si="1"/>
        <v>3</v>
      </c>
      <c r="D52" s="31" t="str" cm="1">
        <f t="array" ref="D52">INDEX('Prod-uc2-1'!$Q$10:$W$53,1+B52,C52)</f>
        <v/>
      </c>
    </row>
    <row r="53" spans="1:4" x14ac:dyDescent="0.75">
      <c r="A53" s="32">
        <v>25</v>
      </c>
      <c r="B53" s="32">
        <f t="shared" si="0"/>
        <v>3</v>
      </c>
      <c r="C53" s="32">
        <f t="shared" si="1"/>
        <v>4</v>
      </c>
      <c r="D53" s="31" t="str" cm="1">
        <f t="array" ref="D53">INDEX('Prod-uc2-1'!$Q$10:$W$53,1+B53,C53)</f>
        <v/>
      </c>
    </row>
    <row r="54" spans="1:4" x14ac:dyDescent="0.75">
      <c r="A54" s="32">
        <v>26</v>
      </c>
      <c r="B54" s="32">
        <f t="shared" si="0"/>
        <v>3</v>
      </c>
      <c r="C54" s="32">
        <f t="shared" si="1"/>
        <v>5</v>
      </c>
      <c r="D54" s="31" t="str" cm="1">
        <f t="array" ref="D54">INDEX('Prod-uc2-1'!$Q$10:$W$53,1+B54,C54)</f>
        <v/>
      </c>
    </row>
    <row r="55" spans="1:4" x14ac:dyDescent="0.75">
      <c r="A55" s="32">
        <v>27</v>
      </c>
      <c r="B55" s="32">
        <f t="shared" si="0"/>
        <v>3</v>
      </c>
      <c r="C55" s="32">
        <f t="shared" si="1"/>
        <v>6</v>
      </c>
      <c r="D55" s="31" t="str" cm="1">
        <f t="array" ref="D55">INDEX('Prod-uc2-1'!$Q$10:$W$53,1+B55,C55)</f>
        <v/>
      </c>
    </row>
    <row r="56" spans="1:4" x14ac:dyDescent="0.75">
      <c r="A56" s="32">
        <v>28</v>
      </c>
      <c r="B56" s="32">
        <f t="shared" si="0"/>
        <v>3</v>
      </c>
      <c r="C56" s="32">
        <f t="shared" si="1"/>
        <v>7</v>
      </c>
      <c r="D56" s="31" t="str" cm="1">
        <f t="array" ref="D56">INDEX('Prod-uc2-1'!$Q$10:$W$53,1+B56,C56)</f>
        <v/>
      </c>
    </row>
    <row r="57" spans="1:4" x14ac:dyDescent="0.75">
      <c r="A57" s="32">
        <v>29</v>
      </c>
      <c r="B57" s="32">
        <f t="shared" si="0"/>
        <v>4</v>
      </c>
      <c r="C57" s="32">
        <f t="shared" si="1"/>
        <v>1</v>
      </c>
      <c r="D57" s="31" t="str" cm="1">
        <f t="array" ref="D57">INDEX('Prod-uc2-1'!$Q$10:$W$53,1+B57,C57)</f>
        <v/>
      </c>
    </row>
    <row r="58" spans="1:4" x14ac:dyDescent="0.75">
      <c r="A58" s="32">
        <v>30</v>
      </c>
      <c r="B58" s="32">
        <f t="shared" si="0"/>
        <v>4</v>
      </c>
      <c r="C58" s="32">
        <f t="shared" si="1"/>
        <v>2</v>
      </c>
      <c r="D58" s="31" t="str" cm="1">
        <f t="array" ref="D58">INDEX('Prod-uc2-1'!$Q$10:$W$53,1+B58,C58)</f>
        <v/>
      </c>
    </row>
    <row r="59" spans="1:4" x14ac:dyDescent="0.75">
      <c r="A59" s="32">
        <v>31</v>
      </c>
      <c r="B59" s="32">
        <f t="shared" si="0"/>
        <v>4</v>
      </c>
      <c r="C59" s="32">
        <f t="shared" si="1"/>
        <v>3</v>
      </c>
      <c r="D59" s="31" t="str" cm="1">
        <f t="array" ref="D59">INDEX('Prod-uc2-1'!$Q$10:$W$53,1+B59,C59)</f>
        <v/>
      </c>
    </row>
    <row r="60" spans="1:4" x14ac:dyDescent="0.75">
      <c r="A60" s="32">
        <v>32</v>
      </c>
      <c r="B60" s="32">
        <f t="shared" si="0"/>
        <v>4</v>
      </c>
      <c r="C60" s="32">
        <f t="shared" si="1"/>
        <v>4</v>
      </c>
      <c r="D60" s="31" t="str" cm="1">
        <f t="array" ref="D60">INDEX('Prod-uc2-1'!$Q$10:$W$53,1+B60,C60)</f>
        <v/>
      </c>
    </row>
    <row r="61" spans="1:4" x14ac:dyDescent="0.75">
      <c r="A61" s="32">
        <v>33</v>
      </c>
      <c r="B61" s="32">
        <f t="shared" si="0"/>
        <v>4</v>
      </c>
      <c r="C61" s="32">
        <f t="shared" si="1"/>
        <v>5</v>
      </c>
      <c r="D61" s="31" t="str" cm="1">
        <f t="array" ref="D61">INDEX('Prod-uc2-1'!$Q$10:$W$53,1+B61,C61)</f>
        <v/>
      </c>
    </row>
    <row r="62" spans="1:4" x14ac:dyDescent="0.75">
      <c r="A62" s="32">
        <v>34</v>
      </c>
      <c r="B62" s="32">
        <f t="shared" si="0"/>
        <v>4</v>
      </c>
      <c r="C62" s="32">
        <f t="shared" si="1"/>
        <v>6</v>
      </c>
      <c r="D62" s="31" t="str" cm="1">
        <f t="array" ref="D62">INDEX('Prod-uc2-1'!$Q$10:$W$53,1+B62,C62)</f>
        <v/>
      </c>
    </row>
    <row r="63" spans="1:4" x14ac:dyDescent="0.75">
      <c r="A63" s="32">
        <v>35</v>
      </c>
      <c r="B63" s="32">
        <f t="shared" si="0"/>
        <v>4</v>
      </c>
      <c r="C63" s="32">
        <f t="shared" si="1"/>
        <v>7</v>
      </c>
      <c r="D63" s="31" t="str" cm="1">
        <f t="array" ref="D63">INDEX('Prod-uc2-1'!$Q$10:$W$53,1+B63,C63)</f>
        <v/>
      </c>
    </row>
    <row r="64" spans="1:4" x14ac:dyDescent="0.75">
      <c r="A64" s="32">
        <v>36</v>
      </c>
      <c r="B64" s="32">
        <f t="shared" si="0"/>
        <v>5</v>
      </c>
      <c r="C64" s="32">
        <f t="shared" si="1"/>
        <v>1</v>
      </c>
      <c r="D64" s="31" t="str" cm="1">
        <f t="array" ref="D64">INDEX('Prod-uc2-1'!$Q$10:$W$53,1+B64,C64)</f>
        <v/>
      </c>
    </row>
    <row r="65" spans="1:4" x14ac:dyDescent="0.75">
      <c r="A65" s="32">
        <v>37</v>
      </c>
      <c r="B65" s="32">
        <f t="shared" si="0"/>
        <v>5</v>
      </c>
      <c r="C65" s="32">
        <f t="shared" si="1"/>
        <v>2</v>
      </c>
      <c r="D65" s="31" t="str" cm="1">
        <f t="array" ref="D65">INDEX('Prod-uc2-1'!$Q$10:$W$53,1+B65,C65)</f>
        <v/>
      </c>
    </row>
    <row r="66" spans="1:4" x14ac:dyDescent="0.75">
      <c r="A66" s="32">
        <v>38</v>
      </c>
      <c r="B66" s="32">
        <f t="shared" si="0"/>
        <v>5</v>
      </c>
      <c r="C66" s="32">
        <f t="shared" si="1"/>
        <v>3</v>
      </c>
      <c r="D66" s="31" t="str" cm="1">
        <f t="array" ref="D66">INDEX('Prod-uc2-1'!$Q$10:$W$53,1+B66,C66)</f>
        <v/>
      </c>
    </row>
    <row r="67" spans="1:4" x14ac:dyDescent="0.75">
      <c r="A67" s="32">
        <v>39</v>
      </c>
      <c r="B67" s="32">
        <f t="shared" si="0"/>
        <v>5</v>
      </c>
      <c r="C67" s="32">
        <f t="shared" si="1"/>
        <v>4</v>
      </c>
      <c r="D67" s="31" t="str" cm="1">
        <f t="array" ref="D67">INDEX('Prod-uc2-1'!$Q$10:$W$53,1+B67,C67)</f>
        <v/>
      </c>
    </row>
    <row r="68" spans="1:4" x14ac:dyDescent="0.75">
      <c r="A68" s="32">
        <v>40</v>
      </c>
      <c r="B68" s="32">
        <f t="shared" si="0"/>
        <v>5</v>
      </c>
      <c r="C68" s="32">
        <f t="shared" si="1"/>
        <v>5</v>
      </c>
      <c r="D68" s="31" t="str" cm="1">
        <f t="array" ref="D68">INDEX('Prod-uc2-1'!$Q$10:$W$53,1+B68,C68)</f>
        <v/>
      </c>
    </row>
    <row r="69" spans="1:4" x14ac:dyDescent="0.75">
      <c r="A69" s="32">
        <v>41</v>
      </c>
      <c r="B69" s="32">
        <f t="shared" si="0"/>
        <v>5</v>
      </c>
      <c r="C69" s="32">
        <f t="shared" si="1"/>
        <v>6</v>
      </c>
      <c r="D69" s="31" t="str" cm="1">
        <f t="array" ref="D69">INDEX('Prod-uc2-1'!$Q$10:$W$53,1+B69,C69)</f>
        <v/>
      </c>
    </row>
    <row r="70" spans="1:4" x14ac:dyDescent="0.75">
      <c r="A70" s="32">
        <v>42</v>
      </c>
      <c r="B70" s="32">
        <f t="shared" si="0"/>
        <v>5</v>
      </c>
      <c r="C70" s="32">
        <f t="shared" si="1"/>
        <v>7</v>
      </c>
      <c r="D70" s="31" t="str" cm="1">
        <f t="array" ref="D70">INDEX('Prod-uc2-1'!$Q$10:$W$53,1+B70,C70)</f>
        <v/>
      </c>
    </row>
    <row r="71" spans="1:4" x14ac:dyDescent="0.75">
      <c r="A71" s="32">
        <v>43</v>
      </c>
      <c r="B71" s="32">
        <f t="shared" si="0"/>
        <v>6</v>
      </c>
      <c r="C71" s="32">
        <f t="shared" si="1"/>
        <v>1</v>
      </c>
      <c r="D71" s="31" t="str" cm="1">
        <f t="array" ref="D71">INDEX('Prod-uc2-1'!$Q$10:$W$53,1+B71,C71)</f>
        <v/>
      </c>
    </row>
    <row r="72" spans="1:4" x14ac:dyDescent="0.75">
      <c r="A72" s="32">
        <v>44</v>
      </c>
      <c r="B72" s="32">
        <f t="shared" si="0"/>
        <v>6</v>
      </c>
      <c r="C72" s="32">
        <f t="shared" si="1"/>
        <v>2</v>
      </c>
      <c r="D72" s="31" t="str" cm="1">
        <f t="array" ref="D72">INDEX('Prod-uc2-1'!$Q$10:$W$53,1+B72,C72)</f>
        <v/>
      </c>
    </row>
    <row r="73" spans="1:4" x14ac:dyDescent="0.75">
      <c r="A73" s="32">
        <v>45</v>
      </c>
      <c r="B73" s="32">
        <f t="shared" si="0"/>
        <v>6</v>
      </c>
      <c r="C73" s="32">
        <f t="shared" si="1"/>
        <v>3</v>
      </c>
      <c r="D73" s="31" t="str" cm="1">
        <f t="array" ref="D73">INDEX('Prod-uc2-1'!$Q$10:$W$53,1+B73,C73)</f>
        <v/>
      </c>
    </row>
    <row r="74" spans="1:4" x14ac:dyDescent="0.75">
      <c r="A74" s="32">
        <v>46</v>
      </c>
      <c r="B74" s="32">
        <f t="shared" si="0"/>
        <v>6</v>
      </c>
      <c r="C74" s="32">
        <f t="shared" si="1"/>
        <v>4</v>
      </c>
      <c r="D74" s="31" t="str" cm="1">
        <f t="array" ref="D74">INDEX('Prod-uc2-1'!$Q$10:$W$53,1+B74,C74)</f>
        <v/>
      </c>
    </row>
    <row r="75" spans="1:4" x14ac:dyDescent="0.75">
      <c r="A75" s="32">
        <v>47</v>
      </c>
      <c r="B75" s="32">
        <f t="shared" si="0"/>
        <v>6</v>
      </c>
      <c r="C75" s="32">
        <f t="shared" si="1"/>
        <v>5</v>
      </c>
      <c r="D75" s="31" t="str" cm="1">
        <f t="array" ref="D75">INDEX('Prod-uc2-1'!$Q$10:$W$53,1+B75,C75)</f>
        <v/>
      </c>
    </row>
    <row r="76" spans="1:4" x14ac:dyDescent="0.75">
      <c r="A76" s="32">
        <v>48</v>
      </c>
      <c r="B76" s="32">
        <f t="shared" si="0"/>
        <v>6</v>
      </c>
      <c r="C76" s="32">
        <f t="shared" si="1"/>
        <v>6</v>
      </c>
      <c r="D76" s="31" t="str" cm="1">
        <f t="array" ref="D76">INDEX('Prod-uc2-1'!$Q$10:$W$53,1+B76,C76)</f>
        <v/>
      </c>
    </row>
    <row r="77" spans="1:4" x14ac:dyDescent="0.75">
      <c r="A77" s="32">
        <v>49</v>
      </c>
      <c r="B77" s="32">
        <f t="shared" si="0"/>
        <v>6</v>
      </c>
      <c r="C77" s="32">
        <f t="shared" si="1"/>
        <v>7</v>
      </c>
      <c r="D77" s="31" t="str" cm="1">
        <f t="array" ref="D77">INDEX('Prod-uc2-1'!$Q$10:$W$53,1+B77,C77)</f>
        <v/>
      </c>
    </row>
    <row r="78" spans="1:4" x14ac:dyDescent="0.75">
      <c r="A78" s="32">
        <v>50</v>
      </c>
      <c r="B78" s="32">
        <f t="shared" si="0"/>
        <v>7</v>
      </c>
      <c r="C78" s="32">
        <f t="shared" si="1"/>
        <v>1</v>
      </c>
      <c r="D78" s="31" t="str" cm="1">
        <f t="array" ref="D78">INDEX('Prod-uc2-1'!$Q$10:$W$53,1+B78,C78)</f>
        <v/>
      </c>
    </row>
    <row r="79" spans="1:4" x14ac:dyDescent="0.75">
      <c r="A79" s="32">
        <v>51</v>
      </c>
      <c r="B79" s="32">
        <f t="shared" si="0"/>
        <v>7</v>
      </c>
      <c r="C79" s="32">
        <f t="shared" si="1"/>
        <v>2</v>
      </c>
      <c r="D79" s="31" t="str" cm="1">
        <f t="array" ref="D79">INDEX('Prod-uc2-1'!$Q$10:$W$53,1+B79,C79)</f>
        <v/>
      </c>
    </row>
    <row r="80" spans="1:4" x14ac:dyDescent="0.75">
      <c r="A80" s="32">
        <v>52</v>
      </c>
      <c r="B80" s="32">
        <f t="shared" si="0"/>
        <v>7</v>
      </c>
      <c r="C80" s="32">
        <f t="shared" si="1"/>
        <v>3</v>
      </c>
      <c r="D80" s="31" t="str" cm="1">
        <f t="array" ref="D80">INDEX('Prod-uc2-1'!$Q$10:$W$53,1+B80,C80)</f>
        <v/>
      </c>
    </row>
    <row r="81" spans="1:7" x14ac:dyDescent="0.75">
      <c r="A81" s="32">
        <v>53</v>
      </c>
      <c r="B81" s="32">
        <f t="shared" si="0"/>
        <v>7</v>
      </c>
      <c r="C81" s="32">
        <f t="shared" si="1"/>
        <v>4</v>
      </c>
      <c r="D81" s="31" t="str" cm="1">
        <f t="array" ref="D81">INDEX('Prod-uc2-1'!$Q$10:$W$53,1+B81,C81)</f>
        <v/>
      </c>
      <c r="G81" s="16"/>
    </row>
    <row r="82" spans="1:7" x14ac:dyDescent="0.75">
      <c r="A82" s="32">
        <v>54</v>
      </c>
      <c r="B82" s="32">
        <f t="shared" si="0"/>
        <v>7</v>
      </c>
      <c r="C82" s="32">
        <f t="shared" si="1"/>
        <v>5</v>
      </c>
      <c r="D82" s="31" t="str" cm="1">
        <f t="array" ref="D82">INDEX('Prod-uc2-1'!$Q$10:$W$53,1+B82,C82)</f>
        <v/>
      </c>
    </row>
    <row r="83" spans="1:7" x14ac:dyDescent="0.75">
      <c r="A83" s="32">
        <v>55</v>
      </c>
      <c r="B83" s="32">
        <f t="shared" si="0"/>
        <v>7</v>
      </c>
      <c r="C83" s="32">
        <f t="shared" si="1"/>
        <v>6</v>
      </c>
      <c r="D83" s="31" t="str" cm="1">
        <f t="array" ref="D83">INDEX('Prod-uc2-1'!$Q$10:$W$53,1+B83,C83)</f>
        <v/>
      </c>
    </row>
    <row r="84" spans="1:7" x14ac:dyDescent="0.75">
      <c r="A84" s="32">
        <v>56</v>
      </c>
      <c r="B84" s="32">
        <f t="shared" si="0"/>
        <v>7</v>
      </c>
      <c r="C84" s="32">
        <f t="shared" si="1"/>
        <v>7</v>
      </c>
      <c r="D84" s="31" t="str" cm="1">
        <f t="array" ref="D84">INDEX('Prod-uc2-1'!$Q$10:$W$53,1+B84,C84)</f>
        <v/>
      </c>
    </row>
    <row r="85" spans="1:7" x14ac:dyDescent="0.75">
      <c r="A85" s="32">
        <v>57</v>
      </c>
      <c r="B85" s="32">
        <f t="shared" si="0"/>
        <v>8</v>
      </c>
      <c r="C85" s="32">
        <f t="shared" si="1"/>
        <v>1</v>
      </c>
      <c r="D85" s="31" t="str" cm="1">
        <f t="array" ref="D85">INDEX('Prod-uc2-1'!$Q$10:$W$53,1+B85,C85)</f>
        <v/>
      </c>
    </row>
    <row r="86" spans="1:7" x14ac:dyDescent="0.75">
      <c r="A86" s="32">
        <v>58</v>
      </c>
      <c r="B86" s="32">
        <f t="shared" si="0"/>
        <v>8</v>
      </c>
      <c r="C86" s="32">
        <f t="shared" si="1"/>
        <v>2</v>
      </c>
      <c r="D86" s="31" t="str" cm="1">
        <f t="array" ref="D86">INDEX('Prod-uc2-1'!$Q$10:$W$53,1+B86,C86)</f>
        <v/>
      </c>
    </row>
    <row r="87" spans="1:7" x14ac:dyDescent="0.75">
      <c r="A87" s="32">
        <v>59</v>
      </c>
      <c r="B87" s="32">
        <f t="shared" si="0"/>
        <v>8</v>
      </c>
      <c r="C87" s="32">
        <f t="shared" si="1"/>
        <v>3</v>
      </c>
      <c r="D87" s="31" t="str" cm="1">
        <f t="array" ref="D87">INDEX('Prod-uc2-1'!$Q$10:$W$53,1+B87,C87)</f>
        <v/>
      </c>
    </row>
    <row r="88" spans="1:7" x14ac:dyDescent="0.75">
      <c r="A88" s="32">
        <v>60</v>
      </c>
      <c r="B88" s="32">
        <f t="shared" si="0"/>
        <v>8</v>
      </c>
      <c r="C88" s="32">
        <f t="shared" si="1"/>
        <v>4</v>
      </c>
      <c r="D88" s="31" t="str" cm="1">
        <f t="array" ref="D88">INDEX('Prod-uc2-1'!$Q$10:$W$53,1+B88,C88)</f>
        <v/>
      </c>
    </row>
    <row r="89" spans="1:7" x14ac:dyDescent="0.75">
      <c r="A89" s="32">
        <v>61</v>
      </c>
      <c r="B89" s="32">
        <f t="shared" si="0"/>
        <v>8</v>
      </c>
      <c r="C89" s="32">
        <f t="shared" si="1"/>
        <v>5</v>
      </c>
      <c r="D89" s="31" t="str" cm="1">
        <f t="array" ref="D89">INDEX('Prod-uc2-1'!$Q$10:$W$53,1+B89,C89)</f>
        <v/>
      </c>
    </row>
    <row r="90" spans="1:7" x14ac:dyDescent="0.75">
      <c r="A90" s="32">
        <v>62</v>
      </c>
      <c r="B90" s="32">
        <f t="shared" si="0"/>
        <v>8</v>
      </c>
      <c r="C90" s="32">
        <f t="shared" si="1"/>
        <v>6</v>
      </c>
      <c r="D90" s="31" t="str" cm="1">
        <f t="array" ref="D90">INDEX('Prod-uc2-1'!$Q$10:$W$53,1+B90,C90)</f>
        <v/>
      </c>
    </row>
    <row r="91" spans="1:7" x14ac:dyDescent="0.75">
      <c r="A91" s="32">
        <v>63</v>
      </c>
      <c r="B91" s="32">
        <f t="shared" si="0"/>
        <v>8</v>
      </c>
      <c r="C91" s="32">
        <f t="shared" si="1"/>
        <v>7</v>
      </c>
      <c r="D91" s="31" t="str" cm="1">
        <f t="array" ref="D91">INDEX('Prod-uc2-1'!$Q$10:$W$53,1+B91,C91)</f>
        <v/>
      </c>
    </row>
    <row r="92" spans="1:7" x14ac:dyDescent="0.75">
      <c r="A92" s="32">
        <v>64</v>
      </c>
      <c r="B92" s="32">
        <f t="shared" si="0"/>
        <v>9</v>
      </c>
      <c r="C92" s="32">
        <f t="shared" si="1"/>
        <v>1</v>
      </c>
      <c r="D92" s="31" t="str" cm="1">
        <f t="array" ref="D92">INDEX('Prod-uc2-1'!$Q$10:$W$53,1+B92,C92)</f>
        <v>* differential.element[2].id = "Product.packageIdentifiers.lotNumber"</v>
      </c>
    </row>
    <row r="93" spans="1:7" x14ac:dyDescent="0.75">
      <c r="A93" s="32">
        <v>65</v>
      </c>
      <c r="B93" s="32">
        <f t="shared" ref="B93:B156" si="2">IF(MOD(A93,$B$6)=0,A93/$B$6-1,INT(A93/$B$6))</f>
        <v>9</v>
      </c>
      <c r="C93" s="32">
        <f t="shared" ref="C93:C156" si="3">IF(MOD(A93,$B$6)=0,$B$6,MOD(A93,$B$6))</f>
        <v>2</v>
      </c>
      <c r="D93" s="31" t="str" cm="1">
        <f t="array" ref="D93">INDEX('Prod-uc2-1'!$Q$10:$W$53,1+B93,C93)</f>
        <v>* differential.element[2].path = "Product.packageIdentifiers.lotNumber"</v>
      </c>
    </row>
    <row r="94" spans="1:7" x14ac:dyDescent="0.75">
      <c r="A94" s="32">
        <v>66</v>
      </c>
      <c r="B94" s="32">
        <f t="shared" si="2"/>
        <v>9</v>
      </c>
      <c r="C94" s="32">
        <f t="shared" si="3"/>
        <v>3</v>
      </c>
      <c r="D94" s="31" t="str" cm="1">
        <f t="array" ref="D94">INDEX('Prod-uc2-1'!$Q$10:$W$53,1+B94,C94)</f>
        <v>* differential.element[2].min = 1</v>
      </c>
    </row>
    <row r="95" spans="1:7" x14ac:dyDescent="0.75">
      <c r="A95" s="32">
        <v>67</v>
      </c>
      <c r="B95" s="32">
        <f t="shared" si="2"/>
        <v>9</v>
      </c>
      <c r="C95" s="32">
        <f t="shared" si="3"/>
        <v>4</v>
      </c>
      <c r="D95" s="31" t="str" cm="1">
        <f t="array" ref="D95">INDEX('Prod-uc2-1'!$Q$10:$W$53,1+B95,C95)</f>
        <v>* differential.element[2].max = "1"</v>
      </c>
    </row>
    <row r="96" spans="1:7" x14ac:dyDescent="0.75">
      <c r="A96" s="32">
        <v>68</v>
      </c>
      <c r="B96" s="32">
        <f t="shared" si="2"/>
        <v>9</v>
      </c>
      <c r="C96" s="32">
        <f t="shared" si="3"/>
        <v>5</v>
      </c>
      <c r="D96" s="31" t="str" cm="1">
        <f t="array" ref="D96">INDEX('Prod-uc2-1'!$Q$10:$W$53,1+B96,C96)</f>
        <v/>
      </c>
    </row>
    <row r="97" spans="1:4" x14ac:dyDescent="0.75">
      <c r="A97" s="32">
        <v>69</v>
      </c>
      <c r="B97" s="32">
        <f t="shared" si="2"/>
        <v>9</v>
      </c>
      <c r="C97" s="32">
        <f t="shared" si="3"/>
        <v>6</v>
      </c>
      <c r="D97" s="31" t="str" cm="1">
        <f t="array" ref="D97">INDEX('Prod-uc2-1'!$Q$10:$W$53,1+B97,C97)</f>
        <v>* differential.element[2].mustSupport = true</v>
      </c>
    </row>
    <row r="98" spans="1:4" x14ac:dyDescent="0.75">
      <c r="A98" s="32">
        <v>70</v>
      </c>
      <c r="B98" s="32">
        <f t="shared" si="2"/>
        <v>9</v>
      </c>
      <c r="C98" s="32">
        <f t="shared" si="3"/>
        <v>7</v>
      </c>
      <c r="D98" s="31" t="str" cm="1">
        <f t="array" ref="D98">INDEX('Prod-uc2-1'!$Q$10:$W$53,1+B98,C98)</f>
        <v>* differential.element[2].short = "[M] Lot Number"</v>
      </c>
    </row>
    <row r="99" spans="1:4" x14ac:dyDescent="0.75">
      <c r="A99" s="32">
        <v>71</v>
      </c>
      <c r="B99" s="32">
        <f t="shared" si="2"/>
        <v>10</v>
      </c>
      <c r="C99" s="32">
        <f t="shared" si="3"/>
        <v>1</v>
      </c>
      <c r="D99" s="31" t="str" cm="1">
        <f t="array" ref="D99">INDEX('Prod-uc2-1'!$Q$10:$W$53,1+B99,C99)</f>
        <v>* differential.element[3].id = "Product.name"</v>
      </c>
    </row>
    <row r="100" spans="1:4" x14ac:dyDescent="0.75">
      <c r="A100" s="32">
        <v>72</v>
      </c>
      <c r="B100" s="32">
        <f t="shared" si="2"/>
        <v>10</v>
      </c>
      <c r="C100" s="32">
        <f t="shared" si="3"/>
        <v>2</v>
      </c>
      <c r="D100" s="31" t="str" cm="1">
        <f t="array" ref="D100">INDEX('Prod-uc2-1'!$Q$10:$W$53,1+B100,C100)</f>
        <v>* differential.element[3].path = "Product.name"</v>
      </c>
    </row>
    <row r="101" spans="1:4" x14ac:dyDescent="0.75">
      <c r="A101" s="32">
        <v>73</v>
      </c>
      <c r="B101" s="32">
        <f t="shared" si="2"/>
        <v>10</v>
      </c>
      <c r="C101" s="32">
        <f t="shared" si="3"/>
        <v>3</v>
      </c>
      <c r="D101" s="31" t="str" cm="1">
        <f t="array" ref="D101">INDEX('Prod-uc2-1'!$Q$10:$W$53,1+B101,C101)</f>
        <v/>
      </c>
    </row>
    <row r="102" spans="1:4" x14ac:dyDescent="0.75">
      <c r="A102" s="32">
        <v>74</v>
      </c>
      <c r="B102" s="32">
        <f t="shared" si="2"/>
        <v>10</v>
      </c>
      <c r="C102" s="32">
        <f t="shared" si="3"/>
        <v>4</v>
      </c>
      <c r="D102" s="31" t="str" cm="1">
        <f t="array" ref="D102">INDEX('Prod-uc2-1'!$Q$10:$W$53,1+B102,C102)</f>
        <v/>
      </c>
    </row>
    <row r="103" spans="1:4" x14ac:dyDescent="0.75">
      <c r="A103" s="32">
        <v>75</v>
      </c>
      <c r="B103" s="32">
        <f t="shared" si="2"/>
        <v>10</v>
      </c>
      <c r="C103" s="32">
        <f t="shared" si="3"/>
        <v>5</v>
      </c>
      <c r="D103" s="31" t="str" cm="1">
        <f t="array" ref="D103">INDEX('Prod-uc2-1'!$Q$10:$W$53,1+B103,C103)</f>
        <v/>
      </c>
    </row>
    <row r="104" spans="1:4" x14ac:dyDescent="0.75">
      <c r="A104" s="32">
        <v>76</v>
      </c>
      <c r="B104" s="32">
        <f t="shared" si="2"/>
        <v>10</v>
      </c>
      <c r="C104" s="32">
        <f t="shared" si="3"/>
        <v>6</v>
      </c>
      <c r="D104" s="31" t="str" cm="1">
        <f t="array" ref="D104">INDEX('Prod-uc2-1'!$Q$10:$W$53,1+B104,C104)</f>
        <v>* differential.element[3].mustSupport = true</v>
      </c>
    </row>
    <row r="105" spans="1:4" x14ac:dyDescent="0.75">
      <c r="A105" s="32">
        <v>77</v>
      </c>
      <c r="B105" s="32">
        <f t="shared" si="2"/>
        <v>10</v>
      </c>
      <c r="C105" s="32">
        <f t="shared" si="3"/>
        <v>7</v>
      </c>
      <c r="D105" s="31" t="str" cm="1">
        <f t="array" ref="D105">INDEX('Prod-uc2-1'!$Q$10:$W$53,1+B105,C105)</f>
        <v>* differential.element[3].short = "[RK] Product Name"</v>
      </c>
    </row>
    <row r="106" spans="1:4" x14ac:dyDescent="0.75">
      <c r="A106" s="32">
        <v>78</v>
      </c>
      <c r="B106" s="32">
        <f t="shared" si="2"/>
        <v>11</v>
      </c>
      <c r="C106" s="32">
        <f t="shared" si="3"/>
        <v>1</v>
      </c>
      <c r="D106" s="31" t="str" cm="1">
        <f t="array" ref="D106">INDEX('Prod-uc2-1'!$Q$10:$W$53,1+B106,C106)</f>
        <v/>
      </c>
    </row>
    <row r="107" spans="1:4" x14ac:dyDescent="0.75">
      <c r="A107" s="32">
        <v>79</v>
      </c>
      <c r="B107" s="32">
        <f t="shared" si="2"/>
        <v>11</v>
      </c>
      <c r="C107" s="32">
        <f t="shared" si="3"/>
        <v>2</v>
      </c>
      <c r="D107" s="31" t="str" cm="1">
        <f t="array" ref="D107">INDEX('Prod-uc2-1'!$Q$10:$W$53,1+B107,C107)</f>
        <v/>
      </c>
    </row>
    <row r="108" spans="1:4" x14ac:dyDescent="0.75">
      <c r="A108" s="32">
        <v>80</v>
      </c>
      <c r="B108" s="32">
        <f t="shared" si="2"/>
        <v>11</v>
      </c>
      <c r="C108" s="32">
        <f t="shared" si="3"/>
        <v>3</v>
      </c>
      <c r="D108" s="31" t="str" cm="1">
        <f t="array" ref="D108">INDEX('Prod-uc2-1'!$Q$10:$W$53,1+B108,C108)</f>
        <v/>
      </c>
    </row>
    <row r="109" spans="1:4" x14ac:dyDescent="0.75">
      <c r="A109" s="32">
        <v>81</v>
      </c>
      <c r="B109" s="32">
        <f t="shared" si="2"/>
        <v>11</v>
      </c>
      <c r="C109" s="32">
        <f t="shared" si="3"/>
        <v>4</v>
      </c>
      <c r="D109" s="31" t="str" cm="1">
        <f t="array" ref="D109">INDEX('Prod-uc2-1'!$Q$10:$W$53,1+B109,C109)</f>
        <v/>
      </c>
    </row>
    <row r="110" spans="1:4" x14ac:dyDescent="0.75">
      <c r="A110" s="32">
        <v>82</v>
      </c>
      <c r="B110" s="32">
        <f t="shared" si="2"/>
        <v>11</v>
      </c>
      <c r="C110" s="32">
        <f t="shared" si="3"/>
        <v>5</v>
      </c>
      <c r="D110" s="31" t="str" cm="1">
        <f t="array" ref="D110">INDEX('Prod-uc2-1'!$Q$10:$W$53,1+B110,C110)</f>
        <v/>
      </c>
    </row>
    <row r="111" spans="1:4" x14ac:dyDescent="0.75">
      <c r="A111" s="32">
        <v>83</v>
      </c>
      <c r="B111" s="32">
        <f t="shared" si="2"/>
        <v>11</v>
      </c>
      <c r="C111" s="32">
        <f t="shared" si="3"/>
        <v>6</v>
      </c>
      <c r="D111" s="31" t="str" cm="1">
        <f t="array" ref="D111">INDEX('Prod-uc2-1'!$Q$10:$W$53,1+B111,C111)</f>
        <v/>
      </c>
    </row>
    <row r="112" spans="1:4" x14ac:dyDescent="0.75">
      <c r="A112" s="32">
        <v>84</v>
      </c>
      <c r="B112" s="32">
        <f t="shared" si="2"/>
        <v>11</v>
      </c>
      <c r="C112" s="32">
        <f t="shared" si="3"/>
        <v>7</v>
      </c>
      <c r="D112" s="31" t="str" cm="1">
        <f t="array" ref="D112">INDEX('Prod-uc2-1'!$Q$10:$W$53,1+B112,C112)</f>
        <v/>
      </c>
    </row>
    <row r="113" spans="1:4" x14ac:dyDescent="0.75">
      <c r="A113" s="32">
        <v>85</v>
      </c>
      <c r="B113" s="32">
        <f t="shared" si="2"/>
        <v>12</v>
      </c>
      <c r="C113" s="32">
        <f t="shared" si="3"/>
        <v>1</v>
      </c>
      <c r="D113" s="31" t="str" cm="1">
        <f t="array" ref="D113">INDEX('Prod-uc2-1'!$Q$10:$W$53,1+B113,C113)</f>
        <v/>
      </c>
    </row>
    <row r="114" spans="1:4" x14ac:dyDescent="0.75">
      <c r="A114" s="32">
        <v>86</v>
      </c>
      <c r="B114" s="32">
        <f t="shared" si="2"/>
        <v>12</v>
      </c>
      <c r="C114" s="32">
        <f t="shared" si="3"/>
        <v>2</v>
      </c>
      <c r="D114" s="31" t="str" cm="1">
        <f t="array" ref="D114">INDEX('Prod-uc2-1'!$Q$10:$W$53,1+B114,C114)</f>
        <v/>
      </c>
    </row>
    <row r="115" spans="1:4" x14ac:dyDescent="0.75">
      <c r="A115" s="32">
        <v>87</v>
      </c>
      <c r="B115" s="32">
        <f t="shared" si="2"/>
        <v>12</v>
      </c>
      <c r="C115" s="32">
        <f t="shared" si="3"/>
        <v>3</v>
      </c>
      <c r="D115" s="31" t="str" cm="1">
        <f t="array" ref="D115">INDEX('Prod-uc2-1'!$Q$10:$W$53,1+B115,C115)</f>
        <v/>
      </c>
    </row>
    <row r="116" spans="1:4" x14ac:dyDescent="0.75">
      <c r="A116" s="32">
        <v>88</v>
      </c>
      <c r="B116" s="32">
        <f t="shared" si="2"/>
        <v>12</v>
      </c>
      <c r="C116" s="32">
        <f t="shared" si="3"/>
        <v>4</v>
      </c>
      <c r="D116" s="31" t="str" cm="1">
        <f t="array" ref="D116">INDEX('Prod-uc2-1'!$Q$10:$W$53,1+B116,C116)</f>
        <v/>
      </c>
    </row>
    <row r="117" spans="1:4" x14ac:dyDescent="0.75">
      <c r="A117" s="32">
        <v>89</v>
      </c>
      <c r="B117" s="32">
        <f t="shared" si="2"/>
        <v>12</v>
      </c>
      <c r="C117" s="32">
        <f t="shared" si="3"/>
        <v>5</v>
      </c>
      <c r="D117" s="31" t="str" cm="1">
        <f t="array" ref="D117">INDEX('Prod-uc2-1'!$Q$10:$W$53,1+B117,C117)</f>
        <v/>
      </c>
    </row>
    <row r="118" spans="1:4" x14ac:dyDescent="0.75">
      <c r="A118" s="32">
        <v>90</v>
      </c>
      <c r="B118" s="32">
        <f t="shared" si="2"/>
        <v>12</v>
      </c>
      <c r="C118" s="32">
        <f t="shared" si="3"/>
        <v>6</v>
      </c>
      <c r="D118" s="31" t="str" cm="1">
        <f t="array" ref="D118">INDEX('Prod-uc2-1'!$Q$10:$W$53,1+B118,C118)</f>
        <v/>
      </c>
    </row>
    <row r="119" spans="1:4" x14ac:dyDescent="0.75">
      <c r="A119" s="32">
        <v>91</v>
      </c>
      <c r="B119" s="32">
        <f t="shared" si="2"/>
        <v>12</v>
      </c>
      <c r="C119" s="32">
        <f t="shared" si="3"/>
        <v>7</v>
      </c>
      <c r="D119" s="31" t="str" cm="1">
        <f t="array" ref="D119">INDEX('Prod-uc2-1'!$Q$10:$W$53,1+B119,C119)</f>
        <v/>
      </c>
    </row>
    <row r="120" spans="1:4" x14ac:dyDescent="0.75">
      <c r="A120" s="32">
        <v>92</v>
      </c>
      <c r="B120" s="32">
        <f t="shared" si="2"/>
        <v>13</v>
      </c>
      <c r="C120" s="32">
        <f t="shared" si="3"/>
        <v>1</v>
      </c>
      <c r="D120" s="31" t="str" cm="1">
        <f t="array" ref="D120">INDEX('Prod-uc2-1'!$Q$10:$W$53,1+B120,C120)</f>
        <v/>
      </c>
    </row>
    <row r="121" spans="1:4" x14ac:dyDescent="0.75">
      <c r="A121" s="32">
        <v>93</v>
      </c>
      <c r="B121" s="32">
        <f t="shared" si="2"/>
        <v>13</v>
      </c>
      <c r="C121" s="32">
        <f t="shared" si="3"/>
        <v>2</v>
      </c>
      <c r="D121" s="31" t="str" cm="1">
        <f t="array" ref="D121">INDEX('Prod-uc2-1'!$Q$10:$W$53,1+B121,C121)</f>
        <v/>
      </c>
    </row>
    <row r="122" spans="1:4" x14ac:dyDescent="0.75">
      <c r="A122" s="32">
        <v>94</v>
      </c>
      <c r="B122" s="32">
        <f t="shared" si="2"/>
        <v>13</v>
      </c>
      <c r="C122" s="32">
        <f t="shared" si="3"/>
        <v>3</v>
      </c>
      <c r="D122" s="31" t="str" cm="1">
        <f t="array" ref="D122">INDEX('Prod-uc2-1'!$Q$10:$W$53,1+B122,C122)</f>
        <v/>
      </c>
    </row>
    <row r="123" spans="1:4" x14ac:dyDescent="0.75">
      <c r="A123" s="32">
        <v>95</v>
      </c>
      <c r="B123" s="32">
        <f t="shared" si="2"/>
        <v>13</v>
      </c>
      <c r="C123" s="32">
        <f t="shared" si="3"/>
        <v>4</v>
      </c>
      <c r="D123" s="31" t="str" cm="1">
        <f t="array" ref="D123">INDEX('Prod-uc2-1'!$Q$10:$W$53,1+B123,C123)</f>
        <v/>
      </c>
    </row>
    <row r="124" spans="1:4" x14ac:dyDescent="0.75">
      <c r="A124" s="32">
        <v>96</v>
      </c>
      <c r="B124" s="32">
        <f t="shared" si="2"/>
        <v>13</v>
      </c>
      <c r="C124" s="32">
        <f t="shared" si="3"/>
        <v>5</v>
      </c>
      <c r="D124" s="31" t="str" cm="1">
        <f t="array" ref="D124">INDEX('Prod-uc2-1'!$Q$10:$W$53,1+B124,C124)</f>
        <v/>
      </c>
    </row>
    <row r="125" spans="1:4" x14ac:dyDescent="0.75">
      <c r="A125" s="32">
        <v>97</v>
      </c>
      <c r="B125" s="32">
        <f t="shared" si="2"/>
        <v>13</v>
      </c>
      <c r="C125" s="32">
        <f t="shared" si="3"/>
        <v>6</v>
      </c>
      <c r="D125" s="31" t="str" cm="1">
        <f t="array" ref="D125">INDEX('Prod-uc2-1'!$Q$10:$W$53,1+B125,C125)</f>
        <v/>
      </c>
    </row>
    <row r="126" spans="1:4" x14ac:dyDescent="0.75">
      <c r="A126" s="32">
        <v>98</v>
      </c>
      <c r="B126" s="32">
        <f t="shared" si="2"/>
        <v>13</v>
      </c>
      <c r="C126" s="32">
        <f t="shared" si="3"/>
        <v>7</v>
      </c>
      <c r="D126" s="31" t="str" cm="1">
        <f t="array" ref="D126">INDEX('Prod-uc2-1'!$Q$10:$W$53,1+B126,C126)</f>
        <v/>
      </c>
    </row>
    <row r="127" spans="1:4" x14ac:dyDescent="0.75">
      <c r="A127" s="32">
        <v>99</v>
      </c>
      <c r="B127" s="32">
        <f t="shared" si="2"/>
        <v>14</v>
      </c>
      <c r="C127" s="32">
        <f t="shared" si="3"/>
        <v>1</v>
      </c>
      <c r="D127" s="31" t="str" cm="1">
        <f t="array" ref="D127">INDEX('Prod-uc2-1'!$Q$10:$W$53,1+B127,C127)</f>
        <v/>
      </c>
    </row>
    <row r="128" spans="1:4" x14ac:dyDescent="0.75">
      <c r="A128" s="32">
        <v>100</v>
      </c>
      <c r="B128" s="32">
        <f t="shared" si="2"/>
        <v>14</v>
      </c>
      <c r="C128" s="32">
        <f t="shared" si="3"/>
        <v>2</v>
      </c>
      <c r="D128" s="31" t="str" cm="1">
        <f t="array" ref="D128">INDEX('Prod-uc2-1'!$Q$10:$W$53,1+B128,C128)</f>
        <v/>
      </c>
    </row>
    <row r="129" spans="1:4" x14ac:dyDescent="0.75">
      <c r="A129" s="32">
        <v>101</v>
      </c>
      <c r="B129" s="32">
        <f t="shared" si="2"/>
        <v>14</v>
      </c>
      <c r="C129" s="32">
        <f t="shared" si="3"/>
        <v>3</v>
      </c>
      <c r="D129" s="31" t="str" cm="1">
        <f t="array" ref="D129">INDEX('Prod-uc2-1'!$Q$10:$W$53,1+B129,C129)</f>
        <v/>
      </c>
    </row>
    <row r="130" spans="1:4" x14ac:dyDescent="0.75">
      <c r="A130" s="32">
        <v>102</v>
      </c>
      <c r="B130" s="32">
        <f t="shared" si="2"/>
        <v>14</v>
      </c>
      <c r="C130" s="32">
        <f t="shared" si="3"/>
        <v>4</v>
      </c>
      <c r="D130" s="31" t="str" cm="1">
        <f t="array" ref="D130">INDEX('Prod-uc2-1'!$Q$10:$W$53,1+B130,C130)</f>
        <v/>
      </c>
    </row>
    <row r="131" spans="1:4" x14ac:dyDescent="0.75">
      <c r="A131" s="32">
        <v>103</v>
      </c>
      <c r="B131" s="32">
        <f t="shared" si="2"/>
        <v>14</v>
      </c>
      <c r="C131" s="32">
        <f t="shared" si="3"/>
        <v>5</v>
      </c>
      <c r="D131" s="31" t="str" cm="1">
        <f t="array" ref="D131">INDEX('Prod-uc2-1'!$Q$10:$W$53,1+B131,C131)</f>
        <v/>
      </c>
    </row>
    <row r="132" spans="1:4" x14ac:dyDescent="0.75">
      <c r="A132" s="32">
        <v>104</v>
      </c>
      <c r="B132" s="32">
        <f t="shared" si="2"/>
        <v>14</v>
      </c>
      <c r="C132" s="32">
        <f t="shared" si="3"/>
        <v>6</v>
      </c>
      <c r="D132" s="31" t="str" cm="1">
        <f t="array" ref="D132">INDEX('Prod-uc2-1'!$Q$10:$W$53,1+B132,C132)</f>
        <v/>
      </c>
    </row>
    <row r="133" spans="1:4" x14ac:dyDescent="0.75">
      <c r="A133" s="32">
        <v>105</v>
      </c>
      <c r="B133" s="32">
        <f t="shared" si="2"/>
        <v>14</v>
      </c>
      <c r="C133" s="32">
        <f t="shared" si="3"/>
        <v>7</v>
      </c>
      <c r="D133" s="31" t="str" cm="1">
        <f t="array" ref="D133">INDEX('Prod-uc2-1'!$Q$10:$W$53,1+B133,C133)</f>
        <v/>
      </c>
    </row>
    <row r="134" spans="1:4" x14ac:dyDescent="0.75">
      <c r="A134" s="32">
        <v>106</v>
      </c>
      <c r="B134" s="32">
        <f t="shared" si="2"/>
        <v>15</v>
      </c>
      <c r="C134" s="32">
        <f t="shared" si="3"/>
        <v>1</v>
      </c>
      <c r="D134" s="31" t="str" cm="1">
        <f t="array" ref="D134">INDEX('Prod-uc2-1'!$Q$10:$W$53,1+B134,C134)</f>
        <v/>
      </c>
    </row>
    <row r="135" spans="1:4" x14ac:dyDescent="0.75">
      <c r="A135" s="32">
        <v>107</v>
      </c>
      <c r="B135" s="32">
        <f t="shared" si="2"/>
        <v>15</v>
      </c>
      <c r="C135" s="32">
        <f t="shared" si="3"/>
        <v>2</v>
      </c>
      <c r="D135" s="31" t="str" cm="1">
        <f t="array" ref="D135">INDEX('Prod-uc2-1'!$Q$10:$W$53,1+B135,C135)</f>
        <v/>
      </c>
    </row>
    <row r="136" spans="1:4" x14ac:dyDescent="0.75">
      <c r="A136" s="32">
        <v>108</v>
      </c>
      <c r="B136" s="32">
        <f t="shared" si="2"/>
        <v>15</v>
      </c>
      <c r="C136" s="32">
        <f t="shared" si="3"/>
        <v>3</v>
      </c>
      <c r="D136" s="31" t="str" cm="1">
        <f t="array" ref="D136">INDEX('Prod-uc2-1'!$Q$10:$W$53,1+B136,C136)</f>
        <v/>
      </c>
    </row>
    <row r="137" spans="1:4" x14ac:dyDescent="0.75">
      <c r="A137" s="32">
        <v>109</v>
      </c>
      <c r="B137" s="32">
        <f t="shared" si="2"/>
        <v>15</v>
      </c>
      <c r="C137" s="32">
        <f t="shared" si="3"/>
        <v>4</v>
      </c>
      <c r="D137" s="31" t="str" cm="1">
        <f t="array" ref="D137">INDEX('Prod-uc2-1'!$Q$10:$W$53,1+B137,C137)</f>
        <v/>
      </c>
    </row>
    <row r="138" spans="1:4" x14ac:dyDescent="0.75">
      <c r="A138" s="32">
        <v>110</v>
      </c>
      <c r="B138" s="32">
        <f t="shared" si="2"/>
        <v>15</v>
      </c>
      <c r="C138" s="32">
        <f t="shared" si="3"/>
        <v>5</v>
      </c>
      <c r="D138" s="31" t="str" cm="1">
        <f t="array" ref="D138">INDEX('Prod-uc2-1'!$Q$10:$W$53,1+B138,C138)</f>
        <v/>
      </c>
    </row>
    <row r="139" spans="1:4" x14ac:dyDescent="0.75">
      <c r="A139" s="32">
        <v>111</v>
      </c>
      <c r="B139" s="32">
        <f t="shared" si="2"/>
        <v>15</v>
      </c>
      <c r="C139" s="32">
        <f t="shared" si="3"/>
        <v>6</v>
      </c>
      <c r="D139" s="31" t="str" cm="1">
        <f t="array" ref="D139">INDEX('Prod-uc2-1'!$Q$10:$W$53,1+B139,C139)</f>
        <v/>
      </c>
    </row>
    <row r="140" spans="1:4" x14ac:dyDescent="0.75">
      <c r="A140" s="32">
        <v>112</v>
      </c>
      <c r="B140" s="32">
        <f t="shared" si="2"/>
        <v>15</v>
      </c>
      <c r="C140" s="32">
        <f t="shared" si="3"/>
        <v>7</v>
      </c>
      <c r="D140" s="31" t="str" cm="1">
        <f t="array" ref="D140">INDEX('Prod-uc2-1'!$Q$10:$W$53,1+B140,C140)</f>
        <v/>
      </c>
    </row>
    <row r="141" spans="1:4" x14ac:dyDescent="0.75">
      <c r="A141" s="32">
        <v>113</v>
      </c>
      <c r="B141" s="32">
        <f t="shared" si="2"/>
        <v>16</v>
      </c>
      <c r="C141" s="32">
        <f t="shared" si="3"/>
        <v>1</v>
      </c>
      <c r="D141" s="31" t="str" cm="1">
        <f t="array" ref="D141">INDEX('Prod-uc2-1'!$Q$10:$W$53,1+B141,C141)</f>
        <v/>
      </c>
    </row>
    <row r="142" spans="1:4" x14ac:dyDescent="0.75">
      <c r="A142" s="32">
        <v>114</v>
      </c>
      <c r="B142" s="32">
        <f t="shared" si="2"/>
        <v>16</v>
      </c>
      <c r="C142" s="32">
        <f t="shared" si="3"/>
        <v>2</v>
      </c>
      <c r="D142" s="31" t="str" cm="1">
        <f t="array" ref="D142">INDEX('Prod-uc2-1'!$Q$10:$W$53,1+B142,C142)</f>
        <v/>
      </c>
    </row>
    <row r="143" spans="1:4" x14ac:dyDescent="0.75">
      <c r="A143" s="32">
        <v>115</v>
      </c>
      <c r="B143" s="32">
        <f t="shared" si="2"/>
        <v>16</v>
      </c>
      <c r="C143" s="32">
        <f t="shared" si="3"/>
        <v>3</v>
      </c>
      <c r="D143" s="31" t="str" cm="1">
        <f t="array" ref="D143">INDEX('Prod-uc2-1'!$Q$10:$W$53,1+B143,C143)</f>
        <v/>
      </c>
    </row>
    <row r="144" spans="1:4" x14ac:dyDescent="0.75">
      <c r="A144" s="32">
        <v>116</v>
      </c>
      <c r="B144" s="32">
        <f t="shared" si="2"/>
        <v>16</v>
      </c>
      <c r="C144" s="32">
        <f t="shared" si="3"/>
        <v>4</v>
      </c>
      <c r="D144" s="31" t="str" cm="1">
        <f t="array" ref="D144">INDEX('Prod-uc2-1'!$Q$10:$W$53,1+B144,C144)</f>
        <v/>
      </c>
    </row>
    <row r="145" spans="1:4" x14ac:dyDescent="0.75">
      <c r="A145" s="32">
        <v>117</v>
      </c>
      <c r="B145" s="32">
        <f t="shared" si="2"/>
        <v>16</v>
      </c>
      <c r="C145" s="32">
        <f t="shared" si="3"/>
        <v>5</v>
      </c>
      <c r="D145" s="31" t="str" cm="1">
        <f t="array" ref="D145">INDEX('Prod-uc2-1'!$Q$10:$W$53,1+B145,C145)</f>
        <v/>
      </c>
    </row>
    <row r="146" spans="1:4" x14ac:dyDescent="0.75">
      <c r="A146" s="32">
        <v>118</v>
      </c>
      <c r="B146" s="32">
        <f t="shared" si="2"/>
        <v>16</v>
      </c>
      <c r="C146" s="32">
        <f t="shared" si="3"/>
        <v>6</v>
      </c>
      <c r="D146" s="31" t="str" cm="1">
        <f t="array" ref="D146">INDEX('Prod-uc2-1'!$Q$10:$W$53,1+B146,C146)</f>
        <v/>
      </c>
    </row>
    <row r="147" spans="1:4" x14ac:dyDescent="0.75">
      <c r="A147" s="32">
        <v>119</v>
      </c>
      <c r="B147" s="32">
        <f t="shared" si="2"/>
        <v>16</v>
      </c>
      <c r="C147" s="32">
        <f t="shared" si="3"/>
        <v>7</v>
      </c>
      <c r="D147" s="31" t="str" cm="1">
        <f t="array" ref="D147">INDEX('Prod-uc2-1'!$Q$10:$W$53,1+B147,C147)</f>
        <v/>
      </c>
    </row>
    <row r="148" spans="1:4" x14ac:dyDescent="0.75">
      <c r="A148" s="32">
        <v>120</v>
      </c>
      <c r="B148" s="32">
        <f t="shared" si="2"/>
        <v>17</v>
      </c>
      <c r="C148" s="32">
        <f t="shared" si="3"/>
        <v>1</v>
      </c>
      <c r="D148" s="31" t="str" cm="1">
        <f t="array" ref="D148">INDEX('Prod-uc2-1'!$Q$10:$W$53,1+B148,C148)</f>
        <v>* differential.element[4].id = "Product.composition.description"</v>
      </c>
    </row>
    <row r="149" spans="1:4" x14ac:dyDescent="0.75">
      <c r="A149" s="32">
        <v>121</v>
      </c>
      <c r="B149" s="32">
        <f t="shared" si="2"/>
        <v>17</v>
      </c>
      <c r="C149" s="32">
        <f t="shared" si="3"/>
        <v>2</v>
      </c>
      <c r="D149" s="31" t="str" cm="1">
        <f t="array" ref="D149">INDEX('Prod-uc2-1'!$Q$10:$W$53,1+B149,C149)</f>
        <v>* differential.element[4].path = "Product.composition.description"</v>
      </c>
    </row>
    <row r="150" spans="1:4" x14ac:dyDescent="0.75">
      <c r="A150" s="32">
        <v>122</v>
      </c>
      <c r="B150" s="32">
        <f t="shared" si="2"/>
        <v>17</v>
      </c>
      <c r="C150" s="32">
        <f t="shared" si="3"/>
        <v>3</v>
      </c>
      <c r="D150" s="31" t="str" cm="1">
        <f t="array" ref="D150">INDEX('Prod-uc2-1'!$Q$10:$W$53,1+B150,C150)</f>
        <v/>
      </c>
    </row>
    <row r="151" spans="1:4" x14ac:dyDescent="0.75">
      <c r="A151" s="32">
        <v>123</v>
      </c>
      <c r="B151" s="32">
        <f t="shared" si="2"/>
        <v>17</v>
      </c>
      <c r="C151" s="32">
        <f t="shared" si="3"/>
        <v>4</v>
      </c>
      <c r="D151" s="31" t="str" cm="1">
        <f t="array" ref="D151">INDEX('Prod-uc2-1'!$Q$10:$W$53,1+B151,C151)</f>
        <v/>
      </c>
    </row>
    <row r="152" spans="1:4" x14ac:dyDescent="0.75">
      <c r="A152" s="32">
        <v>124</v>
      </c>
      <c r="B152" s="32">
        <f t="shared" si="2"/>
        <v>17</v>
      </c>
      <c r="C152" s="32">
        <f t="shared" si="3"/>
        <v>5</v>
      </c>
      <c r="D152" s="31" t="str" cm="1">
        <f t="array" ref="D152">INDEX('Prod-uc2-1'!$Q$10:$W$53,1+B152,C152)</f>
        <v/>
      </c>
    </row>
    <row r="153" spans="1:4" x14ac:dyDescent="0.75">
      <c r="A153" s="32">
        <v>125</v>
      </c>
      <c r="B153" s="32">
        <f t="shared" si="2"/>
        <v>17</v>
      </c>
      <c r="C153" s="32">
        <f t="shared" si="3"/>
        <v>6</v>
      </c>
      <c r="D153" s="31" t="str" cm="1">
        <f t="array" ref="D153">INDEX('Prod-uc2-1'!$Q$10:$W$53,1+B153,C153)</f>
        <v>* differential.element[4].mustSupport = true</v>
      </c>
    </row>
    <row r="154" spans="1:4" x14ac:dyDescent="0.75">
      <c r="A154" s="32">
        <v>126</v>
      </c>
      <c r="B154" s="32">
        <f t="shared" si="2"/>
        <v>17</v>
      </c>
      <c r="C154" s="32">
        <f t="shared" si="3"/>
        <v>7</v>
      </c>
      <c r="D154" s="31" t="str" cm="1">
        <f t="array" ref="D154">INDEX('Prod-uc2-1'!$Q$10:$W$53,1+B154,C154)</f>
        <v>* differential.element[4].short = ""</v>
      </c>
    </row>
    <row r="155" spans="1:4" x14ac:dyDescent="0.75">
      <c r="A155" s="32">
        <v>127</v>
      </c>
      <c r="B155" s="32">
        <f t="shared" si="2"/>
        <v>18</v>
      </c>
      <c r="C155" s="32">
        <f t="shared" si="3"/>
        <v>1</v>
      </c>
      <c r="D155" s="31" t="str" cm="1">
        <f t="array" ref="D155">INDEX('Prod-uc2-1'!$Q$10:$W$53,1+B155,C155)</f>
        <v>* differential.element[5].id = "Product.marketAuthorizationHolder"</v>
      </c>
    </row>
    <row r="156" spans="1:4" x14ac:dyDescent="0.75">
      <c r="A156" s="32">
        <v>128</v>
      </c>
      <c r="B156" s="32">
        <f t="shared" si="2"/>
        <v>18</v>
      </c>
      <c r="C156" s="32">
        <f t="shared" si="3"/>
        <v>2</v>
      </c>
      <c r="D156" s="31" t="str" cm="1">
        <f t="array" ref="D156">INDEX('Prod-uc2-1'!$Q$10:$W$53,1+B156,C156)</f>
        <v>* differential.element[5].path = "Product.marketAuthorizationHolder"</v>
      </c>
    </row>
    <row r="157" spans="1:4" x14ac:dyDescent="0.75">
      <c r="A157" s="32">
        <v>129</v>
      </c>
      <c r="B157" s="32">
        <f t="shared" ref="B157:B220" si="4">IF(MOD(A157,$B$6)=0,A157/$B$6-1,INT(A157/$B$6))</f>
        <v>18</v>
      </c>
      <c r="C157" s="32">
        <f t="shared" ref="C157:C220" si="5">IF(MOD(A157,$B$6)=0,$B$6,MOD(A157,$B$6))</f>
        <v>3</v>
      </c>
      <c r="D157" s="31" t="str" cm="1">
        <f t="array" ref="D157">INDEX('Prod-uc2-1'!$Q$10:$W$53,1+B157,C157)</f>
        <v>* differential.element[5].min = 1</v>
      </c>
    </row>
    <row r="158" spans="1:4" x14ac:dyDescent="0.75">
      <c r="A158" s="32">
        <v>130</v>
      </c>
      <c r="B158" s="32">
        <f t="shared" si="4"/>
        <v>18</v>
      </c>
      <c r="C158" s="32">
        <f t="shared" si="5"/>
        <v>4</v>
      </c>
      <c r="D158" s="31" t="str" cm="1">
        <f t="array" ref="D158">INDEX('Prod-uc2-1'!$Q$10:$W$53,1+B158,C158)</f>
        <v>* differential.element[5].max = "1"</v>
      </c>
    </row>
    <row r="159" spans="1:4" x14ac:dyDescent="0.75">
      <c r="A159" s="32">
        <v>131</v>
      </c>
      <c r="B159" s="32">
        <f t="shared" si="4"/>
        <v>18</v>
      </c>
      <c r="C159" s="32">
        <f t="shared" si="5"/>
        <v>5</v>
      </c>
      <c r="D159" s="31" t="str" cm="1">
        <f t="array" ref="D159">INDEX('Prod-uc2-1'!$Q$10:$W$53,1+B159,C159)</f>
        <v/>
      </c>
    </row>
    <row r="160" spans="1:4" x14ac:dyDescent="0.75">
      <c r="A160" s="32">
        <v>132</v>
      </c>
      <c r="B160" s="32">
        <f t="shared" si="4"/>
        <v>18</v>
      </c>
      <c r="C160" s="32">
        <f t="shared" si="5"/>
        <v>6</v>
      </c>
      <c r="D160" s="31" t="str" cm="1">
        <f t="array" ref="D160">INDEX('Prod-uc2-1'!$Q$10:$W$53,1+B160,C160)</f>
        <v>* differential.element[5].mustSupport = true</v>
      </c>
    </row>
    <row r="161" spans="1:4" x14ac:dyDescent="0.75">
      <c r="A161" s="32">
        <v>133</v>
      </c>
      <c r="B161" s="32">
        <f t="shared" si="4"/>
        <v>18</v>
      </c>
      <c r="C161" s="32">
        <f t="shared" si="5"/>
        <v>7</v>
      </c>
      <c r="D161" s="31" t="str" cm="1">
        <f t="array" ref="D161">INDEX('Prod-uc2-1'!$Q$10:$W$53,1+B161,C161)</f>
        <v>* differential.element[5].short = "[M] Market Authorization Holder (MAH)"</v>
      </c>
    </row>
    <row r="162" spans="1:4" x14ac:dyDescent="0.75">
      <c r="A162" s="32">
        <v>134</v>
      </c>
      <c r="B162" s="32">
        <f t="shared" si="4"/>
        <v>19</v>
      </c>
      <c r="C162" s="32">
        <f t="shared" si="5"/>
        <v>1</v>
      </c>
      <c r="D162" s="31" t="str" cm="1">
        <f t="array" ref="D162">INDEX('Prod-uc2-1'!$Q$10:$W$53,1+B162,C162)</f>
        <v>* differential.element[6].id = "Product.manufacturer"</v>
      </c>
    </row>
    <row r="163" spans="1:4" x14ac:dyDescent="0.75">
      <c r="A163" s="32">
        <v>135</v>
      </c>
      <c r="B163" s="32">
        <f t="shared" si="4"/>
        <v>19</v>
      </c>
      <c r="C163" s="32">
        <f t="shared" si="5"/>
        <v>2</v>
      </c>
      <c r="D163" s="31" t="str" cm="1">
        <f t="array" ref="D163">INDEX('Prod-uc2-1'!$Q$10:$W$53,1+B163,C163)</f>
        <v>* differential.element[6].path = "Product.manufacturer"</v>
      </c>
    </row>
    <row r="164" spans="1:4" x14ac:dyDescent="0.75">
      <c r="A164" s="32">
        <v>136</v>
      </c>
      <c r="B164" s="32">
        <f t="shared" si="4"/>
        <v>19</v>
      </c>
      <c r="C164" s="32">
        <f t="shared" si="5"/>
        <v>3</v>
      </c>
      <c r="D164" s="31" t="str" cm="1">
        <f t="array" ref="D164">INDEX('Prod-uc2-1'!$Q$10:$W$53,1+B164,C164)</f>
        <v>* differential.element[6].min = 1</v>
      </c>
    </row>
    <row r="165" spans="1:4" x14ac:dyDescent="0.75">
      <c r="A165" s="32">
        <v>137</v>
      </c>
      <c r="B165" s="32">
        <f t="shared" si="4"/>
        <v>19</v>
      </c>
      <c r="C165" s="32">
        <f t="shared" si="5"/>
        <v>4</v>
      </c>
      <c r="D165" s="31" t="str" cm="1">
        <f t="array" ref="D165">INDEX('Prod-uc2-1'!$Q$10:$W$53,1+B165,C165)</f>
        <v>* differential.element[6].max = "1"</v>
      </c>
    </row>
    <row r="166" spans="1:4" x14ac:dyDescent="0.75">
      <c r="A166" s="32">
        <v>138</v>
      </c>
      <c r="B166" s="32">
        <f t="shared" si="4"/>
        <v>19</v>
      </c>
      <c r="C166" s="32">
        <f t="shared" si="5"/>
        <v>5</v>
      </c>
      <c r="D166" s="31" t="str" cm="1">
        <f t="array" ref="D166">INDEX('Prod-uc2-1'!$Q$10:$W$53,1+B166,C166)</f>
        <v/>
      </c>
    </row>
    <row r="167" spans="1:4" x14ac:dyDescent="0.75">
      <c r="A167" s="32">
        <v>139</v>
      </c>
      <c r="B167" s="32">
        <f t="shared" si="4"/>
        <v>19</v>
      </c>
      <c r="C167" s="32">
        <f t="shared" si="5"/>
        <v>6</v>
      </c>
      <c r="D167" s="31" t="str" cm="1">
        <f t="array" ref="D167">INDEX('Prod-uc2-1'!$Q$10:$W$53,1+B167,C167)</f>
        <v>* differential.element[6].mustSupport = true</v>
      </c>
    </row>
    <row r="168" spans="1:4" x14ac:dyDescent="0.75">
      <c r="A168" s="32">
        <v>140</v>
      </c>
      <c r="B168" s="32">
        <f t="shared" si="4"/>
        <v>19</v>
      </c>
      <c r="C168" s="32">
        <f t="shared" si="5"/>
        <v>7</v>
      </c>
      <c r="D168" s="31" t="str" cm="1">
        <f t="array" ref="D168">INDEX('Prod-uc2-1'!$Q$10:$W$53,1+B168,C168)</f>
        <v>* differential.element[6].short = "[M] manufacturer"</v>
      </c>
    </row>
    <row r="169" spans="1:4" x14ac:dyDescent="0.75">
      <c r="A169" s="32">
        <v>141</v>
      </c>
      <c r="B169" s="32">
        <f t="shared" si="4"/>
        <v>20</v>
      </c>
      <c r="C169" s="32">
        <f t="shared" si="5"/>
        <v>1</v>
      </c>
      <c r="D169" s="31" t="str" cm="1">
        <f t="array" ref="D169">INDEX('Prod-uc2-1'!$Q$10:$W$53,1+B169,C169)</f>
        <v>* differential.element[7].id = "Product.expiryDate"</v>
      </c>
    </row>
    <row r="170" spans="1:4" x14ac:dyDescent="0.75">
      <c r="A170" s="32">
        <v>142</v>
      </c>
      <c r="B170" s="32">
        <f t="shared" si="4"/>
        <v>20</v>
      </c>
      <c r="C170" s="32">
        <f t="shared" si="5"/>
        <v>2</v>
      </c>
      <c r="D170" s="31" t="str" cm="1">
        <f t="array" ref="D170">INDEX('Prod-uc2-1'!$Q$10:$W$53,1+B170,C170)</f>
        <v>* differential.element[7].path = "Product.expiryDate"</v>
      </c>
    </row>
    <row r="171" spans="1:4" x14ac:dyDescent="0.75">
      <c r="A171" s="32">
        <v>143</v>
      </c>
      <c r="B171" s="32">
        <f t="shared" si="4"/>
        <v>20</v>
      </c>
      <c r="C171" s="32">
        <f t="shared" si="5"/>
        <v>3</v>
      </c>
      <c r="D171" s="31" t="str" cm="1">
        <f t="array" ref="D171">INDEX('Prod-uc2-1'!$Q$10:$W$53,1+B171,C171)</f>
        <v>* differential.element[7].min = 1</v>
      </c>
    </row>
    <row r="172" spans="1:4" x14ac:dyDescent="0.75">
      <c r="A172" s="32">
        <v>144</v>
      </c>
      <c r="B172" s="32">
        <f t="shared" si="4"/>
        <v>20</v>
      </c>
      <c r="C172" s="32">
        <f t="shared" si="5"/>
        <v>4</v>
      </c>
      <c r="D172" s="31" t="str" cm="1">
        <f t="array" ref="D172">INDEX('Prod-uc2-1'!$Q$10:$W$53,1+B172,C172)</f>
        <v>* differential.element[7].max = "1"</v>
      </c>
    </row>
    <row r="173" spans="1:4" x14ac:dyDescent="0.75">
      <c r="A173" s="32">
        <v>145</v>
      </c>
      <c r="B173" s="32">
        <f t="shared" si="4"/>
        <v>20</v>
      </c>
      <c r="C173" s="32">
        <f t="shared" si="5"/>
        <v>5</v>
      </c>
      <c r="D173" s="31" t="str" cm="1">
        <f t="array" ref="D173">INDEX('Prod-uc2-1'!$Q$10:$W$53,1+B173,C173)</f>
        <v/>
      </c>
    </row>
    <row r="174" spans="1:4" x14ac:dyDescent="0.75">
      <c r="A174" s="32">
        <v>146</v>
      </c>
      <c r="B174" s="32">
        <f t="shared" si="4"/>
        <v>20</v>
      </c>
      <c r="C174" s="32">
        <f t="shared" si="5"/>
        <v>6</v>
      </c>
      <c r="D174" s="31" t="str" cm="1">
        <f t="array" ref="D174">INDEX('Prod-uc2-1'!$Q$10:$W$53,1+B174,C174)</f>
        <v>* differential.element[7].mustSupport = true</v>
      </c>
    </row>
    <row r="175" spans="1:4" x14ac:dyDescent="0.75">
      <c r="A175" s="32">
        <v>147</v>
      </c>
      <c r="B175" s="32">
        <f t="shared" si="4"/>
        <v>20</v>
      </c>
      <c r="C175" s="32">
        <f t="shared" si="5"/>
        <v>7</v>
      </c>
      <c r="D175" s="31" t="str" cm="1">
        <f t="array" ref="D175">INDEX('Prod-uc2-1'!$Q$10:$W$53,1+B175,C175)</f>
        <v>* differential.element[7].short = "[M] Expiry Date"</v>
      </c>
    </row>
    <row r="176" spans="1:4" x14ac:dyDescent="0.75">
      <c r="A176" s="32">
        <v>148</v>
      </c>
      <c r="B176" s="32">
        <f t="shared" si="4"/>
        <v>21</v>
      </c>
      <c r="C176" s="32">
        <f t="shared" si="5"/>
        <v>1</v>
      </c>
      <c r="D176" s="31" t="str" cm="1">
        <f t="array" ref="D176">INDEX('Prod-uc2-1'!$Q$10:$W$53,1+B176,C176)</f>
        <v/>
      </c>
    </row>
    <row r="177" spans="1:4" x14ac:dyDescent="0.75">
      <c r="A177" s="32">
        <v>149</v>
      </c>
      <c r="B177" s="32">
        <f t="shared" si="4"/>
        <v>21</v>
      </c>
      <c r="C177" s="32">
        <f t="shared" si="5"/>
        <v>2</v>
      </c>
      <c r="D177" s="31" t="str" cm="1">
        <f t="array" ref="D177">INDEX('Prod-uc2-1'!$Q$10:$W$53,1+B177,C177)</f>
        <v/>
      </c>
    </row>
    <row r="178" spans="1:4" x14ac:dyDescent="0.75">
      <c r="A178" s="32">
        <v>150</v>
      </c>
      <c r="B178" s="32">
        <f t="shared" si="4"/>
        <v>21</v>
      </c>
      <c r="C178" s="32">
        <f t="shared" si="5"/>
        <v>3</v>
      </c>
      <c r="D178" s="31" t="str" cm="1">
        <f t="array" ref="D178">INDEX('Prod-uc2-1'!$Q$10:$W$53,1+B178,C178)</f>
        <v/>
      </c>
    </row>
    <row r="179" spans="1:4" x14ac:dyDescent="0.75">
      <c r="A179" s="32">
        <v>151</v>
      </c>
      <c r="B179" s="32">
        <f t="shared" si="4"/>
        <v>21</v>
      </c>
      <c r="C179" s="32">
        <f t="shared" si="5"/>
        <v>4</v>
      </c>
      <c r="D179" s="31" t="str" cm="1">
        <f t="array" ref="D179">INDEX('Prod-uc2-1'!$Q$10:$W$53,1+B179,C179)</f>
        <v/>
      </c>
    </row>
    <row r="180" spans="1:4" x14ac:dyDescent="0.75">
      <c r="A180" s="32">
        <v>152</v>
      </c>
      <c r="B180" s="32">
        <f t="shared" si="4"/>
        <v>21</v>
      </c>
      <c r="C180" s="32">
        <f t="shared" si="5"/>
        <v>5</v>
      </c>
      <c r="D180" s="31" t="str" cm="1">
        <f t="array" ref="D180">INDEX('Prod-uc2-1'!$Q$10:$W$53,1+B180,C180)</f>
        <v/>
      </c>
    </row>
    <row r="181" spans="1:4" x14ac:dyDescent="0.75">
      <c r="A181" s="32">
        <v>153</v>
      </c>
      <c r="B181" s="32">
        <f t="shared" si="4"/>
        <v>21</v>
      </c>
      <c r="C181" s="32">
        <f t="shared" si="5"/>
        <v>6</v>
      </c>
      <c r="D181" s="31" t="str" cm="1">
        <f t="array" ref="D181">INDEX('Prod-uc2-1'!$Q$10:$W$53,1+B181,C181)</f>
        <v/>
      </c>
    </row>
    <row r="182" spans="1:4" x14ac:dyDescent="0.75">
      <c r="A182" s="32">
        <v>154</v>
      </c>
      <c r="B182" s="32">
        <f t="shared" si="4"/>
        <v>21</v>
      </c>
      <c r="C182" s="32">
        <f t="shared" si="5"/>
        <v>7</v>
      </c>
      <c r="D182" s="31" t="str" cm="1">
        <f t="array" ref="D182">INDEX('Prod-uc2-1'!$Q$10:$W$53,1+B182,C182)</f>
        <v/>
      </c>
    </row>
    <row r="183" spans="1:4" x14ac:dyDescent="0.75">
      <c r="A183" s="32">
        <v>155</v>
      </c>
      <c r="B183" s="32">
        <f t="shared" si="4"/>
        <v>22</v>
      </c>
      <c r="C183" s="32">
        <f t="shared" si="5"/>
        <v>1</v>
      </c>
      <c r="D183" s="31" t="str" cm="1">
        <f t="array" ref="D183">INDEX('Prod-uc2-1'!$Q$10:$W$53,1+B183,C183)</f>
        <v/>
      </c>
    </row>
    <row r="184" spans="1:4" x14ac:dyDescent="0.75">
      <c r="A184" s="32">
        <v>156</v>
      </c>
      <c r="B184" s="32">
        <f t="shared" si="4"/>
        <v>22</v>
      </c>
      <c r="C184" s="32">
        <f t="shared" si="5"/>
        <v>2</v>
      </c>
      <c r="D184" s="31" t="str" cm="1">
        <f t="array" ref="D184">INDEX('Prod-uc2-1'!$Q$10:$W$53,1+B184,C184)</f>
        <v/>
      </c>
    </row>
    <row r="185" spans="1:4" x14ac:dyDescent="0.75">
      <c r="A185" s="32">
        <v>157</v>
      </c>
      <c r="B185" s="32">
        <f t="shared" si="4"/>
        <v>22</v>
      </c>
      <c r="C185" s="32">
        <f t="shared" si="5"/>
        <v>3</v>
      </c>
      <c r="D185" s="31" t="str" cm="1">
        <f t="array" ref="D185">INDEX('Prod-uc2-1'!$Q$10:$W$53,1+B185,C185)</f>
        <v/>
      </c>
    </row>
    <row r="186" spans="1:4" x14ac:dyDescent="0.75">
      <c r="A186" s="32">
        <v>158</v>
      </c>
      <c r="B186" s="32">
        <f t="shared" si="4"/>
        <v>22</v>
      </c>
      <c r="C186" s="32">
        <f t="shared" si="5"/>
        <v>4</v>
      </c>
      <c r="D186" s="31" t="str" cm="1">
        <f t="array" ref="D186">INDEX('Prod-uc2-1'!$Q$10:$W$53,1+B186,C186)</f>
        <v/>
      </c>
    </row>
    <row r="187" spans="1:4" x14ac:dyDescent="0.75">
      <c r="A187" s="32">
        <v>159</v>
      </c>
      <c r="B187" s="32">
        <f t="shared" si="4"/>
        <v>22</v>
      </c>
      <c r="C187" s="32">
        <f t="shared" si="5"/>
        <v>5</v>
      </c>
      <c r="D187" s="31" t="str" cm="1">
        <f t="array" ref="D187">INDEX('Prod-uc2-1'!$Q$10:$W$53,1+B187,C187)</f>
        <v/>
      </c>
    </row>
    <row r="188" spans="1:4" x14ac:dyDescent="0.75">
      <c r="A188" s="32">
        <v>160</v>
      </c>
      <c r="B188" s="32">
        <f t="shared" si="4"/>
        <v>22</v>
      </c>
      <c r="C188" s="32">
        <f t="shared" si="5"/>
        <v>6</v>
      </c>
      <c r="D188" s="31" t="str" cm="1">
        <f t="array" ref="D188">INDEX('Prod-uc2-1'!$Q$10:$W$53,1+B188,C188)</f>
        <v/>
      </c>
    </row>
    <row r="189" spans="1:4" x14ac:dyDescent="0.75">
      <c r="A189" s="32">
        <v>161</v>
      </c>
      <c r="B189" s="32">
        <f t="shared" si="4"/>
        <v>22</v>
      </c>
      <c r="C189" s="32">
        <f t="shared" si="5"/>
        <v>7</v>
      </c>
      <c r="D189" s="31" t="str" cm="1">
        <f t="array" ref="D189">INDEX('Prod-uc2-1'!$Q$10:$W$53,1+B189,C189)</f>
        <v/>
      </c>
    </row>
    <row r="190" spans="1:4" x14ac:dyDescent="0.75">
      <c r="A190" s="32">
        <v>162</v>
      </c>
      <c r="B190" s="32">
        <f t="shared" si="4"/>
        <v>23</v>
      </c>
      <c r="C190" s="32">
        <f t="shared" si="5"/>
        <v>1</v>
      </c>
      <c r="D190" s="31" t="str" cm="1">
        <f t="array" ref="D190">INDEX('Prod-uc2-1'!$Q$10:$W$53,1+B190,C190)</f>
        <v/>
      </c>
    </row>
    <row r="191" spans="1:4" x14ac:dyDescent="0.75">
      <c r="A191" s="32">
        <v>163</v>
      </c>
      <c r="B191" s="32">
        <f t="shared" si="4"/>
        <v>23</v>
      </c>
      <c r="C191" s="32">
        <f t="shared" si="5"/>
        <v>2</v>
      </c>
      <c r="D191" s="31" t="str" cm="1">
        <f t="array" ref="D191">INDEX('Prod-uc2-1'!$Q$10:$W$53,1+B191,C191)</f>
        <v/>
      </c>
    </row>
    <row r="192" spans="1:4" x14ac:dyDescent="0.75">
      <c r="A192" s="32">
        <v>164</v>
      </c>
      <c r="B192" s="32">
        <f t="shared" si="4"/>
        <v>23</v>
      </c>
      <c r="C192" s="32">
        <f t="shared" si="5"/>
        <v>3</v>
      </c>
      <c r="D192" s="31" t="str" cm="1">
        <f t="array" ref="D192">INDEX('Prod-uc2-1'!$Q$10:$W$53,1+B192,C192)</f>
        <v/>
      </c>
    </row>
    <row r="193" spans="1:4" x14ac:dyDescent="0.75">
      <c r="A193" s="32">
        <v>165</v>
      </c>
      <c r="B193" s="32">
        <f t="shared" si="4"/>
        <v>23</v>
      </c>
      <c r="C193" s="32">
        <f t="shared" si="5"/>
        <v>4</v>
      </c>
      <c r="D193" s="31" t="str" cm="1">
        <f t="array" ref="D193">INDEX('Prod-uc2-1'!$Q$10:$W$53,1+B193,C193)</f>
        <v/>
      </c>
    </row>
    <row r="194" spans="1:4" x14ac:dyDescent="0.75">
      <c r="A194" s="32">
        <v>166</v>
      </c>
      <c r="B194" s="32">
        <f t="shared" si="4"/>
        <v>23</v>
      </c>
      <c r="C194" s="32">
        <f t="shared" si="5"/>
        <v>5</v>
      </c>
      <c r="D194" s="31" t="str" cm="1">
        <f t="array" ref="D194">INDEX('Prod-uc2-1'!$Q$10:$W$53,1+B194,C194)</f>
        <v/>
      </c>
    </row>
    <row r="195" spans="1:4" x14ac:dyDescent="0.75">
      <c r="A195" s="32">
        <v>167</v>
      </c>
      <c r="B195" s="32">
        <f t="shared" si="4"/>
        <v>23</v>
      </c>
      <c r="C195" s="32">
        <f t="shared" si="5"/>
        <v>6</v>
      </c>
      <c r="D195" s="31" t="str" cm="1">
        <f t="array" ref="D195">INDEX('Prod-uc2-1'!$Q$10:$W$53,1+B195,C195)</f>
        <v/>
      </c>
    </row>
    <row r="196" spans="1:4" x14ac:dyDescent="0.75">
      <c r="A196" s="32">
        <v>168</v>
      </c>
      <c r="B196" s="32">
        <f t="shared" si="4"/>
        <v>23</v>
      </c>
      <c r="C196" s="32">
        <f t="shared" si="5"/>
        <v>7</v>
      </c>
      <c r="D196" s="31" t="str" cm="1">
        <f t="array" ref="D196">INDEX('Prod-uc2-1'!$Q$10:$W$53,1+B196,C196)</f>
        <v/>
      </c>
    </row>
    <row r="197" spans="1:4" x14ac:dyDescent="0.75">
      <c r="A197" s="32">
        <v>169</v>
      </c>
      <c r="B197" s="32">
        <f t="shared" si="4"/>
        <v>24</v>
      </c>
      <c r="C197" s="32">
        <f t="shared" si="5"/>
        <v>1</v>
      </c>
      <c r="D197" s="31" t="str" cm="1">
        <f t="array" ref="D197">INDEX('Prod-uc2-1'!$Q$10:$W$53,1+B197,C197)</f>
        <v/>
      </c>
    </row>
    <row r="198" spans="1:4" x14ac:dyDescent="0.75">
      <c r="A198" s="32">
        <v>170</v>
      </c>
      <c r="B198" s="32">
        <f t="shared" si="4"/>
        <v>24</v>
      </c>
      <c r="C198" s="32">
        <f t="shared" si="5"/>
        <v>2</v>
      </c>
      <c r="D198" s="31" t="str" cm="1">
        <f t="array" ref="D198">INDEX('Prod-uc2-1'!$Q$10:$W$53,1+B198,C198)</f>
        <v/>
      </c>
    </row>
    <row r="199" spans="1:4" x14ac:dyDescent="0.75">
      <c r="A199" s="32">
        <v>171</v>
      </c>
      <c r="B199" s="32">
        <f t="shared" si="4"/>
        <v>24</v>
      </c>
      <c r="C199" s="32">
        <f t="shared" si="5"/>
        <v>3</v>
      </c>
      <c r="D199" s="31" t="str" cm="1">
        <f t="array" ref="D199">INDEX('Prod-uc2-1'!$Q$10:$W$53,1+B199,C199)</f>
        <v/>
      </c>
    </row>
    <row r="200" spans="1:4" x14ac:dyDescent="0.75">
      <c r="A200" s="32">
        <v>172</v>
      </c>
      <c r="B200" s="32">
        <f t="shared" si="4"/>
        <v>24</v>
      </c>
      <c r="C200" s="32">
        <f t="shared" si="5"/>
        <v>4</v>
      </c>
      <c r="D200" s="31" t="str" cm="1">
        <f t="array" ref="D200">INDEX('Prod-uc2-1'!$Q$10:$W$53,1+B200,C200)</f>
        <v/>
      </c>
    </row>
    <row r="201" spans="1:4" x14ac:dyDescent="0.75">
      <c r="A201" s="32">
        <v>173</v>
      </c>
      <c r="B201" s="32">
        <f t="shared" si="4"/>
        <v>24</v>
      </c>
      <c r="C201" s="32">
        <f t="shared" si="5"/>
        <v>5</v>
      </c>
      <c r="D201" s="31" t="str" cm="1">
        <f t="array" ref="D201">INDEX('Prod-uc2-1'!$Q$10:$W$53,1+B201,C201)</f>
        <v/>
      </c>
    </row>
    <row r="202" spans="1:4" x14ac:dyDescent="0.75">
      <c r="A202" s="32">
        <v>174</v>
      </c>
      <c r="B202" s="32">
        <f t="shared" si="4"/>
        <v>24</v>
      </c>
      <c r="C202" s="32">
        <f t="shared" si="5"/>
        <v>6</v>
      </c>
      <c r="D202" s="31" t="str" cm="1">
        <f t="array" ref="D202">INDEX('Prod-uc2-1'!$Q$10:$W$53,1+B202,C202)</f>
        <v/>
      </c>
    </row>
    <row r="203" spans="1:4" x14ac:dyDescent="0.75">
      <c r="A203" s="32">
        <v>175</v>
      </c>
      <c r="B203" s="32">
        <f t="shared" si="4"/>
        <v>24</v>
      </c>
      <c r="C203" s="32">
        <f t="shared" si="5"/>
        <v>7</v>
      </c>
      <c r="D203" s="31" t="str" cm="1">
        <f t="array" ref="D203">INDEX('Prod-uc2-1'!$Q$10:$W$53,1+B203,C203)</f>
        <v/>
      </c>
    </row>
    <row r="204" spans="1:4" x14ac:dyDescent="0.75">
      <c r="A204" s="32">
        <v>176</v>
      </c>
      <c r="B204" s="32">
        <f t="shared" si="4"/>
        <v>25</v>
      </c>
      <c r="C204" s="32">
        <f t="shared" si="5"/>
        <v>1</v>
      </c>
      <c r="D204" s="31" t="str" cm="1">
        <f t="array" ref="D204">INDEX('Prod-uc2-1'!$Q$10:$W$53,1+B204,C204)</f>
        <v/>
      </c>
    </row>
    <row r="205" spans="1:4" x14ac:dyDescent="0.75">
      <c r="A205" s="32">
        <v>177</v>
      </c>
      <c r="B205" s="32">
        <f t="shared" si="4"/>
        <v>25</v>
      </c>
      <c r="C205" s="32">
        <f t="shared" si="5"/>
        <v>2</v>
      </c>
      <c r="D205" s="31" t="str" cm="1">
        <f t="array" ref="D205">INDEX('Prod-uc2-1'!$Q$10:$W$53,1+B205,C205)</f>
        <v/>
      </c>
    </row>
    <row r="206" spans="1:4" x14ac:dyDescent="0.75">
      <c r="A206" s="32">
        <v>178</v>
      </c>
      <c r="B206" s="32">
        <f t="shared" si="4"/>
        <v>25</v>
      </c>
      <c r="C206" s="32">
        <f t="shared" si="5"/>
        <v>3</v>
      </c>
      <c r="D206" s="31" t="str" cm="1">
        <f t="array" ref="D206">INDEX('Prod-uc2-1'!$Q$10:$W$53,1+B206,C206)</f>
        <v/>
      </c>
    </row>
    <row r="207" spans="1:4" x14ac:dyDescent="0.75">
      <c r="A207" s="32">
        <v>179</v>
      </c>
      <c r="B207" s="32">
        <f t="shared" si="4"/>
        <v>25</v>
      </c>
      <c r="C207" s="32">
        <f t="shared" si="5"/>
        <v>4</v>
      </c>
      <c r="D207" s="31" t="str" cm="1">
        <f t="array" ref="D207">INDEX('Prod-uc2-1'!$Q$10:$W$53,1+B207,C207)</f>
        <v/>
      </c>
    </row>
    <row r="208" spans="1:4" x14ac:dyDescent="0.75">
      <c r="A208" s="32">
        <v>180</v>
      </c>
      <c r="B208" s="32">
        <f t="shared" si="4"/>
        <v>25</v>
      </c>
      <c r="C208" s="32">
        <f t="shared" si="5"/>
        <v>5</v>
      </c>
      <c r="D208" s="31" t="str" cm="1">
        <f t="array" ref="D208">INDEX('Prod-uc2-1'!$Q$10:$W$53,1+B208,C208)</f>
        <v/>
      </c>
    </row>
    <row r="209" spans="1:4" x14ac:dyDescent="0.75">
      <c r="A209" s="32">
        <v>181</v>
      </c>
      <c r="B209" s="32">
        <f t="shared" si="4"/>
        <v>25</v>
      </c>
      <c r="C209" s="32">
        <f t="shared" si="5"/>
        <v>6</v>
      </c>
      <c r="D209" s="31" t="str" cm="1">
        <f t="array" ref="D209">INDEX('Prod-uc2-1'!$Q$10:$W$53,1+B209,C209)</f>
        <v/>
      </c>
    </row>
    <row r="210" spans="1:4" x14ac:dyDescent="0.75">
      <c r="A210" s="32">
        <v>182</v>
      </c>
      <c r="B210" s="32">
        <f t="shared" si="4"/>
        <v>25</v>
      </c>
      <c r="C210" s="32">
        <f t="shared" si="5"/>
        <v>7</v>
      </c>
      <c r="D210" s="31" t="str" cm="1">
        <f t="array" ref="D210">INDEX('Prod-uc2-1'!$Q$10:$W$53,1+B210,C210)</f>
        <v/>
      </c>
    </row>
    <row r="211" spans="1:4" x14ac:dyDescent="0.75">
      <c r="A211" s="32">
        <v>183</v>
      </c>
      <c r="B211" s="32">
        <f t="shared" si="4"/>
        <v>26</v>
      </c>
      <c r="C211" s="32">
        <f t="shared" si="5"/>
        <v>1</v>
      </c>
      <c r="D211" s="31" t="str" cm="1">
        <f t="array" ref="D211">INDEX('Prod-uc2-1'!$Q$10:$W$53,1+B211,C211)</f>
        <v/>
      </c>
    </row>
    <row r="212" spans="1:4" x14ac:dyDescent="0.75">
      <c r="A212" s="32">
        <v>184</v>
      </c>
      <c r="B212" s="32">
        <f t="shared" si="4"/>
        <v>26</v>
      </c>
      <c r="C212" s="32">
        <f t="shared" si="5"/>
        <v>2</v>
      </c>
      <c r="D212" s="31" t="str" cm="1">
        <f t="array" ref="D212">INDEX('Prod-uc2-1'!$Q$10:$W$53,1+B212,C212)</f>
        <v/>
      </c>
    </row>
    <row r="213" spans="1:4" x14ac:dyDescent="0.75">
      <c r="A213" s="32">
        <v>185</v>
      </c>
      <c r="B213" s="32">
        <f t="shared" si="4"/>
        <v>26</v>
      </c>
      <c r="C213" s="32">
        <f t="shared" si="5"/>
        <v>3</v>
      </c>
      <c r="D213" s="31" t="str" cm="1">
        <f t="array" ref="D213">INDEX('Prod-uc2-1'!$Q$10:$W$53,1+B213,C213)</f>
        <v/>
      </c>
    </row>
    <row r="214" spans="1:4" x14ac:dyDescent="0.75">
      <c r="A214" s="32">
        <v>186</v>
      </c>
      <c r="B214" s="32">
        <f t="shared" si="4"/>
        <v>26</v>
      </c>
      <c r="C214" s="32">
        <f t="shared" si="5"/>
        <v>4</v>
      </c>
      <c r="D214" s="31" t="str" cm="1">
        <f t="array" ref="D214">INDEX('Prod-uc2-1'!$Q$10:$W$53,1+B214,C214)</f>
        <v/>
      </c>
    </row>
    <row r="215" spans="1:4" x14ac:dyDescent="0.75">
      <c r="A215" s="32">
        <v>187</v>
      </c>
      <c r="B215" s="32">
        <f t="shared" si="4"/>
        <v>26</v>
      </c>
      <c r="C215" s="32">
        <f t="shared" si="5"/>
        <v>5</v>
      </c>
      <c r="D215" s="31" t="str" cm="1">
        <f t="array" ref="D215">INDEX('Prod-uc2-1'!$Q$10:$W$53,1+B215,C215)</f>
        <v/>
      </c>
    </row>
    <row r="216" spans="1:4" x14ac:dyDescent="0.75">
      <c r="A216" s="32">
        <v>188</v>
      </c>
      <c r="B216" s="32">
        <f t="shared" si="4"/>
        <v>26</v>
      </c>
      <c r="C216" s="32">
        <f t="shared" si="5"/>
        <v>6</v>
      </c>
      <c r="D216" s="31" t="str" cm="1">
        <f t="array" ref="D216">INDEX('Prod-uc2-1'!$Q$10:$W$53,1+B216,C216)</f>
        <v/>
      </c>
    </row>
    <row r="217" spans="1:4" x14ac:dyDescent="0.75">
      <c r="A217" s="32">
        <v>189</v>
      </c>
      <c r="B217" s="32">
        <f t="shared" si="4"/>
        <v>26</v>
      </c>
      <c r="C217" s="32">
        <f t="shared" si="5"/>
        <v>7</v>
      </c>
      <c r="D217" s="31" t="str" cm="1">
        <f t="array" ref="D217">INDEX('Prod-uc2-1'!$Q$10:$W$53,1+B217,C217)</f>
        <v/>
      </c>
    </row>
    <row r="218" spans="1:4" x14ac:dyDescent="0.75">
      <c r="A218" s="32">
        <v>190</v>
      </c>
      <c r="B218" s="32">
        <f t="shared" si="4"/>
        <v>27</v>
      </c>
      <c r="C218" s="32">
        <f t="shared" si="5"/>
        <v>1</v>
      </c>
      <c r="D218" s="31" t="str" cm="1">
        <f t="array" ref="D218">INDEX('Prod-uc2-1'!$Q$10:$W$53,1+B218,C218)</f>
        <v/>
      </c>
    </row>
    <row r="219" spans="1:4" x14ac:dyDescent="0.75">
      <c r="A219" s="32">
        <v>191</v>
      </c>
      <c r="B219" s="32">
        <f t="shared" si="4"/>
        <v>27</v>
      </c>
      <c r="C219" s="32">
        <f t="shared" si="5"/>
        <v>2</v>
      </c>
      <c r="D219" s="31" t="str" cm="1">
        <f t="array" ref="D219">INDEX('Prod-uc2-1'!$Q$10:$W$53,1+B219,C219)</f>
        <v/>
      </c>
    </row>
    <row r="220" spans="1:4" x14ac:dyDescent="0.75">
      <c r="A220" s="32">
        <v>192</v>
      </c>
      <c r="B220" s="32">
        <f t="shared" si="4"/>
        <v>27</v>
      </c>
      <c r="C220" s="32">
        <f t="shared" si="5"/>
        <v>3</v>
      </c>
      <c r="D220" s="31" t="str" cm="1">
        <f t="array" ref="D220">INDEX('Prod-uc2-1'!$Q$10:$W$53,1+B220,C220)</f>
        <v/>
      </c>
    </row>
    <row r="221" spans="1:4" x14ac:dyDescent="0.75">
      <c r="A221" s="32">
        <v>193</v>
      </c>
      <c r="B221" s="32">
        <f t="shared" ref="B221:B284" si="6">IF(MOD(A221,$B$6)=0,A221/$B$6-1,INT(A221/$B$6))</f>
        <v>27</v>
      </c>
      <c r="C221" s="32">
        <f t="shared" ref="C221:C284" si="7">IF(MOD(A221,$B$6)=0,$B$6,MOD(A221,$B$6))</f>
        <v>4</v>
      </c>
      <c r="D221" s="31" t="str" cm="1">
        <f t="array" ref="D221">INDEX('Prod-uc2-1'!$Q$10:$W$53,1+B221,C221)</f>
        <v/>
      </c>
    </row>
    <row r="222" spans="1:4" x14ac:dyDescent="0.75">
      <c r="A222" s="32">
        <v>194</v>
      </c>
      <c r="B222" s="32">
        <f t="shared" si="6"/>
        <v>27</v>
      </c>
      <c r="C222" s="32">
        <f t="shared" si="7"/>
        <v>5</v>
      </c>
      <c r="D222" s="31" t="str" cm="1">
        <f t="array" ref="D222">INDEX('Prod-uc2-1'!$Q$10:$W$53,1+B222,C222)</f>
        <v/>
      </c>
    </row>
    <row r="223" spans="1:4" x14ac:dyDescent="0.75">
      <c r="A223" s="32">
        <v>195</v>
      </c>
      <c r="B223" s="32">
        <f t="shared" si="6"/>
        <v>27</v>
      </c>
      <c r="C223" s="32">
        <f t="shared" si="7"/>
        <v>6</v>
      </c>
      <c r="D223" s="31" t="str" cm="1">
        <f t="array" ref="D223">INDEX('Prod-uc2-1'!$Q$10:$W$53,1+B223,C223)</f>
        <v/>
      </c>
    </row>
    <row r="224" spans="1:4" x14ac:dyDescent="0.75">
      <c r="A224" s="32">
        <v>196</v>
      </c>
      <c r="B224" s="32">
        <f t="shared" si="6"/>
        <v>27</v>
      </c>
      <c r="C224" s="32">
        <f t="shared" si="7"/>
        <v>7</v>
      </c>
      <c r="D224" s="31" t="str" cm="1">
        <f t="array" ref="D224">INDEX('Prod-uc2-1'!$Q$10:$W$53,1+B224,C224)</f>
        <v/>
      </c>
    </row>
    <row r="225" spans="1:4" x14ac:dyDescent="0.75">
      <c r="A225" s="32">
        <v>197</v>
      </c>
      <c r="B225" s="32">
        <f t="shared" si="6"/>
        <v>28</v>
      </c>
      <c r="C225" s="32">
        <f t="shared" si="7"/>
        <v>1</v>
      </c>
      <c r="D225" s="31" t="str" cm="1">
        <f t="array" ref="D225">INDEX('Prod-uc2-1'!$Q$10:$W$53,1+B225,C225)</f>
        <v/>
      </c>
    </row>
    <row r="226" spans="1:4" x14ac:dyDescent="0.75">
      <c r="A226" s="32">
        <v>198</v>
      </c>
      <c r="B226" s="32">
        <f t="shared" si="6"/>
        <v>28</v>
      </c>
      <c r="C226" s="32">
        <f t="shared" si="7"/>
        <v>2</v>
      </c>
      <c r="D226" s="31" t="str" cm="1">
        <f t="array" ref="D226">INDEX('Prod-uc2-1'!$Q$10:$W$53,1+B226,C226)</f>
        <v/>
      </c>
    </row>
    <row r="227" spans="1:4" x14ac:dyDescent="0.75">
      <c r="A227" s="32">
        <v>199</v>
      </c>
      <c r="B227" s="32">
        <f t="shared" si="6"/>
        <v>28</v>
      </c>
      <c r="C227" s="32">
        <f t="shared" si="7"/>
        <v>3</v>
      </c>
      <c r="D227" s="31" t="str" cm="1">
        <f t="array" ref="D227">INDEX('Prod-uc2-1'!$Q$10:$W$53,1+B227,C227)</f>
        <v/>
      </c>
    </row>
    <row r="228" spans="1:4" x14ac:dyDescent="0.75">
      <c r="A228" s="32">
        <v>200</v>
      </c>
      <c r="B228" s="32">
        <f t="shared" si="6"/>
        <v>28</v>
      </c>
      <c r="C228" s="32">
        <f t="shared" si="7"/>
        <v>4</v>
      </c>
      <c r="D228" s="31" t="str" cm="1">
        <f t="array" ref="D228">INDEX('Prod-uc2-1'!$Q$10:$W$53,1+B228,C228)</f>
        <v/>
      </c>
    </row>
    <row r="229" spans="1:4" x14ac:dyDescent="0.75">
      <c r="A229" s="32">
        <v>201</v>
      </c>
      <c r="B229" s="32">
        <f t="shared" si="6"/>
        <v>28</v>
      </c>
      <c r="C229" s="32">
        <f t="shared" si="7"/>
        <v>5</v>
      </c>
      <c r="D229" s="31" t="str" cm="1">
        <f t="array" ref="D229">INDEX('Prod-uc2-1'!$Q$10:$W$53,1+B229,C229)</f>
        <v/>
      </c>
    </row>
    <row r="230" spans="1:4" x14ac:dyDescent="0.75">
      <c r="A230" s="32">
        <v>202</v>
      </c>
      <c r="B230" s="32">
        <f t="shared" si="6"/>
        <v>28</v>
      </c>
      <c r="C230" s="32">
        <f t="shared" si="7"/>
        <v>6</v>
      </c>
      <c r="D230" s="31" t="str" cm="1">
        <f t="array" ref="D230">INDEX('Prod-uc2-1'!$Q$10:$W$53,1+B230,C230)</f>
        <v/>
      </c>
    </row>
    <row r="231" spans="1:4" x14ac:dyDescent="0.75">
      <c r="A231" s="32">
        <v>203</v>
      </c>
      <c r="B231" s="32">
        <f t="shared" si="6"/>
        <v>28</v>
      </c>
      <c r="C231" s="32">
        <f t="shared" si="7"/>
        <v>7</v>
      </c>
      <c r="D231" s="31" t="str" cm="1">
        <f t="array" ref="D231">INDEX('Prod-uc2-1'!$Q$10:$W$53,1+B231,C231)</f>
        <v/>
      </c>
    </row>
    <row r="232" spans="1:4" x14ac:dyDescent="0.75">
      <c r="A232" s="32">
        <v>204</v>
      </c>
      <c r="B232" s="32">
        <f t="shared" si="6"/>
        <v>29</v>
      </c>
      <c r="C232" s="32">
        <f t="shared" si="7"/>
        <v>1</v>
      </c>
      <c r="D232" s="31" t="str" cm="1">
        <f t="array" ref="D232">INDEX('Prod-uc2-1'!$Q$10:$W$53,1+B232,C232)</f>
        <v/>
      </c>
    </row>
    <row r="233" spans="1:4" x14ac:dyDescent="0.75">
      <c r="A233" s="32">
        <v>205</v>
      </c>
      <c r="B233" s="32">
        <f t="shared" si="6"/>
        <v>29</v>
      </c>
      <c r="C233" s="32">
        <f t="shared" si="7"/>
        <v>2</v>
      </c>
      <c r="D233" s="31" t="str" cm="1">
        <f t="array" ref="D233">INDEX('Prod-uc2-1'!$Q$10:$W$53,1+B233,C233)</f>
        <v/>
      </c>
    </row>
    <row r="234" spans="1:4" x14ac:dyDescent="0.75">
      <c r="A234" s="32">
        <v>206</v>
      </c>
      <c r="B234" s="32">
        <f t="shared" si="6"/>
        <v>29</v>
      </c>
      <c r="C234" s="32">
        <f t="shared" si="7"/>
        <v>3</v>
      </c>
      <c r="D234" s="31" t="str" cm="1">
        <f t="array" ref="D234">INDEX('Prod-uc2-1'!$Q$10:$W$53,1+B234,C234)</f>
        <v/>
      </c>
    </row>
    <row r="235" spans="1:4" x14ac:dyDescent="0.75">
      <c r="A235" s="32">
        <v>207</v>
      </c>
      <c r="B235" s="32">
        <f t="shared" si="6"/>
        <v>29</v>
      </c>
      <c r="C235" s="32">
        <f t="shared" si="7"/>
        <v>4</v>
      </c>
      <c r="D235" s="31" t="str" cm="1">
        <f t="array" ref="D235">INDEX('Prod-uc2-1'!$Q$10:$W$53,1+B235,C235)</f>
        <v/>
      </c>
    </row>
    <row r="236" spans="1:4" x14ac:dyDescent="0.75">
      <c r="A236" s="32">
        <v>208</v>
      </c>
      <c r="B236" s="32">
        <f t="shared" si="6"/>
        <v>29</v>
      </c>
      <c r="C236" s="32">
        <f t="shared" si="7"/>
        <v>5</v>
      </c>
      <c r="D236" s="31" t="str" cm="1">
        <f t="array" ref="D236">INDEX('Prod-uc2-1'!$Q$10:$W$53,1+B236,C236)</f>
        <v/>
      </c>
    </row>
    <row r="237" spans="1:4" x14ac:dyDescent="0.75">
      <c r="A237" s="32">
        <v>209</v>
      </c>
      <c r="B237" s="32">
        <f t="shared" si="6"/>
        <v>29</v>
      </c>
      <c r="C237" s="32">
        <f t="shared" si="7"/>
        <v>6</v>
      </c>
      <c r="D237" s="31" t="str" cm="1">
        <f t="array" ref="D237">INDEX('Prod-uc2-1'!$Q$10:$W$53,1+B237,C237)</f>
        <v/>
      </c>
    </row>
    <row r="238" spans="1:4" x14ac:dyDescent="0.75">
      <c r="A238" s="32">
        <v>210</v>
      </c>
      <c r="B238" s="32">
        <f t="shared" si="6"/>
        <v>29</v>
      </c>
      <c r="C238" s="32">
        <f t="shared" si="7"/>
        <v>7</v>
      </c>
      <c r="D238" s="31" t="str" cm="1">
        <f t="array" ref="D238">INDEX('Prod-uc2-1'!$Q$10:$W$53,1+B238,C238)</f>
        <v/>
      </c>
    </row>
    <row r="239" spans="1:4" x14ac:dyDescent="0.75">
      <c r="A239" s="32">
        <v>211</v>
      </c>
      <c r="B239" s="32">
        <f t="shared" si="6"/>
        <v>30</v>
      </c>
      <c r="C239" s="32">
        <f t="shared" si="7"/>
        <v>1</v>
      </c>
      <c r="D239" s="31" t="str" cm="1">
        <f t="array" ref="D239">INDEX('Prod-uc2-1'!$Q$10:$W$53,1+B239,C239)</f>
        <v/>
      </c>
    </row>
    <row r="240" spans="1:4" x14ac:dyDescent="0.75">
      <c r="A240" s="32">
        <v>212</v>
      </c>
      <c r="B240" s="32">
        <f t="shared" si="6"/>
        <v>30</v>
      </c>
      <c r="C240" s="32">
        <f t="shared" si="7"/>
        <v>2</v>
      </c>
      <c r="D240" s="31" t="str" cm="1">
        <f t="array" ref="D240">INDEX('Prod-uc2-1'!$Q$10:$W$53,1+B240,C240)</f>
        <v/>
      </c>
    </row>
    <row r="241" spans="1:4" x14ac:dyDescent="0.75">
      <c r="A241" s="32">
        <v>213</v>
      </c>
      <c r="B241" s="32">
        <f t="shared" si="6"/>
        <v>30</v>
      </c>
      <c r="C241" s="32">
        <f t="shared" si="7"/>
        <v>3</v>
      </c>
      <c r="D241" s="31" t="str" cm="1">
        <f t="array" ref="D241">INDEX('Prod-uc2-1'!$Q$10:$W$53,1+B241,C241)</f>
        <v/>
      </c>
    </row>
    <row r="242" spans="1:4" x14ac:dyDescent="0.75">
      <c r="A242" s="32">
        <v>214</v>
      </c>
      <c r="B242" s="32">
        <f t="shared" si="6"/>
        <v>30</v>
      </c>
      <c r="C242" s="32">
        <f t="shared" si="7"/>
        <v>4</v>
      </c>
      <c r="D242" s="31" t="str" cm="1">
        <f t="array" ref="D242">INDEX('Prod-uc2-1'!$Q$10:$W$53,1+B242,C242)</f>
        <v/>
      </c>
    </row>
    <row r="243" spans="1:4" x14ac:dyDescent="0.75">
      <c r="A243" s="32">
        <v>215</v>
      </c>
      <c r="B243" s="32">
        <f t="shared" si="6"/>
        <v>30</v>
      </c>
      <c r="C243" s="32">
        <f t="shared" si="7"/>
        <v>5</v>
      </c>
      <c r="D243" s="31" t="str" cm="1">
        <f t="array" ref="D243">INDEX('Prod-uc2-1'!$Q$10:$W$53,1+B243,C243)</f>
        <v/>
      </c>
    </row>
    <row r="244" spans="1:4" x14ac:dyDescent="0.75">
      <c r="A244" s="32">
        <v>216</v>
      </c>
      <c r="B244" s="32">
        <f t="shared" si="6"/>
        <v>30</v>
      </c>
      <c r="C244" s="32">
        <f t="shared" si="7"/>
        <v>6</v>
      </c>
      <c r="D244" s="31" t="str" cm="1">
        <f t="array" ref="D244">INDEX('Prod-uc2-1'!$Q$10:$W$53,1+B244,C244)</f>
        <v/>
      </c>
    </row>
    <row r="245" spans="1:4" x14ac:dyDescent="0.75">
      <c r="A245" s="32">
        <v>217</v>
      </c>
      <c r="B245" s="32">
        <f t="shared" si="6"/>
        <v>30</v>
      </c>
      <c r="C245" s="32">
        <f t="shared" si="7"/>
        <v>7</v>
      </c>
      <c r="D245" s="31" t="str" cm="1">
        <f t="array" ref="D245">INDEX('Prod-uc2-1'!$Q$10:$W$53,1+B245,C245)</f>
        <v/>
      </c>
    </row>
    <row r="246" spans="1:4" x14ac:dyDescent="0.75">
      <c r="A246" s="32">
        <v>218</v>
      </c>
      <c r="B246" s="32">
        <f t="shared" si="6"/>
        <v>31</v>
      </c>
      <c r="C246" s="32">
        <f t="shared" si="7"/>
        <v>1</v>
      </c>
      <c r="D246" s="31" t="str" cm="1">
        <f t="array" ref="D246">INDEX('Prod-uc2-1'!$Q$10:$W$53,1+B246,C246)</f>
        <v/>
      </c>
    </row>
    <row r="247" spans="1:4" x14ac:dyDescent="0.75">
      <c r="A247" s="32">
        <v>219</v>
      </c>
      <c r="B247" s="32">
        <f t="shared" si="6"/>
        <v>31</v>
      </c>
      <c r="C247" s="32">
        <f t="shared" si="7"/>
        <v>2</v>
      </c>
      <c r="D247" s="31" t="str" cm="1">
        <f t="array" ref="D247">INDEX('Prod-uc2-1'!$Q$10:$W$53,1+B247,C247)</f>
        <v/>
      </c>
    </row>
    <row r="248" spans="1:4" x14ac:dyDescent="0.75">
      <c r="A248" s="32">
        <v>220</v>
      </c>
      <c r="B248" s="32">
        <f t="shared" si="6"/>
        <v>31</v>
      </c>
      <c r="C248" s="32">
        <f t="shared" si="7"/>
        <v>3</v>
      </c>
      <c r="D248" s="31" t="str" cm="1">
        <f t="array" ref="D248">INDEX('Prod-uc2-1'!$Q$10:$W$53,1+B248,C248)</f>
        <v/>
      </c>
    </row>
    <row r="249" spans="1:4" x14ac:dyDescent="0.75">
      <c r="A249" s="32">
        <v>221</v>
      </c>
      <c r="B249" s="32">
        <f t="shared" si="6"/>
        <v>31</v>
      </c>
      <c r="C249" s="32">
        <f t="shared" si="7"/>
        <v>4</v>
      </c>
      <c r="D249" s="31" t="str" cm="1">
        <f t="array" ref="D249">INDEX('Prod-uc2-1'!$Q$10:$W$53,1+B249,C249)</f>
        <v/>
      </c>
    </row>
    <row r="250" spans="1:4" x14ac:dyDescent="0.75">
      <c r="A250" s="32">
        <v>222</v>
      </c>
      <c r="B250" s="32">
        <f t="shared" si="6"/>
        <v>31</v>
      </c>
      <c r="C250" s="32">
        <f t="shared" si="7"/>
        <v>5</v>
      </c>
      <c r="D250" s="31" t="str" cm="1">
        <f t="array" ref="D250">INDEX('Prod-uc2-1'!$Q$10:$W$53,1+B250,C250)</f>
        <v/>
      </c>
    </row>
    <row r="251" spans="1:4" x14ac:dyDescent="0.75">
      <c r="A251" s="32">
        <v>223</v>
      </c>
      <c r="B251" s="32">
        <f t="shared" si="6"/>
        <v>31</v>
      </c>
      <c r="C251" s="32">
        <f t="shared" si="7"/>
        <v>6</v>
      </c>
      <c r="D251" s="31" t="str" cm="1">
        <f t="array" ref="D251">INDEX('Prod-uc2-1'!$Q$10:$W$53,1+B251,C251)</f>
        <v/>
      </c>
    </row>
    <row r="252" spans="1:4" x14ac:dyDescent="0.75">
      <c r="A252" s="32">
        <v>224</v>
      </c>
      <c r="B252" s="32">
        <f t="shared" si="6"/>
        <v>31</v>
      </c>
      <c r="C252" s="32">
        <f t="shared" si="7"/>
        <v>7</v>
      </c>
      <c r="D252" s="31" t="str" cm="1">
        <f t="array" ref="D252">INDEX('Prod-uc2-1'!$Q$10:$W$53,1+B252,C252)</f>
        <v/>
      </c>
    </row>
    <row r="253" spans="1:4" x14ac:dyDescent="0.75">
      <c r="A253" s="32">
        <v>225</v>
      </c>
      <c r="B253" s="32">
        <f t="shared" si="6"/>
        <v>32</v>
      </c>
      <c r="C253" s="32">
        <f t="shared" si="7"/>
        <v>1</v>
      </c>
      <c r="D253" s="31" t="str" cm="1">
        <f t="array" ref="D253">INDEX('Prod-uc2-1'!$Q$10:$W$53,1+B253,C253)</f>
        <v/>
      </c>
    </row>
    <row r="254" spans="1:4" x14ac:dyDescent="0.75">
      <c r="A254" s="32">
        <v>226</v>
      </c>
      <c r="B254" s="32">
        <f t="shared" si="6"/>
        <v>32</v>
      </c>
      <c r="C254" s="32">
        <f t="shared" si="7"/>
        <v>2</v>
      </c>
      <c r="D254" s="31" t="str" cm="1">
        <f t="array" ref="D254">INDEX('Prod-uc2-1'!$Q$10:$W$53,1+B254,C254)</f>
        <v/>
      </c>
    </row>
    <row r="255" spans="1:4" x14ac:dyDescent="0.75">
      <c r="A255" s="32">
        <v>227</v>
      </c>
      <c r="B255" s="32">
        <f t="shared" si="6"/>
        <v>32</v>
      </c>
      <c r="C255" s="32">
        <f t="shared" si="7"/>
        <v>3</v>
      </c>
      <c r="D255" s="31" t="str" cm="1">
        <f t="array" ref="D255">INDEX('Prod-uc2-1'!$Q$10:$W$53,1+B255,C255)</f>
        <v/>
      </c>
    </row>
    <row r="256" spans="1:4" x14ac:dyDescent="0.75">
      <c r="A256" s="32">
        <v>228</v>
      </c>
      <c r="B256" s="32">
        <f t="shared" si="6"/>
        <v>32</v>
      </c>
      <c r="C256" s="32">
        <f t="shared" si="7"/>
        <v>4</v>
      </c>
      <c r="D256" s="31" t="str" cm="1">
        <f t="array" ref="D256">INDEX('Prod-uc2-1'!$Q$10:$W$53,1+B256,C256)</f>
        <v/>
      </c>
    </row>
    <row r="257" spans="1:4" x14ac:dyDescent="0.75">
      <c r="A257" s="32">
        <v>229</v>
      </c>
      <c r="B257" s="32">
        <f t="shared" si="6"/>
        <v>32</v>
      </c>
      <c r="C257" s="32">
        <f t="shared" si="7"/>
        <v>5</v>
      </c>
      <c r="D257" s="31" t="str" cm="1">
        <f t="array" ref="D257">INDEX('Prod-uc2-1'!$Q$10:$W$53,1+B257,C257)</f>
        <v/>
      </c>
    </row>
    <row r="258" spans="1:4" x14ac:dyDescent="0.75">
      <c r="A258" s="32">
        <v>230</v>
      </c>
      <c r="B258" s="32">
        <f t="shared" si="6"/>
        <v>32</v>
      </c>
      <c r="C258" s="32">
        <f t="shared" si="7"/>
        <v>6</v>
      </c>
      <c r="D258" s="31" t="str" cm="1">
        <f t="array" ref="D258">INDEX('Prod-uc2-1'!$Q$10:$W$53,1+B258,C258)</f>
        <v/>
      </c>
    </row>
    <row r="259" spans="1:4" x14ac:dyDescent="0.75">
      <c r="A259" s="32">
        <v>231</v>
      </c>
      <c r="B259" s="32">
        <f t="shared" si="6"/>
        <v>32</v>
      </c>
      <c r="C259" s="32">
        <f t="shared" si="7"/>
        <v>7</v>
      </c>
      <c r="D259" s="31" t="str" cm="1">
        <f t="array" ref="D259">INDEX('Prod-uc2-1'!$Q$10:$W$53,1+B259,C259)</f>
        <v/>
      </c>
    </row>
    <row r="260" spans="1:4" x14ac:dyDescent="0.75">
      <c r="A260" s="32">
        <v>232</v>
      </c>
      <c r="B260" s="32">
        <f t="shared" si="6"/>
        <v>33</v>
      </c>
      <c r="C260" s="32">
        <f t="shared" si="7"/>
        <v>1</v>
      </c>
      <c r="D260" s="31" t="str" cm="1">
        <f t="array" ref="D260">INDEX('Prod-uc2-1'!$Q$10:$W$53,1+B260,C260)</f>
        <v/>
      </c>
    </row>
    <row r="261" spans="1:4" x14ac:dyDescent="0.75">
      <c r="A261" s="32">
        <v>233</v>
      </c>
      <c r="B261" s="32">
        <f t="shared" si="6"/>
        <v>33</v>
      </c>
      <c r="C261" s="32">
        <f t="shared" si="7"/>
        <v>2</v>
      </c>
      <c r="D261" s="31" t="str" cm="1">
        <f t="array" ref="D261">INDEX('Prod-uc2-1'!$Q$10:$W$53,1+B261,C261)</f>
        <v/>
      </c>
    </row>
    <row r="262" spans="1:4" x14ac:dyDescent="0.75">
      <c r="A262" s="32">
        <v>234</v>
      </c>
      <c r="B262" s="32">
        <f t="shared" si="6"/>
        <v>33</v>
      </c>
      <c r="C262" s="32">
        <f t="shared" si="7"/>
        <v>3</v>
      </c>
      <c r="D262" s="31" t="str" cm="1">
        <f t="array" ref="D262">INDEX('Prod-uc2-1'!$Q$10:$W$53,1+B262,C262)</f>
        <v/>
      </c>
    </row>
    <row r="263" spans="1:4" x14ac:dyDescent="0.75">
      <c r="A263" s="32">
        <v>235</v>
      </c>
      <c r="B263" s="32">
        <f t="shared" si="6"/>
        <v>33</v>
      </c>
      <c r="C263" s="32">
        <f t="shared" si="7"/>
        <v>4</v>
      </c>
      <c r="D263" s="31" t="str" cm="1">
        <f t="array" ref="D263">INDEX('Prod-uc2-1'!$Q$10:$W$53,1+B263,C263)</f>
        <v/>
      </c>
    </row>
    <row r="264" spans="1:4" x14ac:dyDescent="0.75">
      <c r="A264" s="32">
        <v>236</v>
      </c>
      <c r="B264" s="32">
        <f t="shared" si="6"/>
        <v>33</v>
      </c>
      <c r="C264" s="32">
        <f t="shared" si="7"/>
        <v>5</v>
      </c>
      <c r="D264" s="31" t="str" cm="1">
        <f t="array" ref="D264">INDEX('Prod-uc2-1'!$Q$10:$W$53,1+B264,C264)</f>
        <v/>
      </c>
    </row>
    <row r="265" spans="1:4" x14ac:dyDescent="0.75">
      <c r="A265" s="32">
        <v>237</v>
      </c>
      <c r="B265" s="32">
        <f t="shared" si="6"/>
        <v>33</v>
      </c>
      <c r="C265" s="32">
        <f t="shared" si="7"/>
        <v>6</v>
      </c>
      <c r="D265" s="31" cm="1">
        <f t="array" ref="D265">INDEX('Prod-uc2-1'!$Q$10:$W$53,1+B265,C265)</f>
        <v>0</v>
      </c>
    </row>
    <row r="266" spans="1:4" x14ac:dyDescent="0.75">
      <c r="A266" s="32">
        <v>238</v>
      </c>
      <c r="B266" s="32">
        <f t="shared" si="6"/>
        <v>33</v>
      </c>
      <c r="C266" s="32">
        <f t="shared" si="7"/>
        <v>7</v>
      </c>
      <c r="D266" s="31" t="str" cm="1">
        <f t="array" ref="D266">INDEX('Prod-uc2-1'!$Q$10:$W$53,1+B266,C266)</f>
        <v/>
      </c>
    </row>
    <row r="267" spans="1:4" x14ac:dyDescent="0.75">
      <c r="A267" s="32">
        <v>239</v>
      </c>
      <c r="B267" s="32">
        <f t="shared" si="6"/>
        <v>34</v>
      </c>
      <c r="C267" s="32">
        <f t="shared" si="7"/>
        <v>1</v>
      </c>
      <c r="D267" s="31" t="str" cm="1">
        <f t="array" ref="D267">INDEX('Prod-uc2-1'!$Q$10:$W$53,1+B267,C267)</f>
        <v/>
      </c>
    </row>
    <row r="268" spans="1:4" x14ac:dyDescent="0.75">
      <c r="A268" s="32">
        <v>240</v>
      </c>
      <c r="B268" s="32">
        <f t="shared" si="6"/>
        <v>34</v>
      </c>
      <c r="C268" s="32">
        <f t="shared" si="7"/>
        <v>2</v>
      </c>
      <c r="D268" s="31" t="str" cm="1">
        <f t="array" ref="D268">INDEX('Prod-uc2-1'!$Q$10:$W$53,1+B268,C268)</f>
        <v/>
      </c>
    </row>
    <row r="269" spans="1:4" x14ac:dyDescent="0.75">
      <c r="A269" s="32">
        <v>241</v>
      </c>
      <c r="B269" s="32">
        <f t="shared" si="6"/>
        <v>34</v>
      </c>
      <c r="C269" s="32">
        <f t="shared" si="7"/>
        <v>3</v>
      </c>
      <c r="D269" s="31" t="str" cm="1">
        <f t="array" ref="D269">INDEX('Prod-uc2-1'!$Q$10:$W$53,1+B269,C269)</f>
        <v/>
      </c>
    </row>
    <row r="270" spans="1:4" x14ac:dyDescent="0.75">
      <c r="A270" s="32">
        <v>242</v>
      </c>
      <c r="B270" s="32">
        <f t="shared" si="6"/>
        <v>34</v>
      </c>
      <c r="C270" s="32">
        <f t="shared" si="7"/>
        <v>4</v>
      </c>
      <c r="D270" s="31" t="str" cm="1">
        <f t="array" ref="D270">INDEX('Prod-uc2-1'!$Q$10:$W$53,1+B270,C270)</f>
        <v/>
      </c>
    </row>
    <row r="271" spans="1:4" x14ac:dyDescent="0.75">
      <c r="A271" s="32">
        <v>243</v>
      </c>
      <c r="B271" s="32">
        <f t="shared" si="6"/>
        <v>34</v>
      </c>
      <c r="C271" s="32">
        <f t="shared" si="7"/>
        <v>5</v>
      </c>
      <c r="D271" s="31" t="str" cm="1">
        <f t="array" ref="D271">INDEX('Prod-uc2-1'!$Q$10:$W$53,1+B271,C271)</f>
        <v/>
      </c>
    </row>
    <row r="272" spans="1:4" x14ac:dyDescent="0.75">
      <c r="A272" s="32">
        <v>244</v>
      </c>
      <c r="B272" s="32">
        <f t="shared" si="6"/>
        <v>34</v>
      </c>
      <c r="C272" s="32">
        <f t="shared" si="7"/>
        <v>6</v>
      </c>
      <c r="D272" s="31" cm="1">
        <f t="array" ref="D272">INDEX('Prod-uc2-1'!$Q$10:$W$53,1+B272,C272)</f>
        <v>0</v>
      </c>
    </row>
    <row r="273" spans="1:4" x14ac:dyDescent="0.75">
      <c r="A273" s="32">
        <v>245</v>
      </c>
      <c r="B273" s="32">
        <f t="shared" si="6"/>
        <v>34</v>
      </c>
      <c r="C273" s="32">
        <f t="shared" si="7"/>
        <v>7</v>
      </c>
      <c r="D273" s="31" t="str" cm="1">
        <f t="array" ref="D273">INDEX('Prod-uc2-1'!$Q$10:$W$53,1+B273,C273)</f>
        <v/>
      </c>
    </row>
    <row r="274" spans="1:4" x14ac:dyDescent="0.75">
      <c r="A274" s="32">
        <v>246</v>
      </c>
      <c r="B274" s="32">
        <f t="shared" si="6"/>
        <v>35</v>
      </c>
      <c r="C274" s="32">
        <f t="shared" si="7"/>
        <v>1</v>
      </c>
      <c r="D274" s="31" cm="1">
        <f t="array" ref="D274">INDEX('Prod-uc2-1'!$Q$10:$W$53,1+B274,C274)</f>
        <v>0</v>
      </c>
    </row>
    <row r="275" spans="1:4" x14ac:dyDescent="0.75">
      <c r="A275" s="32">
        <v>247</v>
      </c>
      <c r="B275" s="32">
        <f t="shared" si="6"/>
        <v>35</v>
      </c>
      <c r="C275" s="32">
        <f t="shared" si="7"/>
        <v>2</v>
      </c>
      <c r="D275" s="31" cm="1">
        <f t="array" ref="D275">INDEX('Prod-uc2-1'!$Q$10:$W$53,1+B275,C275)</f>
        <v>0</v>
      </c>
    </row>
    <row r="276" spans="1:4" x14ac:dyDescent="0.75">
      <c r="A276" s="32">
        <v>248</v>
      </c>
      <c r="B276" s="32">
        <f t="shared" si="6"/>
        <v>35</v>
      </c>
      <c r="C276" s="32">
        <f t="shared" si="7"/>
        <v>3</v>
      </c>
      <c r="D276" s="31" t="str" cm="1">
        <f t="array" ref="D276">INDEX('Prod-uc2-1'!$Q$10:$W$53,1+B276,C276)</f>
        <v/>
      </c>
    </row>
    <row r="277" spans="1:4" x14ac:dyDescent="0.75">
      <c r="A277" s="32">
        <v>249</v>
      </c>
      <c r="B277" s="32">
        <f t="shared" si="6"/>
        <v>35</v>
      </c>
      <c r="C277" s="32">
        <f t="shared" si="7"/>
        <v>4</v>
      </c>
      <c r="D277" s="31" t="str" cm="1">
        <f t="array" ref="D277">INDEX('Prod-uc2-1'!$Q$10:$W$53,1+B277,C277)</f>
        <v/>
      </c>
    </row>
    <row r="278" spans="1:4" x14ac:dyDescent="0.75">
      <c r="A278" s="32">
        <v>250</v>
      </c>
      <c r="B278" s="32">
        <f t="shared" si="6"/>
        <v>35</v>
      </c>
      <c r="C278" s="32">
        <f t="shared" si="7"/>
        <v>5</v>
      </c>
      <c r="D278" s="31" t="str" cm="1">
        <f t="array" ref="D278">INDEX('Prod-uc2-1'!$Q$10:$W$53,1+B278,C278)</f>
        <v/>
      </c>
    </row>
    <row r="279" spans="1:4" x14ac:dyDescent="0.75">
      <c r="A279" s="32">
        <v>251</v>
      </c>
      <c r="B279" s="32">
        <f t="shared" si="6"/>
        <v>35</v>
      </c>
      <c r="C279" s="32">
        <f t="shared" si="7"/>
        <v>6</v>
      </c>
      <c r="D279" s="31" cm="1">
        <f t="array" ref="D279">INDEX('Prod-uc2-1'!$Q$10:$W$53,1+B279,C279)</f>
        <v>0</v>
      </c>
    </row>
    <row r="280" spans="1:4" x14ac:dyDescent="0.75">
      <c r="A280" s="32">
        <v>252</v>
      </c>
      <c r="B280" s="32">
        <f t="shared" si="6"/>
        <v>35</v>
      </c>
      <c r="C280" s="32">
        <f t="shared" si="7"/>
        <v>7</v>
      </c>
      <c r="D280" s="31" t="str" cm="1">
        <f t="array" ref="D280">INDEX('Prod-uc2-1'!$Q$10:$W$53,1+B280,C280)</f>
        <v/>
      </c>
    </row>
    <row r="281" spans="1:4" x14ac:dyDescent="0.75">
      <c r="A281" s="32">
        <v>253</v>
      </c>
      <c r="B281" s="32">
        <f t="shared" si="6"/>
        <v>36</v>
      </c>
      <c r="C281" s="32">
        <f t="shared" si="7"/>
        <v>1</v>
      </c>
      <c r="D281" s="31" cm="1">
        <f t="array" ref="D281">INDEX('Prod-uc2-1'!$Q$10:$W$53,1+B281,C281)</f>
        <v>0</v>
      </c>
    </row>
    <row r="282" spans="1:4" x14ac:dyDescent="0.75">
      <c r="A282" s="32">
        <v>254</v>
      </c>
      <c r="B282" s="32">
        <f t="shared" si="6"/>
        <v>36</v>
      </c>
      <c r="C282" s="32">
        <f t="shared" si="7"/>
        <v>2</v>
      </c>
      <c r="D282" s="31" cm="1">
        <f t="array" ref="D282">INDEX('Prod-uc2-1'!$Q$10:$W$53,1+B282,C282)</f>
        <v>0</v>
      </c>
    </row>
    <row r="283" spans="1:4" x14ac:dyDescent="0.75">
      <c r="A283" s="32">
        <v>255</v>
      </c>
      <c r="B283" s="32">
        <f t="shared" si="6"/>
        <v>36</v>
      </c>
      <c r="C283" s="32">
        <f t="shared" si="7"/>
        <v>3</v>
      </c>
      <c r="D283" s="31" t="str" cm="1">
        <f t="array" ref="D283">INDEX('Prod-uc2-1'!$Q$10:$W$53,1+B283,C283)</f>
        <v/>
      </c>
    </row>
    <row r="284" spans="1:4" x14ac:dyDescent="0.75">
      <c r="A284" s="32">
        <v>256</v>
      </c>
      <c r="B284" s="32">
        <f t="shared" si="6"/>
        <v>36</v>
      </c>
      <c r="C284" s="32">
        <f t="shared" si="7"/>
        <v>4</v>
      </c>
      <c r="D284" s="31" t="str" cm="1">
        <f t="array" ref="D284">INDEX('Prod-uc2-1'!$Q$10:$W$53,1+B284,C284)</f>
        <v/>
      </c>
    </row>
    <row r="285" spans="1:4" x14ac:dyDescent="0.75">
      <c r="A285" s="32">
        <v>257</v>
      </c>
      <c r="B285" s="32">
        <f t="shared" ref="B285:B348" si="8">IF(MOD(A285,$B$6)=0,A285/$B$6-1,INT(A285/$B$6))</f>
        <v>36</v>
      </c>
      <c r="C285" s="32">
        <f t="shared" ref="C285:C348" si="9">IF(MOD(A285,$B$6)=0,$B$6,MOD(A285,$B$6))</f>
        <v>5</v>
      </c>
      <c r="D285" s="31" t="str" cm="1">
        <f t="array" ref="D285">INDEX('Prod-uc2-1'!$Q$10:$W$53,1+B285,C285)</f>
        <v/>
      </c>
    </row>
    <row r="286" spans="1:4" x14ac:dyDescent="0.75">
      <c r="A286" s="32">
        <v>258</v>
      </c>
      <c r="B286" s="32">
        <f t="shared" si="8"/>
        <v>36</v>
      </c>
      <c r="C286" s="32">
        <f t="shared" si="9"/>
        <v>6</v>
      </c>
      <c r="D286" s="31" cm="1">
        <f t="array" ref="D286">INDEX('Prod-uc2-1'!$Q$10:$W$53,1+B286,C286)</f>
        <v>0</v>
      </c>
    </row>
    <row r="287" spans="1:4" x14ac:dyDescent="0.75">
      <c r="A287" s="32">
        <v>259</v>
      </c>
      <c r="B287" s="32">
        <f t="shared" si="8"/>
        <v>36</v>
      </c>
      <c r="C287" s="32">
        <f t="shared" si="9"/>
        <v>7</v>
      </c>
      <c r="D287" s="31" t="str" cm="1">
        <f t="array" ref="D287">INDEX('Prod-uc2-1'!$Q$10:$W$53,1+B287,C287)</f>
        <v/>
      </c>
    </row>
    <row r="288" spans="1:4" x14ac:dyDescent="0.75">
      <c r="A288" s="32">
        <v>260</v>
      </c>
      <c r="B288" s="32">
        <f t="shared" si="8"/>
        <v>37</v>
      </c>
      <c r="C288" s="32">
        <f t="shared" si="9"/>
        <v>1</v>
      </c>
      <c r="D288" s="31" cm="1">
        <f t="array" ref="D288">INDEX('Prod-uc2-1'!$Q$10:$W$53,1+B288,C288)</f>
        <v>0</v>
      </c>
    </row>
    <row r="289" spans="1:4" x14ac:dyDescent="0.75">
      <c r="A289" s="32">
        <v>261</v>
      </c>
      <c r="B289" s="32">
        <f t="shared" si="8"/>
        <v>37</v>
      </c>
      <c r="C289" s="32">
        <f t="shared" si="9"/>
        <v>2</v>
      </c>
      <c r="D289" s="31" cm="1">
        <f t="array" ref="D289">INDEX('Prod-uc2-1'!$Q$10:$W$53,1+B289,C289)</f>
        <v>0</v>
      </c>
    </row>
    <row r="290" spans="1:4" x14ac:dyDescent="0.75">
      <c r="A290" s="32">
        <v>262</v>
      </c>
      <c r="B290" s="32">
        <f t="shared" si="8"/>
        <v>37</v>
      </c>
      <c r="C290" s="32">
        <f t="shared" si="9"/>
        <v>3</v>
      </c>
      <c r="D290" s="31" t="str" cm="1">
        <f t="array" ref="D290">INDEX('Prod-uc2-1'!$Q$10:$W$53,1+B290,C290)</f>
        <v/>
      </c>
    </row>
    <row r="291" spans="1:4" x14ac:dyDescent="0.75">
      <c r="A291" s="32">
        <v>263</v>
      </c>
      <c r="B291" s="32">
        <f t="shared" si="8"/>
        <v>37</v>
      </c>
      <c r="C291" s="32">
        <f t="shared" si="9"/>
        <v>4</v>
      </c>
      <c r="D291" s="31" t="str" cm="1">
        <f t="array" ref="D291">INDEX('Prod-uc2-1'!$Q$10:$W$53,1+B291,C291)</f>
        <v/>
      </c>
    </row>
    <row r="292" spans="1:4" x14ac:dyDescent="0.75">
      <c r="A292" s="32">
        <v>264</v>
      </c>
      <c r="B292" s="32">
        <f t="shared" si="8"/>
        <v>37</v>
      </c>
      <c r="C292" s="32">
        <f t="shared" si="9"/>
        <v>5</v>
      </c>
      <c r="D292" s="31" t="str" cm="1">
        <f t="array" ref="D292">INDEX('Prod-uc2-1'!$Q$10:$W$53,1+B292,C292)</f>
        <v/>
      </c>
    </row>
    <row r="293" spans="1:4" x14ac:dyDescent="0.75">
      <c r="A293" s="32">
        <v>265</v>
      </c>
      <c r="B293" s="32">
        <f t="shared" si="8"/>
        <v>37</v>
      </c>
      <c r="C293" s="32">
        <f t="shared" si="9"/>
        <v>6</v>
      </c>
      <c r="D293" s="31" cm="1">
        <f t="array" ref="D293">INDEX('Prod-uc2-1'!$Q$10:$W$53,1+B293,C293)</f>
        <v>0</v>
      </c>
    </row>
    <row r="294" spans="1:4" x14ac:dyDescent="0.75">
      <c r="A294" s="32">
        <v>266</v>
      </c>
      <c r="B294" s="32">
        <f t="shared" si="8"/>
        <v>37</v>
      </c>
      <c r="C294" s="32">
        <f t="shared" si="9"/>
        <v>7</v>
      </c>
      <c r="D294" s="31" t="str" cm="1">
        <f t="array" ref="D294">INDEX('Prod-uc2-1'!$Q$10:$W$53,1+B294,C294)</f>
        <v/>
      </c>
    </row>
    <row r="295" spans="1:4" x14ac:dyDescent="0.75">
      <c r="A295" s="32">
        <v>267</v>
      </c>
      <c r="B295" s="32">
        <f t="shared" si="8"/>
        <v>38</v>
      </c>
      <c r="C295" s="32">
        <f t="shared" si="9"/>
        <v>1</v>
      </c>
      <c r="D295" s="31" cm="1">
        <f t="array" ref="D295">INDEX('Prod-uc2-1'!$Q$10:$W$53,1+B295,C295)</f>
        <v>0</v>
      </c>
    </row>
    <row r="296" spans="1:4" x14ac:dyDescent="0.75">
      <c r="A296" s="32">
        <v>268</v>
      </c>
      <c r="B296" s="32">
        <f t="shared" si="8"/>
        <v>38</v>
      </c>
      <c r="C296" s="32">
        <f t="shared" si="9"/>
        <v>2</v>
      </c>
      <c r="D296" s="31" cm="1">
        <f t="array" ref="D296">INDEX('Prod-uc2-1'!$Q$10:$W$53,1+B296,C296)</f>
        <v>0</v>
      </c>
    </row>
    <row r="297" spans="1:4" x14ac:dyDescent="0.75">
      <c r="A297" s="32">
        <v>269</v>
      </c>
      <c r="B297" s="32">
        <f t="shared" si="8"/>
        <v>38</v>
      </c>
      <c r="C297" s="32">
        <f t="shared" si="9"/>
        <v>3</v>
      </c>
      <c r="D297" s="31" t="str" cm="1">
        <f t="array" ref="D297">INDEX('Prod-uc2-1'!$Q$10:$W$53,1+B297,C297)</f>
        <v/>
      </c>
    </row>
    <row r="298" spans="1:4" x14ac:dyDescent="0.75">
      <c r="A298" s="32">
        <v>270</v>
      </c>
      <c r="B298" s="32">
        <f t="shared" si="8"/>
        <v>38</v>
      </c>
      <c r="C298" s="32">
        <f t="shared" si="9"/>
        <v>4</v>
      </c>
      <c r="D298" s="31" t="str" cm="1">
        <f t="array" ref="D298">INDEX('Prod-uc2-1'!$Q$10:$W$53,1+B298,C298)</f>
        <v/>
      </c>
    </row>
    <row r="299" spans="1:4" x14ac:dyDescent="0.75">
      <c r="A299" s="32">
        <v>271</v>
      </c>
      <c r="B299" s="32">
        <f t="shared" si="8"/>
        <v>38</v>
      </c>
      <c r="C299" s="32">
        <f t="shared" si="9"/>
        <v>5</v>
      </c>
      <c r="D299" s="31" t="str" cm="1">
        <f t="array" ref="D299">INDEX('Prod-uc2-1'!$Q$10:$W$53,1+B299,C299)</f>
        <v/>
      </c>
    </row>
    <row r="300" spans="1:4" x14ac:dyDescent="0.75">
      <c r="A300" s="32">
        <v>272</v>
      </c>
      <c r="B300" s="32">
        <f t="shared" si="8"/>
        <v>38</v>
      </c>
      <c r="C300" s="32">
        <f t="shared" si="9"/>
        <v>6</v>
      </c>
      <c r="D300" s="31" cm="1">
        <f t="array" ref="D300">INDEX('Prod-uc2-1'!$Q$10:$W$53,1+B300,C300)</f>
        <v>0</v>
      </c>
    </row>
    <row r="301" spans="1:4" x14ac:dyDescent="0.75">
      <c r="A301" s="32">
        <v>273</v>
      </c>
      <c r="B301" s="32">
        <f t="shared" si="8"/>
        <v>38</v>
      </c>
      <c r="C301" s="32">
        <f t="shared" si="9"/>
        <v>7</v>
      </c>
      <c r="D301" s="31" t="str" cm="1">
        <f t="array" ref="D301">INDEX('Prod-uc2-1'!$Q$10:$W$53,1+B301,C301)</f>
        <v/>
      </c>
    </row>
    <row r="302" spans="1:4" x14ac:dyDescent="0.75">
      <c r="A302" s="32">
        <v>274</v>
      </c>
      <c r="B302" s="32">
        <f t="shared" si="8"/>
        <v>39</v>
      </c>
      <c r="C302" s="32">
        <f t="shared" si="9"/>
        <v>1</v>
      </c>
      <c r="D302" s="31" cm="1">
        <f t="array" ref="D302">INDEX('Prod-uc2-1'!$Q$10:$W$53,1+B302,C302)</f>
        <v>0</v>
      </c>
    </row>
    <row r="303" spans="1:4" x14ac:dyDescent="0.75">
      <c r="A303" s="32">
        <v>275</v>
      </c>
      <c r="B303" s="32">
        <f t="shared" si="8"/>
        <v>39</v>
      </c>
      <c r="C303" s="32">
        <f t="shared" si="9"/>
        <v>2</v>
      </c>
      <c r="D303" s="31" cm="1">
        <f t="array" ref="D303">INDEX('Prod-uc2-1'!$Q$10:$W$53,1+B303,C303)</f>
        <v>0</v>
      </c>
    </row>
    <row r="304" spans="1:4" x14ac:dyDescent="0.75">
      <c r="A304" s="32">
        <v>276</v>
      </c>
      <c r="B304" s="32">
        <f t="shared" si="8"/>
        <v>39</v>
      </c>
      <c r="C304" s="32">
        <f t="shared" si="9"/>
        <v>3</v>
      </c>
      <c r="D304" s="31" t="str" cm="1">
        <f t="array" ref="D304">INDEX('Prod-uc2-1'!$Q$10:$W$53,1+B304,C304)</f>
        <v/>
      </c>
    </row>
    <row r="305" spans="1:4" x14ac:dyDescent="0.75">
      <c r="A305" s="32">
        <v>277</v>
      </c>
      <c r="B305" s="32">
        <f t="shared" si="8"/>
        <v>39</v>
      </c>
      <c r="C305" s="32">
        <f t="shared" si="9"/>
        <v>4</v>
      </c>
      <c r="D305" s="31" t="str" cm="1">
        <f t="array" ref="D305">INDEX('Prod-uc2-1'!$Q$10:$W$53,1+B305,C305)</f>
        <v/>
      </c>
    </row>
    <row r="306" spans="1:4" x14ac:dyDescent="0.75">
      <c r="A306" s="32">
        <v>278</v>
      </c>
      <c r="B306" s="32">
        <f t="shared" si="8"/>
        <v>39</v>
      </c>
      <c r="C306" s="32">
        <f t="shared" si="9"/>
        <v>5</v>
      </c>
      <c r="D306" s="31" t="str" cm="1">
        <f t="array" ref="D306">INDEX('Prod-uc2-1'!$Q$10:$W$53,1+B306,C306)</f>
        <v/>
      </c>
    </row>
    <row r="307" spans="1:4" x14ac:dyDescent="0.75">
      <c r="A307" s="32">
        <v>279</v>
      </c>
      <c r="B307" s="32">
        <f t="shared" si="8"/>
        <v>39</v>
      </c>
      <c r="C307" s="32">
        <f t="shared" si="9"/>
        <v>6</v>
      </c>
      <c r="D307" s="31" cm="1">
        <f t="array" ref="D307">INDEX('Prod-uc2-1'!$Q$10:$W$53,1+B307,C307)</f>
        <v>0</v>
      </c>
    </row>
    <row r="308" spans="1:4" x14ac:dyDescent="0.75">
      <c r="A308" s="32">
        <v>280</v>
      </c>
      <c r="B308" s="32">
        <f t="shared" si="8"/>
        <v>39</v>
      </c>
      <c r="C308" s="32">
        <f t="shared" si="9"/>
        <v>7</v>
      </c>
      <c r="D308" s="31" t="str" cm="1">
        <f t="array" ref="D308">INDEX('Prod-uc2-1'!$Q$10:$W$53,1+B308,C308)</f>
        <v/>
      </c>
    </row>
    <row r="309" spans="1:4" x14ac:dyDescent="0.75">
      <c r="A309" s="32">
        <v>281</v>
      </c>
      <c r="B309" s="32">
        <f t="shared" si="8"/>
        <v>40</v>
      </c>
      <c r="C309" s="32">
        <f t="shared" si="9"/>
        <v>1</v>
      </c>
      <c r="D309" s="31" cm="1">
        <f t="array" ref="D309">INDEX('Prod-uc2-1'!$Q$10:$W$53,1+B309,C309)</f>
        <v>0</v>
      </c>
    </row>
    <row r="310" spans="1:4" x14ac:dyDescent="0.75">
      <c r="A310" s="32">
        <v>282</v>
      </c>
      <c r="B310" s="32">
        <f t="shared" si="8"/>
        <v>40</v>
      </c>
      <c r="C310" s="32">
        <f t="shared" si="9"/>
        <v>2</v>
      </c>
      <c r="D310" s="31" cm="1">
        <f t="array" ref="D310">INDEX('Prod-uc2-1'!$Q$10:$W$53,1+B310,C310)</f>
        <v>0</v>
      </c>
    </row>
    <row r="311" spans="1:4" x14ac:dyDescent="0.75">
      <c r="A311" s="32">
        <v>283</v>
      </c>
      <c r="B311" s="32">
        <f t="shared" si="8"/>
        <v>40</v>
      </c>
      <c r="C311" s="32">
        <f t="shared" si="9"/>
        <v>3</v>
      </c>
      <c r="D311" s="31" t="str" cm="1">
        <f t="array" ref="D311">INDEX('Prod-uc2-1'!$Q$10:$W$53,1+B311,C311)</f>
        <v/>
      </c>
    </row>
    <row r="312" spans="1:4" x14ac:dyDescent="0.75">
      <c r="A312" s="32">
        <v>284</v>
      </c>
      <c r="B312" s="32">
        <f t="shared" si="8"/>
        <v>40</v>
      </c>
      <c r="C312" s="32">
        <f t="shared" si="9"/>
        <v>4</v>
      </c>
      <c r="D312" s="31" t="str" cm="1">
        <f t="array" ref="D312">INDEX('Prod-uc2-1'!$Q$10:$W$53,1+B312,C312)</f>
        <v/>
      </c>
    </row>
    <row r="313" spans="1:4" x14ac:dyDescent="0.75">
      <c r="A313" s="32">
        <v>285</v>
      </c>
      <c r="B313" s="32">
        <f t="shared" si="8"/>
        <v>40</v>
      </c>
      <c r="C313" s="32">
        <f t="shared" si="9"/>
        <v>5</v>
      </c>
      <c r="D313" s="31" t="str" cm="1">
        <f t="array" ref="D313">INDEX('Prod-uc2-1'!$Q$10:$W$53,1+B313,C313)</f>
        <v/>
      </c>
    </row>
    <row r="314" spans="1:4" x14ac:dyDescent="0.75">
      <c r="A314" s="32">
        <v>286</v>
      </c>
      <c r="B314" s="32">
        <f t="shared" si="8"/>
        <v>40</v>
      </c>
      <c r="C314" s="32">
        <f t="shared" si="9"/>
        <v>6</v>
      </c>
      <c r="D314" s="31" cm="1">
        <f t="array" ref="D314">INDEX('Prod-uc2-1'!$Q$10:$W$53,1+B314,C314)</f>
        <v>0</v>
      </c>
    </row>
    <row r="315" spans="1:4" x14ac:dyDescent="0.75">
      <c r="A315" s="32">
        <v>287</v>
      </c>
      <c r="B315" s="32">
        <f t="shared" si="8"/>
        <v>40</v>
      </c>
      <c r="C315" s="32">
        <f t="shared" si="9"/>
        <v>7</v>
      </c>
      <c r="D315" s="31" t="str" cm="1">
        <f t="array" ref="D315">INDEX('Prod-uc2-1'!$Q$10:$W$53,1+B315,C315)</f>
        <v/>
      </c>
    </row>
    <row r="316" spans="1:4" x14ac:dyDescent="0.75">
      <c r="A316" s="32">
        <v>288</v>
      </c>
      <c r="B316" s="32">
        <f t="shared" si="8"/>
        <v>41</v>
      </c>
      <c r="C316" s="32">
        <f t="shared" si="9"/>
        <v>1</v>
      </c>
      <c r="D316" s="31" cm="1">
        <f t="array" ref="D316">INDEX('Prod-uc2-1'!$Q$10:$W$53,1+B316,C316)</f>
        <v>0</v>
      </c>
    </row>
    <row r="317" spans="1:4" x14ac:dyDescent="0.75">
      <c r="A317" s="32">
        <v>289</v>
      </c>
      <c r="B317" s="32">
        <f t="shared" si="8"/>
        <v>41</v>
      </c>
      <c r="C317" s="32">
        <f t="shared" si="9"/>
        <v>2</v>
      </c>
      <c r="D317" s="31" cm="1">
        <f t="array" ref="D317">INDEX('Prod-uc2-1'!$Q$10:$W$53,1+B317,C317)</f>
        <v>0</v>
      </c>
    </row>
    <row r="318" spans="1:4" x14ac:dyDescent="0.75">
      <c r="A318" s="32">
        <v>290</v>
      </c>
      <c r="B318" s="32">
        <f t="shared" si="8"/>
        <v>41</v>
      </c>
      <c r="C318" s="32">
        <f t="shared" si="9"/>
        <v>3</v>
      </c>
      <c r="D318" s="31" t="str" cm="1">
        <f t="array" ref="D318">INDEX('Prod-uc2-1'!$Q$10:$W$53,1+B318,C318)</f>
        <v/>
      </c>
    </row>
    <row r="319" spans="1:4" x14ac:dyDescent="0.75">
      <c r="A319" s="32">
        <v>291</v>
      </c>
      <c r="B319" s="32">
        <f t="shared" si="8"/>
        <v>41</v>
      </c>
      <c r="C319" s="32">
        <f t="shared" si="9"/>
        <v>4</v>
      </c>
      <c r="D319" s="31" t="str" cm="1">
        <f t="array" ref="D319">INDEX('Prod-uc2-1'!$Q$10:$W$53,1+B319,C319)</f>
        <v/>
      </c>
    </row>
    <row r="320" spans="1:4" x14ac:dyDescent="0.75">
      <c r="A320" s="32">
        <v>292</v>
      </c>
      <c r="B320" s="32">
        <f t="shared" si="8"/>
        <v>41</v>
      </c>
      <c r="C320" s="32">
        <f t="shared" si="9"/>
        <v>5</v>
      </c>
      <c r="D320" s="31" t="str" cm="1">
        <f t="array" ref="D320">INDEX('Prod-uc2-1'!$Q$10:$W$53,1+B320,C320)</f>
        <v/>
      </c>
    </row>
    <row r="321" spans="1:4" x14ac:dyDescent="0.75">
      <c r="A321" s="32">
        <v>293</v>
      </c>
      <c r="B321" s="32">
        <f t="shared" si="8"/>
        <v>41</v>
      </c>
      <c r="C321" s="32">
        <f t="shared" si="9"/>
        <v>6</v>
      </c>
      <c r="D321" s="31" cm="1">
        <f t="array" ref="D321">INDEX('Prod-uc2-1'!$Q$10:$W$53,1+B321,C321)</f>
        <v>0</v>
      </c>
    </row>
    <row r="322" spans="1:4" x14ac:dyDescent="0.75">
      <c r="A322" s="32">
        <v>294</v>
      </c>
      <c r="B322" s="32">
        <f t="shared" si="8"/>
        <v>41</v>
      </c>
      <c r="C322" s="32">
        <f t="shared" si="9"/>
        <v>7</v>
      </c>
      <c r="D322" s="31" t="str" cm="1">
        <f t="array" ref="D322">INDEX('Prod-uc2-1'!$Q$10:$W$53,1+B322,C322)</f>
        <v/>
      </c>
    </row>
    <row r="323" spans="1:4" x14ac:dyDescent="0.75">
      <c r="A323" s="32">
        <v>295</v>
      </c>
      <c r="B323" s="32">
        <f t="shared" si="8"/>
        <v>42</v>
      </c>
      <c r="C323" s="32">
        <f t="shared" si="9"/>
        <v>1</v>
      </c>
      <c r="D323" s="31" cm="1">
        <f t="array" ref="D323">INDEX('Prod-uc2-1'!$Q$10:$W$53,1+B323,C323)</f>
        <v>0</v>
      </c>
    </row>
    <row r="324" spans="1:4" x14ac:dyDescent="0.75">
      <c r="A324" s="32">
        <v>296</v>
      </c>
      <c r="B324" s="32">
        <f t="shared" si="8"/>
        <v>42</v>
      </c>
      <c r="C324" s="32">
        <f t="shared" si="9"/>
        <v>2</v>
      </c>
      <c r="D324" s="31" cm="1">
        <f t="array" ref="D324">INDEX('Prod-uc2-1'!$Q$10:$W$53,1+B324,C324)</f>
        <v>0</v>
      </c>
    </row>
    <row r="325" spans="1:4" x14ac:dyDescent="0.75">
      <c r="A325" s="32">
        <v>297</v>
      </c>
      <c r="B325" s="32">
        <f t="shared" si="8"/>
        <v>42</v>
      </c>
      <c r="C325" s="32">
        <f t="shared" si="9"/>
        <v>3</v>
      </c>
      <c r="D325" s="31" t="str" cm="1">
        <f t="array" ref="D325">INDEX('Prod-uc2-1'!$Q$10:$W$53,1+B325,C325)</f>
        <v/>
      </c>
    </row>
    <row r="326" spans="1:4" x14ac:dyDescent="0.75">
      <c r="A326" s="32">
        <v>298</v>
      </c>
      <c r="B326" s="32">
        <f t="shared" si="8"/>
        <v>42</v>
      </c>
      <c r="C326" s="32">
        <f t="shared" si="9"/>
        <v>4</v>
      </c>
      <c r="D326" s="31" t="str" cm="1">
        <f t="array" ref="D326">INDEX('Prod-uc2-1'!$Q$10:$W$53,1+B326,C326)</f>
        <v/>
      </c>
    </row>
    <row r="327" spans="1:4" x14ac:dyDescent="0.75">
      <c r="A327" s="32">
        <v>299</v>
      </c>
      <c r="B327" s="32">
        <f t="shared" si="8"/>
        <v>42</v>
      </c>
      <c r="C327" s="32">
        <f t="shared" si="9"/>
        <v>5</v>
      </c>
      <c r="D327" s="31" t="str" cm="1">
        <f t="array" ref="D327">INDEX('Prod-uc2-1'!$Q$10:$W$53,1+B327,C327)</f>
        <v/>
      </c>
    </row>
    <row r="328" spans="1:4" x14ac:dyDescent="0.75">
      <c r="A328" s="32">
        <v>300</v>
      </c>
      <c r="B328" s="32">
        <f t="shared" si="8"/>
        <v>42</v>
      </c>
      <c r="C328" s="32">
        <f t="shared" si="9"/>
        <v>6</v>
      </c>
      <c r="D328" s="31" cm="1">
        <f t="array" ref="D328">INDEX('Prod-uc2-1'!$Q$10:$W$53,1+B328,C328)</f>
        <v>0</v>
      </c>
    </row>
    <row r="329" spans="1:4" x14ac:dyDescent="0.75">
      <c r="A329" s="32">
        <v>301</v>
      </c>
      <c r="B329" s="32">
        <f t="shared" si="8"/>
        <v>42</v>
      </c>
      <c r="C329" s="32">
        <f t="shared" si="9"/>
        <v>7</v>
      </c>
      <c r="D329" s="31" t="str" cm="1">
        <f t="array" ref="D329">INDEX('Prod-uc2-1'!$Q$10:$W$53,1+B329,C329)</f>
        <v/>
      </c>
    </row>
    <row r="330" spans="1:4" x14ac:dyDescent="0.75">
      <c r="A330" s="32">
        <v>302</v>
      </c>
      <c r="B330" s="32">
        <f t="shared" si="8"/>
        <v>43</v>
      </c>
      <c r="C330" s="32">
        <f t="shared" si="9"/>
        <v>1</v>
      </c>
      <c r="D330" s="31" cm="1">
        <f t="array" ref="D330">INDEX('Prod-uc2-1'!$Q$10:$W$53,1+B330,C330)</f>
        <v>0</v>
      </c>
    </row>
    <row r="331" spans="1:4" x14ac:dyDescent="0.75">
      <c r="A331" s="32">
        <v>303</v>
      </c>
      <c r="B331" s="32">
        <f t="shared" si="8"/>
        <v>43</v>
      </c>
      <c r="C331" s="32">
        <f t="shared" si="9"/>
        <v>2</v>
      </c>
      <c r="D331" s="31" cm="1">
        <f t="array" ref="D331">INDEX('Prod-uc2-1'!$Q$10:$W$53,1+B331,C331)</f>
        <v>0</v>
      </c>
    </row>
    <row r="332" spans="1:4" x14ac:dyDescent="0.75">
      <c r="A332" s="32">
        <v>304</v>
      </c>
      <c r="B332" s="32">
        <f t="shared" si="8"/>
        <v>43</v>
      </c>
      <c r="C332" s="32">
        <f t="shared" si="9"/>
        <v>3</v>
      </c>
      <c r="D332" s="31" t="str" cm="1">
        <f t="array" ref="D332">INDEX('Prod-uc2-1'!$Q$10:$W$53,1+B332,C332)</f>
        <v/>
      </c>
    </row>
    <row r="333" spans="1:4" x14ac:dyDescent="0.75">
      <c r="A333" s="32">
        <v>305</v>
      </c>
      <c r="B333" s="32">
        <f t="shared" si="8"/>
        <v>43</v>
      </c>
      <c r="C333" s="32">
        <f t="shared" si="9"/>
        <v>4</v>
      </c>
      <c r="D333" s="31" t="str" cm="1">
        <f t="array" ref="D333">INDEX('Prod-uc2-1'!$Q$10:$W$53,1+B333,C333)</f>
        <v/>
      </c>
    </row>
    <row r="334" spans="1:4" x14ac:dyDescent="0.75">
      <c r="A334" s="32">
        <v>306</v>
      </c>
      <c r="B334" s="32">
        <f t="shared" si="8"/>
        <v>43</v>
      </c>
      <c r="C334" s="32">
        <f t="shared" si="9"/>
        <v>5</v>
      </c>
      <c r="D334" s="31" t="str" cm="1">
        <f t="array" ref="D334">INDEX('Prod-uc2-1'!$Q$10:$W$53,1+B334,C334)</f>
        <v/>
      </c>
    </row>
    <row r="335" spans="1:4" x14ac:dyDescent="0.75">
      <c r="A335" s="32">
        <v>307</v>
      </c>
      <c r="B335" s="32">
        <f t="shared" si="8"/>
        <v>43</v>
      </c>
      <c r="C335" s="32">
        <f t="shared" si="9"/>
        <v>6</v>
      </c>
      <c r="D335" s="31" cm="1">
        <f t="array" ref="D335">INDEX('Prod-uc2-1'!$Q$10:$W$53,1+B335,C335)</f>
        <v>0</v>
      </c>
    </row>
    <row r="336" spans="1:4" x14ac:dyDescent="0.75">
      <c r="A336" s="32">
        <v>308</v>
      </c>
      <c r="B336" s="32">
        <f t="shared" si="8"/>
        <v>43</v>
      </c>
      <c r="C336" s="32">
        <f t="shared" si="9"/>
        <v>7</v>
      </c>
      <c r="D336" s="31" t="str" cm="1">
        <f t="array" ref="D336">INDEX('Prod-uc2-1'!$Q$10:$W$53,1+B336,C336)</f>
        <v/>
      </c>
    </row>
    <row r="337" spans="1:4" x14ac:dyDescent="0.75">
      <c r="A337" s="32">
        <v>309</v>
      </c>
      <c r="B337" s="32">
        <f t="shared" si="8"/>
        <v>44</v>
      </c>
      <c r="C337" s="32">
        <f t="shared" si="9"/>
        <v>1</v>
      </c>
      <c r="D337" s="31" t="e" cm="1">
        <f t="array" ref="D337">INDEX('Prod-uc2-1'!$Q$10:$W$53,1+B337,C337)</f>
        <v>#REF!</v>
      </c>
    </row>
    <row r="338" spans="1:4" x14ac:dyDescent="0.75">
      <c r="A338" s="32">
        <v>310</v>
      </c>
      <c r="B338" s="32">
        <f t="shared" si="8"/>
        <v>44</v>
      </c>
      <c r="C338" s="32">
        <f t="shared" si="9"/>
        <v>2</v>
      </c>
      <c r="D338" s="31" t="e" cm="1">
        <f t="array" ref="D338">INDEX('Prod-uc2-1'!$Q$10:$W$53,1+B338,C338)</f>
        <v>#REF!</v>
      </c>
    </row>
    <row r="339" spans="1:4" x14ac:dyDescent="0.75">
      <c r="A339" s="32">
        <v>311</v>
      </c>
      <c r="B339" s="32">
        <f t="shared" si="8"/>
        <v>44</v>
      </c>
      <c r="C339" s="32">
        <f t="shared" si="9"/>
        <v>3</v>
      </c>
      <c r="D339" s="31" t="e" cm="1">
        <f t="array" ref="D339">INDEX('Prod-uc2-1'!$Q$10:$W$53,1+B339,C339)</f>
        <v>#REF!</v>
      </c>
    </row>
    <row r="340" spans="1:4" x14ac:dyDescent="0.75">
      <c r="A340" s="32">
        <v>312</v>
      </c>
      <c r="B340" s="32">
        <f t="shared" si="8"/>
        <v>44</v>
      </c>
      <c r="C340" s="32">
        <f t="shared" si="9"/>
        <v>4</v>
      </c>
      <c r="D340" s="31" t="e" cm="1">
        <f t="array" ref="D340">INDEX('Prod-uc2-1'!$Q$10:$W$53,1+B340,C340)</f>
        <v>#REF!</v>
      </c>
    </row>
    <row r="341" spans="1:4" x14ac:dyDescent="0.75">
      <c r="A341" s="32">
        <v>313</v>
      </c>
      <c r="B341" s="32">
        <f t="shared" si="8"/>
        <v>44</v>
      </c>
      <c r="C341" s="32">
        <f t="shared" si="9"/>
        <v>5</v>
      </c>
      <c r="D341" s="31" t="e" cm="1">
        <f t="array" ref="D341">INDEX('Prod-uc2-1'!$Q$10:$W$53,1+B341,C341)</f>
        <v>#REF!</v>
      </c>
    </row>
    <row r="342" spans="1:4" x14ac:dyDescent="0.75">
      <c r="A342" s="32">
        <v>314</v>
      </c>
      <c r="B342" s="32">
        <f t="shared" si="8"/>
        <v>44</v>
      </c>
      <c r="C342" s="32">
        <f t="shared" si="9"/>
        <v>6</v>
      </c>
      <c r="D342" s="31" t="e" cm="1">
        <f t="array" ref="D342">INDEX('Prod-uc2-1'!$Q$10:$W$53,1+B342,C342)</f>
        <v>#REF!</v>
      </c>
    </row>
    <row r="343" spans="1:4" x14ac:dyDescent="0.75">
      <c r="A343" s="32">
        <v>315</v>
      </c>
      <c r="B343" s="32">
        <f t="shared" si="8"/>
        <v>44</v>
      </c>
      <c r="C343" s="32">
        <f t="shared" si="9"/>
        <v>7</v>
      </c>
      <c r="D343" s="31" t="e" cm="1">
        <f t="array" ref="D343">INDEX('Prod-uc2-1'!$Q$10:$W$53,1+B343,C343)</f>
        <v>#REF!</v>
      </c>
    </row>
    <row r="344" spans="1:4" x14ac:dyDescent="0.75">
      <c r="A344" s="32">
        <v>316</v>
      </c>
      <c r="B344" s="32">
        <f t="shared" si="8"/>
        <v>45</v>
      </c>
      <c r="C344" s="32">
        <f t="shared" si="9"/>
        <v>1</v>
      </c>
      <c r="D344" s="31" t="e" cm="1">
        <f t="array" ref="D344">INDEX('Prod-uc2-1'!$Q$10:$W$53,1+B344,C344)</f>
        <v>#REF!</v>
      </c>
    </row>
    <row r="345" spans="1:4" x14ac:dyDescent="0.75">
      <c r="A345" s="32">
        <v>317</v>
      </c>
      <c r="B345" s="32">
        <f t="shared" si="8"/>
        <v>45</v>
      </c>
      <c r="C345" s="32">
        <f t="shared" si="9"/>
        <v>2</v>
      </c>
      <c r="D345" s="31" t="e" cm="1">
        <f t="array" ref="D345">INDEX('Prod-uc2-1'!$Q$10:$W$53,1+B345,C345)</f>
        <v>#REF!</v>
      </c>
    </row>
    <row r="346" spans="1:4" x14ac:dyDescent="0.75">
      <c r="A346" s="32">
        <v>318</v>
      </c>
      <c r="B346" s="32">
        <f t="shared" si="8"/>
        <v>45</v>
      </c>
      <c r="C346" s="32">
        <f t="shared" si="9"/>
        <v>3</v>
      </c>
      <c r="D346" s="31" t="e" cm="1">
        <f t="array" ref="D346">INDEX('Prod-uc2-1'!$Q$10:$W$53,1+B346,C346)</f>
        <v>#REF!</v>
      </c>
    </row>
    <row r="347" spans="1:4" x14ac:dyDescent="0.75">
      <c r="A347" s="32">
        <v>319</v>
      </c>
      <c r="B347" s="32">
        <f t="shared" si="8"/>
        <v>45</v>
      </c>
      <c r="C347" s="32">
        <f t="shared" si="9"/>
        <v>4</v>
      </c>
      <c r="D347" s="31" t="e" cm="1">
        <f t="array" ref="D347">INDEX('Prod-uc2-1'!$Q$10:$W$53,1+B347,C347)</f>
        <v>#REF!</v>
      </c>
    </row>
    <row r="348" spans="1:4" x14ac:dyDescent="0.75">
      <c r="A348" s="32">
        <v>320</v>
      </c>
      <c r="B348" s="32">
        <f t="shared" si="8"/>
        <v>45</v>
      </c>
      <c r="C348" s="32">
        <f t="shared" si="9"/>
        <v>5</v>
      </c>
      <c r="D348" s="31" t="e" cm="1">
        <f t="array" ref="D348">INDEX('Prod-uc2-1'!$Q$10:$W$53,1+B348,C348)</f>
        <v>#REF!</v>
      </c>
    </row>
    <row r="349" spans="1:4" x14ac:dyDescent="0.75">
      <c r="A349" s="32">
        <v>321</v>
      </c>
      <c r="B349" s="32">
        <f t="shared" ref="B349:B412" si="10">IF(MOD(A349,$B$6)=0,A349/$B$6-1,INT(A349/$B$6))</f>
        <v>45</v>
      </c>
      <c r="C349" s="32">
        <f t="shared" ref="C349:C412" si="11">IF(MOD(A349,$B$6)=0,$B$6,MOD(A349,$B$6))</f>
        <v>6</v>
      </c>
      <c r="D349" s="31" t="e" cm="1">
        <f t="array" ref="D349">INDEX('Prod-uc2-1'!$Q$10:$W$53,1+B349,C349)</f>
        <v>#REF!</v>
      </c>
    </row>
    <row r="350" spans="1:4" x14ac:dyDescent="0.75">
      <c r="A350" s="32">
        <v>322</v>
      </c>
      <c r="B350" s="32">
        <f t="shared" si="10"/>
        <v>45</v>
      </c>
      <c r="C350" s="32">
        <f t="shared" si="11"/>
        <v>7</v>
      </c>
      <c r="D350" s="31" t="e" cm="1">
        <f t="array" ref="D350">INDEX('Prod-uc2-1'!$Q$10:$W$53,1+B350,C350)</f>
        <v>#REF!</v>
      </c>
    </row>
    <row r="351" spans="1:4" x14ac:dyDescent="0.75">
      <c r="A351" s="32">
        <v>323</v>
      </c>
      <c r="B351" s="32">
        <f t="shared" si="10"/>
        <v>46</v>
      </c>
      <c r="C351" s="32">
        <f t="shared" si="11"/>
        <v>1</v>
      </c>
      <c r="D351" s="31" t="e" cm="1">
        <f t="array" ref="D351">INDEX('Prod-uc2-1'!$Q$10:$W$53,1+B351,C351)</f>
        <v>#REF!</v>
      </c>
    </row>
    <row r="352" spans="1:4" x14ac:dyDescent="0.75">
      <c r="A352" s="32">
        <v>324</v>
      </c>
      <c r="B352" s="32">
        <f t="shared" si="10"/>
        <v>46</v>
      </c>
      <c r="C352" s="32">
        <f t="shared" si="11"/>
        <v>2</v>
      </c>
      <c r="D352" s="31" t="e" cm="1">
        <f t="array" ref="D352">INDEX('Prod-uc2-1'!$Q$10:$W$53,1+B352,C352)</f>
        <v>#REF!</v>
      </c>
    </row>
    <row r="353" spans="1:4" x14ac:dyDescent="0.75">
      <c r="A353" s="32">
        <v>325</v>
      </c>
      <c r="B353" s="32">
        <f t="shared" si="10"/>
        <v>46</v>
      </c>
      <c r="C353" s="32">
        <f t="shared" si="11"/>
        <v>3</v>
      </c>
      <c r="D353" s="31" t="e" cm="1">
        <f t="array" ref="D353">INDEX('Prod-uc2-1'!$Q$10:$W$53,1+B353,C353)</f>
        <v>#REF!</v>
      </c>
    </row>
    <row r="354" spans="1:4" x14ac:dyDescent="0.75">
      <c r="A354" s="32">
        <v>326</v>
      </c>
      <c r="B354" s="32">
        <f t="shared" si="10"/>
        <v>46</v>
      </c>
      <c r="C354" s="32">
        <f t="shared" si="11"/>
        <v>4</v>
      </c>
      <c r="D354" s="31" t="e" cm="1">
        <f t="array" ref="D354">INDEX('Prod-uc2-1'!$Q$10:$W$53,1+B354,C354)</f>
        <v>#REF!</v>
      </c>
    </row>
    <row r="355" spans="1:4" x14ac:dyDescent="0.75">
      <c r="A355" s="32">
        <v>327</v>
      </c>
      <c r="B355" s="32">
        <f t="shared" si="10"/>
        <v>46</v>
      </c>
      <c r="C355" s="32">
        <f t="shared" si="11"/>
        <v>5</v>
      </c>
      <c r="D355" s="31" t="e" cm="1">
        <f t="array" ref="D355">INDEX('Prod-uc2-1'!$Q$10:$W$53,1+B355,C355)</f>
        <v>#REF!</v>
      </c>
    </row>
    <row r="356" spans="1:4" x14ac:dyDescent="0.75">
      <c r="A356" s="32">
        <v>328</v>
      </c>
      <c r="B356" s="32">
        <f t="shared" si="10"/>
        <v>46</v>
      </c>
      <c r="C356" s="32">
        <f t="shared" si="11"/>
        <v>6</v>
      </c>
      <c r="D356" s="31" t="e" cm="1">
        <f t="array" ref="D356">INDEX('Prod-uc2-1'!$Q$10:$W$53,1+B356,C356)</f>
        <v>#REF!</v>
      </c>
    </row>
    <row r="357" spans="1:4" x14ac:dyDescent="0.75">
      <c r="A357" s="32">
        <v>329</v>
      </c>
      <c r="B357" s="32">
        <f t="shared" si="10"/>
        <v>46</v>
      </c>
      <c r="C357" s="32">
        <f t="shared" si="11"/>
        <v>7</v>
      </c>
      <c r="D357" s="31" t="e" cm="1">
        <f t="array" ref="D357">INDEX('Prod-uc2-1'!$Q$10:$W$53,1+B357,C357)</f>
        <v>#REF!</v>
      </c>
    </row>
    <row r="358" spans="1:4" x14ac:dyDescent="0.75">
      <c r="A358" s="32">
        <v>330</v>
      </c>
      <c r="B358" s="32">
        <f t="shared" si="10"/>
        <v>47</v>
      </c>
      <c r="C358" s="32">
        <f t="shared" si="11"/>
        <v>1</v>
      </c>
      <c r="D358" s="31" t="e" cm="1">
        <f t="array" ref="D358">INDEX('Prod-uc2-1'!$Q$10:$W$53,1+B358,C358)</f>
        <v>#REF!</v>
      </c>
    </row>
    <row r="359" spans="1:4" x14ac:dyDescent="0.75">
      <c r="A359" s="32">
        <v>331</v>
      </c>
      <c r="B359" s="32">
        <f t="shared" si="10"/>
        <v>47</v>
      </c>
      <c r="C359" s="32">
        <f t="shared" si="11"/>
        <v>2</v>
      </c>
      <c r="D359" s="31" t="e" cm="1">
        <f t="array" ref="D359">INDEX('Prod-uc2-1'!$Q$10:$W$53,1+B359,C359)</f>
        <v>#REF!</v>
      </c>
    </row>
    <row r="360" spans="1:4" x14ac:dyDescent="0.75">
      <c r="A360" s="32">
        <v>332</v>
      </c>
      <c r="B360" s="32">
        <f t="shared" si="10"/>
        <v>47</v>
      </c>
      <c r="C360" s="32">
        <f t="shared" si="11"/>
        <v>3</v>
      </c>
      <c r="D360" s="31" t="e" cm="1">
        <f t="array" ref="D360">INDEX('Prod-uc2-1'!$Q$10:$W$53,1+B360,C360)</f>
        <v>#REF!</v>
      </c>
    </row>
    <row r="361" spans="1:4" x14ac:dyDescent="0.75">
      <c r="A361" s="32">
        <v>333</v>
      </c>
      <c r="B361" s="32">
        <f t="shared" si="10"/>
        <v>47</v>
      </c>
      <c r="C361" s="32">
        <f t="shared" si="11"/>
        <v>4</v>
      </c>
      <c r="D361" s="31" t="e" cm="1">
        <f t="array" ref="D361">INDEX('Prod-uc2-1'!$Q$10:$W$53,1+B361,C361)</f>
        <v>#REF!</v>
      </c>
    </row>
    <row r="362" spans="1:4" x14ac:dyDescent="0.75">
      <c r="A362" s="32">
        <v>334</v>
      </c>
      <c r="B362" s="32">
        <f t="shared" si="10"/>
        <v>47</v>
      </c>
      <c r="C362" s="32">
        <f t="shared" si="11"/>
        <v>5</v>
      </c>
      <c r="D362" s="31" t="e" cm="1">
        <f t="array" ref="D362">INDEX('Prod-uc2-1'!$Q$10:$W$53,1+B362,C362)</f>
        <v>#REF!</v>
      </c>
    </row>
    <row r="363" spans="1:4" x14ac:dyDescent="0.75">
      <c r="A363" s="32">
        <v>335</v>
      </c>
      <c r="B363" s="32">
        <f t="shared" si="10"/>
        <v>47</v>
      </c>
      <c r="C363" s="32">
        <f t="shared" si="11"/>
        <v>6</v>
      </c>
      <c r="D363" s="31" t="e" cm="1">
        <f t="array" ref="D363">INDEX('Prod-uc2-1'!$Q$10:$W$53,1+B363,C363)</f>
        <v>#REF!</v>
      </c>
    </row>
    <row r="364" spans="1:4" x14ac:dyDescent="0.75">
      <c r="A364" s="32">
        <v>336</v>
      </c>
      <c r="B364" s="32">
        <f t="shared" si="10"/>
        <v>47</v>
      </c>
      <c r="C364" s="32">
        <f t="shared" si="11"/>
        <v>7</v>
      </c>
      <c r="D364" s="31" t="e" cm="1">
        <f t="array" ref="D364">INDEX('Prod-uc2-1'!$Q$10:$W$53,1+B364,C364)</f>
        <v>#REF!</v>
      </c>
    </row>
    <row r="365" spans="1:4" x14ac:dyDescent="0.75">
      <c r="A365" s="32">
        <v>337</v>
      </c>
      <c r="B365" s="32">
        <f t="shared" si="10"/>
        <v>48</v>
      </c>
      <c r="C365" s="32">
        <f t="shared" si="11"/>
        <v>1</v>
      </c>
      <c r="D365" s="31" t="e" cm="1">
        <f t="array" ref="D365">INDEX('Prod-uc2-1'!$Q$10:$W$53,1+B365,C365)</f>
        <v>#REF!</v>
      </c>
    </row>
    <row r="366" spans="1:4" x14ac:dyDescent="0.75">
      <c r="A366" s="32">
        <v>338</v>
      </c>
      <c r="B366" s="32">
        <f t="shared" si="10"/>
        <v>48</v>
      </c>
      <c r="C366" s="32">
        <f t="shared" si="11"/>
        <v>2</v>
      </c>
      <c r="D366" s="31" t="e" cm="1">
        <f t="array" ref="D366">INDEX('Prod-uc2-1'!$Q$10:$W$53,1+B366,C366)</f>
        <v>#REF!</v>
      </c>
    </row>
    <row r="367" spans="1:4" x14ac:dyDescent="0.75">
      <c r="A367" s="32">
        <v>339</v>
      </c>
      <c r="B367" s="32">
        <f t="shared" si="10"/>
        <v>48</v>
      </c>
      <c r="C367" s="32">
        <f t="shared" si="11"/>
        <v>3</v>
      </c>
      <c r="D367" s="31" t="e" cm="1">
        <f t="array" ref="D367">INDEX('Prod-uc2-1'!$Q$10:$W$53,1+B367,C367)</f>
        <v>#REF!</v>
      </c>
    </row>
    <row r="368" spans="1:4" x14ac:dyDescent="0.75">
      <c r="A368" s="32">
        <v>340</v>
      </c>
      <c r="B368" s="32">
        <f t="shared" si="10"/>
        <v>48</v>
      </c>
      <c r="C368" s="32">
        <f t="shared" si="11"/>
        <v>4</v>
      </c>
      <c r="D368" s="31" t="e" cm="1">
        <f t="array" ref="D368">INDEX('Prod-uc2-1'!$Q$10:$W$53,1+B368,C368)</f>
        <v>#REF!</v>
      </c>
    </row>
    <row r="369" spans="1:4" x14ac:dyDescent="0.75">
      <c r="A369" s="32">
        <v>341</v>
      </c>
      <c r="B369" s="32">
        <f t="shared" si="10"/>
        <v>48</v>
      </c>
      <c r="C369" s="32">
        <f t="shared" si="11"/>
        <v>5</v>
      </c>
      <c r="D369" s="31" t="e" cm="1">
        <f t="array" ref="D369">INDEX('Prod-uc2-1'!$Q$10:$W$53,1+B369,C369)</f>
        <v>#REF!</v>
      </c>
    </row>
    <row r="370" spans="1:4" x14ac:dyDescent="0.75">
      <c r="A370" s="32">
        <v>342</v>
      </c>
      <c r="B370" s="32">
        <f t="shared" si="10"/>
        <v>48</v>
      </c>
      <c r="C370" s="32">
        <f t="shared" si="11"/>
        <v>6</v>
      </c>
      <c r="D370" s="31" t="e" cm="1">
        <f t="array" ref="D370">INDEX('Prod-uc2-1'!$Q$10:$W$53,1+B370,C370)</f>
        <v>#REF!</v>
      </c>
    </row>
    <row r="371" spans="1:4" x14ac:dyDescent="0.75">
      <c r="A371" s="32">
        <v>343</v>
      </c>
      <c r="B371" s="32">
        <f t="shared" si="10"/>
        <v>48</v>
      </c>
      <c r="C371" s="32">
        <f t="shared" si="11"/>
        <v>7</v>
      </c>
      <c r="D371" s="31" t="e" cm="1">
        <f t="array" ref="D371">INDEX('Prod-uc2-1'!$Q$10:$W$53,1+B371,C371)</f>
        <v>#REF!</v>
      </c>
    </row>
    <row r="372" spans="1:4" x14ac:dyDescent="0.75">
      <c r="A372" s="32">
        <v>344</v>
      </c>
      <c r="B372" s="32">
        <f t="shared" si="10"/>
        <v>49</v>
      </c>
      <c r="C372" s="32">
        <f t="shared" si="11"/>
        <v>1</v>
      </c>
    </row>
    <row r="373" spans="1:4" x14ac:dyDescent="0.75">
      <c r="A373" s="32">
        <v>345</v>
      </c>
      <c r="B373" s="32">
        <f t="shared" si="10"/>
        <v>49</v>
      </c>
      <c r="C373" s="32">
        <f t="shared" si="11"/>
        <v>2</v>
      </c>
    </row>
    <row r="374" spans="1:4" x14ac:dyDescent="0.75">
      <c r="A374" s="32">
        <v>346</v>
      </c>
      <c r="B374" s="32">
        <f t="shared" si="10"/>
        <v>49</v>
      </c>
      <c r="C374" s="32">
        <f t="shared" si="11"/>
        <v>3</v>
      </c>
    </row>
    <row r="375" spans="1:4" x14ac:dyDescent="0.75">
      <c r="A375" s="32">
        <v>347</v>
      </c>
      <c r="B375" s="32">
        <f t="shared" si="10"/>
        <v>49</v>
      </c>
      <c r="C375" s="32">
        <f t="shared" si="11"/>
        <v>4</v>
      </c>
    </row>
    <row r="376" spans="1:4" x14ac:dyDescent="0.75">
      <c r="A376" s="32">
        <v>348</v>
      </c>
      <c r="B376" s="32">
        <f t="shared" si="10"/>
        <v>49</v>
      </c>
      <c r="C376" s="32">
        <f t="shared" si="11"/>
        <v>5</v>
      </c>
    </row>
    <row r="377" spans="1:4" x14ac:dyDescent="0.75">
      <c r="A377" s="32">
        <v>349</v>
      </c>
      <c r="B377" s="32">
        <f t="shared" si="10"/>
        <v>49</v>
      </c>
      <c r="C377" s="32">
        <f t="shared" si="11"/>
        <v>6</v>
      </c>
    </row>
    <row r="378" spans="1:4" x14ac:dyDescent="0.75">
      <c r="A378" s="32">
        <v>350</v>
      </c>
      <c r="B378" s="32">
        <f t="shared" si="10"/>
        <v>49</v>
      </c>
      <c r="C378" s="32">
        <f t="shared" si="11"/>
        <v>7</v>
      </c>
    </row>
    <row r="379" spans="1:4" x14ac:dyDescent="0.75">
      <c r="A379" s="32">
        <v>351</v>
      </c>
      <c r="B379" s="32">
        <f t="shared" si="10"/>
        <v>50</v>
      </c>
      <c r="C379" s="32">
        <f t="shared" si="11"/>
        <v>1</v>
      </c>
    </row>
    <row r="380" spans="1:4" x14ac:dyDescent="0.75">
      <c r="A380" s="32">
        <v>352</v>
      </c>
      <c r="B380" s="32">
        <f t="shared" si="10"/>
        <v>50</v>
      </c>
      <c r="C380" s="32">
        <f t="shared" si="11"/>
        <v>2</v>
      </c>
    </row>
    <row r="381" spans="1:4" x14ac:dyDescent="0.75">
      <c r="A381" s="32">
        <v>353</v>
      </c>
      <c r="B381" s="32">
        <f t="shared" si="10"/>
        <v>50</v>
      </c>
      <c r="C381" s="32">
        <f t="shared" si="11"/>
        <v>3</v>
      </c>
    </row>
    <row r="382" spans="1:4" x14ac:dyDescent="0.75">
      <c r="A382" s="32">
        <v>354</v>
      </c>
      <c r="B382" s="32">
        <f t="shared" si="10"/>
        <v>50</v>
      </c>
      <c r="C382" s="32">
        <f t="shared" si="11"/>
        <v>4</v>
      </c>
    </row>
    <row r="383" spans="1:4" x14ac:dyDescent="0.75">
      <c r="A383" s="32">
        <v>355</v>
      </c>
      <c r="B383" s="32">
        <f t="shared" si="10"/>
        <v>50</v>
      </c>
      <c r="C383" s="32">
        <f t="shared" si="11"/>
        <v>5</v>
      </c>
    </row>
    <row r="384" spans="1:4" x14ac:dyDescent="0.75">
      <c r="A384" s="32">
        <v>356</v>
      </c>
      <c r="B384" s="32">
        <f t="shared" si="10"/>
        <v>50</v>
      </c>
      <c r="C384" s="32">
        <f t="shared" si="11"/>
        <v>6</v>
      </c>
    </row>
    <row r="385" spans="1:3" x14ac:dyDescent="0.75">
      <c r="A385" s="32">
        <v>357</v>
      </c>
      <c r="B385" s="32">
        <f t="shared" si="10"/>
        <v>50</v>
      </c>
      <c r="C385" s="32">
        <f t="shared" si="11"/>
        <v>7</v>
      </c>
    </row>
    <row r="386" spans="1:3" x14ac:dyDescent="0.75">
      <c r="A386" s="32">
        <v>358</v>
      </c>
      <c r="B386" s="32">
        <f t="shared" si="10"/>
        <v>51</v>
      </c>
      <c r="C386" s="32">
        <f t="shared" si="11"/>
        <v>1</v>
      </c>
    </row>
    <row r="387" spans="1:3" x14ac:dyDescent="0.75">
      <c r="A387" s="32">
        <v>359</v>
      </c>
      <c r="B387" s="32">
        <f t="shared" si="10"/>
        <v>51</v>
      </c>
      <c r="C387" s="32">
        <f t="shared" si="11"/>
        <v>2</v>
      </c>
    </row>
    <row r="388" spans="1:3" x14ac:dyDescent="0.75">
      <c r="A388" s="32">
        <v>360</v>
      </c>
      <c r="B388" s="32">
        <f t="shared" si="10"/>
        <v>51</v>
      </c>
      <c r="C388" s="32">
        <f t="shared" si="11"/>
        <v>3</v>
      </c>
    </row>
    <row r="389" spans="1:3" x14ac:dyDescent="0.75">
      <c r="A389" s="32">
        <v>361</v>
      </c>
      <c r="B389" s="32">
        <f t="shared" si="10"/>
        <v>51</v>
      </c>
      <c r="C389" s="32">
        <f t="shared" si="11"/>
        <v>4</v>
      </c>
    </row>
    <row r="390" spans="1:3" x14ac:dyDescent="0.75">
      <c r="A390" s="32">
        <v>362</v>
      </c>
      <c r="B390" s="32">
        <f t="shared" si="10"/>
        <v>51</v>
      </c>
      <c r="C390" s="32">
        <f t="shared" si="11"/>
        <v>5</v>
      </c>
    </row>
    <row r="391" spans="1:3" x14ac:dyDescent="0.75">
      <c r="A391" s="32">
        <v>363</v>
      </c>
      <c r="B391" s="32">
        <f t="shared" si="10"/>
        <v>51</v>
      </c>
      <c r="C391" s="32">
        <f t="shared" si="11"/>
        <v>6</v>
      </c>
    </row>
    <row r="392" spans="1:3" x14ac:dyDescent="0.75">
      <c r="A392" s="32">
        <v>364</v>
      </c>
      <c r="B392" s="32">
        <f t="shared" si="10"/>
        <v>51</v>
      </c>
      <c r="C392" s="32">
        <f t="shared" si="11"/>
        <v>7</v>
      </c>
    </row>
    <row r="393" spans="1:3" x14ac:dyDescent="0.75">
      <c r="A393" s="32">
        <v>365</v>
      </c>
      <c r="B393" s="32">
        <f t="shared" si="10"/>
        <v>52</v>
      </c>
      <c r="C393" s="32">
        <f t="shared" si="11"/>
        <v>1</v>
      </c>
    </row>
    <row r="394" spans="1:3" x14ac:dyDescent="0.75">
      <c r="A394" s="32">
        <v>366</v>
      </c>
      <c r="B394" s="32">
        <f t="shared" si="10"/>
        <v>52</v>
      </c>
      <c r="C394" s="32">
        <f t="shared" si="11"/>
        <v>2</v>
      </c>
    </row>
    <row r="395" spans="1:3" x14ac:dyDescent="0.75">
      <c r="A395" s="32">
        <v>367</v>
      </c>
      <c r="B395" s="32">
        <f t="shared" si="10"/>
        <v>52</v>
      </c>
      <c r="C395" s="32">
        <f t="shared" si="11"/>
        <v>3</v>
      </c>
    </row>
    <row r="396" spans="1:3" x14ac:dyDescent="0.75">
      <c r="A396" s="32">
        <v>368</v>
      </c>
      <c r="B396" s="32">
        <f t="shared" si="10"/>
        <v>52</v>
      </c>
      <c r="C396" s="32">
        <f t="shared" si="11"/>
        <v>4</v>
      </c>
    </row>
    <row r="397" spans="1:3" x14ac:dyDescent="0.75">
      <c r="A397" s="32">
        <v>369</v>
      </c>
      <c r="B397" s="32">
        <f t="shared" si="10"/>
        <v>52</v>
      </c>
      <c r="C397" s="32">
        <f t="shared" si="11"/>
        <v>5</v>
      </c>
    </row>
    <row r="398" spans="1:3" x14ac:dyDescent="0.75">
      <c r="A398" s="32">
        <v>370</v>
      </c>
      <c r="B398" s="32">
        <f t="shared" si="10"/>
        <v>52</v>
      </c>
      <c r="C398" s="32">
        <f t="shared" si="11"/>
        <v>6</v>
      </c>
    </row>
    <row r="399" spans="1:3" x14ac:dyDescent="0.75">
      <c r="A399" s="32">
        <v>371</v>
      </c>
      <c r="B399" s="32">
        <f t="shared" si="10"/>
        <v>52</v>
      </c>
      <c r="C399" s="32">
        <f t="shared" si="11"/>
        <v>7</v>
      </c>
    </row>
    <row r="400" spans="1:3" x14ac:dyDescent="0.75">
      <c r="A400" s="32">
        <v>372</v>
      </c>
      <c r="B400" s="32">
        <f t="shared" si="10"/>
        <v>53</v>
      </c>
      <c r="C400" s="32">
        <f t="shared" si="11"/>
        <v>1</v>
      </c>
    </row>
    <row r="401" spans="1:3" x14ac:dyDescent="0.75">
      <c r="A401" s="32">
        <v>373</v>
      </c>
      <c r="B401" s="32">
        <f t="shared" si="10"/>
        <v>53</v>
      </c>
      <c r="C401" s="32">
        <f t="shared" si="11"/>
        <v>2</v>
      </c>
    </row>
    <row r="402" spans="1:3" x14ac:dyDescent="0.75">
      <c r="A402" s="32">
        <v>374</v>
      </c>
      <c r="B402" s="32">
        <f t="shared" si="10"/>
        <v>53</v>
      </c>
      <c r="C402" s="32">
        <f t="shared" si="11"/>
        <v>3</v>
      </c>
    </row>
    <row r="403" spans="1:3" x14ac:dyDescent="0.75">
      <c r="A403" s="32">
        <v>375</v>
      </c>
      <c r="B403" s="32">
        <f t="shared" si="10"/>
        <v>53</v>
      </c>
      <c r="C403" s="32">
        <f t="shared" si="11"/>
        <v>4</v>
      </c>
    </row>
    <row r="404" spans="1:3" x14ac:dyDescent="0.75">
      <c r="A404" s="32">
        <v>376</v>
      </c>
      <c r="B404" s="32">
        <f t="shared" si="10"/>
        <v>53</v>
      </c>
      <c r="C404" s="32">
        <f t="shared" si="11"/>
        <v>5</v>
      </c>
    </row>
    <row r="405" spans="1:3" x14ac:dyDescent="0.75">
      <c r="A405" s="32">
        <v>377</v>
      </c>
      <c r="B405" s="32">
        <f t="shared" si="10"/>
        <v>53</v>
      </c>
      <c r="C405" s="32">
        <f t="shared" si="11"/>
        <v>6</v>
      </c>
    </row>
    <row r="406" spans="1:3" x14ac:dyDescent="0.75">
      <c r="A406" s="32">
        <v>378</v>
      </c>
      <c r="B406" s="32">
        <f t="shared" si="10"/>
        <v>53</v>
      </c>
      <c r="C406" s="32">
        <f t="shared" si="11"/>
        <v>7</v>
      </c>
    </row>
    <row r="407" spans="1:3" x14ac:dyDescent="0.75">
      <c r="A407" s="32">
        <v>379</v>
      </c>
      <c r="B407" s="32">
        <f t="shared" si="10"/>
        <v>54</v>
      </c>
      <c r="C407" s="32">
        <f t="shared" si="11"/>
        <v>1</v>
      </c>
    </row>
    <row r="408" spans="1:3" x14ac:dyDescent="0.75">
      <c r="A408" s="32">
        <v>380</v>
      </c>
      <c r="B408" s="32">
        <f t="shared" si="10"/>
        <v>54</v>
      </c>
      <c r="C408" s="32">
        <f t="shared" si="11"/>
        <v>2</v>
      </c>
    </row>
    <row r="409" spans="1:3" x14ac:dyDescent="0.75">
      <c r="A409" s="32">
        <v>381</v>
      </c>
      <c r="B409" s="32">
        <f t="shared" si="10"/>
        <v>54</v>
      </c>
      <c r="C409" s="32">
        <f t="shared" si="11"/>
        <v>3</v>
      </c>
    </row>
    <row r="410" spans="1:3" x14ac:dyDescent="0.75">
      <c r="A410" s="32">
        <v>382</v>
      </c>
      <c r="B410" s="32">
        <f t="shared" si="10"/>
        <v>54</v>
      </c>
      <c r="C410" s="32">
        <f t="shared" si="11"/>
        <v>4</v>
      </c>
    </row>
    <row r="411" spans="1:3" x14ac:dyDescent="0.75">
      <c r="A411" s="32">
        <v>383</v>
      </c>
      <c r="B411" s="32">
        <f t="shared" si="10"/>
        <v>54</v>
      </c>
      <c r="C411" s="32">
        <f t="shared" si="11"/>
        <v>5</v>
      </c>
    </row>
    <row r="412" spans="1:3" x14ac:dyDescent="0.75">
      <c r="A412" s="32">
        <v>384</v>
      </c>
      <c r="B412" s="32">
        <f t="shared" si="10"/>
        <v>54</v>
      </c>
      <c r="C412" s="32">
        <f t="shared" si="11"/>
        <v>6</v>
      </c>
    </row>
    <row r="413" spans="1:3" x14ac:dyDescent="0.75">
      <c r="A413" s="32">
        <v>385</v>
      </c>
      <c r="B413" s="32">
        <f t="shared" ref="B413:B419" si="12">IF(MOD(A413,$B$6)=0,A413/$B$6-1,INT(A413/$B$6))</f>
        <v>54</v>
      </c>
      <c r="C413" s="32">
        <f t="shared" ref="C413:C419" si="13">IF(MOD(A413,$B$6)=0,$B$6,MOD(A413,$B$6))</f>
        <v>7</v>
      </c>
    </row>
    <row r="414" spans="1:3" x14ac:dyDescent="0.75">
      <c r="A414" s="32">
        <v>386</v>
      </c>
      <c r="B414" s="32">
        <f t="shared" si="12"/>
        <v>55</v>
      </c>
      <c r="C414" s="32">
        <f t="shared" si="13"/>
        <v>1</v>
      </c>
    </row>
    <row r="415" spans="1:3" x14ac:dyDescent="0.75">
      <c r="A415" s="32">
        <v>387</v>
      </c>
      <c r="B415" s="32">
        <f t="shared" si="12"/>
        <v>55</v>
      </c>
      <c r="C415" s="32">
        <f t="shared" si="13"/>
        <v>2</v>
      </c>
    </row>
    <row r="416" spans="1:3" x14ac:dyDescent="0.75">
      <c r="A416" s="32">
        <v>388</v>
      </c>
      <c r="B416" s="32">
        <f t="shared" si="12"/>
        <v>55</v>
      </c>
      <c r="C416" s="32">
        <f t="shared" si="13"/>
        <v>3</v>
      </c>
    </row>
    <row r="417" spans="1:3" x14ac:dyDescent="0.75">
      <c r="A417" s="32">
        <v>389</v>
      </c>
      <c r="B417" s="32">
        <f t="shared" si="12"/>
        <v>55</v>
      </c>
      <c r="C417" s="32">
        <f t="shared" si="13"/>
        <v>4</v>
      </c>
    </row>
    <row r="418" spans="1:3" x14ac:dyDescent="0.75">
      <c r="A418" s="32">
        <v>390</v>
      </c>
      <c r="B418" s="32">
        <f t="shared" si="12"/>
        <v>55</v>
      </c>
      <c r="C418" s="32">
        <f t="shared" si="13"/>
        <v>5</v>
      </c>
    </row>
    <row r="419" spans="1:3" x14ac:dyDescent="0.75">
      <c r="A419" s="32">
        <v>391</v>
      </c>
      <c r="B419" s="32">
        <f t="shared" si="12"/>
        <v>55</v>
      </c>
      <c r="C419" s="32">
        <f t="shared" si="13"/>
        <v>6</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37</vt:i4>
      </vt:variant>
      <vt:variant>
        <vt:lpstr>Intervalli denominati</vt:lpstr>
      </vt:variant>
      <vt:variant>
        <vt:i4>9</vt:i4>
      </vt:variant>
    </vt:vector>
  </HeadingPairs>
  <TitlesOfParts>
    <vt:vector size="46" baseType="lpstr">
      <vt:lpstr>VariablesList</vt:lpstr>
      <vt:lpstr>Common</vt:lpstr>
      <vt:lpstr>Base-1</vt:lpstr>
      <vt:lpstr>Base-2</vt:lpstr>
      <vt:lpstr>Base-3</vt:lpstr>
      <vt:lpstr>BaseMap-1</vt:lpstr>
      <vt:lpstr>BaseMap-2</vt:lpstr>
      <vt:lpstr>Rad-1</vt:lpstr>
      <vt:lpstr>Rad-2</vt:lpstr>
      <vt:lpstr>Rad-3</vt:lpstr>
      <vt:lpstr>RadMap-1</vt:lpstr>
      <vt:lpstr>RadMap-2</vt:lpstr>
      <vt:lpstr>Chemio-1</vt:lpstr>
      <vt:lpstr>Chemio-2</vt:lpstr>
      <vt:lpstr>Chemio-3</vt:lpstr>
      <vt:lpstr>ChemioMap-1</vt:lpstr>
      <vt:lpstr>ChemioMap-2</vt:lpstr>
      <vt:lpstr>Subj-Map-1</vt:lpstr>
      <vt:lpstr>Subj-Map-2</vt:lpstr>
      <vt:lpstr>Subj-Map2-1</vt:lpstr>
      <vt:lpstr>Subj-Map2-2</vt:lpstr>
      <vt:lpstr>Subj-Map-all</vt:lpstr>
      <vt:lpstr>Subj-uc1-1</vt:lpstr>
      <vt:lpstr>Subj-uc1-2</vt:lpstr>
      <vt:lpstr>Radio-1</vt:lpstr>
      <vt:lpstr>Radio-2</vt:lpstr>
      <vt:lpstr>Radio-3</vt:lpstr>
      <vt:lpstr>SimpleOrg-1</vt:lpstr>
      <vt:lpstr>SimpleOrg-2</vt:lpstr>
      <vt:lpstr>SimpleOrg-3</vt:lpstr>
      <vt:lpstr>Prod-1</vt:lpstr>
      <vt:lpstr>Prod-2</vt:lpstr>
      <vt:lpstr>Prod-3</vt:lpstr>
      <vt:lpstr>Prod-uc1-1</vt:lpstr>
      <vt:lpstr>Prod-uc1-2</vt:lpstr>
      <vt:lpstr>Prod-uc2-1</vt:lpstr>
      <vt:lpstr>Prod-uc2-2</vt:lpstr>
      <vt:lpstr>'Subj-Map2-1'!PatientRole</vt:lpstr>
      <vt:lpstr>'Subj-Map2-1'!PatientRole.addr</vt:lpstr>
      <vt:lpstr>'Subj-Map2-1'!PatientRole.classCode</vt:lpstr>
      <vt:lpstr>'Subj-Map2-1'!PatientRole.identifiedBy</vt:lpstr>
      <vt:lpstr>'Subj-Map2-1'!PatientRole.patient</vt:lpstr>
      <vt:lpstr>'Subj-Map2-1'!PatientRole.providerOrganization</vt:lpstr>
      <vt:lpstr>'Subj-Map2-1'!PatientRole.telecom</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2021-07-15T13:30:14Z</dcterms:modified>
</cp:coreProperties>
</file>