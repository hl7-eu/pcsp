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5EF07CC8-4DEA-4654-96F8-47E2DE0F1A0C}" xr6:coauthVersionLast="47" xr6:coauthVersionMax="47" xr10:uidLastSave="{00000000-0000-0000-0000-000000000000}"/>
  <bookViews>
    <workbookView xWindow="-90" yWindow="-21710" windowWidth="38620" windowHeight="21100" tabRatio="819" firstSheet="28" activeTab="35"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B35" i="105" l="1"/>
  <c r="C35" i="105"/>
  <c r="B36" i="105"/>
  <c r="C36" i="105"/>
  <c r="B8" i="105"/>
  <c r="C8" i="105"/>
  <c r="B9" i="105"/>
  <c r="C9" i="105"/>
  <c r="B10" i="105"/>
  <c r="C10" i="105"/>
  <c r="B11" i="105"/>
  <c r="C11" i="105"/>
  <c r="B12" i="105"/>
  <c r="C12" i="105"/>
  <c r="B13" i="105"/>
  <c r="C13" i="105"/>
  <c r="B14" i="105"/>
  <c r="C14" i="105"/>
  <c r="B15" i="105"/>
  <c r="C15" i="105"/>
  <c r="B16" i="105"/>
  <c r="C16" i="105"/>
  <c r="B17" i="105"/>
  <c r="C17" i="105"/>
  <c r="B18" i="105"/>
  <c r="C18" i="105"/>
  <c r="B19" i="105"/>
  <c r="C19" i="105"/>
  <c r="B20" i="105"/>
  <c r="C20"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7" i="105"/>
  <c r="C7" i="105"/>
  <c r="D8" i="81" l="1"/>
  <c r="D9" i="81"/>
  <c r="D24" i="81"/>
  <c r="D25" i="81"/>
  <c r="D40" i="81"/>
  <c r="D48" i="81"/>
  <c r="D56" i="81"/>
  <c r="D64" i="81"/>
  <c r="D65" i="81"/>
  <c r="D69" i="8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5" i="78" a="1"/>
  <c r="D65" i="78"/>
  <c r="D66" i="78" a="1"/>
  <c r="D66" i="78" s="1"/>
  <c r="D66" i="81" s="1"/>
  <c r="D67" i="78" a="1"/>
  <c r="D67" i="78" s="1"/>
  <c r="D67" i="81" s="1"/>
  <c r="D68" i="78" a="1"/>
  <c r="D68" i="78" s="1"/>
  <c r="D68" i="81" s="1"/>
  <c r="D4" i="78" a="1"/>
  <c r="D4" i="78" s="1"/>
  <c r="D4" i="81" s="1"/>
  <c r="D5" i="78" a="1"/>
  <c r="D5" i="78" s="1"/>
  <c r="D5" i="81" s="1"/>
  <c r="D6" i="78" a="1"/>
  <c r="D6" i="78"/>
  <c r="D6" i="81" s="1"/>
  <c r="D7" i="78" a="1"/>
  <c r="D7" i="78" s="1"/>
  <c r="D7" i="81" s="1"/>
  <c r="D8" i="78" a="1"/>
  <c r="D8" i="78" s="1"/>
  <c r="D9" i="78" a="1"/>
  <c r="D9" i="78" s="1"/>
  <c r="D10" i="78" a="1"/>
  <c r="D10" i="78" s="1"/>
  <c r="D10" i="81" s="1"/>
  <c r="D11" i="78" a="1"/>
  <c r="D11" i="78"/>
  <c r="D11" i="81" s="1"/>
  <c r="D12" i="78" a="1"/>
  <c r="D12" i="78" s="1"/>
  <c r="D12" i="81" s="1"/>
  <c r="D13" i="78" a="1"/>
  <c r="D13" i="78" s="1"/>
  <c r="D13" i="81" s="1"/>
  <c r="D14" i="78" a="1"/>
  <c r="D14" i="78"/>
  <c r="D14" i="81" s="1"/>
  <c r="D15" i="78" a="1"/>
  <c r="D15" i="78" s="1"/>
  <c r="D15" i="81" s="1"/>
  <c r="D16" i="78" a="1"/>
  <c r="D16" i="78" s="1"/>
  <c r="D16" i="81" s="1"/>
  <c r="D17" i="78" a="1"/>
  <c r="D17" i="78" s="1"/>
  <c r="D17" i="81" s="1"/>
  <c r="D18" i="78" a="1"/>
  <c r="D18" i="78" s="1"/>
  <c r="D18" i="81" s="1"/>
  <c r="D19" i="78" a="1"/>
  <c r="D19" i="78" s="1"/>
  <c r="D19" i="81" s="1"/>
  <c r="D20" i="78" a="1"/>
  <c r="D20" i="78" s="1"/>
  <c r="D20" i="81" s="1"/>
  <c r="D21" i="78" a="1"/>
  <c r="D21" i="78" s="1"/>
  <c r="D21" i="81" s="1"/>
  <c r="D22" i="78" a="1"/>
  <c r="D22" i="78"/>
  <c r="D22" i="81" s="1"/>
  <c r="D23" i="78" a="1"/>
  <c r="D23" i="78" s="1"/>
  <c r="D23" i="81" s="1"/>
  <c r="D24" i="78" a="1"/>
  <c r="D24" i="78" s="1"/>
  <c r="D25" i="78" a="1"/>
  <c r="D25" i="78" s="1"/>
  <c r="D26" i="78" a="1"/>
  <c r="D26" i="78" s="1"/>
  <c r="D26" i="81" s="1"/>
  <c r="D27" i="78" a="1"/>
  <c r="D27" i="78"/>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c r="D37" i="81" s="1"/>
  <c r="D38" i="78" a="1"/>
  <c r="D38" i="78" s="1"/>
  <c r="D38" i="81" s="1"/>
  <c r="D39" i="78" a="1"/>
  <c r="D39" i="78"/>
  <c r="D39" i="81" s="1"/>
  <c r="D40" i="78" a="1"/>
  <c r="D40" i="78" s="1"/>
  <c r="D41" i="78" a="1"/>
  <c r="D41" i="78" s="1"/>
  <c r="D41" i="81" s="1"/>
  <c r="D42" i="78" a="1"/>
  <c r="D42" i="78"/>
  <c r="D42" i="81" s="1"/>
  <c r="D43" i="78" a="1"/>
  <c r="D43" i="78" s="1"/>
  <c r="D43" i="81" s="1"/>
  <c r="D44" i="78" a="1"/>
  <c r="D44" i="78" s="1"/>
  <c r="D44" i="81" s="1"/>
  <c r="D45" i="78" a="1"/>
  <c r="D45" i="78"/>
  <c r="D45" i="81" s="1"/>
  <c r="D46" i="78" a="1"/>
  <c r="D46" i="78"/>
  <c r="D46" i="81" s="1"/>
  <c r="D47" i="78" a="1"/>
  <c r="D47" i="78" s="1"/>
  <c r="D47" i="81" s="1"/>
  <c r="D48" i="78" a="1"/>
  <c r="D48" i="78" s="1"/>
  <c r="D49" i="78" a="1"/>
  <c r="D49" i="78" s="1"/>
  <c r="D49" i="81" s="1"/>
  <c r="D50" i="78" a="1"/>
  <c r="D50" i="78" s="1"/>
  <c r="D50" i="81" s="1"/>
  <c r="D53" i="78" a="1"/>
  <c r="D53" i="78"/>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c r="D39" i="76" a="1"/>
  <c r="D39" i="76" s="1"/>
  <c r="D40" i="76" a="1"/>
  <c r="D40" i="76" s="1"/>
  <c r="D41" i="76" a="1"/>
  <c r="D41" i="76" s="1"/>
  <c r="D42" i="76" a="1"/>
  <c r="D42" i="76"/>
  <c r="D43" i="76" a="1"/>
  <c r="D43" i="76" s="1"/>
  <c r="D44" i="76" a="1"/>
  <c r="D44" i="76" s="1"/>
  <c r="D45" i="76" a="1"/>
  <c r="D45" i="76" s="1"/>
  <c r="D46" i="76" a="1"/>
  <c r="D46" i="76"/>
  <c r="D47" i="76" a="1"/>
  <c r="D47" i="76" s="1"/>
  <c r="D48" i="76" a="1"/>
  <c r="D48" i="76" s="1"/>
  <c r="D49" i="76" a="1"/>
  <c r="D49" i="76" s="1"/>
  <c r="D50" i="76" a="1"/>
  <c r="D50" i="76"/>
  <c r="D51" i="76" a="1"/>
  <c r="D51" i="76" s="1"/>
  <c r="D52" i="76" a="1"/>
  <c r="D52" i="76" s="1"/>
  <c r="D53" i="76" a="1"/>
  <c r="D53" i="76" s="1"/>
  <c r="D54" i="76" a="1"/>
  <c r="D54" i="76"/>
  <c r="D55" i="76" a="1"/>
  <c r="D55" i="76" s="1"/>
  <c r="D56" i="76" a="1"/>
  <c r="D56" i="76" s="1"/>
  <c r="D57" i="76" a="1"/>
  <c r="D57" i="76" s="1"/>
  <c r="D58" i="76" a="1"/>
  <c r="D58" i="76"/>
  <c r="D59" i="76" a="1"/>
  <c r="D59" i="76" s="1"/>
  <c r="D60" i="76" a="1"/>
  <c r="D60" i="76" s="1"/>
  <c r="D61" i="76" a="1"/>
  <c r="D61" i="76" s="1"/>
  <c r="D62" i="76" a="1"/>
  <c r="D62" i="76"/>
  <c r="D63" i="76" a="1"/>
  <c r="D63" i="76" s="1"/>
  <c r="D64" i="76" a="1"/>
  <c r="D64" i="76" s="1"/>
  <c r="D65" i="76" a="1"/>
  <c r="D65" i="76" s="1"/>
  <c r="D66" i="76" a="1"/>
  <c r="D66" i="76"/>
  <c r="D67" i="76" a="1"/>
  <c r="D67" i="76" s="1"/>
  <c r="D68" i="76" a="1"/>
  <c r="D68" i="76" s="1"/>
  <c r="D69" i="76" a="1"/>
  <c r="D69" i="76" s="1"/>
  <c r="D70" i="76" a="1"/>
  <c r="D70" i="76"/>
  <c r="D71" i="76" a="1"/>
  <c r="D71" i="76" s="1"/>
  <c r="D72" i="76" a="1"/>
  <c r="D72" i="76" s="1"/>
  <c r="D73" i="76" a="1"/>
  <c r="D73" i="76" s="1"/>
  <c r="D74" i="76" a="1"/>
  <c r="D74" i="76"/>
  <c r="D75" i="76" a="1"/>
  <c r="D75" i="76" s="1"/>
  <c r="D76" i="76" a="1"/>
  <c r="D76" i="76" s="1"/>
  <c r="D77" i="76" a="1"/>
  <c r="D77" i="76" s="1"/>
  <c r="D78" i="76" a="1"/>
  <c r="D78" i="76"/>
  <c r="D79" i="76" a="1"/>
  <c r="D79" i="76" s="1"/>
  <c r="D80" i="76" a="1"/>
  <c r="D80" i="76" s="1"/>
  <c r="D81" i="76" a="1"/>
  <c r="D81" i="76" s="1"/>
  <c r="D82" i="76" a="1"/>
  <c r="D82" i="76"/>
  <c r="D83" i="76" a="1"/>
  <c r="D83" i="76" s="1"/>
  <c r="D84" i="76" a="1"/>
  <c r="D84" i="76" s="1"/>
  <c r="D85" i="76" a="1"/>
  <c r="D85" i="76" s="1"/>
  <c r="D86" i="76" a="1"/>
  <c r="D86" i="76"/>
  <c r="D87" i="76" a="1"/>
  <c r="D87" i="76" s="1"/>
  <c r="D88" i="76" a="1"/>
  <c r="D88" i="76" s="1"/>
  <c r="D89" i="76" a="1"/>
  <c r="D89" i="76" s="1"/>
  <c r="D90" i="76" a="1"/>
  <c r="D90" i="76"/>
  <c r="D91" i="76" a="1"/>
  <c r="D91" i="76" s="1"/>
  <c r="D92" i="76" a="1"/>
  <c r="D92" i="76" s="1"/>
  <c r="D93" i="76" a="1"/>
  <c r="D93" i="76" s="1"/>
  <c r="D94" i="76" a="1"/>
  <c r="D94" i="76"/>
  <c r="D95" i="76" a="1"/>
  <c r="D95" i="76" s="1"/>
  <c r="D96" i="76" a="1"/>
  <c r="D96" i="76" s="1"/>
  <c r="D97" i="76" a="1"/>
  <c r="D97" i="76" s="1"/>
  <c r="D98" i="76" a="1"/>
  <c r="D98" i="76"/>
  <c r="D99" i="76" a="1"/>
  <c r="D99" i="76" s="1"/>
  <c r="D100" i="76" a="1"/>
  <c r="D100" i="76" s="1"/>
  <c r="D101" i="76" a="1"/>
  <c r="D101" i="76" s="1"/>
  <c r="D102" i="76" a="1"/>
  <c r="D102" i="76"/>
  <c r="D103" i="76" a="1"/>
  <c r="D103" i="76" s="1"/>
  <c r="D104" i="76" a="1"/>
  <c r="D104" i="76" s="1"/>
  <c r="D105" i="76" a="1"/>
  <c r="D105" i="76" s="1"/>
  <c r="D106" i="76" a="1"/>
  <c r="D106" i="76"/>
  <c r="D107" i="76" a="1"/>
  <c r="D107" i="76" s="1"/>
  <c r="D108" i="76" a="1"/>
  <c r="D108" i="76" s="1"/>
  <c r="D109" i="76" a="1"/>
  <c r="D109" i="76" s="1"/>
  <c r="D110" i="76" a="1"/>
  <c r="D110" i="76"/>
  <c r="D111" i="76" a="1"/>
  <c r="D111" i="76" s="1"/>
  <c r="D112" i="76" a="1"/>
  <c r="D112" i="76" s="1"/>
  <c r="D113" i="76" a="1"/>
  <c r="D113" i="76" s="1"/>
  <c r="D114" i="76" a="1"/>
  <c r="D114" i="76"/>
  <c r="D115" i="76" a="1"/>
  <c r="D115" i="76" s="1"/>
  <c r="D116" i="76" a="1"/>
  <c r="D116" i="76" s="1"/>
  <c r="D117" i="76" a="1"/>
  <c r="D117" i="76" s="1"/>
  <c r="D118" i="76" a="1"/>
  <c r="D118" i="76"/>
  <c r="D119" i="76" a="1"/>
  <c r="D119" i="76" s="1"/>
  <c r="D120" i="76" a="1"/>
  <c r="D120" i="76" s="1"/>
  <c r="D121" i="76" a="1"/>
  <c r="D121" i="76" s="1"/>
  <c r="D122" i="76" a="1"/>
  <c r="D122" i="76"/>
  <c r="D123" i="76" a="1"/>
  <c r="D123" i="76" s="1"/>
  <c r="D124" i="76" a="1"/>
  <c r="D124" i="76" s="1"/>
  <c r="D125" i="76" a="1"/>
  <c r="D125" i="76" s="1"/>
  <c r="D126" i="76" a="1"/>
  <c r="D126" i="76"/>
  <c r="D127" i="76" a="1"/>
  <c r="D127" i="76" s="1"/>
  <c r="D128" i="76" a="1"/>
  <c r="D128" i="76" s="1"/>
  <c r="D129" i="76" a="1"/>
  <c r="D129" i="76" s="1"/>
  <c r="D130" i="76" a="1"/>
  <c r="D130" i="76"/>
  <c r="D131" i="76" a="1"/>
  <c r="D131" i="76" s="1"/>
  <c r="D132" i="76" a="1"/>
  <c r="D132" i="76" s="1"/>
  <c r="D133" i="76" a="1"/>
  <c r="D133" i="76" s="1"/>
  <c r="D134" i="76" a="1"/>
  <c r="D134" i="76"/>
  <c r="D135" i="76" a="1"/>
  <c r="D135" i="76" s="1"/>
  <c r="D136" i="76" a="1"/>
  <c r="D136" i="76" s="1"/>
  <c r="D137" i="76" a="1"/>
  <c r="D137" i="76" s="1"/>
  <c r="D138" i="76" a="1"/>
  <c r="D138" i="76"/>
  <c r="D139" i="76" a="1"/>
  <c r="D139" i="76" s="1"/>
  <c r="D140" i="76" a="1"/>
  <c r="D140" i="76" s="1"/>
  <c r="D141" i="76" a="1"/>
  <c r="D141" i="76" s="1"/>
  <c r="D142" i="76" a="1"/>
  <c r="D142" i="76"/>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36" i="10" a="1"/>
  <c r="D36"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9" i="10" a="1"/>
  <c r="D59" i="10" s="1"/>
  <c r="D60" i="10" a="1"/>
  <c r="D60" i="10" s="1"/>
  <c r="D62" i="10" a="1"/>
  <c r="D62" i="10" s="1"/>
  <c r="D67" i="10" a="1"/>
  <c r="D67" i="10" s="1"/>
  <c r="D68" i="10" a="1"/>
  <c r="D68" i="10" s="1"/>
  <c r="D69" i="10" a="1"/>
  <c r="D69" i="10" s="1"/>
  <c r="D76" i="10" a="1"/>
  <c r="D76" i="10" s="1"/>
  <c r="D107" i="10" a="1"/>
  <c r="D107" i="10" s="1"/>
  <c r="D115" i="10" a="1"/>
  <c r="D115" i="10" s="1"/>
  <c r="D123" i="10" a="1"/>
  <c r="D123" i="10" s="1"/>
  <c r="D131" i="10" a="1"/>
  <c r="D131" i="10" s="1"/>
  <c r="D139" i="10" a="1"/>
  <c r="D139" i="10" s="1"/>
  <c r="D146" i="10" a="1"/>
  <c r="D146" i="10" s="1"/>
  <c r="D172" i="10" a="1"/>
  <c r="D172" i="10" s="1"/>
  <c r="D180" i="10" a="1"/>
  <c r="D180" i="10" s="1"/>
  <c r="D188" i="10" a="1"/>
  <c r="D188" i="10" s="1"/>
  <c r="D195" i="10" a="1"/>
  <c r="D195" i="10" s="1"/>
  <c r="D219" i="10" a="1"/>
  <c r="D219" i="10" s="1"/>
  <c r="D227" i="10" a="1"/>
  <c r="D227" i="10" s="1"/>
  <c r="D235" i="10" a="1"/>
  <c r="D23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D58" i="10" s="1" a="1"/>
  <c r="D58" i="10" s="1"/>
  <c r="E5" i="9"/>
  <c r="F5" i="9"/>
  <c r="G5" i="9"/>
  <c r="D61" i="10" s="1" a="1"/>
  <c r="D61" i="10" s="1"/>
  <c r="H5" i="9"/>
  <c r="B6" i="9"/>
  <c r="D63" i="10" s="1" a="1"/>
  <c r="D63" i="10" s="1"/>
  <c r="C6" i="9"/>
  <c r="D64" i="10" s="1" a="1"/>
  <c r="D64" i="10" s="1"/>
  <c r="D6" i="9"/>
  <c r="D65" i="10" s="1" a="1"/>
  <c r="D65" i="10" s="1"/>
  <c r="E6" i="9"/>
  <c r="D66" i="10" s="1" a="1"/>
  <c r="D66" i="10" s="1"/>
  <c r="F6" i="9"/>
  <c r="G6" i="9"/>
  <c r="H6" i="9"/>
  <c r="B7" i="9"/>
  <c r="D70" i="10" s="1" a="1"/>
  <c r="D70" i="10" s="1"/>
  <c r="C7" i="9"/>
  <c r="D71" i="10" s="1" a="1"/>
  <c r="D71" i="10" s="1"/>
  <c r="D7" i="9"/>
  <c r="D72" i="10" s="1" a="1"/>
  <c r="D72" i="10" s="1"/>
  <c r="E7" i="9"/>
  <c r="D73" i="10" s="1" a="1"/>
  <c r="D73" i="10" s="1"/>
  <c r="F7" i="9"/>
  <c r="D74" i="10" s="1" a="1"/>
  <c r="D74" i="10" s="1"/>
  <c r="G7" i="9"/>
  <c r="D75" i="10" s="1" a="1"/>
  <c r="D75" i="10" s="1"/>
  <c r="H7" i="9"/>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B17" i="9"/>
  <c r="D140" i="10" s="1" a="1"/>
  <c r="D140" i="10" s="1"/>
  <c r="C17" i="9"/>
  <c r="D141" i="10" s="1" a="1"/>
  <c r="D141" i="10" s="1"/>
  <c r="D17" i="9"/>
  <c r="D142" i="10" s="1" a="1"/>
  <c r="D142" i="10" s="1"/>
  <c r="E17" i="9"/>
  <c r="D143" i="10" s="1" a="1"/>
  <c r="D143" i="10" s="1"/>
  <c r="F17" i="9"/>
  <c r="D144" i="10" s="1" a="1"/>
  <c r="D144" i="10" s="1"/>
  <c r="G17" i="9"/>
  <c r="D145" i="10" s="1" a="1"/>
  <c r="D145" i="10" s="1"/>
  <c r="H17" i="9"/>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B24" i="9"/>
  <c r="D189" i="10" s="1" a="1"/>
  <c r="D189" i="10" s="1"/>
  <c r="C24" i="9"/>
  <c r="D190" i="10" s="1" a="1"/>
  <c r="D190" i="10" s="1"/>
  <c r="D24" i="9"/>
  <c r="D191" i="10" s="1" a="1"/>
  <c r="D191" i="10" s="1"/>
  <c r="E24" i="9"/>
  <c r="D192" i="10" s="1" a="1"/>
  <c r="D192" i="10" s="1"/>
  <c r="F24" i="9"/>
  <c r="D193" i="10" s="1" a="1"/>
  <c r="D193" i="10" s="1"/>
  <c r="G24" i="9"/>
  <c r="D194" i="10" s="1" a="1"/>
  <c r="D194" i="10" s="1"/>
  <c r="H24" i="9"/>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G30" i="9"/>
  <c r="D236" i="10" s="1" a="1"/>
  <c r="D236" i="10" s="1"/>
  <c r="H30" i="9"/>
  <c r="D237" i="10" s="1" a="1"/>
  <c r="D237" i="10" s="1"/>
  <c r="E2" i="9"/>
  <c r="D2" i="9"/>
  <c r="D37" i="10" s="1" a="1"/>
  <c r="D37" i="10" s="1"/>
  <c r="C206" i="106" l="1"/>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N40" i="105"/>
  <c r="K40" i="105"/>
  <c r="I40" i="105"/>
  <c r="H40" i="105"/>
  <c r="J40" i="105" s="1"/>
  <c r="N39" i="105"/>
  <c r="K39" i="105"/>
  <c r="H39" i="105"/>
  <c r="J39" i="105" s="1"/>
  <c r="N38" i="105"/>
  <c r="K38" i="105"/>
  <c r="J38" i="105"/>
  <c r="I38" i="105"/>
  <c r="H38" i="105"/>
  <c r="N37" i="105"/>
  <c r="K37" i="105"/>
  <c r="H37" i="105"/>
  <c r="J37" i="105" s="1"/>
  <c r="N36" i="105"/>
  <c r="K36" i="105"/>
  <c r="I36" i="105"/>
  <c r="D90" i="106" s="1" a="1"/>
  <c r="D90" i="106" s="1"/>
  <c r="D90" i="109" s="1"/>
  <c r="H36" i="105"/>
  <c r="J36" i="105" s="1"/>
  <c r="N35" i="105"/>
  <c r="K35" i="105"/>
  <c r="H35" i="105"/>
  <c r="I35" i="105" s="1"/>
  <c r="K34" i="105"/>
  <c r="H34" i="105"/>
  <c r="J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H29" i="105"/>
  <c r="J29" i="105" s="1"/>
  <c r="I29" i="105"/>
  <c r="N28" i="105"/>
  <c r="K28" i="105"/>
  <c r="H28" i="105"/>
  <c r="J28" i="105" s="1"/>
  <c r="N27" i="105"/>
  <c r="K27" i="105"/>
  <c r="D65" i="106" s="1" a="1"/>
  <c r="D65" i="106" s="1"/>
  <c r="D65" i="109" s="1"/>
  <c r="H27" i="105"/>
  <c r="J27" i="105" s="1"/>
  <c r="K26" i="105"/>
  <c r="H26" i="105"/>
  <c r="J26" i="105" s="1"/>
  <c r="N26" i="105"/>
  <c r="N25" i="105"/>
  <c r="K25" i="105"/>
  <c r="H25" i="105"/>
  <c r="J25" i="105" s="1"/>
  <c r="D58" i="106" s="1" a="1"/>
  <c r="D58" i="106" s="1"/>
  <c r="D58" i="109" s="1"/>
  <c r="K24" i="105"/>
  <c r="H24" i="105"/>
  <c r="I24" i="105" s="1"/>
  <c r="N24" i="105"/>
  <c r="N23" i="105"/>
  <c r="K23" i="105"/>
  <c r="H23" i="105"/>
  <c r="J23" i="105" s="1"/>
  <c r="K22" i="105"/>
  <c r="J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J15" i="105"/>
  <c r="H15" i="105"/>
  <c r="I15" i="105" s="1"/>
  <c r="N15" i="105"/>
  <c r="N14" i="105"/>
  <c r="K14" i="105"/>
  <c r="H14" i="105"/>
  <c r="I14" i="105" s="1"/>
  <c r="N13" i="105"/>
  <c r="K13" i="105"/>
  <c r="I13" i="105"/>
  <c r="H13" i="105"/>
  <c r="J13" i="105" s="1"/>
  <c r="N12" i="105"/>
  <c r="K12" i="105"/>
  <c r="H12" i="105"/>
  <c r="J12" i="105" s="1"/>
  <c r="K11" i="105"/>
  <c r="J11" i="105"/>
  <c r="H11" i="105"/>
  <c r="I11" i="105" s="1"/>
  <c r="N11" i="105"/>
  <c r="N10" i="105"/>
  <c r="K10" i="105"/>
  <c r="H10" i="105"/>
  <c r="J10" i="105" s="1"/>
  <c r="K9" i="105"/>
  <c r="H9" i="105"/>
  <c r="I9" i="105" s="1"/>
  <c r="N9" i="105"/>
  <c r="N8" i="105"/>
  <c r="K8" i="105"/>
  <c r="H8" i="105"/>
  <c r="J8" i="105" s="1"/>
  <c r="K7" i="105"/>
  <c r="H7" i="105"/>
  <c r="I7" i="105" s="1"/>
  <c r="N6" i="105"/>
  <c r="N5" i="105"/>
  <c r="N4" i="105"/>
  <c r="C4" i="105"/>
  <c r="N3" i="105"/>
  <c r="C3" i="105"/>
  <c r="N2" i="105"/>
  <c r="C2" i="105"/>
  <c r="C1" i="105"/>
  <c r="D47" i="106" l="1" a="1"/>
  <c r="D47" i="106" s="1"/>
  <c r="D47" i="109" s="1"/>
  <c r="J35" i="105"/>
  <c r="D88" i="106" s="1" a="1"/>
  <c r="D88" i="106" s="1"/>
  <c r="D88" i="109" s="1"/>
  <c r="D87" i="106" a="1"/>
  <c r="D87" i="106" s="1"/>
  <c r="D87" i="109" s="1"/>
  <c r="I34" i="105"/>
  <c r="D84" i="106" s="1" a="1"/>
  <c r="D84" i="106" s="1"/>
  <c r="D84" i="109" s="1"/>
  <c r="I28" i="105"/>
  <c r="D27" i="106" a="1"/>
  <c r="D27" i="106" s="1"/>
  <c r="D27" i="109" s="1"/>
  <c r="D39" i="106" a="1"/>
  <c r="D39" i="106" s="1"/>
  <c r="D39" i="109" s="1"/>
  <c r="I21" i="105"/>
  <c r="I26" i="105"/>
  <c r="J14" i="105"/>
  <c r="D25" i="106" s="1" a="1"/>
  <c r="D25" i="106" s="1"/>
  <c r="D25" i="109" s="1"/>
  <c r="D15" i="106" a="1"/>
  <c r="D15" i="106" s="1"/>
  <c r="D15" i="109" s="1"/>
  <c r="J7" i="105"/>
  <c r="D4" i="106" a="1"/>
  <c r="D4" i="106" s="1"/>
  <c r="D4" i="109" s="1"/>
  <c r="D95" i="106" a="1"/>
  <c r="D95" i="106" s="1"/>
  <c r="D95" i="109" s="1"/>
  <c r="D89" i="106" a="1"/>
  <c r="D89" i="106" s="1"/>
  <c r="D89" i="109" s="1"/>
  <c r="D92" i="106" a="1"/>
  <c r="D92" i="106" s="1"/>
  <c r="D92" i="109" s="1"/>
  <c r="D59" i="106" a="1"/>
  <c r="D59" i="106" s="1"/>
  <c r="D59" i="109" s="1"/>
  <c r="D71" i="106" a="1"/>
  <c r="D71" i="106" s="1"/>
  <c r="D71"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D6" i="106" l="1" a="1"/>
  <c r="D6" i="106" s="1"/>
  <c r="D6" i="109" s="1"/>
  <c r="J45" i="77"/>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36" i="97" l="1"/>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F2" i="9"/>
  <c r="G2" i="9"/>
  <c r="H2" i="9"/>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<sst xmlns="http://schemas.openxmlformats.org/spreadsheetml/2006/main" count="2751" uniqueCount="1142">
  <si>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</si>
  <si>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</si>
  <si>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</si>
  <si>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</si>
  <si>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</si>
  <si>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</si>
  <si>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</si>
  <si>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</si>
  <si>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</si>
  <si>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</si>
  <si>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</si>
  <si>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</si>
  <si>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</si>
  <si>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</si>
  <si>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</si>
  <si>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</si>
  <si>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</si>
  <si>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</si>
  <si>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</si>
  <si>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</si>
  <si>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</si>
  <si>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</si>
  <si>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</si>
  <si>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</si>
  <si>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</si>
  <si>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</si>
  <si>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</si>
  <si>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</si>
  <si>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</si>
  <si>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</si>
  <si>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</si>
  <si>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</si>
  <si>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</si>
  <si>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</si>
  <si>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</si>
  <si>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</si>
  <si>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</si>
  <si>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</si>
  <si>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</si>
  <si>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</si>
  <si>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</si>
  <si>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</si>
  <si>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</si>
  <si>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</si>
  <si>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</si>
  <si>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</si>
  <si>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</si>
  <si>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</si>
  <si>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</si>
  <si>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</si>
  <si>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</si>
  <si>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</si>
  <si>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</si>
  <si>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</si>
  <si>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</si>
  <si>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</si>
  <si>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</si>
  <si>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</si>
  <si>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</si>
  <si>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</si>
  <si>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</si>
  <si>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</si>
  <si>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</si>
  <si>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</si>
  <si>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</si>
  <si>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</si>
  <si>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</si>
  <si>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</si>
  <si>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</si>
  <si>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</si>
  <si>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</si>
  <si>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</si>
  <si>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</si>
  <si>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</si>
  <si>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</si>
  <si>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</si>
  <si>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</si>
  <si>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</si>
  <si>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</si>
  <si>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</si>
  <si>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</si>
  <si>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</si>
  <si>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</si>
  <si>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</si>
  <si>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</si>
  <si>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</si>
  <si>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</si>
  <si>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</si>
  <si>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</si>
  <si>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</si>
  <si>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</si>
  <si>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</si>
  <si>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</si>
  <si>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</si>
  <si>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</si>
  <si>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</si>
  <si>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</si>
  <si>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</si>
  <si>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</si>
  <si>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</si>
  <si>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</si>
  <si>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</si>
  <si>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</si>
  <si>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</si>
  <si>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</si>
  <si>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</si>
  <si>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</si>
  <si>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</si>
  <si>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</si>
  <si>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</si>
  <si>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</si>
  <si>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</si>
  <si>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</si>
  <si>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</si>
  <si>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</si>
  <si>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</si>
  <si>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</si>
  <si>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</si>
  <si>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</si>
  <si>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</si>
  <si>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</si>
  <si>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</si>
  <si>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</si>
  <si>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</si>
  <si>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</si>
  <si>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</si>
  <si>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</si>
  <si>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</si>
  <si>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</si>
  <si>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</si>
  <si>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</si>
  <si>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</si>
  <si>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</si>
  <si>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</si>
  <si>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</si>
  <si>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</si>
  <si>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</si>
  <si>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</si>
  <si>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</si>
  <si>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</si>
  <si>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</si>
  <si>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</si>
  <si>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</si>
  <si>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</si>
  <si>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</si>
  <si>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</si>
  <si>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</si>
  <si>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</si>
  <si>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</si>
  <si>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</si>
  <si>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</si>
  <si>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</si>
  <si>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</si>
  <si>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</si>
  <si>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</si>
  <si>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</si>
  <si>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</si>
  <si>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</si>
  <si>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</si>
  <si>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</si>
  <si>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</si>
  <si>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</si>
  <si>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</si>
  <si>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</si>
  <si>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</si>
  <si>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</si>
  <si>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</si>
  <si>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</si>
  <si>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</si>
  <si>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</si>
  <si>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</si>
  <si>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</si>
  <si>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</si>
  <si>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</si>
  <si>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</si>
  <si>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</si>
  <si>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</si>
  <si>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</si>
  <si>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</si>
  <si>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</si>
  <si>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</si>
  <si>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</si>
  <si>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</si>
  <si>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</si>
  <si>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</si>
  <si>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</si>
  <si>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</si>
  <si>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</si>
  <si>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</si>
  <si>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</si>
  <si>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</si>
  <si>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</si>
  <si>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</si>
  <si>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</si>
  <si>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</si>
  <si>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</si>
  <si>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</si>
  <si>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</si>
  <si>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</si>
  <si>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</si>
  <si>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</si>
  <si>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</si>
  <si>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</si>
  <si>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</si>
  <si>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</si>
  <si>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</si>
  <si>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</si>
  <si>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</si>
  <si>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</si>
  <si>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</si>
  <si>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</si>
  <si>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</si>
  <si>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</si>
  <si>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</si>
  <si>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</si>
  <si>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</si>
  <si>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</si>
  <si>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</si>
  <si>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</si>
  <si>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</si>
  <si>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</si>
  <si>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</si>
  <si>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</si>
  <si>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</si>
  <si>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</si>
  <si>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</si>
  <si>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</si>
  <si>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</si>
  <si>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</si>
  <si>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</si>
  <si>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</si>
  <si>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</si>
  <si>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</si>
  <si>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</si>
  <si>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</si>
  <si>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</si>
  <si>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</si>
  <si>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</si>
  <si>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</si>
  <si>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</si>
  <si>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</si>
  <si>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</si>
  <si>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</si>
  <si>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</si>
  <si>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</si>
  <si>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</si>
  <si>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</si>
  <si>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</si>
  <si>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</si>
  <si>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</si>
  <si>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</si>
  <si>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</si>
  <si>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</si>
  <si>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</si>
  <si>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</si>
  <si>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</si>
  <si>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</si>
  <si>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</si>
  <si>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</si>
  <si>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</si>
  <si>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</si>
  <si>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</si>
  <si>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</si>
  <si>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</si>
  <si>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</si>
  <si>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</si>
  <si>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</si>
  <si>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</si>
  <si>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</si>
  <si>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</si>
  <si>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</si>
  <si>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</si>
  <si>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</si>
  <si>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</si>
  <si>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</si>
  <si>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</si>
  <si>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</si>
  <si>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</si>
  <si>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</si>
  <si>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</si>
  <si>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</si>
  <si>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</si>
  <si>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</si>
  <si>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</si>
  <si>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</si>
  <si>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</si>
  <si>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</si>
  <si>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</si>
  <si>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</si>
  <si>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</si>
  <si>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</si>
  <si>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</si>
  <si>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</si>
  <si>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</si>
  <si>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</si>
  <si>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</si>
  <si>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</si>
  <si>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</si>
  <si>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</si>
  <si>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</si>
  <si>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</si>
  <si>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</si>
  <si>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</si>
  <si>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</si>
  <si>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</si>
  <si>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</si>
  <si>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</si>
  <si>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</si>
  <si>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</si>
  <si>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</si>
  <si>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</si>
  <si>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</si>
  <si>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</si>
  <si>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</si>
  <si>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</si>
  <si>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</si>
  <si>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</si>
  <si>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</si>
  <si>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</si>
  <si>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</si>
  <si>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</si>
  <si>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</si>
  <si>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</si>
  <si>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</si>
  <si>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</si>
  <si>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</si>
  <si>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</si>
  <si>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</si>
  <si>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</si>
  <si>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</si>
  <si>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</si>
  <si>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</si>
  <si>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</si>
  <si>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</si>
  <si>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</si>
  <si>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</si>
  <si>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</si>
  <si>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</si>
  <si>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</si>
  <si>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</si>
  <si>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</si>
  <si>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</si>
  <si>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</si>
  <si>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</si>
  <si>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</si>
  <si>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</si>
  <si>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</si>
  <si>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</si>
  <si>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</si>
  <si>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</si>
  <si>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</si>
  <si>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</si>
  <si>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</si>
  <si>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</si>
  <si>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</si>
  <si>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</si>
  <si>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</si>
  <si>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</si>
  <si>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</si>
  <si>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</si>
  <si>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</si>
  <si>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</si>
  <si>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</si>
  <si>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</si>
  <si>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</si>
  <si>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</si>
  <si>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</si>
  <si>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</si>
  <si>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</si>
  <si>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</si>
  <si>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</si>
  <si>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</si>
  <si>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</si>
  <si>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</si>
  <si>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</si>
  <si>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</si>
  <si>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</si>
  <si>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</si>
  <si>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</si>
  <si>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</si>
  <si>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</si>
  <si>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</si>
  <si>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</si>
  <si>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</si>
  <si>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</si>
  <si>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</si>
  <si>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</si>
  <si>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</si>
  <si>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</si>
  <si>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</si>
  <si>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</si>
  <si>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</si>
  <si>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</si>
  <si>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</si>
  <si>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</si>
  <si>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</si>
  <si>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</si>
  <si>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</si>
  <si>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</si>
  <si>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</si>
  <si>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</si>
  <si>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</si>
  <si>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</si>
  <si>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</si>
  <si>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</si>
  <si>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</si>
  <si>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</si>
  <si>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</si>
  <si>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</si>
  <si>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</si>
  <si>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</si>
  <si>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</si>
  <si>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</si>
  <si>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</si>
  <si>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</si>
  <si>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</si>
  <si>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</si>
  <si>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</si>
  <si>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</si>
  <si>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</si>
  <si>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</si>
  <si>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</si>
  <si>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</si>
  <si>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</si>
  <si>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</si>
  <si>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</si>
  <si>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</si>
  <si>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</si>
  <si>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</si>
  <si>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</si>
  <si>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</si>
  <si>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</si>
  <si>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</si>
  <si>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</si>
  <si>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</si>
  <si>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</si>
  <si>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</si>
  <si>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</si>
  <si>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</si>
  <si>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</si>
  <si>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</si>
  <si>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</si>
  <si>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</si>
  <si>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</si>
  <si>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</si>
  <si>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</si>
  <si>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</si>
  <si>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</si>
  <si>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</si>
  <si>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</si>
  <si>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</si>
  <si>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</si>
  <si>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</si>
  <si>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</si>
  <si>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</si>
  <si>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</si>
  <si>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</si>
  <si>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</si>
  <si>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</si>
  <si>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</si>
  <si>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</si>
  <si>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</si>
  <si>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</si>
  <si>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</si>
  <si>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</si>
  <si>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</si>
  <si>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</si>
  <si>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</si>
  <si>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</si>
  <si>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</si>
  <si>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</si>
  <si>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</si>
  <si>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</si>
  <si>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</si>
  <si>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</si>
  <si>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</si>
  <si>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</si>
  <si>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</si>
  <si>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</si>
  <si>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</si>
  <si>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</si>
  <si>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</si>
  <si>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</si>
  <si>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</si>
  <si>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</si>
  <si>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</si>
  <si>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</si>
  <si>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</si>
  <si>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</si>
  <si>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</si>
  <si>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</si>
  <si>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</si>
  <si>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</si>
  <si>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</si>
  <si>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</si>
  <si>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</si>
  <si>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</si>
  <si>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</si>
  <si>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</si>
  <si>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</si>
  <si>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</si>
  <si>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</si>
  <si>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</si>
  <si>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</si>
  <si>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</si>
  <si>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</si>
  <si>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</si>
  <si>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</si>
  <si>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</si>
  <si>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</si>
  <si>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</si>
  <si>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</si>
  <si>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</si>
  <si>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</si>
  <si>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</si>
  <si>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</si>
  <si>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</si>
  <si>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</si>
  <si>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</si>
  <si>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</si>
  <si>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</si>
  <si>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</si>
  <si>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</si>
  <si>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</si>
  <si>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</si>
  <si>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</si>
  <si>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</si>
  <si>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</si>
  <si>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</si>
  <si>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</si>
  <si>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</si>
  <si>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</si>
  <si>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</si>
  <si>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</si>
  <si>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</si>
  <si>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</si>
  <si>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</si>
  <si>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</si>
  <si>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</si>
  <si>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</si>
  <si>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</si>
  <si>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</si>
  <si>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</si>
  <si>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</si>
  <si>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</si>
  <si>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</si>
  <si>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</si>
  <si>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</si>
  <si>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</si>
  <si>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</si>
  <si>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</si>
  <si>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</si>
  <si>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</si>
  <si>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</si>
  <si>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</si>
  <si>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</si>
  <si>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</si>
  <si>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</si>
  <si>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</si>
  <si>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</si>
  <si>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</si>
  <si>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</si>
  <si>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</si>
  <si>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</si>
  <si>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</si>
  <si>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</si>
  <si>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</si>
  <si>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</si>
  <si>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</si>
  <si>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</si>
  <si>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</si>
  <si>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</si>
  <si>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</si>
  <si>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</si>
  <si>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</si>
  <si>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</si>
  <si>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</si>
  <si>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</si>
  <si>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</si>
  <si>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</si>
  <si>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</si>
  <si>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</si>
  <si>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</si>
  <si>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</si>
  <si>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</si>
  <si>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</si>
  <si>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</si>
  <si>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</si>
  <si>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</si>
  <si>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</si>
  <si>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</si>
  <si>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</si>
  <si>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</si>
  <si>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</si>
  <si>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</si>
  <si>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</si>
  <si>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</si>
  <si>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</si>
  <si>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</si>
  <si>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</si>
  <si>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</si>
  <si>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</si>
  <si>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</si>
  <si>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</si>
  <si>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</si>
  <si>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</si>
  <si>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</si>
  <si>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</si>
  <si>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</si>
  <si>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</si>
  <si>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</si>
  <si>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</si>
  <si>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</si>
  <si>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</si>
  <si>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</si>
  <si>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</si>
  <si>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</si>
  <si>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</si>
  <si>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</si>
  <si>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</si>
  <si>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</si>
  <si>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</si>
  <si>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</si>
  <si>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</si>
  <si>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</si>
  <si>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</si>
  <si>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</si>
  <si>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</si>
  <si>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</si>
  <si>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</si>
  <si>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</si>
  <si>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</si>
  <si>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</si>
  <si>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</si>
  <si>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</si>
  <si>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</si>
  <si>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</si>
  <si>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</si>
  <si>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</si>
  <si>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</si>
  <si>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</si>
  <si>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</si>
  <si>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</si>
  <si>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</si>
  <si>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</si>
  <si>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</si>
  <si>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</si>
  <si>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</si>
  <si>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</si>
  <si>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</si>
  <si>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</si>
  <si>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</si>
  <si>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</si>
  <si>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</si>
  <si>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</si>
  <si>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</si>
  <si>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</si>
  <si>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</si>
  <si>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</si>
  <si>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</si>
  <si>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</si>
  <si>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</si>
  <si>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</si>
  <si>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</si>
  <si>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</si>
  <si>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</si>
  <si>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</si>
  <si>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</si>
  <si>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</si>
  <si>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</si>
  <si>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</si>
  <si>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</si>
  <si>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</si>
  <si>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</si>
  <si>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</si>
  <si>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</si>
  <si>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</si>
  <si>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</si>
  <si>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</si>
  <si>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</si>
  <si>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</si>
  <si>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</si>
  <si>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</si>
  <si>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</si>
  <si>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</si>
  <si>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</si>
  <si>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</si>
  <si>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</si>
  <si>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</si>
  <si>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</si>
  <si>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</si>
  <si>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</si>
  <si>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</si>
  <si>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</si>
  <si>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</si>
  <si>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</si>
  <si>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</si>
  <si>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</si>
  <si>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</si>
  <si>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</si>
  <si>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</si>
  <si>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</si>
  <si>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</si>
  <si>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</si>
  <si>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</si>
  <si>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</si>
  <si>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</si>
  <si>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</si>
  <si>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</si>
  <si>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</si>
  <si>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</si>
  <si>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</si>
  <si>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</si>
  <si>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</si>
  <si>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</si>
  <si>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</si>
  <si>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</si>
  <si>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</si>
  <si>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</si>
  <si>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</si>
  <si>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</si>
  <si>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</si>
  <si>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</si>
  <si>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</si>
  <si>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</si>
  <si>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</si>
  <si>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</si>
  <si>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</si>
  <si>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</si>
  <si>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</si>
  <si>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</si>
  <si>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</si>
  <si>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</si>
  <si>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</si>
  <si>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</si>
  <si>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</si>
  <si>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</si>
  <si>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</si>
  <si>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</si>
  <si>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</si>
  <si>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</si>
  <si>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</si>
  <si>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</si>
  <si>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</si>
  <si>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</si>
  <si>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</si>
  <si>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</si>
  <si>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</si>
  <si>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</si>
  <si>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</si>
  <si>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</si>
  <si>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</si>
  <si>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</si>
  <si>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</si>
  <si>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</si>
  <si>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</si>
  <si>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</si>
  <si>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</si>
  <si>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</si>
  <si>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</si>
  <si>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</si>
  <si>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</si>
  <si>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</si>
  <si>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</si>
  <si>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</si>
  <si>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</si>
  <si>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</si>
  <si>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</si>
  <si>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</si>
  <si>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</si>
  <si>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</si>
  <si>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</si>
  <si>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</si>
  <si>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</si>
  <si>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</si>
  <si>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</si>
  <si>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</si>
  <si>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</si>
  <si>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</si>
  <si>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</si>
  <si>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</si>
  <si>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</si>
  <si>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</si>
  <si>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</si>
  <si>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</si>
  <si>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</si>
  <si>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</si>
  <si>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</si>
  <si>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</si>
  <si>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</si>
  <si>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</si>
  <si>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</si>
  <si>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</si>
  <si>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</si>
  <si>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</si>
  <si>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</si>
  <si>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</si>
  <si>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</si>
  <si>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</si>
  <si>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</si>
  <si>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</si>
  <si>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</si>
  <si>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</si>
  <si>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</si>
  <si>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</si>
  <si>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</si>
  <si>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</si>
  <si>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</si>
  <si>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</si>
  <si>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</si>
  <si>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</si>
  <si>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</si>
  <si>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</si>
  <si>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</si>
  <si>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</si>
  <si>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</si>
  <si>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</si>
  <si>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</si>
  <si>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</si>
  <si>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</si>
  <si>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</si>
  <si>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</si>
  <si>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</si>
  <si>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</si>
  <si>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</si>
  <si>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</si>
  <si>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</si>
  <si>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</si>
  <si>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</si>
  <si>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</si>
  <si>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</si>
  <si>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</si>
  <si>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</si>
  <si>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</si>
  <si>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</si>
  <si>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</si>
  <si>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</si>
  <si>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</si>
  <si>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</si>
  <si>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</si>
  <si>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</si>
  <si>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</si>
  <si>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</si>
  <si>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</si>
  <si>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</si>
  <si>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</si>
  <si>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</si>
  <si>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</si>
  <si>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</si>
  <si>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</si>
  <si>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</si>
  <si>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</si>
  <si>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</si>
  <si>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</si>
  <si>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</si>
  <si>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</si>
  <si>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</si>
  <si>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</si>
  <si>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</si>
  <si>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</si>
  <si>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</si>
  <si>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</si>
  <si>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</si>
  <si>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</si>
  <si>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</si>
  <si>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</si>
  <si>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</si>
  <si>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</si>
  <si>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</si>
  <si>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</si>
  <si>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</si>
  <si>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</si>
  <si>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</si>
  <si>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</si>
  <si>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</si>
  <si>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</si>
  <si>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</si>
  <si>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</si>
  <si>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</si>
  <si>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</si>
  <si>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</si>
  <si>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</si>
  <si>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</si>
  <si>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</si>
  <si>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</si>
  <si>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</si>
  <si>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</si>
  <si>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</si>
  <si>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</si>
  <si>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</si>
  <si>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</si>
  <si>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</si>
  <si>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</si>
  <si>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</si>
  <si>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</si>
  <si>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</si>
  <si>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</si>
  <si>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</si>
  <si>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</si>
  <si>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</si>
  <si>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</si>
  <si>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</si>
  <si>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</si>
  <si>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</si>
  <si>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</si>
  <si>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</si>
  <si>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</si>
  <si>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</si>
  <si>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</si>
  <si>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</si>
  <si>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</si>
  <si>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</si>
  <si>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</si>
  <si>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</si>
  <si>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</si>
  <si>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</si>
  <si>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</si>
  <si>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</si>
  <si>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</si>
  <si>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</si>
  <si>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</si>
  <si>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</si>
  <si>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</si>
  <si>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</si>
  <si>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</si>
  <si>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</si>
  <si>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</si>
  <si>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</si>
  <si>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</si>
  <si>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</si>
  <si>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</si>
  <si>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</si>
  <si>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</si>
  <si>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</si>
  <si>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</si>
  <si>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</si>
  <si>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</si>
  <si>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</si>
  <si>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</si>
  <si>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</si>
  <si>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</si>
  <si>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</si>
  <si>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</si>
  <si>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</si>
  <si>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</si>
  <si>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</si>
  <si>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</si>
  <si>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</si>
  <si>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</si>
  <si>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</si>
  <si>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</si>
  <si>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</si>
  <si>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</si>
  <si>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</si>
  <si>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</si>
  <si>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</si>
  <si>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</si>
  <si>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</si>
  <si>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</si>
  <si>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</si>
  <si>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</si>
  <si>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</si>
  <si>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</si>
  <si>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</si>
  <si>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</si>
  <si>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</si>
  <si>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</si>
  <si>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</si>
  <si>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</si>
  <si>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</si>
  <si>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</si>
  <si>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</si>
  <si>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</si>
  <si>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</si>
  <si>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</si>
  <si>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</si>
  <si>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</si>
  <si>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</si>
  <si>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</si>
  <si>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</si>
  <si>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</si>
  <si>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</si>
  <si>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</si>
  <si>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</si>
  <si>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</si>
  <si>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</si>
  <si>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</si>
  <si>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</si>
  <si>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</si>
  <si>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</si>
  <si>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</si>
  <si>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</si>
  <si>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</si>
  <si>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</si>
  <si>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</si>
  <si>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</si>
  <si>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</si>
  <si>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</si>
  <si>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</si>
  <si>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</si>
  <si>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</si>
  <si>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</si>
  <si>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</si>
  <si>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</si>
  <si>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</si>
  <si>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</si>
  <si>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</si>
  <si>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</si>
  <si>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</si>
  <si>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</si>
  <si>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</si>
  <si>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</si>
  <si>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</si>
  <si>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</si>
  <si>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</si>
  <si>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</si>
  <si>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</si>
  <si>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</si>
  <si>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</si>
  <si>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</si>
  <si>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</si>
  <si>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</si>
  <si>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</si>
  <si>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</si>
  <si>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</si>
  <si>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</si>
  <si>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</si>
  <si>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</si>
  <si>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</si>
  <si>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</si>
  <si>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</si>
  <si>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</si>
  <si>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</si>
  <si>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</si>
  <si>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</si>
  <si>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</si>
  <si>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</si>
  <si>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</si>
  <si>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</si>
  <si>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</si>
  <si>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</si>
  <si>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</si>
  <si>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</si>
  <si>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</si>
  <si>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</si>
  <si>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</si>
  <si>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</si>
  <si>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</si>
  <si>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</si>
  <si>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</si>
  <si>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</si>
  <si>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</si>
  <si>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</si>
  <si>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</si>
  <si>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</si>
  <si>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</si>
  <si>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</si>
  <si>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</si>
  <si>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</si>
  <si>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</si>
  <si>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</si>
  <si>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</si>
  <si>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</si>
  <si>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</si>
  <si>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</si>
  <si>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</si>
  <si>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</si>
  <si>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</si>
  <si>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</si>
  <si>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</si>
  <si>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</si>
  <si>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</si>
  <si>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</si>
  <si>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</si>
  <si>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</si>
  <si>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</si>
  <si>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</si>
  <si>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</si>
  <si>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</si>
  <si>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</si>
  <si>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</si>
  <si>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</si>
  <si>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</si>
  <si>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</si>
  <si>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</si>
  <si>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</si>
  <si>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</si>
  <si>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Yes/No</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</si>
  <si>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</si>
  <si>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</si>
  <si>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</si>
  <si>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</si>
  <si>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</si>
  <si>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</si>
  <si>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</si>
  <si>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</si>
  <si>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</si>
  <si>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</si>
  <si>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</si>
  <si>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</si>
  <si>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</si>
  <si>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</si>
  <si>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</si>
  <si>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</si>
  <si>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</si>
  <si>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</si>
  <si>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If yes, describe</t>
  </si>
  <si>
    <t>fertilityPreservation</t>
  </si>
  <si>
    <t>fertilityPreservation.occurred</t>
  </si>
  <si>
    <t>fertilityPreservation.storage</t>
  </si>
  <si>
    <t>If distant or comobined, specify site  (text)</t>
  </si>
  <si>
    <t>severeToxicity.date</t>
  </si>
  <si>
    <t>severeToxicity.description</t>
  </si>
  <si>
    <t>severeToxicity.isResolved</t>
  </si>
  <si>
    <t>Other info and relevant events
Maturity Level: 0 - Draft</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</si>
  <si>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Marturity Level: 1 - Profiles in progress</t>
  </si>
  <si>
    <t>Progression-Relapse during FLT
Marturity Level: 1 - Profiles in progress</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</si>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</sst>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sz val="9"/>
      <color indexed="81"/>
      <name val="Tahoma"/>
      <family val="2"/>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7">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5.bin"/><Relationship Id="rId4" Type="http://schemas.microsoft.com/office/2017/10/relationships/threadedComment" Target="../threadedComments/threadedComment1.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203" zoomScale="70" zoomScaleNormal="70" workbookViewId="0">
      <selection activeCell="C229" sqref="C22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6" t="s">
        <v>80</v>
      </c>
      <c r="B2" s="61"/>
      <c r="C2" s="62" t="s">
        <v>81</v>
      </c>
      <c r="D2" s="63"/>
      <c r="E2" s="63"/>
      <c r="F2" s="63"/>
      <c r="G2" s="63"/>
      <c r="H2" s="63"/>
      <c r="I2" s="63"/>
      <c r="J2" s="64"/>
      <c r="K2" s="63"/>
    </row>
    <row r="3" spans="1:11" ht="40.5" customHeight="1" x14ac:dyDescent="0.75">
      <c r="A3" s="167"/>
      <c r="B3" s="65"/>
      <c r="C3" s="66" t="s">
        <v>22</v>
      </c>
      <c r="D3" s="67" t="s">
        <v>22</v>
      </c>
      <c r="E3" s="67" t="s">
        <v>82</v>
      </c>
      <c r="F3" s="67"/>
      <c r="G3" s="67" t="s">
        <v>83</v>
      </c>
      <c r="H3" s="67"/>
      <c r="I3" s="67" t="s">
        <v>84</v>
      </c>
      <c r="J3" s="67" t="s">
        <v>85</v>
      </c>
      <c r="K3" s="68" t="s">
        <v>84</v>
      </c>
    </row>
    <row r="4" spans="1:11" ht="40.5" customHeight="1" x14ac:dyDescent="0.75">
      <c r="A4" s="167"/>
      <c r="B4" s="65"/>
      <c r="C4" s="69" t="s">
        <v>53</v>
      </c>
      <c r="D4" s="70" t="s">
        <v>86</v>
      </c>
      <c r="E4" s="70" t="s">
        <v>82</v>
      </c>
      <c r="F4" s="70"/>
      <c r="G4" s="67" t="s">
        <v>87</v>
      </c>
      <c r="H4" s="67"/>
      <c r="I4" s="70" t="s">
        <v>88</v>
      </c>
      <c r="J4" s="67" t="s">
        <v>89</v>
      </c>
      <c r="K4" s="68" t="s">
        <v>90</v>
      </c>
    </row>
    <row r="5" spans="1:11" ht="40.5" customHeight="1" x14ac:dyDescent="0.75">
      <c r="A5" s="167"/>
      <c r="B5" s="65"/>
      <c r="C5" s="69" t="s">
        <v>56</v>
      </c>
      <c r="D5" s="70" t="s">
        <v>91</v>
      </c>
      <c r="E5" s="70" t="s">
        <v>82</v>
      </c>
      <c r="F5" s="70"/>
      <c r="G5" s="67" t="s">
        <v>87</v>
      </c>
      <c r="H5" s="67"/>
      <c r="I5" s="70" t="s">
        <v>92</v>
      </c>
      <c r="J5" s="67" t="s">
        <v>93</v>
      </c>
      <c r="K5" s="68" t="s">
        <v>90</v>
      </c>
    </row>
    <row r="6" spans="1:11" ht="40.5" customHeight="1" x14ac:dyDescent="0.75">
      <c r="A6" s="167"/>
      <c r="B6" s="65"/>
      <c r="C6" s="69" t="s">
        <v>54</v>
      </c>
      <c r="D6" s="70" t="s">
        <v>94</v>
      </c>
      <c r="E6" s="70" t="s">
        <v>82</v>
      </c>
      <c r="F6" s="70"/>
      <c r="G6" s="67" t="s">
        <v>87</v>
      </c>
      <c r="H6" s="67"/>
      <c r="I6" s="70" t="s">
        <v>92</v>
      </c>
      <c r="J6" s="67" t="s">
        <v>95</v>
      </c>
      <c r="K6" s="68" t="s">
        <v>90</v>
      </c>
    </row>
    <row r="7" spans="1:11" ht="40.5" customHeight="1" x14ac:dyDescent="0.75">
      <c r="A7" s="167"/>
      <c r="B7" s="65"/>
      <c r="C7" s="69" t="s">
        <v>55</v>
      </c>
      <c r="D7" s="70" t="s">
        <v>96</v>
      </c>
      <c r="E7" s="70" t="s">
        <v>82</v>
      </c>
      <c r="F7" s="70"/>
      <c r="G7" s="67" t="s">
        <v>87</v>
      </c>
      <c r="H7" s="67"/>
      <c r="I7" s="70" t="s">
        <v>88</v>
      </c>
      <c r="J7" s="67" t="s">
        <v>97</v>
      </c>
      <c r="K7" s="68" t="s">
        <v>90</v>
      </c>
    </row>
    <row r="8" spans="1:11" ht="55.5" x14ac:dyDescent="0.75">
      <c r="A8" s="167"/>
      <c r="B8" s="169" t="s">
        <v>98</v>
      </c>
      <c r="C8" s="69" t="s">
        <v>57</v>
      </c>
      <c r="D8" s="70" t="s">
        <v>99</v>
      </c>
      <c r="E8" s="70" t="s">
        <v>100</v>
      </c>
      <c r="F8" s="70"/>
      <c r="G8" s="71" t="s">
        <v>83</v>
      </c>
      <c r="H8" s="67" t="s">
        <v>101</v>
      </c>
      <c r="I8" s="70" t="s">
        <v>88</v>
      </c>
      <c r="J8" s="67" t="s">
        <v>102</v>
      </c>
      <c r="K8" s="68" t="s">
        <v>84</v>
      </c>
    </row>
    <row r="9" spans="1:11" ht="40.5" customHeight="1" x14ac:dyDescent="0.75">
      <c r="A9" s="167"/>
      <c r="B9" s="169"/>
      <c r="C9" s="66" t="s">
        <v>103</v>
      </c>
      <c r="D9" s="67" t="s">
        <v>104</v>
      </c>
      <c r="E9" s="70" t="s">
        <v>82</v>
      </c>
      <c r="F9" s="70"/>
      <c r="G9" s="71" t="s">
        <v>87</v>
      </c>
      <c r="H9" s="67"/>
      <c r="I9" s="67" t="s">
        <v>105</v>
      </c>
      <c r="J9" s="67" t="s">
        <v>106</v>
      </c>
      <c r="K9" s="68" t="s">
        <v>84</v>
      </c>
    </row>
    <row r="10" spans="1:11" ht="40.5" customHeight="1" x14ac:dyDescent="0.75">
      <c r="A10" s="167"/>
      <c r="B10" s="169" t="s">
        <v>107</v>
      </c>
      <c r="C10" s="69" t="s">
        <v>58</v>
      </c>
      <c r="D10" s="70" t="s">
        <v>108</v>
      </c>
      <c r="E10" s="70" t="s">
        <v>4</v>
      </c>
      <c r="F10" s="70"/>
      <c r="G10" s="67" t="s">
        <v>4</v>
      </c>
      <c r="H10" s="67" t="s">
        <v>109</v>
      </c>
      <c r="I10" s="70" t="s">
        <v>88</v>
      </c>
      <c r="J10" s="67" t="s">
        <v>110</v>
      </c>
      <c r="K10" s="68" t="s">
        <v>90</v>
      </c>
    </row>
    <row r="11" spans="1:11" ht="40.5" customHeight="1" x14ac:dyDescent="0.75">
      <c r="A11" s="167"/>
      <c r="B11" s="169"/>
      <c r="C11" s="69" t="s">
        <v>111</v>
      </c>
      <c r="D11" s="70" t="s">
        <v>112</v>
      </c>
      <c r="E11" s="70" t="s">
        <v>83</v>
      </c>
      <c r="F11" s="70" t="s">
        <v>84</v>
      </c>
      <c r="G11" s="67" t="s">
        <v>83</v>
      </c>
      <c r="H11" s="67"/>
      <c r="I11" s="70" t="s">
        <v>84</v>
      </c>
      <c r="J11" s="67" t="s">
        <v>113</v>
      </c>
      <c r="K11" s="68" t="s">
        <v>84</v>
      </c>
    </row>
    <row r="12" spans="1:11" ht="40.5" customHeight="1" x14ac:dyDescent="0.75">
      <c r="A12" s="167"/>
      <c r="B12" s="65"/>
      <c r="C12" s="69" t="s">
        <v>59</v>
      </c>
      <c r="D12" s="70" t="s">
        <v>114</v>
      </c>
      <c r="E12" s="70" t="s">
        <v>82</v>
      </c>
      <c r="F12" s="70"/>
      <c r="G12" s="67" t="s">
        <v>87</v>
      </c>
      <c r="H12" s="67"/>
      <c r="I12" s="70" t="s">
        <v>92</v>
      </c>
      <c r="J12" s="67" t="s">
        <v>115</v>
      </c>
      <c r="K12" s="68" t="s">
        <v>90</v>
      </c>
    </row>
    <row r="13" spans="1:11" ht="40.5" customHeight="1" x14ac:dyDescent="0.75">
      <c r="A13" s="167"/>
      <c r="B13" s="170" t="s">
        <v>116</v>
      </c>
      <c r="C13" s="69" t="s">
        <v>117</v>
      </c>
      <c r="D13" s="70" t="s">
        <v>118</v>
      </c>
      <c r="E13" s="70" t="s">
        <v>100</v>
      </c>
      <c r="F13" s="70"/>
      <c r="G13" s="67" t="s">
        <v>83</v>
      </c>
      <c r="H13" s="67" t="s">
        <v>119</v>
      </c>
      <c r="I13" s="70" t="s">
        <v>88</v>
      </c>
      <c r="J13" s="67" t="s">
        <v>120</v>
      </c>
      <c r="K13" s="68" t="s">
        <v>90</v>
      </c>
    </row>
    <row r="14" spans="1:11" ht="40.5" customHeight="1" x14ac:dyDescent="0.75">
      <c r="A14" s="167"/>
      <c r="B14" s="171"/>
      <c r="C14" s="69" t="s">
        <v>60</v>
      </c>
      <c r="D14" s="70" t="s">
        <v>121</v>
      </c>
      <c r="E14" s="70" t="s">
        <v>82</v>
      </c>
      <c r="F14" s="70"/>
      <c r="G14" s="67" t="s">
        <v>87</v>
      </c>
      <c r="H14" s="67"/>
      <c r="I14" s="70" t="s">
        <v>122</v>
      </c>
      <c r="J14" s="67" t="s">
        <v>123</v>
      </c>
      <c r="K14" s="70" t="s">
        <v>90</v>
      </c>
    </row>
    <row r="15" spans="1:11" ht="40.5" customHeight="1" thickBot="1" x14ac:dyDescent="0.9">
      <c r="A15" s="168"/>
      <c r="B15" s="172"/>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3" t="s">
        <v>128</v>
      </c>
      <c r="B17" s="61"/>
      <c r="C17" s="66" t="s">
        <v>129</v>
      </c>
      <c r="D17" s="67" t="s">
        <v>130</v>
      </c>
      <c r="E17" s="67" t="s">
        <v>83</v>
      </c>
      <c r="F17" s="67" t="s">
        <v>84</v>
      </c>
      <c r="G17" s="67" t="s">
        <v>83</v>
      </c>
      <c r="H17" s="67"/>
      <c r="I17" s="67" t="s">
        <v>84</v>
      </c>
      <c r="J17" s="67" t="s">
        <v>131</v>
      </c>
      <c r="K17" s="68" t="s">
        <v>84</v>
      </c>
    </row>
    <row r="18" spans="1:14" ht="40.5" customHeight="1" x14ac:dyDescent="0.75">
      <c r="A18" s="174"/>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4"/>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4"/>
      <c r="B20" s="65"/>
      <c r="C20" s="69" t="s">
        <v>140</v>
      </c>
      <c r="D20" s="70" t="s">
        <v>141</v>
      </c>
      <c r="E20" s="70" t="s">
        <v>82</v>
      </c>
      <c r="F20" s="70" t="s">
        <v>84</v>
      </c>
      <c r="G20" s="70" t="s">
        <v>87</v>
      </c>
      <c r="H20" s="70"/>
      <c r="I20" s="70" t="s">
        <v>84</v>
      </c>
      <c r="J20" s="67" t="s">
        <v>142</v>
      </c>
      <c r="K20" s="75" t="s">
        <v>84</v>
      </c>
    </row>
    <row r="21" spans="1:14" ht="40.5" customHeight="1" x14ac:dyDescent="0.75">
      <c r="A21" s="174"/>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4"/>
      <c r="B22" s="76"/>
      <c r="C22" s="66" t="s">
        <v>147</v>
      </c>
      <c r="D22" s="67" t="s">
        <v>148</v>
      </c>
      <c r="E22" s="70" t="s">
        <v>82</v>
      </c>
      <c r="F22" s="70"/>
      <c r="G22" s="67" t="s">
        <v>87</v>
      </c>
      <c r="H22" s="67"/>
      <c r="I22" s="67" t="s">
        <v>149</v>
      </c>
      <c r="J22" s="67" t="s">
        <v>150</v>
      </c>
      <c r="K22" s="77" t="s">
        <v>84</v>
      </c>
    </row>
    <row r="23" spans="1:14" ht="40.5" customHeight="1" x14ac:dyDescent="0.75">
      <c r="A23" s="174"/>
      <c r="B23" s="65"/>
      <c r="C23" s="69" t="s">
        <v>151</v>
      </c>
      <c r="D23" s="70" t="s">
        <v>152</v>
      </c>
      <c r="E23" s="70" t="s">
        <v>4</v>
      </c>
      <c r="F23" s="70"/>
      <c r="G23" s="67" t="s">
        <v>4</v>
      </c>
      <c r="H23" s="67" t="s">
        <v>109</v>
      </c>
      <c r="I23" s="70" t="s">
        <v>153</v>
      </c>
      <c r="J23" s="67" t="s">
        <v>154</v>
      </c>
      <c r="K23" s="70" t="s">
        <v>90</v>
      </c>
    </row>
    <row r="24" spans="1:14" ht="40.5" customHeight="1" x14ac:dyDescent="0.75">
      <c r="A24" s="174"/>
      <c r="B24" s="65"/>
      <c r="C24" s="69" t="s">
        <v>155</v>
      </c>
      <c r="D24" s="70" t="s">
        <v>156</v>
      </c>
      <c r="E24" s="70" t="s">
        <v>100</v>
      </c>
      <c r="F24" s="70" t="s">
        <v>84</v>
      </c>
      <c r="G24" s="67" t="s">
        <v>87</v>
      </c>
      <c r="H24" s="67" t="s">
        <v>157</v>
      </c>
      <c r="I24" s="70" t="s">
        <v>84</v>
      </c>
      <c r="J24" s="67" t="s">
        <v>158</v>
      </c>
      <c r="K24" s="68" t="s">
        <v>84</v>
      </c>
    </row>
    <row r="25" spans="1:14" ht="40.5" customHeight="1" x14ac:dyDescent="0.75">
      <c r="A25" s="174"/>
      <c r="B25" s="65"/>
      <c r="C25" s="69" t="s">
        <v>62</v>
      </c>
      <c r="D25" s="70" t="s">
        <v>159</v>
      </c>
      <c r="E25" s="70" t="s">
        <v>100</v>
      </c>
      <c r="F25" s="70"/>
      <c r="G25" s="67" t="s">
        <v>87</v>
      </c>
      <c r="H25" s="67" t="s">
        <v>160</v>
      </c>
      <c r="I25" s="70" t="s">
        <v>88</v>
      </c>
      <c r="J25" s="67" t="s">
        <v>161</v>
      </c>
      <c r="K25" s="68" t="s">
        <v>84</v>
      </c>
    </row>
    <row r="26" spans="1:14" ht="40.5" customHeight="1" x14ac:dyDescent="0.75">
      <c r="A26" s="174"/>
      <c r="B26" s="65"/>
      <c r="C26" s="69" t="s">
        <v>162</v>
      </c>
      <c r="D26" s="70" t="s">
        <v>163</v>
      </c>
      <c r="E26" s="70" t="s">
        <v>100</v>
      </c>
      <c r="F26" s="70" t="s">
        <v>84</v>
      </c>
      <c r="G26" s="67" t="s">
        <v>83</v>
      </c>
      <c r="H26" s="67"/>
      <c r="I26" s="70" t="s">
        <v>84</v>
      </c>
      <c r="J26" s="67" t="s">
        <v>164</v>
      </c>
      <c r="K26" s="68" t="s">
        <v>90</v>
      </c>
    </row>
    <row r="27" spans="1:14" ht="40.5" customHeight="1" x14ac:dyDescent="0.75">
      <c r="A27" s="174"/>
      <c r="B27" s="65"/>
      <c r="C27" s="69" t="s">
        <v>165</v>
      </c>
      <c r="D27" s="70" t="s">
        <v>166</v>
      </c>
      <c r="E27" s="70" t="s">
        <v>82</v>
      </c>
      <c r="F27" s="70"/>
      <c r="G27" s="67" t="s">
        <v>87</v>
      </c>
      <c r="H27" s="67"/>
      <c r="I27" s="70" t="s">
        <v>92</v>
      </c>
      <c r="J27" s="67" t="s">
        <v>167</v>
      </c>
      <c r="K27" s="68" t="s">
        <v>84</v>
      </c>
    </row>
    <row r="28" spans="1:14" ht="40.5" customHeight="1" x14ac:dyDescent="0.75">
      <c r="A28" s="174"/>
      <c r="B28" s="65"/>
      <c r="C28" s="69" t="s">
        <v>168</v>
      </c>
      <c r="D28" s="67" t="s">
        <v>169</v>
      </c>
      <c r="E28" s="70" t="s">
        <v>100</v>
      </c>
      <c r="F28" s="70"/>
      <c r="G28" s="67" t="s">
        <v>87</v>
      </c>
      <c r="H28" s="67" t="s">
        <v>170</v>
      </c>
      <c r="I28" s="70" t="s">
        <v>88</v>
      </c>
      <c r="J28" s="67" t="s">
        <v>171</v>
      </c>
      <c r="K28" s="68" t="s">
        <v>84</v>
      </c>
    </row>
    <row r="29" spans="1:14" ht="40.5" customHeight="1" x14ac:dyDescent="0.75">
      <c r="A29" s="174"/>
      <c r="B29" s="65"/>
      <c r="C29" s="69" t="s">
        <v>172</v>
      </c>
      <c r="D29" s="70" t="s">
        <v>173</v>
      </c>
      <c r="E29" s="70" t="s">
        <v>82</v>
      </c>
      <c r="F29" s="70"/>
      <c r="G29" s="67" t="s">
        <v>87</v>
      </c>
      <c r="H29" s="67"/>
      <c r="I29" s="70" t="s">
        <v>92</v>
      </c>
      <c r="J29" s="67" t="s">
        <v>174</v>
      </c>
      <c r="K29" s="68" t="s">
        <v>84</v>
      </c>
    </row>
    <row r="30" spans="1:14" ht="111" x14ac:dyDescent="0.75">
      <c r="A30" s="174"/>
      <c r="B30" s="65"/>
      <c r="C30" s="69" t="s">
        <v>175</v>
      </c>
      <c r="D30" s="70" t="s">
        <v>176</v>
      </c>
      <c r="E30" s="70" t="s">
        <v>100</v>
      </c>
      <c r="F30" s="70"/>
      <c r="G30" s="67" t="s">
        <v>83</v>
      </c>
      <c r="H30" s="67" t="s">
        <v>177</v>
      </c>
      <c r="I30" s="67" t="s">
        <v>84</v>
      </c>
      <c r="J30" s="67" t="s">
        <v>178</v>
      </c>
      <c r="K30" s="68" t="s">
        <v>84</v>
      </c>
    </row>
    <row r="31" spans="1:14" ht="40.5" customHeight="1" x14ac:dyDescent="0.75">
      <c r="A31" s="174"/>
      <c r="B31" s="65"/>
      <c r="C31" s="69" t="s">
        <v>179</v>
      </c>
      <c r="D31" s="70" t="s">
        <v>180</v>
      </c>
      <c r="E31" s="70" t="s">
        <v>100</v>
      </c>
      <c r="F31" s="70"/>
      <c r="G31" s="67" t="s">
        <v>83</v>
      </c>
      <c r="H31" s="67" t="s">
        <v>181</v>
      </c>
      <c r="I31" s="67" t="s">
        <v>84</v>
      </c>
      <c r="J31" s="67" t="s">
        <v>182</v>
      </c>
      <c r="K31" s="68" t="s">
        <v>84</v>
      </c>
    </row>
    <row r="32" spans="1:14" ht="40.5" customHeight="1" x14ac:dyDescent="0.75">
      <c r="A32" s="174"/>
      <c r="B32" s="65"/>
      <c r="C32" s="69" t="s">
        <v>183</v>
      </c>
      <c r="D32" s="70" t="s">
        <v>184</v>
      </c>
      <c r="E32" s="70" t="s">
        <v>100</v>
      </c>
      <c r="F32" s="70"/>
      <c r="G32" s="67" t="s">
        <v>83</v>
      </c>
      <c r="H32" s="67" t="s">
        <v>185</v>
      </c>
      <c r="I32" s="67" t="s">
        <v>186</v>
      </c>
      <c r="J32" s="67"/>
      <c r="K32" s="68" t="s">
        <v>90</v>
      </c>
    </row>
    <row r="33" spans="1:11" ht="40.5" customHeight="1" x14ac:dyDescent="0.75">
      <c r="A33" s="174"/>
      <c r="B33" s="65"/>
      <c r="C33" s="69" t="s">
        <v>187</v>
      </c>
      <c r="D33" s="70" t="s">
        <v>188</v>
      </c>
      <c r="E33" s="70" t="s">
        <v>100</v>
      </c>
      <c r="F33" s="70"/>
      <c r="G33" s="67" t="s">
        <v>87</v>
      </c>
      <c r="H33" s="67"/>
      <c r="I33" s="70" t="s">
        <v>189</v>
      </c>
      <c r="J33" s="67" t="s">
        <v>190</v>
      </c>
      <c r="K33" s="68" t="s">
        <v>84</v>
      </c>
    </row>
    <row r="34" spans="1:11" ht="40.5" customHeight="1" x14ac:dyDescent="0.75">
      <c r="A34" s="174"/>
      <c r="B34" s="65"/>
      <c r="C34" s="69" t="s">
        <v>191</v>
      </c>
      <c r="D34" s="70" t="s">
        <v>192</v>
      </c>
      <c r="E34" s="70" t="s">
        <v>82</v>
      </c>
      <c r="F34" s="70"/>
      <c r="G34" s="67" t="s">
        <v>87</v>
      </c>
      <c r="H34" s="67"/>
      <c r="I34" s="70" t="s">
        <v>193</v>
      </c>
      <c r="J34" s="67" t="s">
        <v>194</v>
      </c>
      <c r="K34" s="68" t="s">
        <v>84</v>
      </c>
    </row>
    <row r="35" spans="1:11" ht="40.5" customHeight="1" x14ac:dyDescent="0.75">
      <c r="A35" s="174"/>
      <c r="B35" s="65"/>
      <c r="C35" s="69" t="s">
        <v>195</v>
      </c>
      <c r="D35" s="70" t="s">
        <v>196</v>
      </c>
      <c r="E35" s="70" t="s">
        <v>82</v>
      </c>
      <c r="F35" s="70"/>
      <c r="G35" s="67" t="s">
        <v>87</v>
      </c>
      <c r="H35" s="67"/>
      <c r="I35" s="70" t="s">
        <v>92</v>
      </c>
      <c r="J35" s="67" t="s">
        <v>197</v>
      </c>
      <c r="K35" s="68" t="s">
        <v>84</v>
      </c>
    </row>
    <row r="36" spans="1:11" ht="40.5" customHeight="1" x14ac:dyDescent="0.75">
      <c r="A36" s="174"/>
      <c r="B36" s="65"/>
      <c r="C36" s="69" t="s">
        <v>198</v>
      </c>
      <c r="D36" s="70" t="s">
        <v>199</v>
      </c>
      <c r="E36" s="70" t="s">
        <v>82</v>
      </c>
      <c r="F36" s="70"/>
      <c r="G36" s="67" t="s">
        <v>87</v>
      </c>
      <c r="H36" s="67"/>
      <c r="I36" s="70" t="s">
        <v>92</v>
      </c>
      <c r="J36" s="67" t="s">
        <v>200</v>
      </c>
      <c r="K36" s="68" t="s">
        <v>84</v>
      </c>
    </row>
    <row r="37" spans="1:11" ht="40.5" customHeight="1" x14ac:dyDescent="0.75">
      <c r="A37" s="174"/>
      <c r="B37" s="65"/>
      <c r="C37" s="69" t="s">
        <v>201</v>
      </c>
      <c r="D37" s="70" t="s">
        <v>202</v>
      </c>
      <c r="E37" s="70" t="s">
        <v>82</v>
      </c>
      <c r="F37" s="70"/>
      <c r="G37" s="67" t="s">
        <v>87</v>
      </c>
      <c r="H37" s="67"/>
      <c r="I37" s="70" t="s">
        <v>92</v>
      </c>
      <c r="J37" s="67" t="s">
        <v>203</v>
      </c>
      <c r="K37" s="68" t="s">
        <v>84</v>
      </c>
    </row>
    <row r="38" spans="1:11" ht="40.5" customHeight="1" x14ac:dyDescent="0.75">
      <c r="A38" s="174"/>
      <c r="B38" s="65"/>
      <c r="C38" s="69" t="s">
        <v>204</v>
      </c>
      <c r="D38" s="70" t="s">
        <v>205</v>
      </c>
      <c r="E38" s="70" t="s">
        <v>100</v>
      </c>
      <c r="F38" s="70"/>
      <c r="G38" s="67" t="s">
        <v>83</v>
      </c>
      <c r="H38" s="79" t="s">
        <v>206</v>
      </c>
      <c r="I38" s="70" t="s">
        <v>88</v>
      </c>
      <c r="J38" s="67" t="s">
        <v>207</v>
      </c>
      <c r="K38" s="68" t="s">
        <v>84</v>
      </c>
    </row>
    <row r="39" spans="1:11" ht="40.5" customHeight="1" x14ac:dyDescent="0.75">
      <c r="A39" s="174"/>
      <c r="B39" s="65"/>
      <c r="C39" s="69" t="s">
        <v>208</v>
      </c>
      <c r="D39" s="67" t="s">
        <v>209</v>
      </c>
      <c r="E39" s="70" t="s">
        <v>100</v>
      </c>
      <c r="F39" s="70"/>
      <c r="G39" s="67" t="s">
        <v>87</v>
      </c>
      <c r="H39" s="67" t="s">
        <v>210</v>
      </c>
      <c r="I39" s="67" t="s">
        <v>211</v>
      </c>
      <c r="J39" s="67" t="s">
        <v>212</v>
      </c>
      <c r="K39" s="68" t="s">
        <v>84</v>
      </c>
    </row>
    <row r="40" spans="1:11" ht="40.5" customHeight="1" x14ac:dyDescent="0.75">
      <c r="A40" s="174"/>
      <c r="B40" s="65"/>
      <c r="C40" s="69" t="s">
        <v>213</v>
      </c>
      <c r="D40" s="67" t="s">
        <v>214</v>
      </c>
      <c r="E40" s="70" t="s">
        <v>82</v>
      </c>
      <c r="F40" s="70"/>
      <c r="G40" s="67" t="s">
        <v>87</v>
      </c>
      <c r="H40" s="67"/>
      <c r="I40" s="67" t="s">
        <v>215</v>
      </c>
      <c r="J40" s="67" t="s">
        <v>216</v>
      </c>
      <c r="K40" s="68" t="s">
        <v>84</v>
      </c>
    </row>
    <row r="41" spans="1:11" ht="40.5" customHeight="1" x14ac:dyDescent="0.75">
      <c r="A41" s="174"/>
      <c r="B41" s="80" t="s">
        <v>217</v>
      </c>
      <c r="C41" s="69" t="s">
        <v>218</v>
      </c>
      <c r="D41" s="70" t="s">
        <v>219</v>
      </c>
      <c r="E41" s="70" t="s">
        <v>100</v>
      </c>
      <c r="F41" s="70"/>
      <c r="G41" s="67" t="s">
        <v>83</v>
      </c>
      <c r="H41" s="67" t="s">
        <v>206</v>
      </c>
      <c r="I41" s="70" t="s">
        <v>88</v>
      </c>
      <c r="J41" s="67" t="s">
        <v>220</v>
      </c>
      <c r="K41" s="68" t="s">
        <v>84</v>
      </c>
    </row>
    <row r="42" spans="1:11" ht="40.5" customHeight="1" x14ac:dyDescent="0.75">
      <c r="A42" s="174"/>
      <c r="B42" s="80" t="s">
        <v>221</v>
      </c>
      <c r="C42" s="81" t="s">
        <v>222</v>
      </c>
      <c r="D42" s="79" t="s">
        <v>223</v>
      </c>
      <c r="E42" s="67" t="s">
        <v>224</v>
      </c>
      <c r="F42" s="67"/>
      <c r="G42" s="67" t="s">
        <v>87</v>
      </c>
      <c r="H42" s="77"/>
      <c r="I42" s="67" t="s">
        <v>225</v>
      </c>
      <c r="J42" s="79" t="s">
        <v>226</v>
      </c>
      <c r="K42" s="68" t="s">
        <v>84</v>
      </c>
    </row>
    <row r="43" spans="1:11" ht="40.5" customHeight="1" thickBot="1" x14ac:dyDescent="0.9">
      <c r="A43" s="175"/>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0" t="s">
        <v>234</v>
      </c>
      <c r="C46" s="69" t="s">
        <v>235</v>
      </c>
      <c r="D46" s="70" t="s">
        <v>236</v>
      </c>
      <c r="E46" s="70" t="s">
        <v>100</v>
      </c>
      <c r="F46" s="70"/>
      <c r="G46" s="67" t="s">
        <v>83</v>
      </c>
      <c r="H46" s="67" t="s">
        <v>237</v>
      </c>
      <c r="I46" s="70" t="s">
        <v>88</v>
      </c>
      <c r="J46" s="67" t="s">
        <v>238</v>
      </c>
      <c r="K46" s="68" t="s">
        <v>84</v>
      </c>
    </row>
    <row r="47" spans="1:11" ht="40.5" customHeight="1" x14ac:dyDescent="0.75">
      <c r="A47" s="89"/>
      <c r="B47" s="171"/>
      <c r="C47" s="69" t="s">
        <v>239</v>
      </c>
      <c r="D47" s="70" t="s">
        <v>240</v>
      </c>
      <c r="E47" s="70" t="s">
        <v>82</v>
      </c>
      <c r="F47" s="70"/>
      <c r="G47" s="67" t="s">
        <v>87</v>
      </c>
      <c r="H47" s="67"/>
      <c r="I47" s="67" t="s">
        <v>241</v>
      </c>
      <c r="J47" s="67" t="s">
        <v>242</v>
      </c>
      <c r="K47" s="68" t="s">
        <v>84</v>
      </c>
    </row>
    <row r="48" spans="1:11" ht="40.5" customHeight="1" x14ac:dyDescent="0.75">
      <c r="A48" s="89"/>
      <c r="B48" s="172"/>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3"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4"/>
      <c r="C101" s="67" t="s">
        <v>412</v>
      </c>
      <c r="D101" s="67" t="s">
        <v>413</v>
      </c>
      <c r="E101" s="70" t="s">
        <v>100</v>
      </c>
      <c r="F101" s="70"/>
      <c r="G101" s="67" t="s">
        <v>83</v>
      </c>
      <c r="H101" s="67" t="s">
        <v>414</v>
      </c>
      <c r="I101" s="70" t="s">
        <v>92</v>
      </c>
      <c r="J101" s="67" t="s">
        <v>415</v>
      </c>
      <c r="K101" s="68" t="s">
        <v>90</v>
      </c>
    </row>
    <row r="102" spans="1:11" ht="40.5" customHeight="1" x14ac:dyDescent="0.75">
      <c r="A102" s="68"/>
      <c r="B102" s="164"/>
      <c r="C102" s="70" t="s">
        <v>416</v>
      </c>
      <c r="D102" s="70" t="s">
        <v>417</v>
      </c>
      <c r="E102" s="70" t="s">
        <v>100</v>
      </c>
      <c r="F102" s="70"/>
      <c r="G102" s="67" t="s">
        <v>83</v>
      </c>
      <c r="H102" s="70" t="s">
        <v>418</v>
      </c>
      <c r="I102" s="70" t="s">
        <v>419</v>
      </c>
      <c r="J102" s="67" t="s">
        <v>416</v>
      </c>
      <c r="K102" s="68" t="s">
        <v>90</v>
      </c>
    </row>
    <row r="103" spans="1:11" ht="40.5" customHeight="1" x14ac:dyDescent="0.75">
      <c r="A103" s="68"/>
      <c r="B103" s="165"/>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1134</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E599"/>
    </sheetView>
  </sheetViews>
  <sheetFormatPr defaultRowHeight="14.75" x14ac:dyDescent="0.75"/>
  <cols>
    <col min="5" max="5" width="100.6796875" customWidth="1"/>
  </cols>
  <sheetData>
    <row r="1" spans="5:5" x14ac:dyDescent="0.75">
      <c r="E1" s="109" t="str">
        <f>'Surg-Map-all'!D3</f>
        <v>* differential.element[0].mapping[0].identity = "fhir"</v>
      </c>
    </row>
    <row r="2" spans="5:5" x14ac:dyDescent="0.75">
      <c r="E2" s="109" t="str">
        <f>'Surg-Map-all'!D4</f>
        <v>* differential.element[0].mapping[0].map = "Procedure.conformsTo('http://hl7.eu/fhir/ig/pcsp/StructureDefinition/Procedure-surgery-eu-pcsp')"</v>
      </c>
    </row>
    <row r="3" spans="5:5" x14ac:dyDescent="0.75">
      <c r="E3" s="109" t="str">
        <f>'Surg-Map-all'!D5</f>
        <v/>
      </c>
    </row>
    <row r="4" spans="5:5" x14ac:dyDescent="0.75">
      <c r="E4" s="109" t="str">
        <f>'Surg-Map-all'!D6</f>
        <v>* differential.element[1].mapping[0].identity = "fhir"</v>
      </c>
    </row>
    <row r="5" spans="5:5" x14ac:dyDescent="0.75">
      <c r="E5" s="109" t="str">
        <f>'Surg-Map-all'!D7</f>
        <v>* differential.element[1].mapping[0].map = ".reasonReference"</v>
      </c>
    </row>
    <row r="6" spans="5:5" x14ac:dyDescent="0.75">
      <c r="E6" s="109" t="str">
        <f>'Surg-Map-all'!D8</f>
        <v/>
      </c>
    </row>
    <row r="7" spans="5:5" x14ac:dyDescent="0.75">
      <c r="E7" s="109" t="str">
        <f>'Surg-Map-all'!D9</f>
        <v>* differential.element[2].mapping[0].identity = "fhir"</v>
      </c>
    </row>
    <row r="8" spans="5:5" x14ac:dyDescent="0.75">
      <c r="E8" s="109" t="str">
        <f>'Surg-Map-all'!D10</f>
        <v>* differential.element[2].mapping[0].map = ".reasonReference"</v>
      </c>
    </row>
    <row r="9" spans="5:5" x14ac:dyDescent="0.75">
      <c r="E9" s="109" t="str">
        <f>'Surg-Map-all'!D11</f>
        <v/>
      </c>
    </row>
    <row r="10" spans="5:5" x14ac:dyDescent="0.75">
      <c r="E10" s="109" t="str">
        <f>'Surg-Map-all'!D12</f>
        <v>* differential.element[3].mapping[0].identity = "fhir"</v>
      </c>
    </row>
    <row r="11" spans="5:5" x14ac:dyDescent="0.75">
      <c r="E11" s="109" t="str">
        <f>'Surg-Map-all'!D13</f>
        <v>* differential.element[3].mapping[0].map = ".identifier"</v>
      </c>
    </row>
    <row r="12" spans="5:5" x14ac:dyDescent="0.75">
      <c r="E12" s="109" t="str">
        <f>'Surg-Map-all'!D14</f>
        <v/>
      </c>
    </row>
    <row r="13" spans="5:5" x14ac:dyDescent="0.75">
      <c r="E13" s="109" t="str">
        <f>'Surg-Map-all'!D15</f>
        <v>* differential.element[4].mapping[0].identity = "fhir"</v>
      </c>
    </row>
    <row r="14" spans="5:5" x14ac:dyDescent="0.75">
      <c r="E14" s="109" t="str">
        <f>'Surg-Map-all'!D16</f>
        <v>* differential.element[4].mapping[0].map = ".extension(http://hl7.eu/fhir/ig/pcsp/StructureDefinition/ActLocation-eu-pcsp).conformsTo(http://hl7.eu/fhir/ig/pcsp/StructureDefinition/Location-eu-pcsp)"</v>
      </c>
    </row>
    <row r="15" spans="5:5" x14ac:dyDescent="0.75">
      <c r="E15" s="109" t="str">
        <f>'Surg-Map-all'!D17</f>
        <v/>
      </c>
    </row>
    <row r="16" spans="5:5" x14ac:dyDescent="0.75">
      <c r="E16" s="109" t="str">
        <f>'Surg-Map-all'!D18</f>
        <v>* differential.element[5].mapping[0].identity = "fhir"</v>
      </c>
    </row>
    <row r="17" spans="5:5" x14ac:dyDescent="0.75">
      <c r="E17" s="109" t="str">
        <f>'Surg-Map-all'!D19</f>
        <v>* differential.element[5].mapping[0].map = "Location.description"</v>
      </c>
    </row>
    <row r="18" spans="5:5" x14ac:dyDescent="0.75">
      <c r="E18" s="109" t="str">
        <f>'Surg-Map-all'!D20</f>
        <v/>
      </c>
    </row>
    <row r="19" spans="5:5" x14ac:dyDescent="0.75">
      <c r="E19" s="109" t="str">
        <f>'Surg-Map-all'!D21</f>
        <v>* differential.element[6].mapping[0].identity = "fhir"</v>
      </c>
    </row>
    <row r="20" spans="5:5" x14ac:dyDescent="0.75">
      <c r="E20" s="109" t="str">
        <f>'Surg-Map-all'!D22</f>
        <v>* differential.element[6].mapping[0].map = "Location.name"</v>
      </c>
    </row>
    <row r="21" spans="5:5" x14ac:dyDescent="0.75">
      <c r="E21" s="109" t="str">
        <f>'Surg-Map-all'!D23</f>
        <v/>
      </c>
    </row>
    <row r="22" spans="5:5" x14ac:dyDescent="0.75">
      <c r="E22" s="109" t="str">
        <f>'Surg-Map-all'!D24</f>
        <v>* differential.element[7].mapping[0].identity = "fhir"</v>
      </c>
    </row>
    <row r="23" spans="5:5" x14ac:dyDescent="0.75">
      <c r="E23" s="109" t="str">
        <f>'Surg-Map-all'!D25</f>
        <v>* differential.element[7].mapping[0].map = "Location.address.city"</v>
      </c>
    </row>
    <row r="24" spans="5:5" x14ac:dyDescent="0.75">
      <c r="E24" s="109" t="str">
        <f>'Surg-Map-all'!D26</f>
        <v/>
      </c>
    </row>
    <row r="25" spans="5:5" x14ac:dyDescent="0.75">
      <c r="E25" s="109" t="str">
        <f>'Surg-Map-all'!D27</f>
        <v/>
      </c>
    </row>
    <row r="26" spans="5:5" x14ac:dyDescent="0.75">
      <c r="E26" s="109" t="str">
        <f>'Surg-Map-all'!D28</f>
        <v/>
      </c>
    </row>
    <row r="27" spans="5:5" x14ac:dyDescent="0.75">
      <c r="E27" s="109" t="str">
        <f>'Surg-Map-all'!D29</f>
        <v/>
      </c>
    </row>
    <row r="28" spans="5:5" x14ac:dyDescent="0.75">
      <c r="E28" s="109" t="str">
        <f>'Surg-Map-all'!D30</f>
        <v>* differential.element[9].mapping[0].identity = "fhir"</v>
      </c>
    </row>
    <row r="29" spans="5:5" x14ac:dyDescent="0.75">
      <c r="E29" s="109" t="str">
        <f>'Surg-Map-all'!D31</f>
        <v>* differential.element[9].mapping[0].map = "Location.address.country"</v>
      </c>
    </row>
    <row r="30" spans="5:5" x14ac:dyDescent="0.75">
      <c r="E30" s="109" t="str">
        <f>'Surg-Map-all'!D32</f>
        <v/>
      </c>
    </row>
    <row r="31" spans="5:5" x14ac:dyDescent="0.75">
      <c r="E31" s="109" t="str">
        <f>'Surg-Map-all'!D33</f>
        <v>* differential.element[10].mapping[0].identity = "fhir"</v>
      </c>
    </row>
    <row r="32" spans="5:5" x14ac:dyDescent="0.75">
      <c r="E32" s="109" t="str">
        <f>'Surg-Map-all'!D34</f>
        <v>* differential.element[10].mapping[0].map = "Procedure.performedDateTime	"</v>
      </c>
    </row>
    <row r="33" spans="5:5" x14ac:dyDescent="0.75">
      <c r="E33" s="109" t="str">
        <f>'Surg-Map-all'!D35</f>
        <v/>
      </c>
    </row>
    <row r="34" spans="5:5" x14ac:dyDescent="0.75">
      <c r="E34" s="109" t="str">
        <f>'Surg-Map-all'!D36</f>
        <v>* differential.element[11].mapping[0].identity = "fhir"</v>
      </c>
    </row>
    <row r="35" spans="5:5" x14ac:dyDescent="0.75">
      <c r="E35" s="109" t="str">
        <f>'Surg-Map-all'!D37</f>
        <v>* differential.element[11].mapping[0].map = ".text"</v>
      </c>
    </row>
    <row r="36" spans="5:5" x14ac:dyDescent="0.75">
      <c r="E36" s="109" t="str">
        <f>'Surg-Map-all'!D38</f>
        <v/>
      </c>
    </row>
    <row r="37" spans="5:5" x14ac:dyDescent="0.75">
      <c r="E37" s="109" t="str">
        <f>'Surg-Map-all'!D39</f>
        <v>* differential.element[12].mapping[0].identity = "fhir"</v>
      </c>
    </row>
    <row r="38" spans="5:5" x14ac:dyDescent="0.75">
      <c r="E38" s="109" t="str">
        <f>'Surg-Map-all'!D40</f>
        <v>* differential.element[12].mapping[0].map = ".bodySite"</v>
      </c>
    </row>
    <row r="39" spans="5:5" x14ac:dyDescent="0.75">
      <c r="E39" s="109" t="str">
        <f>'Surg-Map-all'!D41</f>
        <v/>
      </c>
    </row>
    <row r="40" spans="5:5" x14ac:dyDescent="0.75">
      <c r="E40" s="109" t="str">
        <f>'Surg-Map-all'!D42</f>
        <v>* differential.element[12].mapping[1].identity = "fhir"</v>
      </c>
    </row>
    <row r="41" spans="5:5" x14ac:dyDescent="0.75">
      <c r="E41" s="109" t="str">
        <f>'Surg-Map-all'!D43</f>
        <v>* differential.element[12].mapping[1].map = ".code"</v>
      </c>
    </row>
    <row r="42" spans="5:5" x14ac:dyDescent="0.75">
      <c r="E42" s="109" t="str">
        <f>'Surg-Map-all'!D44</f>
        <v/>
      </c>
    </row>
    <row r="43" spans="5:5" x14ac:dyDescent="0.75">
      <c r="E43" s="109" t="str">
        <f>'Surg-Map-all'!D45</f>
        <v>* differential.element[13].mapping[0].identity = "fhir"</v>
      </c>
    </row>
    <row r="44" spans="5:5" x14ac:dyDescent="0.75">
      <c r="E44" s="109" t="str">
        <f>'Surg-Map-all'!D46</f>
        <v>* differential.element[13].mapping[0].map = ".extension('http://hl7.eu/fhir/ig/pcsp/StructureDefinition/surgery-sacrifiedOrgan').valueCodeableConcept"</v>
      </c>
    </row>
    <row r="45" spans="5:5" x14ac:dyDescent="0.75">
      <c r="E45" s="109" t="str">
        <f>'Surg-Map-all'!D47</f>
        <v/>
      </c>
    </row>
    <row r="46" spans="5:5" x14ac:dyDescent="0.75">
      <c r="E46" s="109" t="str">
        <f>'Surg-Map-all'!D48</f>
        <v>* differential.element[13].mapping[1].identity = "fhir"</v>
      </c>
    </row>
    <row r="47" spans="5:5" x14ac:dyDescent="0.75">
      <c r="E47" s="109" t="str">
        <f>'Surg-Map-all'!D49</f>
        <v>* differential.element[13].mapping[1].map = ".code"</v>
      </c>
    </row>
    <row r="48" spans="5:5" x14ac:dyDescent="0.75">
      <c r="E48" s="109" t="str">
        <f>'Surg-Map-all'!D50</f>
        <v/>
      </c>
    </row>
    <row r="49" spans="5:5" x14ac:dyDescent="0.75">
      <c r="E49" s="109" t="str">
        <f>'Surg-Map-all'!D51</f>
        <v>* differential.element[14].mapping[0].identity = "fhir"</v>
      </c>
    </row>
    <row r="50" spans="5:5" x14ac:dyDescent="0.75">
      <c r="E50" s="109" t="str">
        <f>'Surg-Map-all'!D52</f>
        <v>* differential.element[14].mapping[0].map = "Procedure.conformsTo('http://hl7.eu/fhir/ig/pcsp/StructureDefinition/Procedure-surgery-eu-pcsp').where(code.memberOf(ShuntProcedureTypeVs))"</v>
      </c>
    </row>
    <row r="51" spans="5:5" x14ac:dyDescent="0.75">
      <c r="E51" s="109" t="str">
        <f>'Surg-Map-all'!D53</f>
        <v/>
      </c>
    </row>
    <row r="52" spans="5:5" x14ac:dyDescent="0.75">
      <c r="E52" s="109" t="str">
        <f>'Surg-Map-all'!D54</f>
        <v>* differential.element[15].mapping[0].identity = "fhir"</v>
      </c>
    </row>
    <row r="53" spans="5:5" x14ac:dyDescent="0.75">
      <c r="E53" s="109" t="str">
        <f>'Surg-Map-all'!D55</f>
        <v>* differential.element[15].mapping[0].map = ".code"</v>
      </c>
    </row>
    <row r="54" spans="5:5" x14ac:dyDescent="0.75">
      <c r="E54" s="109" t="str">
        <f>'Surg-Map-all'!D56</f>
        <v/>
      </c>
    </row>
    <row r="55" spans="5:5" x14ac:dyDescent="0.75">
      <c r="E55" s="109" t="str">
        <f>'Surg-Map-all'!D57</f>
        <v>* differential.element[16].mapping[0].identity = "fhir"</v>
      </c>
    </row>
    <row r="56" spans="5:5" x14ac:dyDescent="0.75">
      <c r="E56" s="109" t="str">
        <f>'Surg-Map-all'!D58</f>
        <v>* differential.element[16].mapping[0].map = ".extension('http://hl7.eu/fhir/ig/pcsp/StructureDefinition/mcode-laterality-qualifier').valueCodeableConcept"</v>
      </c>
    </row>
    <row r="57" spans="5:5" x14ac:dyDescent="0.75">
      <c r="E57" s="109" t="str">
        <f>'Surg-Map-all'!D59</f>
        <v/>
      </c>
    </row>
    <row r="58" spans="5:5" x14ac:dyDescent="0.75">
      <c r="E58" s="109" t="str">
        <f>'Surg-Map-all'!D60</f>
        <v>* differential.element[17].mapping[0].identity = "fhir"</v>
      </c>
    </row>
    <row r="59" spans="5:5" x14ac:dyDescent="0.75">
      <c r="E59" s="109" t="str">
        <f>'Surg-Map-all'!D61</f>
        <v>* differential.element[17].mapping[0].map = ".focalDevice.action"</v>
      </c>
    </row>
    <row r="60" spans="5:5" x14ac:dyDescent="0.75">
      <c r="E60" s="109" t="str">
        <f>'Surg-Map-all'!D62</f>
        <v/>
      </c>
    </row>
    <row r="61" spans="5:5" x14ac:dyDescent="0.75">
      <c r="E61" s="109" t="str">
        <f>'Surg-Map-all'!D63</f>
        <v>* differential.element[18].mapping[0].identity = "fhir"</v>
      </c>
    </row>
    <row r="62" spans="5:5" x14ac:dyDescent="0.75">
      <c r="E62" s="109" t="str">
        <f>'Surg-Map-all'!D64</f>
        <v>* differential.element[18].mapping[0].map = "Procedure.conformsTo('http://hl7.eu/fhir/ig/pcsp/StructureDefinition/Procedure-surgery-eu-pcsp').where(code.memberOf(AmputationProcedureTypeVs)).exists()"</v>
      </c>
    </row>
    <row r="63" spans="5:5" x14ac:dyDescent="0.75">
      <c r="E63" s="109" t="str">
        <f>'Surg-Map-all'!D65</f>
        <v/>
      </c>
    </row>
    <row r="64" spans="5:5" x14ac:dyDescent="0.75">
      <c r="E64" s="109" t="str">
        <f>'Surg-Map-all'!D66</f>
        <v>* differential.element[19].mapping[0].identity = "fhir"</v>
      </c>
    </row>
    <row r="65" spans="5:5" x14ac:dyDescent="0.75">
      <c r="E65" s="109" t="str">
        <f>'Surg-Map-all'!D67</f>
        <v>* differential.element[19].mapping[0].map = "Procedure.conformsTo('http://hl7.eu/fhir/ig/pcsp/StructureDefinition/Procedure-surgery-eu-pcsp').where(code.memberOf(ProstheticProcedureTypeVs))"</v>
      </c>
    </row>
    <row r="66" spans="5:5" x14ac:dyDescent="0.75">
      <c r="E66" s="109" t="str">
        <f>'Surg-Map-all'!D68</f>
        <v/>
      </c>
    </row>
    <row r="67" spans="5:5" x14ac:dyDescent="0.75">
      <c r="E67" s="109" t="str">
        <f>'Surg-Map-all'!D69</f>
        <v>* differential.element[20].mapping[0].identity = "fhir"</v>
      </c>
    </row>
    <row r="68" spans="5:5" x14ac:dyDescent="0.75">
      <c r="E68" s="109" t="str">
        <f>'Surg-Map-all'!D70</f>
        <v>* differential.element[20].mapping[0].map = ".exists()"</v>
      </c>
    </row>
    <row r="69" spans="5:5" x14ac:dyDescent="0.75">
      <c r="E69" s="109" t="str">
        <f>'Surg-Map-all'!D71</f>
        <v/>
      </c>
    </row>
    <row r="70" spans="5:5" x14ac:dyDescent="0.75">
      <c r="E70" s="109" t="str">
        <f>'Surg-Map-all'!D72</f>
        <v>* differential.element[21].mapping[0].identity = "fhir"</v>
      </c>
    </row>
    <row r="71" spans="5:5" x14ac:dyDescent="0.75">
      <c r="E71" s="109" t="str">
        <f>'Surg-Map-all'!D73</f>
        <v>* differential.element[21].mapping[0].map = "usedCode"</v>
      </c>
    </row>
    <row r="72" spans="5:5" x14ac:dyDescent="0.75">
      <c r="E72" s="109" t="str">
        <f>'Surg-Map-all'!D74</f>
        <v/>
      </c>
    </row>
    <row r="73" spans="5:5" x14ac:dyDescent="0.75">
      <c r="E73" s="109" t="str">
        <f>'Surg-Map-all'!D75</f>
        <v>* differential.element[22].mapping[0].identity = "fhir"</v>
      </c>
    </row>
    <row r="74" spans="5:5" x14ac:dyDescent="0.75">
      <c r="E74" s="109" t="str">
        <f>'Surg-Map-all'!D76</f>
        <v>* differential.element[22].mapping[0].map = "Procedure.conformsTo('http://hl7.eu/fhir/ig/pcsp/StructureDefinition/Procedure-surgery-eu-pcsp').where(code.memberOf(ColostomyProcedureTypeVs))"</v>
      </c>
    </row>
    <row r="75" spans="5:5" x14ac:dyDescent="0.75">
      <c r="E75" s="109" t="str">
        <f>'Surg-Map-all'!D77</f>
        <v/>
      </c>
    </row>
    <row r="76" spans="5:5" x14ac:dyDescent="0.75">
      <c r="E76" s="109" t="str">
        <f>'Surg-Map-all'!D78</f>
        <v>* differential.element[23].mapping[0].identity = "fhir"</v>
      </c>
    </row>
    <row r="77" spans="5:5" x14ac:dyDescent="0.75">
      <c r="E77" s="109" t="str">
        <f>'Surg-Map-all'!D79</f>
        <v>* differential.element[23].mapping[0].map = ".exists()"</v>
      </c>
    </row>
    <row r="78" spans="5:5" x14ac:dyDescent="0.75">
      <c r="E78" s="109" t="str">
        <f>'Surg-Map-all'!D80</f>
        <v/>
      </c>
    </row>
    <row r="79" spans="5:5" x14ac:dyDescent="0.75">
      <c r="E79" s="109" t="str">
        <f>'Surg-Map-all'!D81</f>
        <v>* differential.element[24].mapping[0].identity = "fhir"</v>
      </c>
    </row>
    <row r="80" spans="5:5" x14ac:dyDescent="0.75">
      <c r="E80" s="109" t="str">
        <f>'Surg-Map-all'!D82</f>
        <v>* differential.element[24].mapping[0].map = ".focalDevice.action"</v>
      </c>
    </row>
    <row r="81" spans="5:5" x14ac:dyDescent="0.75">
      <c r="E81" s="109" t="str">
        <f>'Surg-Map-all'!D83</f>
        <v/>
      </c>
    </row>
    <row r="82" spans="5:5" x14ac:dyDescent="0.75">
      <c r="E82" s="109" t="str">
        <f>'Surg-Map-all'!D84</f>
        <v>* differential.element[25].mapping[0].identity = "fhir"</v>
      </c>
    </row>
    <row r="83" spans="5:5" x14ac:dyDescent="0.75">
      <c r="E83" s="109" t="str">
        <f>'Surg-Map-all'!D85</f>
        <v>* differential.element[25].mapping[0].map = "Procedure.conformsTo('http://hl7.eu/fhir/ig/pcsp/StructureDefinition/Procedure-surgery-eu-pcsp').where(code.memberOf(GastrostomyProcedureTypeVs)).exists()"</v>
      </c>
    </row>
    <row r="84" spans="5:5" x14ac:dyDescent="0.75">
      <c r="E84" s="109" t="str">
        <f>'Surg-Map-all'!D86</f>
        <v/>
      </c>
    </row>
    <row r="85" spans="5:5" x14ac:dyDescent="0.75">
      <c r="E85" s="109" t="str">
        <f>'Surg-Map-all'!D87</f>
        <v/>
      </c>
    </row>
    <row r="86" spans="5:5" x14ac:dyDescent="0.75">
      <c r="E86" s="109" t="str">
        <f>'Surg-Map-all'!D88</f>
        <v/>
      </c>
    </row>
    <row r="87" spans="5:5" x14ac:dyDescent="0.75">
      <c r="E87" s="109" t="str">
        <f>'Surg-Map-all'!D89</f>
        <v/>
      </c>
    </row>
    <row r="88" spans="5:5" x14ac:dyDescent="0.75">
      <c r="E88" s="109" t="str">
        <f>'Surg-Map-all'!D90</f>
        <v/>
      </c>
    </row>
    <row r="89" spans="5:5" x14ac:dyDescent="0.75">
      <c r="E89" s="109" t="str">
        <f>'Surg-Map-all'!D91</f>
        <v/>
      </c>
    </row>
    <row r="90" spans="5:5" x14ac:dyDescent="0.75">
      <c r="E90" s="109" t="str">
        <f>'Surg-Map-all'!D92</f>
        <v/>
      </c>
    </row>
    <row r="91" spans="5:5" x14ac:dyDescent="0.75">
      <c r="E91" s="109" t="str">
        <f>'Surg-Map-all'!D93</f>
        <v/>
      </c>
    </row>
    <row r="92" spans="5:5" x14ac:dyDescent="0.75">
      <c r="E92" s="109" t="str">
        <f>'Surg-Map-all'!D94</f>
        <v/>
      </c>
    </row>
    <row r="93" spans="5:5" x14ac:dyDescent="0.75">
      <c r="E93" s="109" t="str">
        <f>'Surg-Map-all'!D95</f>
        <v/>
      </c>
    </row>
    <row r="94" spans="5:5" x14ac:dyDescent="0.75">
      <c r="E94" s="109" t="str">
        <f>'Surg-Map-all'!D96</f>
        <v/>
      </c>
    </row>
    <row r="95" spans="5:5" x14ac:dyDescent="0.75">
      <c r="E95" s="109" t="str">
        <f>'Surg-Map-all'!D97</f>
        <v/>
      </c>
    </row>
    <row r="96" spans="5:5" x14ac:dyDescent="0.75">
      <c r="E96" s="109" t="str">
        <f>'Surg-Map-all'!D98</f>
        <v/>
      </c>
    </row>
    <row r="97" spans="5:5" x14ac:dyDescent="0.75">
      <c r="E97" s="109" t="str">
        <f>'Surg-Map-all'!D99</f>
        <v/>
      </c>
    </row>
    <row r="98" spans="5:5" x14ac:dyDescent="0.75">
      <c r="E98" s="109" t="str">
        <f>'Surg-Map-all'!D100</f>
        <v/>
      </c>
    </row>
    <row r="99" spans="5:5" x14ac:dyDescent="0.75">
      <c r="E99" s="109" t="str">
        <f>'Surg-Map-all'!D101</f>
        <v/>
      </c>
    </row>
    <row r="100" spans="5:5" x14ac:dyDescent="0.75">
      <c r="E100" s="109" t="str">
        <f>'Surg-Map-all'!D102</f>
        <v/>
      </c>
    </row>
    <row r="101" spans="5:5" x14ac:dyDescent="0.75">
      <c r="E101" s="109" t="str">
        <f>'Surg-Map-all'!D103</f>
        <v/>
      </c>
    </row>
    <row r="102" spans="5:5" x14ac:dyDescent="0.75">
      <c r="E102" s="109" t="str">
        <f>'Surg-Map-all'!D104</f>
        <v/>
      </c>
    </row>
    <row r="103" spans="5:5" x14ac:dyDescent="0.75">
      <c r="E103" s="109" t="str">
        <f>'Surg-Map-all'!D105</f>
        <v/>
      </c>
    </row>
    <row r="104" spans="5:5" x14ac:dyDescent="0.75">
      <c r="E104" s="109" t="str">
        <f>'Surg-Map-all'!D106</f>
        <v/>
      </c>
    </row>
    <row r="105" spans="5:5" x14ac:dyDescent="0.75">
      <c r="E105" s="109" t="str">
        <f>'Surg-Map-all'!D107</f>
        <v/>
      </c>
    </row>
    <row r="106" spans="5:5" x14ac:dyDescent="0.75">
      <c r="E106" s="109" t="str">
        <f>'Surg-Map-all'!D110</f>
        <v/>
      </c>
    </row>
    <row r="107" spans="5:5" x14ac:dyDescent="0.75">
      <c r="E107" s="109" t="str">
        <f>'Surg-Map-all'!D111</f>
        <v/>
      </c>
    </row>
    <row r="108" spans="5:5" x14ac:dyDescent="0.75">
      <c r="E108" s="109" t="str">
        <f>'Surg-Map-all'!D112</f>
        <v/>
      </c>
    </row>
    <row r="109" spans="5:5" x14ac:dyDescent="0.75">
      <c r="E109" s="109" t="str">
        <f>'Surg-Map-all'!D113</f>
        <v/>
      </c>
    </row>
    <row r="110" spans="5:5" x14ac:dyDescent="0.75">
      <c r="E110" s="109" t="str">
        <f>'Surg-Map-all'!D114</f>
        <v/>
      </c>
    </row>
    <row r="111" spans="5:5" x14ac:dyDescent="0.75">
      <c r="E111" s="109" t="str">
        <f>'Surg-Map-all'!D115</f>
        <v/>
      </c>
    </row>
    <row r="112" spans="5:5" x14ac:dyDescent="0.75">
      <c r="E112" s="109" t="str">
        <f>'Surg-Map-all'!D116</f>
        <v/>
      </c>
    </row>
    <row r="113" spans="5:5" x14ac:dyDescent="0.75">
      <c r="E113" s="109" t="str">
        <f>'Surg-Map-all'!D117</f>
        <v/>
      </c>
    </row>
    <row r="114" spans="5:5" x14ac:dyDescent="0.75">
      <c r="E114" s="109" t="str">
        <f>'Surg-Map-all'!D118</f>
        <v/>
      </c>
    </row>
    <row r="115" spans="5:5" x14ac:dyDescent="0.75">
      <c r="E115" s="109" t="str">
        <f>'Surg-Map-all'!D119</f>
        <v/>
      </c>
    </row>
    <row r="116" spans="5:5" x14ac:dyDescent="0.75">
      <c r="E116" s="109" t="str">
        <f>'Surg-Map-all'!D120</f>
        <v/>
      </c>
    </row>
    <row r="117" spans="5:5" x14ac:dyDescent="0.75">
      <c r="E117" s="109" t="str">
        <f>'Surg-Map-all'!D121</f>
        <v/>
      </c>
    </row>
    <row r="118" spans="5:5" x14ac:dyDescent="0.75">
      <c r="E118" s="109" t="str">
        <f>'Surg-Map-all'!D122</f>
        <v/>
      </c>
    </row>
    <row r="119" spans="5:5" x14ac:dyDescent="0.75">
      <c r="E119" s="109" t="str">
        <f>'Surg-Map-all'!D123</f>
        <v/>
      </c>
    </row>
    <row r="120" spans="5:5" x14ac:dyDescent="0.75">
      <c r="E120" s="109" t="str">
        <f>'Surg-Map-all'!D124</f>
        <v/>
      </c>
    </row>
    <row r="121" spans="5:5" x14ac:dyDescent="0.75">
      <c r="E121" s="109" t="str">
        <f>'Surg-Map-all'!D125</f>
        <v/>
      </c>
    </row>
    <row r="122" spans="5:5" x14ac:dyDescent="0.75">
      <c r="E122" s="109" t="str">
        <f>'Surg-Map-all'!D126</f>
        <v/>
      </c>
    </row>
    <row r="123" spans="5:5" x14ac:dyDescent="0.75">
      <c r="E123" s="109" t="str">
        <f>'Surg-Map-all'!D127</f>
        <v/>
      </c>
    </row>
    <row r="124" spans="5:5" x14ac:dyDescent="0.75">
      <c r="E124" s="109" t="str">
        <f>'Surg-Map-all'!D128</f>
        <v/>
      </c>
    </row>
    <row r="125" spans="5:5" x14ac:dyDescent="0.75">
      <c r="E125" s="109" t="str">
        <f>'Surg-Map-all'!D129</f>
        <v/>
      </c>
    </row>
    <row r="126" spans="5:5" x14ac:dyDescent="0.75">
      <c r="E126" s="109" t="str">
        <f>'Surg-Map-all'!D130</f>
        <v/>
      </c>
    </row>
    <row r="127" spans="5:5" x14ac:dyDescent="0.75">
      <c r="E127" s="109" t="str">
        <f>'Surg-Map-all'!D131</f>
        <v/>
      </c>
    </row>
    <row r="128" spans="5:5" x14ac:dyDescent="0.75">
      <c r="E128" s="109" t="str">
        <f>'Surg-Map-all'!D132</f>
        <v/>
      </c>
    </row>
    <row r="129" spans="5:5" x14ac:dyDescent="0.75">
      <c r="E129" s="109" t="str">
        <f>'Surg-Map-all'!D133</f>
        <v/>
      </c>
    </row>
    <row r="130" spans="5:5" x14ac:dyDescent="0.75">
      <c r="E130" s="109" t="str">
        <f>'Surg-Map-all'!D134</f>
        <v/>
      </c>
    </row>
    <row r="131" spans="5:5" x14ac:dyDescent="0.75">
      <c r="E131" s="109" t="str">
        <f>'Surg-Map-all'!D135</f>
        <v/>
      </c>
    </row>
    <row r="132" spans="5:5" x14ac:dyDescent="0.75">
      <c r="E132" s="109" t="str">
        <f>'Surg-Map-all'!D136</f>
        <v/>
      </c>
    </row>
    <row r="133" spans="5:5" x14ac:dyDescent="0.75">
      <c r="E133" s="109" t="str">
        <f>'Surg-Map-all'!D137</f>
        <v/>
      </c>
    </row>
    <row r="134" spans="5:5" x14ac:dyDescent="0.75">
      <c r="E134" s="109" t="str">
        <f>'Surg-Map-all'!D138</f>
        <v/>
      </c>
    </row>
    <row r="135" spans="5:5" x14ac:dyDescent="0.75">
      <c r="E135" s="109" t="str">
        <f>'Surg-Map-all'!D139</f>
        <v/>
      </c>
    </row>
    <row r="136" spans="5:5" x14ac:dyDescent="0.75">
      <c r="E136" s="109" t="str">
        <f>'Surg-Map-all'!D140</f>
        <v/>
      </c>
    </row>
    <row r="137" spans="5:5" x14ac:dyDescent="0.75">
      <c r="E137" s="109" t="str">
        <f>'Surg-Map-all'!D141</f>
        <v/>
      </c>
    </row>
    <row r="138" spans="5:5" x14ac:dyDescent="0.75">
      <c r="E138" s="109" t="str">
        <f>'Surg-Map-all'!D142</f>
        <v/>
      </c>
    </row>
    <row r="139" spans="5:5" x14ac:dyDescent="0.75">
      <c r="E139" s="109" t="str">
        <f>'Surg-Map-all'!D143</f>
        <v/>
      </c>
    </row>
    <row r="140" spans="5:5" x14ac:dyDescent="0.75">
      <c r="E140" s="109" t="str">
        <f>'Surg-Map-all'!D144</f>
        <v/>
      </c>
    </row>
    <row r="141" spans="5:5" x14ac:dyDescent="0.75">
      <c r="E141" s="109" t="str">
        <f>'Surg-Map-all'!D145</f>
        <v/>
      </c>
    </row>
    <row r="142" spans="5:5" x14ac:dyDescent="0.75">
      <c r="E142" s="109" t="str">
        <f>'Surg-Map-all'!D146</f>
        <v/>
      </c>
    </row>
    <row r="143" spans="5:5" x14ac:dyDescent="0.75">
      <c r="E143" s="109" t="str">
        <f>'Surg-Map-all'!D147</f>
        <v/>
      </c>
    </row>
    <row r="144" spans="5:5" x14ac:dyDescent="0.75">
      <c r="E144" s="109" t="str">
        <f>'Surg-Map-all'!D148</f>
        <v/>
      </c>
    </row>
    <row r="145" spans="5:5" x14ac:dyDescent="0.75">
      <c r="E145" s="109" t="str">
        <f>'Surg-Map-all'!D149</f>
        <v/>
      </c>
    </row>
    <row r="146" spans="5:5" x14ac:dyDescent="0.75">
      <c r="E146" s="109" t="str">
        <f>'Surg-Map-all'!D150</f>
        <v/>
      </c>
    </row>
    <row r="147" spans="5:5" x14ac:dyDescent="0.75">
      <c r="E147" s="109" t="str">
        <f>'Surg-Map-all'!D151</f>
        <v/>
      </c>
    </row>
    <row r="148" spans="5:5" x14ac:dyDescent="0.75">
      <c r="E148" s="109" t="str">
        <f>'Surg-Map-all'!D152</f>
        <v/>
      </c>
    </row>
    <row r="149" spans="5:5" x14ac:dyDescent="0.75">
      <c r="E149" s="109" t="str">
        <f>'Surg-Map-all'!D153</f>
        <v/>
      </c>
    </row>
    <row r="150" spans="5:5" x14ac:dyDescent="0.75">
      <c r="E150" s="109" t="str">
        <f>'Surg-Map-all'!D154</f>
        <v/>
      </c>
    </row>
    <row r="151" spans="5:5" x14ac:dyDescent="0.75">
      <c r="E151" s="109" t="str">
        <f>'Surg-Map-all'!D155</f>
        <v/>
      </c>
    </row>
    <row r="152" spans="5:5" x14ac:dyDescent="0.75">
      <c r="E152" s="109" t="str">
        <f>'Surg-Map-all'!D156</f>
        <v/>
      </c>
    </row>
    <row r="153" spans="5:5" x14ac:dyDescent="0.75">
      <c r="E153" s="109" t="str">
        <f>'Surg-Map-all'!D157</f>
        <v/>
      </c>
    </row>
    <row r="154" spans="5:5" x14ac:dyDescent="0.75">
      <c r="E154" s="109" t="str">
        <f>'Surg-Map-all'!D158</f>
        <v/>
      </c>
    </row>
    <row r="155" spans="5:5" x14ac:dyDescent="0.75">
      <c r="E155" s="109" t="str">
        <f>'Surg-Map-all'!D159</f>
        <v/>
      </c>
    </row>
    <row r="156" spans="5:5" x14ac:dyDescent="0.75">
      <c r="E156" s="109" t="str">
        <f>'Surg-Map-all'!D160</f>
        <v/>
      </c>
    </row>
    <row r="157" spans="5:5" x14ac:dyDescent="0.75">
      <c r="E157" s="109" t="str">
        <f>'Surg-Map-all'!D161</f>
        <v/>
      </c>
    </row>
    <row r="158" spans="5:5" x14ac:dyDescent="0.75">
      <c r="E158" s="109" t="str">
        <f>'Surg-Map-all'!D162</f>
        <v/>
      </c>
    </row>
    <row r="159" spans="5:5" x14ac:dyDescent="0.75">
      <c r="E159" s="109" t="str">
        <f>'Surg-Map-all'!D163</f>
        <v/>
      </c>
    </row>
    <row r="160" spans="5:5" x14ac:dyDescent="0.75">
      <c r="E160" s="109" t="str">
        <f>'Surg-Map-all'!D164</f>
        <v/>
      </c>
    </row>
    <row r="161" spans="5:5" x14ac:dyDescent="0.75">
      <c r="E161" s="109" t="str">
        <f>'Surg-Map-all'!D165</f>
        <v/>
      </c>
    </row>
    <row r="162" spans="5:5" x14ac:dyDescent="0.75">
      <c r="E162" s="109" t="str">
        <f>'Surg-Map-all'!D166</f>
        <v/>
      </c>
    </row>
    <row r="163" spans="5:5" x14ac:dyDescent="0.75">
      <c r="E163" s="109" t="str">
        <f>'Surg-Map-all'!D167</f>
        <v/>
      </c>
    </row>
    <row r="164" spans="5:5" x14ac:dyDescent="0.75">
      <c r="E164" s="109" t="str">
        <f>'Surg-Map-all'!D168</f>
        <v/>
      </c>
    </row>
    <row r="165" spans="5:5" x14ac:dyDescent="0.75">
      <c r="E165" s="109" t="str">
        <f>'Surg-Map-all'!D169</f>
        <v/>
      </c>
    </row>
    <row r="166" spans="5:5" x14ac:dyDescent="0.75">
      <c r="E166" s="109" t="str">
        <f>'Surg-Map-all'!D170</f>
        <v/>
      </c>
    </row>
    <row r="167" spans="5:5" x14ac:dyDescent="0.75">
      <c r="E167" s="109" t="str">
        <f>'Surg-Map-all'!D171</f>
        <v/>
      </c>
    </row>
    <row r="168" spans="5:5" x14ac:dyDescent="0.75">
      <c r="E168" s="109" t="str">
        <f>'Surg-Map-all'!D172</f>
        <v/>
      </c>
    </row>
    <row r="169" spans="5:5" x14ac:dyDescent="0.75">
      <c r="E169" s="109" t="str">
        <f>'Surg-Map-all'!D173</f>
        <v/>
      </c>
    </row>
    <row r="170" spans="5:5" x14ac:dyDescent="0.75">
      <c r="E170" s="109" t="str">
        <f>'Surg-Map-all'!D174</f>
        <v/>
      </c>
    </row>
    <row r="171" spans="5:5" x14ac:dyDescent="0.75">
      <c r="E171" s="109" t="str">
        <f>'Surg-Map-all'!D175</f>
        <v/>
      </c>
    </row>
    <row r="172" spans="5:5" x14ac:dyDescent="0.75">
      <c r="E172" s="109" t="str">
        <f>'Surg-Map-all'!D176</f>
        <v/>
      </c>
    </row>
    <row r="173" spans="5:5" x14ac:dyDescent="0.75">
      <c r="E173" s="109" t="str">
        <f>'Surg-Map-all'!D177</f>
        <v/>
      </c>
    </row>
    <row r="174" spans="5:5" x14ac:dyDescent="0.75">
      <c r="E174" s="109" t="str">
        <f>'Surg-Map-all'!D178</f>
        <v/>
      </c>
    </row>
    <row r="175" spans="5:5" x14ac:dyDescent="0.75">
      <c r="E175" s="109" t="str">
        <f>'Surg-Map-all'!D179</f>
        <v/>
      </c>
    </row>
    <row r="176" spans="5:5" x14ac:dyDescent="0.75">
      <c r="E176" s="109" t="str">
        <f>'Surg-Map-all'!D180</f>
        <v/>
      </c>
    </row>
    <row r="177" spans="5:5" x14ac:dyDescent="0.75">
      <c r="E177" s="109" t="str">
        <f>'Surg-Map-all'!D181</f>
        <v/>
      </c>
    </row>
    <row r="178" spans="5:5" x14ac:dyDescent="0.75">
      <c r="E178" s="109" t="str">
        <f>'Surg-Map-all'!D182</f>
        <v/>
      </c>
    </row>
    <row r="179" spans="5:5" x14ac:dyDescent="0.75">
      <c r="E179" s="109" t="str">
        <f>'Surg-Map-all'!D183</f>
        <v/>
      </c>
    </row>
    <row r="180" spans="5:5" x14ac:dyDescent="0.75">
      <c r="E180" s="109" t="str">
        <f>'Surg-Map-all'!D184</f>
        <v/>
      </c>
    </row>
    <row r="181" spans="5:5" x14ac:dyDescent="0.75">
      <c r="E181" s="109" t="str">
        <f>'Surg-Map-all'!D185</f>
        <v/>
      </c>
    </row>
    <row r="182" spans="5:5" x14ac:dyDescent="0.75">
      <c r="E182" s="109" t="str">
        <f>'Surg-Map-all'!D186</f>
        <v/>
      </c>
    </row>
    <row r="183" spans="5:5" x14ac:dyDescent="0.75">
      <c r="E183" s="109" t="str">
        <f>'Surg-Map-all'!D187</f>
        <v/>
      </c>
    </row>
    <row r="184" spans="5:5" x14ac:dyDescent="0.75">
      <c r="E184" s="109" t="str">
        <f>'Surg-Map-all'!D188</f>
        <v/>
      </c>
    </row>
    <row r="185" spans="5:5" x14ac:dyDescent="0.75">
      <c r="E185" s="109" t="str">
        <f>'Surg-Map-all'!D189</f>
        <v/>
      </c>
    </row>
    <row r="186" spans="5:5" x14ac:dyDescent="0.75">
      <c r="E186" s="109" t="str">
        <f>'Surg-Map-all'!D190</f>
        <v/>
      </c>
    </row>
    <row r="187" spans="5:5" x14ac:dyDescent="0.75">
      <c r="E187" s="109" t="str">
        <f>'Surg-Map-all'!D191</f>
        <v/>
      </c>
    </row>
    <row r="188" spans="5:5" x14ac:dyDescent="0.75">
      <c r="E188" s="109" t="str">
        <f>'Surg-Map-all'!D192</f>
        <v/>
      </c>
    </row>
    <row r="189" spans="5:5" x14ac:dyDescent="0.75">
      <c r="E189" s="109" t="str">
        <f>'Surg-Map-all'!D193</f>
        <v/>
      </c>
    </row>
    <row r="190" spans="5:5" x14ac:dyDescent="0.75">
      <c r="E190" s="109" t="str">
        <f>'Surg-Map-all'!D194</f>
        <v/>
      </c>
    </row>
    <row r="191" spans="5:5" x14ac:dyDescent="0.75">
      <c r="E191" s="109" t="str">
        <f>'Surg-Map-all'!D195</f>
        <v/>
      </c>
    </row>
    <row r="192" spans="5:5" x14ac:dyDescent="0.75">
      <c r="E192" s="109" t="str">
        <f>'Surg-Map-all'!D196</f>
        <v/>
      </c>
    </row>
    <row r="193" spans="5:5" x14ac:dyDescent="0.75">
      <c r="E193" s="109" t="str">
        <f>'Surg-Map-all'!D197</f>
        <v/>
      </c>
    </row>
    <row r="194" spans="5:5" x14ac:dyDescent="0.75">
      <c r="E194" s="109" t="str">
        <f>'Surg-Map-all'!D198</f>
        <v/>
      </c>
    </row>
    <row r="195" spans="5:5" x14ac:dyDescent="0.75">
      <c r="E195" s="109" t="str">
        <f>'Surg-Map-all'!D199</f>
        <v/>
      </c>
    </row>
    <row r="196" spans="5:5" x14ac:dyDescent="0.75">
      <c r="E196" s="109" t="str">
        <f>'Surg-Map-all'!D200</f>
        <v/>
      </c>
    </row>
    <row r="197" spans="5:5" x14ac:dyDescent="0.75">
      <c r="E197" s="109" t="str">
        <f>'Surg-Map-all'!D201</f>
        <v/>
      </c>
    </row>
    <row r="198" spans="5:5" x14ac:dyDescent="0.75">
      <c r="E198" s="109" t="str">
        <f>'Surg-Map-all'!D202</f>
        <v/>
      </c>
    </row>
    <row r="199" spans="5:5" x14ac:dyDescent="0.75">
      <c r="E199" s="109" t="str">
        <f>'Surg-Map-all'!D203</f>
        <v/>
      </c>
    </row>
    <row r="200" spans="5:5" x14ac:dyDescent="0.75">
      <c r="E200" s="109" t="str">
        <f>'Surg-Map-all'!D204</f>
        <v/>
      </c>
    </row>
    <row r="201" spans="5:5" x14ac:dyDescent="0.75">
      <c r="E201" s="109" t="str">
        <f>'Surg-Map-all'!D205</f>
        <v/>
      </c>
    </row>
    <row r="202" spans="5:5" x14ac:dyDescent="0.75">
      <c r="E202" s="109" t="str">
        <f>'Surg-Map-all'!D206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A4" zoomScale="145" zoomScaleNormal="145" workbookViewId="0">
      <selection activeCell="B27" sqref="B27"/>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1114</v>
      </c>
      <c r="E2" s="25"/>
      <c r="F2" s="25"/>
      <c r="G2" s="25"/>
    </row>
    <row r="3" spans="1:9" x14ac:dyDescent="0.75">
      <c r="B3" s="118" t="s">
        <v>34</v>
      </c>
      <c r="C3" s="107" t="s">
        <v>36</v>
      </c>
      <c r="D3" s="56"/>
      <c r="E3" s="25"/>
      <c r="F3" s="25"/>
      <c r="G3" s="25"/>
    </row>
    <row r="4" spans="1:9" ht="15.5" thickBot="1" x14ac:dyDescent="0.9">
      <c r="B4" s="119" t="s">
        <v>52</v>
      </c>
      <c r="C4" s="16" t="s">
        <v>1077</v>
      </c>
      <c r="D4" s="57"/>
      <c r="E4" s="25"/>
      <c r="F4" s="25"/>
      <c r="G4" s="25"/>
    </row>
    <row r="5" spans="1:9" x14ac:dyDescent="0.75">
      <c r="C5" s="3" t="s">
        <v>7</v>
      </c>
      <c r="D5" s="4" t="s">
        <v>8</v>
      </c>
      <c r="E5" s="11" t="s">
        <v>17</v>
      </c>
      <c r="F5" s="11" t="s">
        <v>18</v>
      </c>
      <c r="G5" s="11" t="s">
        <v>19</v>
      </c>
    </row>
    <row r="6" spans="1:9" x14ac:dyDescent="0.75">
      <c r="A6">
        <v>0</v>
      </c>
      <c r="B6" s="16" t="s">
        <v>1077</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1078</v>
      </c>
      <c r="C10" s="111" t="s">
        <v>1099</v>
      </c>
      <c r="D10" s="111" t="s">
        <v>729</v>
      </c>
      <c r="E10" s="111">
        <v>0</v>
      </c>
      <c r="F10" s="111">
        <v>10</v>
      </c>
      <c r="G10" s="111" t="s">
        <v>5</v>
      </c>
    </row>
    <row r="11" spans="1:9" ht="103.25" x14ac:dyDescent="0.75">
      <c r="A11" s="109">
        <v>5</v>
      </c>
      <c r="B11" s="110" t="s">
        <v>1080</v>
      </c>
      <c r="C11" s="111" t="s">
        <v>1099</v>
      </c>
      <c r="D11" s="112" t="s">
        <v>1093</v>
      </c>
      <c r="E11" s="111">
        <v>0</v>
      </c>
      <c r="F11" s="111" t="s">
        <v>20</v>
      </c>
      <c r="G11" s="111" t="s">
        <v>1</v>
      </c>
      <c r="H11" s="2"/>
      <c r="I11" s="25"/>
    </row>
    <row r="12" spans="1:9" s="25" customFormat="1" x14ac:dyDescent="0.75">
      <c r="A12" s="109">
        <v>6</v>
      </c>
      <c r="B12" s="125" t="s">
        <v>1081</v>
      </c>
      <c r="C12" s="113" t="s">
        <v>732</v>
      </c>
      <c r="D12" s="113" t="s">
        <v>732</v>
      </c>
      <c r="E12" s="111">
        <v>0</v>
      </c>
      <c r="F12" s="111">
        <v>1</v>
      </c>
      <c r="G12" s="111" t="s">
        <v>1079</v>
      </c>
      <c r="H12" s="21"/>
    </row>
    <row r="13" spans="1:9" s="109" customFormat="1" ht="29.5" x14ac:dyDescent="0.75">
      <c r="A13" s="109">
        <v>7</v>
      </c>
      <c r="B13" s="125" t="s">
        <v>1111</v>
      </c>
      <c r="C13" s="113" t="s">
        <v>1100</v>
      </c>
      <c r="D13" s="112" t="s">
        <v>739</v>
      </c>
      <c r="E13" s="111">
        <v>1</v>
      </c>
      <c r="F13" s="111">
        <v>1</v>
      </c>
      <c r="G13" s="113" t="s">
        <v>2</v>
      </c>
      <c r="H13" s="114"/>
    </row>
    <row r="14" spans="1:9" s="25" customFormat="1" ht="44.25" x14ac:dyDescent="0.75">
      <c r="A14" s="109">
        <v>8</v>
      </c>
      <c r="B14" s="125" t="s">
        <v>1112</v>
      </c>
      <c r="C14" s="113" t="s">
        <v>740</v>
      </c>
      <c r="D14" s="112" t="s">
        <v>742</v>
      </c>
      <c r="E14" s="111">
        <v>1</v>
      </c>
      <c r="F14" s="111">
        <v>1</v>
      </c>
      <c r="G14" s="24" t="s">
        <v>5</v>
      </c>
      <c r="H14" s="21"/>
    </row>
    <row r="15" spans="1:9" s="109" customFormat="1" x14ac:dyDescent="0.75">
      <c r="A15" s="109">
        <v>9</v>
      </c>
      <c r="B15" s="125" t="s">
        <v>1113</v>
      </c>
      <c r="C15" s="115" t="s">
        <v>743</v>
      </c>
      <c r="D15" s="112" t="s">
        <v>746</v>
      </c>
      <c r="E15" s="111">
        <v>0</v>
      </c>
      <c r="F15" s="111">
        <v>1</v>
      </c>
      <c r="G15" s="113" t="s">
        <v>1</v>
      </c>
      <c r="H15" s="114"/>
    </row>
    <row r="16" spans="1:9" s="109" customFormat="1" x14ac:dyDescent="0.75">
      <c r="A16" s="109">
        <v>10</v>
      </c>
      <c r="B16" s="111" t="s">
        <v>1083</v>
      </c>
      <c r="C16" s="111" t="s">
        <v>747</v>
      </c>
      <c r="D16" s="112" t="s">
        <v>749</v>
      </c>
      <c r="E16" s="111">
        <v>0</v>
      </c>
      <c r="F16" s="111">
        <v>1</v>
      </c>
      <c r="G16" s="113" t="s">
        <v>1</v>
      </c>
      <c r="H16" s="114"/>
    </row>
    <row r="17" spans="1:8" s="109" customFormat="1" x14ac:dyDescent="0.75">
      <c r="A17" s="109">
        <v>11</v>
      </c>
      <c r="B17" s="112" t="s">
        <v>1082</v>
      </c>
      <c r="C17" s="112" t="s">
        <v>750</v>
      </c>
      <c r="D17" s="112" t="s">
        <v>752</v>
      </c>
      <c r="E17" s="111">
        <v>1</v>
      </c>
      <c r="F17" s="111">
        <v>1</v>
      </c>
      <c r="G17" s="113" t="s">
        <v>1</v>
      </c>
      <c r="H17" s="114"/>
    </row>
    <row r="18" spans="1:8" s="109" customFormat="1" x14ac:dyDescent="0.75">
      <c r="A18" s="109">
        <v>12</v>
      </c>
      <c r="B18" s="112" t="s">
        <v>1084</v>
      </c>
      <c r="C18" s="112" t="s">
        <v>753</v>
      </c>
      <c r="D18" s="112" t="s">
        <v>755</v>
      </c>
      <c r="E18" s="111">
        <v>1</v>
      </c>
      <c r="F18" s="111">
        <v>1</v>
      </c>
      <c r="G18" s="113" t="s">
        <v>1</v>
      </c>
      <c r="H18" s="114"/>
    </row>
    <row r="19" spans="1:8" s="109" customFormat="1" x14ac:dyDescent="0.75">
      <c r="A19" s="109">
        <v>13</v>
      </c>
      <c r="B19" s="112" t="s">
        <v>1085</v>
      </c>
      <c r="C19" s="112" t="s">
        <v>756</v>
      </c>
      <c r="D19" s="112" t="s">
        <v>758</v>
      </c>
      <c r="E19" s="111">
        <v>0</v>
      </c>
      <c r="F19" s="111">
        <v>1</v>
      </c>
      <c r="G19" s="113" t="s">
        <v>1</v>
      </c>
      <c r="H19" s="114"/>
    </row>
    <row r="20" spans="1:8" s="109" customFormat="1" x14ac:dyDescent="0.75">
      <c r="A20" s="109">
        <v>14</v>
      </c>
      <c r="B20" s="115" t="s">
        <v>1086</v>
      </c>
      <c r="C20" s="115" t="s">
        <v>759</v>
      </c>
      <c r="D20" s="108" t="s">
        <v>761</v>
      </c>
      <c r="E20" s="111">
        <v>0</v>
      </c>
      <c r="F20" s="111">
        <v>1</v>
      </c>
      <c r="G20" s="113" t="s">
        <v>1</v>
      </c>
      <c r="H20" s="114"/>
    </row>
    <row r="21" spans="1:8" s="109" customFormat="1" x14ac:dyDescent="0.75">
      <c r="A21" s="109">
        <v>15</v>
      </c>
      <c r="B21" s="115" t="s">
        <v>1128</v>
      </c>
      <c r="C21" s="115" t="s">
        <v>1101</v>
      </c>
      <c r="D21" s="108" t="s">
        <v>765</v>
      </c>
      <c r="E21" s="111">
        <v>0</v>
      </c>
      <c r="F21" s="111">
        <v>1</v>
      </c>
      <c r="G21" s="113" t="s">
        <v>5</v>
      </c>
      <c r="H21" s="114"/>
    </row>
    <row r="22" spans="1:8" s="109" customFormat="1" x14ac:dyDescent="0.75">
      <c r="A22" s="109">
        <v>16</v>
      </c>
      <c r="B22" s="115" t="s">
        <v>1129</v>
      </c>
      <c r="C22" s="115" t="s">
        <v>1102</v>
      </c>
      <c r="D22" s="108" t="s">
        <v>770</v>
      </c>
      <c r="E22" s="111">
        <v>0</v>
      </c>
      <c r="F22" s="111">
        <v>1</v>
      </c>
      <c r="G22" s="113" t="s">
        <v>1</v>
      </c>
      <c r="H22" s="114"/>
    </row>
    <row r="23" spans="1:8" s="109" customFormat="1" x14ac:dyDescent="0.75">
      <c r="A23" s="109">
        <v>17</v>
      </c>
      <c r="B23" s="115" t="s">
        <v>1130</v>
      </c>
      <c r="C23" s="115" t="s">
        <v>771</v>
      </c>
      <c r="D23" s="108" t="s">
        <v>773</v>
      </c>
      <c r="E23" s="111">
        <v>0</v>
      </c>
      <c r="F23" s="111">
        <v>1</v>
      </c>
      <c r="G23" s="113" t="s">
        <v>3</v>
      </c>
      <c r="H23" s="114"/>
    </row>
    <row r="24" spans="1:8" s="109" customFormat="1" x14ac:dyDescent="0.75">
      <c r="A24" s="109">
        <v>18</v>
      </c>
      <c r="B24" s="111" t="s">
        <v>1131</v>
      </c>
      <c r="C24" s="111" t="s">
        <v>774</v>
      </c>
      <c r="D24" s="111" t="s">
        <v>774</v>
      </c>
      <c r="E24" s="111">
        <v>0</v>
      </c>
      <c r="F24" s="111">
        <v>1</v>
      </c>
      <c r="G24" s="113" t="s">
        <v>5</v>
      </c>
      <c r="H24" s="114"/>
    </row>
    <row r="25" spans="1:8" s="109" customFormat="1" x14ac:dyDescent="0.75">
      <c r="A25" s="109">
        <v>19</v>
      </c>
      <c r="B25" s="111" t="s">
        <v>1132</v>
      </c>
      <c r="C25" s="111" t="s">
        <v>1087</v>
      </c>
      <c r="D25" s="112" t="s">
        <v>776</v>
      </c>
      <c r="E25" s="111">
        <v>0</v>
      </c>
      <c r="F25" s="111">
        <v>1</v>
      </c>
      <c r="G25" s="113" t="s">
        <v>1</v>
      </c>
      <c r="H25" s="114"/>
    </row>
    <row r="26" spans="1:8" s="109" customFormat="1" ht="29.5" x14ac:dyDescent="0.75">
      <c r="A26" s="109">
        <v>20</v>
      </c>
      <c r="B26" s="111" t="s">
        <v>1133</v>
      </c>
      <c r="C26" s="112" t="s">
        <v>777</v>
      </c>
      <c r="D26" s="112" t="s">
        <v>780</v>
      </c>
      <c r="E26" s="111">
        <v>0</v>
      </c>
      <c r="F26" s="111">
        <v>1</v>
      </c>
      <c r="G26" s="113" t="s">
        <v>3</v>
      </c>
      <c r="H26" s="114"/>
    </row>
    <row r="27" spans="1:8" x14ac:dyDescent="0.75">
      <c r="A27" s="109">
        <v>21</v>
      </c>
      <c r="B27" s="111" t="s">
        <v>1094</v>
      </c>
      <c r="C27" s="111" t="s">
        <v>1103</v>
      </c>
      <c r="D27" s="111" t="s">
        <v>781</v>
      </c>
      <c r="E27" s="111">
        <v>0</v>
      </c>
      <c r="F27" s="111">
        <v>1</v>
      </c>
      <c r="G27" s="113" t="s">
        <v>5</v>
      </c>
    </row>
    <row r="28" spans="1:8" s="109" customFormat="1" x14ac:dyDescent="0.75">
      <c r="A28" s="109">
        <v>22</v>
      </c>
      <c r="B28" s="111" t="s">
        <v>1095</v>
      </c>
      <c r="C28" s="111" t="s">
        <v>1087</v>
      </c>
      <c r="D28" s="112" t="s">
        <v>784</v>
      </c>
      <c r="E28" s="111">
        <v>0</v>
      </c>
      <c r="F28" s="111">
        <v>1</v>
      </c>
      <c r="G28" s="113" t="s">
        <v>1</v>
      </c>
    </row>
    <row r="29" spans="1:8" s="25" customFormat="1" ht="29.5" x14ac:dyDescent="0.75">
      <c r="A29" s="109">
        <v>23</v>
      </c>
      <c r="B29" s="111" t="s">
        <v>1088</v>
      </c>
      <c r="C29" s="112" t="s">
        <v>1104</v>
      </c>
      <c r="D29" s="112" t="s">
        <v>788</v>
      </c>
      <c r="E29" s="111">
        <v>0</v>
      </c>
      <c r="F29" s="111">
        <v>1</v>
      </c>
      <c r="G29" s="113" t="s">
        <v>3</v>
      </c>
    </row>
    <row r="30" spans="1:8" x14ac:dyDescent="0.75">
      <c r="A30" s="109">
        <v>24</v>
      </c>
      <c r="B30" s="111" t="s">
        <v>1089</v>
      </c>
      <c r="C30" s="111" t="s">
        <v>789</v>
      </c>
      <c r="D30" s="112" t="s">
        <v>791</v>
      </c>
      <c r="E30" s="111">
        <v>0</v>
      </c>
      <c r="F30" s="111">
        <v>1</v>
      </c>
      <c r="G30" s="113" t="s">
        <v>1</v>
      </c>
      <c r="H30" s="136"/>
    </row>
    <row r="31" spans="1:8" x14ac:dyDescent="0.75">
      <c r="A31" s="109">
        <v>25</v>
      </c>
      <c r="B31" s="112" t="s">
        <v>1107</v>
      </c>
      <c r="C31" s="111" t="s">
        <v>1105</v>
      </c>
      <c r="D31" s="112" t="s">
        <v>794</v>
      </c>
      <c r="E31" s="111">
        <v>0</v>
      </c>
      <c r="F31" s="111">
        <v>1</v>
      </c>
      <c r="G31" s="113" t="s">
        <v>5</v>
      </c>
    </row>
    <row r="32" spans="1:8" x14ac:dyDescent="0.75">
      <c r="A32" s="109">
        <v>26</v>
      </c>
      <c r="B32" s="112" t="s">
        <v>1108</v>
      </c>
      <c r="C32" s="111" t="s">
        <v>1106</v>
      </c>
      <c r="D32" s="112" t="s">
        <v>798</v>
      </c>
      <c r="E32" s="111">
        <v>0</v>
      </c>
      <c r="F32" s="111">
        <v>1</v>
      </c>
      <c r="G32" s="113" t="s">
        <v>1</v>
      </c>
    </row>
    <row r="33" spans="1:9" ht="29.5" x14ac:dyDescent="0.75">
      <c r="A33" s="109">
        <v>27</v>
      </c>
      <c r="B33" s="112" t="s">
        <v>1109</v>
      </c>
      <c r="C33" s="111" t="s">
        <v>799</v>
      </c>
      <c r="D33" s="112" t="s">
        <v>801</v>
      </c>
      <c r="E33" s="111">
        <v>0</v>
      </c>
      <c r="F33" s="111">
        <v>1</v>
      </c>
      <c r="G33" s="113" t="s">
        <v>3</v>
      </c>
    </row>
    <row r="34" spans="1:9" s="25" customFormat="1" ht="29.5" x14ac:dyDescent="0.75">
      <c r="A34" s="109">
        <v>28</v>
      </c>
      <c r="B34" s="112" t="s">
        <v>1091</v>
      </c>
      <c r="C34" s="111" t="s">
        <v>802</v>
      </c>
      <c r="D34" s="112" t="s">
        <v>804</v>
      </c>
      <c r="E34" s="111">
        <v>0</v>
      </c>
      <c r="F34" s="111" t="s">
        <v>20</v>
      </c>
      <c r="G34" s="113" t="s">
        <v>1</v>
      </c>
    </row>
    <row r="35" spans="1:9" s="25" customFormat="1" x14ac:dyDescent="0.75">
      <c r="A35" s="109">
        <v>29</v>
      </c>
      <c r="B35" s="112" t="s">
        <v>1090</v>
      </c>
      <c r="C35" s="111" t="s">
        <v>805</v>
      </c>
      <c r="D35" s="111" t="s">
        <v>805</v>
      </c>
      <c r="E35" s="111">
        <v>0</v>
      </c>
      <c r="F35" s="111" t="s">
        <v>20</v>
      </c>
      <c r="G35" s="111" t="s">
        <v>1096</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73.7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73.7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#BackboneElement</v>
      </c>
      <c r="I9" s="9"/>
    </row>
    <row r="10" spans="2:10" ht="73.75"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73.75"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73.75"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1</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1</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"OtherInfos.fertilityPreservation.occurred"</v>
      </c>
      <c r="C27" s="112" t="str">
        <f>CONCATENATE("* differential.element[",'Oth-1'!$A32,"].path = """,'Oth-1'!$B$6,".",'Oth-1'!B32,"""")</f>
        <v>* differential.element[26].path = "OtherInfos.fertilityPreservation.occurred"</v>
      </c>
      <c r="D27" s="112" t="str">
        <f>CONCATENATE("* differential.element[",'Oth-1'!A32,"].short = """,'Oth-1'!C32,"""")</f>
        <v>* differential.element[26].short = "If yes, describe"</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v>
      </c>
      <c r="H29" s="112" t="str">
        <f>CONCATENATE("* differential.element[",'Oth-1'!A34,"].type.code = #",'Oth-1'!G34,"")</f>
        <v>* differential.element[28].type.code = #CodeableConcept</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0 - Draft"</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#BackboneElement</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1</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1</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"OtherInfos.fertilityPreservation.occurred"</v>
      </c>
    </row>
    <row r="211" spans="1:4" x14ac:dyDescent="0.75">
      <c r="A211" s="26">
        <v>177</v>
      </c>
      <c r="B211" s="26">
        <f t="shared" si="6"/>
        <v>25</v>
      </c>
      <c r="C211" s="26">
        <f t="shared" si="7"/>
        <v>2</v>
      </c>
      <c r="D211" s="112" t="str" cm="1">
        <f t="array" ref="D211">INDEX('Oth-2'!$B$2:$H$88,1+B211,C211)</f>
        <v>* differential.element[26].path = "OtherInfos.fertilityPreservation.occurred"</v>
      </c>
    </row>
    <row r="212" spans="1:4" x14ac:dyDescent="0.75">
      <c r="A212" s="26">
        <v>178</v>
      </c>
      <c r="B212" s="26">
        <f t="shared" si="6"/>
        <v>25</v>
      </c>
      <c r="C212" s="26">
        <f t="shared" si="7"/>
        <v>3</v>
      </c>
      <c r="D212" s="112" t="str" cm="1">
        <f t="array" ref="D212">INDEX('Oth-2'!$B$2:$H$88,1+B212,C212)</f>
        <v>* differential.element[26].short = "If yes, describe"</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v>
      </c>
    </row>
    <row r="230" spans="1:4" x14ac:dyDescent="0.75">
      <c r="A230" s="26">
        <v>196</v>
      </c>
      <c r="B230" s="26">
        <f t="shared" si="6"/>
        <v>27</v>
      </c>
      <c r="C230" s="26">
        <f t="shared" si="7"/>
        <v>7</v>
      </c>
      <c r="D230" s="112" t="str" cm="1">
        <f t="array" ref="D230">INDEX('Oth-2'!$B$2:$H$88,1+B230,C230)</f>
        <v>* differential.element[28].type.code = #CodeableConcept</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zoomScale="145" zoomScaleNormal="145" workbookViewId="0">
      <selection activeCell="A18" sqref="A18:A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59" x14ac:dyDescent="0.75">
      <c r="A7" s="111">
        <v>0</v>
      </c>
      <c r="B7" s="111">
        <f>'Oth-1'!A6</f>
        <v>0</v>
      </c>
      <c r="C7" s="111" t="str">
        <f>'Oth-1'!B6</f>
        <v>OtherInfos</v>
      </c>
      <c r="D7" s="13" t="s">
        <v>1050</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'Oth-1'!A7</f>
        <v>1</v>
      </c>
      <c r="C8" s="111" t="str">
        <f>'Oth-1'!B7</f>
        <v>identifier</v>
      </c>
      <c r="D8" s="138" t="s">
        <v>1050</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'Oth-1'!A8</f>
        <v>2</v>
      </c>
      <c r="C9" s="111" t="str">
        <f>'Oth-1'!B8</f>
        <v>relatedDiagnosis</v>
      </c>
      <c r="D9" s="138" t="s">
        <v>1050</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'Oth-1'!A9</f>
        <v>3</v>
      </c>
      <c r="C10" s="111" t="str">
        <f>'Oth-1'!B9</f>
        <v>relatedRelapse</v>
      </c>
      <c r="D10" s="138" t="s">
        <v>1050</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73.75" x14ac:dyDescent="0.75">
      <c r="A11" s="111">
        <v>0</v>
      </c>
      <c r="B11" s="111">
        <f>'Oth-1'!A10</f>
        <v>4</v>
      </c>
      <c r="C11" s="111" t="str">
        <f>'Oth-1'!B10</f>
        <v>severeToxicity</v>
      </c>
      <c r="D11" s="138" t="s">
        <v>1050</v>
      </c>
      <c r="H11" s="109" t="b">
        <f t="shared" si="0"/>
        <v>1</v>
      </c>
      <c r="I11" s="110" t="str">
        <f t="shared" si="1"/>
        <v>* differential.element[4].mapping[0].identity = "fhir"</v>
      </c>
      <c r="J11" s="110" t="str">
        <f t="shared" si="2"/>
        <v>* differential.element[4].mapping[0].map = "TBD"</v>
      </c>
      <c r="K11" s="110" t="str">
        <f t="shared" si="3"/>
        <v/>
      </c>
      <c r="M11" s="44"/>
      <c r="N11" s="109" t="str">
        <f t="shared" si="4"/>
        <v>* severeToxicity -&gt; "TBD"</v>
      </c>
    </row>
    <row r="12" spans="1:14" ht="29.5" x14ac:dyDescent="0.75">
      <c r="A12" s="111">
        <v>0</v>
      </c>
      <c r="B12" s="111">
        <f>'Oth-1'!A11</f>
        <v>5</v>
      </c>
      <c r="C12" s="111" t="str">
        <f>'Oth-1'!B11</f>
        <v>severeToxicity.flag</v>
      </c>
      <c r="D12" s="138" t="s">
        <v>1050</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severeToxicity.flag -&gt; "TBD"</v>
      </c>
    </row>
    <row r="13" spans="1:14" ht="29.5" x14ac:dyDescent="0.75">
      <c r="A13" s="111">
        <v>0</v>
      </c>
      <c r="B13" s="111">
        <f>'Oth-1'!A12</f>
        <v>6</v>
      </c>
      <c r="C13" s="111" t="str">
        <f>'Oth-1'!B12</f>
        <v>severeToxicity.numberOfToxicity</v>
      </c>
      <c r="D13" s="138" t="s">
        <v>1050</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severeToxicity.numberOfToxicity -&gt; "TBD"</v>
      </c>
    </row>
    <row r="14" spans="1:14" ht="29.5" x14ac:dyDescent="0.75">
      <c r="A14" s="111">
        <v>0</v>
      </c>
      <c r="B14" s="111">
        <f>'Oth-1'!A13</f>
        <v>7</v>
      </c>
      <c r="C14" s="111" t="str">
        <f>'Oth-1'!B13</f>
        <v>severeToxicity.date</v>
      </c>
      <c r="D14" s="138" t="s">
        <v>1050</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severeToxicity.date -&gt; "TBD"</v>
      </c>
    </row>
    <row r="15" spans="1:14" x14ac:dyDescent="0.75">
      <c r="A15" s="111">
        <v>0</v>
      </c>
      <c r="B15" s="111">
        <f>'Oth-1'!A14</f>
        <v>8</v>
      </c>
      <c r="C15" s="111" t="str">
        <f>'Oth-1'!B14</f>
        <v>severeToxicity.description</v>
      </c>
      <c r="D15" s="138" t="s">
        <v>1050</v>
      </c>
      <c r="H15" s="109" t="b">
        <f t="shared" si="0"/>
        <v>1</v>
      </c>
      <c r="I15" s="110" t="str">
        <f t="shared" si="1"/>
        <v>* differential.element[8].mapping[0].identity = "fhir"</v>
      </c>
      <c r="J15" s="110" t="str">
        <f t="shared" si="2"/>
        <v>* differential.element[8].mapping[0].map = "TBD"</v>
      </c>
      <c r="K15" s="110" t="str">
        <f t="shared" si="3"/>
        <v/>
      </c>
      <c r="N15" s="109" t="str">
        <f t="shared" si="4"/>
        <v>* severeToxicity.description -&gt; "TBD"</v>
      </c>
    </row>
    <row r="16" spans="1:14" ht="29.5" x14ac:dyDescent="0.75">
      <c r="A16" s="111">
        <v>0</v>
      </c>
      <c r="B16" s="111">
        <f>'Oth-1'!A15</f>
        <v>9</v>
      </c>
      <c r="C16" s="111" t="str">
        <f>'Oth-1'!B15</f>
        <v>severeToxicity.isResolved</v>
      </c>
      <c r="D16" s="138" t="s">
        <v>1050</v>
      </c>
      <c r="H16" s="109" t="b">
        <f t="shared" si="0"/>
        <v>1</v>
      </c>
      <c r="I16" s="110" t="str">
        <f t="shared" si="1"/>
        <v>* differential.element[9].mapping[0].identity = "fhir"</v>
      </c>
      <c r="J16" s="110" t="str">
        <f t="shared" si="2"/>
        <v>* differential.element[9].mapping[0].map = "TBD"</v>
      </c>
      <c r="K16" s="110" t="str">
        <f t="shared" si="3"/>
        <v/>
      </c>
      <c r="N16" s="109" t="str">
        <f t="shared" si="4"/>
        <v>* severeToxicity.isResolved -&gt; "TBD"</v>
      </c>
    </row>
    <row r="17" spans="1:14" ht="29.5" x14ac:dyDescent="0.75">
      <c r="A17" s="111">
        <v>0</v>
      </c>
      <c r="B17" s="111">
        <f>'Oth-1'!A16</f>
        <v>10</v>
      </c>
      <c r="C17" s="111" t="str">
        <f>'Oth-1'!B16</f>
        <v>hypogonadal</v>
      </c>
      <c r="D17" s="138" t="s">
        <v>1050</v>
      </c>
      <c r="H17" s="109" t="b">
        <f t="shared" si="0"/>
        <v>1</v>
      </c>
      <c r="I17" s="110" t="str">
        <f t="shared" si="1"/>
        <v>* differential.element[10].mapping[0].identity = "fhir"</v>
      </c>
      <c r="J17" s="110" t="str">
        <f t="shared" si="2"/>
        <v>* differential.element[10].mapping[0].map = "TBD"</v>
      </c>
      <c r="K17" s="110" t="str">
        <f t="shared" si="3"/>
        <v/>
      </c>
      <c r="N17" s="109" t="str">
        <f t="shared" si="4"/>
        <v>* hypogonadal -&gt; "TBD"</v>
      </c>
    </row>
    <row r="18" spans="1:14" ht="29.5" x14ac:dyDescent="0.75">
      <c r="A18" s="111">
        <v>0</v>
      </c>
      <c r="B18" s="111">
        <f>'Oth-1'!A17</f>
        <v>11</v>
      </c>
      <c r="C18" s="111" t="str">
        <f>'Oth-1'!B17</f>
        <v>growthHormoneDeficiency</v>
      </c>
      <c r="D18" s="138" t="s">
        <v>1050</v>
      </c>
      <c r="H18" s="109" t="b">
        <f t="shared" si="0"/>
        <v>1</v>
      </c>
      <c r="I18" s="110" t="str">
        <f t="shared" si="1"/>
        <v>* differential.element[11].mapping[0].identity = "fhir"</v>
      </c>
      <c r="J18" s="110" t="str">
        <f t="shared" si="2"/>
        <v>* differential.element[11].mapping[0].map = "TBD"</v>
      </c>
      <c r="K18" s="110" t="str">
        <f t="shared" si="3"/>
        <v/>
      </c>
      <c r="N18" s="109" t="str">
        <f t="shared" si="4"/>
        <v>* growthHormoneDeficiency -&gt; "TBD"</v>
      </c>
    </row>
    <row r="19" spans="1:14" ht="29.5" x14ac:dyDescent="0.75">
      <c r="A19" s="111">
        <v>0</v>
      </c>
      <c r="B19" s="111">
        <f>'Oth-1'!A18</f>
        <v>12</v>
      </c>
      <c r="C19" s="111" t="str">
        <f>'Oth-1'!B18</f>
        <v>hydrocephalus</v>
      </c>
      <c r="D19" s="138" t="s">
        <v>1050</v>
      </c>
      <c r="H19" s="109" t="b">
        <f t="shared" si="0"/>
        <v>1</v>
      </c>
      <c r="I19" s="110" t="str">
        <f t="shared" si="1"/>
        <v>* differential.element[12].mapping[0].identity = "fhir"</v>
      </c>
      <c r="J19" s="110" t="str">
        <f t="shared" si="2"/>
        <v>* differential.element[12].mapping[0].map = "TBD"</v>
      </c>
      <c r="K19" s="110" t="str">
        <f t="shared" si="3"/>
        <v/>
      </c>
      <c r="N19" s="109" t="str">
        <f t="shared" si="4"/>
        <v>* hydrocephalus -&gt; "TBD"</v>
      </c>
    </row>
    <row r="20" spans="1:14" ht="29.5" x14ac:dyDescent="0.75">
      <c r="A20" s="111">
        <v>0</v>
      </c>
      <c r="B20" s="111">
        <f>'Oth-1'!A19</f>
        <v>13</v>
      </c>
      <c r="C20" s="111" t="str">
        <f>'Oth-1'!B19</f>
        <v>chronicViralHepatitis</v>
      </c>
      <c r="D20" s="138" t="s">
        <v>1050</v>
      </c>
      <c r="H20" s="109" t="b">
        <f t="shared" si="0"/>
        <v>1</v>
      </c>
      <c r="I20" s="110" t="str">
        <f t="shared" si="1"/>
        <v>* differential.element[13].mapping[0].identity = "fhir"</v>
      </c>
      <c r="J20" s="110" t="str">
        <f t="shared" si="2"/>
        <v>* differential.element[13].mapping[0].map = "TBD"</v>
      </c>
      <c r="K20" s="110" t="str">
        <f t="shared" si="3"/>
        <v/>
      </c>
      <c r="N20" s="109" t="str">
        <f t="shared" si="4"/>
        <v>* chronicViralHepatitis -&gt; "TBD"</v>
      </c>
    </row>
    <row r="21" spans="1:14" ht="29.5" x14ac:dyDescent="0.75">
      <c r="A21" s="111">
        <v>0</v>
      </c>
      <c r="B21" s="111">
        <f>'Oth-1'!A20</f>
        <v>14</v>
      </c>
      <c r="C21" s="111" t="str">
        <f>'Oth-1'!B20</f>
        <v>sinusoidalObstructionSyndrome</v>
      </c>
      <c r="D21" s="138" t="s">
        <v>1050</v>
      </c>
      <c r="H21" s="109" t="b">
        <f t="shared" si="0"/>
        <v>1</v>
      </c>
      <c r="I21" s="110" t="str">
        <f t="shared" si="1"/>
        <v>* differential.element[14].mapping[0].identity = "fhir"</v>
      </c>
      <c r="J21" s="110" t="str">
        <f t="shared" si="2"/>
        <v>* differential.element[14].mapping[0].map = "TBD"</v>
      </c>
      <c r="K21" s="110" t="str">
        <f t="shared" si="3"/>
        <v/>
      </c>
      <c r="N21" s="109" t="str">
        <f>CONCATENATE("* ",C21," -&gt; """,D23,"""")</f>
        <v>* sinusoidalObstructionSyndrome -&gt; "TBD"</v>
      </c>
    </row>
    <row r="22" spans="1:14" ht="29.5" x14ac:dyDescent="0.75">
      <c r="A22" s="111">
        <v>0</v>
      </c>
      <c r="B22" s="111">
        <f>'Oth-1'!A21</f>
        <v>15</v>
      </c>
      <c r="C22" s="111" t="str">
        <f>'Oth-1'!B21</f>
        <v>catheter</v>
      </c>
      <c r="D22" s="138" t="s">
        <v>1050</v>
      </c>
      <c r="H22" s="109" t="b">
        <f t="shared" si="0"/>
        <v>1</v>
      </c>
      <c r="I22" s="110" t="str">
        <f t="shared" si="1"/>
        <v>* differential.element[15].mapping[0].identity = "fhir"</v>
      </c>
      <c r="J22" s="110" t="str">
        <f t="shared" si="2"/>
        <v>* differential.element[15].mapping[0].map = "TBD"</v>
      </c>
      <c r="K22" s="110" t="str">
        <f t="shared" si="3"/>
        <v/>
      </c>
    </row>
    <row r="23" spans="1:14" ht="29.5" x14ac:dyDescent="0.75">
      <c r="A23" s="111">
        <v>0</v>
      </c>
      <c r="B23" s="111">
        <f>'Oth-1'!A22</f>
        <v>16</v>
      </c>
      <c r="C23" s="111" t="str">
        <f>'Oth-1'!B22</f>
        <v>catheter.isInPlace</v>
      </c>
      <c r="D23" s="138" t="s">
        <v>1050</v>
      </c>
      <c r="H23" s="109" t="b">
        <f t="shared" si="0"/>
        <v>1</v>
      </c>
      <c r="I23" s="110" t="str">
        <f t="shared" si="1"/>
        <v>* differential.element[16].mapping[0].identity = "fhir"</v>
      </c>
      <c r="J23" s="110" t="str">
        <f t="shared" si="2"/>
        <v>* differential.element[16].mapping[0].map = "TBD"</v>
      </c>
      <c r="K23" s="110" t="str">
        <f t="shared" si="3"/>
        <v/>
      </c>
      <c r="N23" s="109" t="e">
        <f>CONCATENATE("* ",C23," -&gt; """,#REF!,"""")</f>
        <v>#REF!</v>
      </c>
    </row>
    <row r="24" spans="1:14" ht="29.5" x14ac:dyDescent="0.75">
      <c r="A24" s="111">
        <v>0</v>
      </c>
      <c r="B24" s="111">
        <f>'Oth-1'!A23</f>
        <v>17</v>
      </c>
      <c r="C24" s="111" t="str">
        <f>'Oth-1'!B23</f>
        <v>catheter.site</v>
      </c>
      <c r="D24" s="138" t="s">
        <v>1050</v>
      </c>
      <c r="H24" s="109" t="b">
        <f t="shared" si="0"/>
        <v>1</v>
      </c>
      <c r="I24" s="110" t="str">
        <f t="shared" si="1"/>
        <v>* differential.element[17].mapping[0].identity = "fhir"</v>
      </c>
      <c r="J24" s="110" t="str">
        <f t="shared" si="2"/>
        <v>* differential.element[17].mapping[0].map = "TBD"</v>
      </c>
      <c r="K24" s="110" t="str">
        <f t="shared" si="3"/>
        <v/>
      </c>
      <c r="N24" s="109" t="str">
        <f t="shared" si="4"/>
        <v>* catheter.site -&gt; "TBD"</v>
      </c>
    </row>
    <row r="25" spans="1:14" ht="29.5" x14ac:dyDescent="0.75">
      <c r="A25" s="111">
        <v>0</v>
      </c>
      <c r="B25" s="111">
        <f>'Oth-1'!A24</f>
        <v>18</v>
      </c>
      <c r="C25" s="111" t="str">
        <f>'Oth-1'!B24</f>
        <v>catheter.relatedThrombosis</v>
      </c>
      <c r="D25" s="138" t="s">
        <v>1050</v>
      </c>
      <c r="H25" s="109" t="b">
        <f t="shared" si="0"/>
        <v>1</v>
      </c>
      <c r="I25" s="110" t="str">
        <f t="shared" si="1"/>
        <v>* differential.element[18].mapping[0].identity = "fhir"</v>
      </c>
      <c r="J25" s="110" t="str">
        <f t="shared" si="2"/>
        <v>* differential.element[18].mapping[0].map = "TBD"</v>
      </c>
      <c r="K25" s="110" t="str">
        <f t="shared" si="3"/>
        <v/>
      </c>
      <c r="N25" s="109" t="str">
        <f t="shared" si="4"/>
        <v>* catheter.relatedThrombosis -&gt; "TBD"</v>
      </c>
    </row>
    <row r="26" spans="1:14" ht="29.5" x14ac:dyDescent="0.75">
      <c r="A26" s="111">
        <v>0</v>
      </c>
      <c r="B26" s="111">
        <f>'Oth-1'!A25</f>
        <v>19</v>
      </c>
      <c r="C26" s="111" t="str">
        <f>'Oth-1'!B25</f>
        <v>catheter.relatedThrombosis.occurred</v>
      </c>
      <c r="D26" s="138" t="s">
        <v>1050</v>
      </c>
      <c r="H26" s="109" t="b">
        <f t="shared" si="0"/>
        <v>1</v>
      </c>
      <c r="I26" s="110" t="str">
        <f t="shared" si="1"/>
        <v>* differential.element[19].mapping[0].identity = "fhir"</v>
      </c>
      <c r="J26" s="110" t="str">
        <f t="shared" si="2"/>
        <v>* differential.element[19].mapping[0].map = "TBD"</v>
      </c>
      <c r="K26" s="110" t="str">
        <f t="shared" si="3"/>
        <v/>
      </c>
      <c r="N26" s="109" t="str">
        <f t="shared" si="4"/>
        <v>* catheter.relatedThrombosis.occurred -&gt; "TBD"</v>
      </c>
    </row>
    <row r="27" spans="1:14" ht="29.5" x14ac:dyDescent="0.75">
      <c r="A27" s="111">
        <v>0</v>
      </c>
      <c r="B27" s="111">
        <f>'Oth-1'!A26</f>
        <v>20</v>
      </c>
      <c r="C27" s="111" t="str">
        <f>'Oth-1'!B26</f>
        <v>catheter.relatedThrombosis.specification</v>
      </c>
      <c r="D27" s="138" t="s">
        <v>1050</v>
      </c>
      <c r="H27" s="109" t="b">
        <f t="shared" si="0"/>
        <v>1</v>
      </c>
      <c r="I27" s="110" t="str">
        <f t="shared" si="1"/>
        <v>* differential.element[20].mapping[0].identity = "fhir"</v>
      </c>
      <c r="J27" s="110" t="str">
        <f t="shared" si="2"/>
        <v>* differential.element[20].mapping[0].map = "TBD"</v>
      </c>
      <c r="K27" s="110" t="str">
        <f t="shared" si="3"/>
        <v/>
      </c>
      <c r="N27" s="109" t="str">
        <f t="shared" si="4"/>
        <v>* catheter.relatedThrombosis.specification -&gt; "TBD"</v>
      </c>
    </row>
    <row r="28" spans="1:14" ht="29.5" x14ac:dyDescent="0.75">
      <c r="A28" s="111">
        <v>0</v>
      </c>
      <c r="B28" s="111">
        <f>'Oth-1'!A27</f>
        <v>21</v>
      </c>
      <c r="C28" s="111" t="str">
        <f>'Oth-1'!B27</f>
        <v>transfusion</v>
      </c>
      <c r="D28" s="138" t="s">
        <v>1050</v>
      </c>
      <c r="H28" s="109" t="b">
        <f t="shared" si="0"/>
        <v>1</v>
      </c>
      <c r="I28" s="110" t="str">
        <f t="shared" si="1"/>
        <v>* differential.element[21].mapping[0].identity = "fhir"</v>
      </c>
      <c r="J28" s="110" t="str">
        <f t="shared" si="2"/>
        <v>* differential.element[21].mapping[0].map = "TBD"</v>
      </c>
      <c r="K28" s="110" t="str">
        <f t="shared" si="3"/>
        <v/>
      </c>
      <c r="N28" s="109" t="str">
        <f t="shared" si="4"/>
        <v>* transfusion -&gt; "TBD"</v>
      </c>
    </row>
    <row r="29" spans="1:14" ht="29.5" x14ac:dyDescent="0.75">
      <c r="A29" s="111">
        <v>0</v>
      </c>
      <c r="B29" s="111">
        <f>'Oth-1'!A28</f>
        <v>22</v>
      </c>
      <c r="C29" s="111" t="str">
        <f>'Oth-1'!B28</f>
        <v>transfusion.occured</v>
      </c>
      <c r="D29" s="138" t="s">
        <v>1050</v>
      </c>
      <c r="H29" s="109" t="b">
        <f t="shared" si="0"/>
        <v>1</v>
      </c>
      <c r="I29" s="110" t="str">
        <f t="shared" si="1"/>
        <v>* differential.element[22].mapping[0].identity = "fhir"</v>
      </c>
      <c r="J29" s="110" t="str">
        <f t="shared" si="2"/>
        <v>* differential.element[22].mapping[0].map = "TBD"</v>
      </c>
      <c r="K29" s="110" t="str">
        <f t="shared" si="3"/>
        <v/>
      </c>
      <c r="N29" s="109" t="str">
        <f t="shared" si="4"/>
        <v>* transfusion.occured -&gt; "TBD"</v>
      </c>
    </row>
    <row r="30" spans="1:14" ht="29.5" x14ac:dyDescent="0.75">
      <c r="A30" s="111">
        <v>0</v>
      </c>
      <c r="B30" s="111">
        <f>'Oth-1'!A29</f>
        <v>23</v>
      </c>
      <c r="C30" s="111" t="str">
        <f>'Oth-1'!B29</f>
        <v>transfusion.last</v>
      </c>
      <c r="D30" s="138" t="s">
        <v>1050</v>
      </c>
      <c r="H30" s="109" t="b">
        <f t="shared" si="0"/>
        <v>1</v>
      </c>
      <c r="I30" s="110" t="str">
        <f t="shared" si="1"/>
        <v>* differential.element[23].mapping[0].identity = "fhir"</v>
      </c>
      <c r="J30" s="110" t="str">
        <f t="shared" si="2"/>
        <v>* differential.element[23].mapping[0].map = "TBD"</v>
      </c>
      <c r="K30" s="110" t="str">
        <f t="shared" si="3"/>
        <v/>
      </c>
      <c r="N30" s="109" t="str">
        <f>CONCATENATE("* ",C30," -&gt; """,D31,"""")</f>
        <v>* transfusion.last -&gt; "TBD"</v>
      </c>
    </row>
    <row r="31" spans="1:14" ht="29.5" x14ac:dyDescent="0.75">
      <c r="A31" s="111">
        <v>0</v>
      </c>
      <c r="B31" s="111">
        <f>'Oth-1'!A30</f>
        <v>24</v>
      </c>
      <c r="C31" s="111" t="str">
        <f>'Oth-1'!B30</f>
        <v>transfusion.moreThan10</v>
      </c>
      <c r="D31" s="138" t="s">
        <v>1050</v>
      </c>
      <c r="H31" s="109" t="b">
        <f t="shared" si="0"/>
        <v>1</v>
      </c>
      <c r="I31" s="110" t="str">
        <f t="shared" si="1"/>
        <v>* differential.element[24].mapping[0].identity = "fhir"</v>
      </c>
      <c r="J31" s="110" t="str">
        <f t="shared" si="2"/>
        <v>* differential.element[24].mapping[0].map = "TBD"</v>
      </c>
      <c r="K31" s="110" t="str">
        <f t="shared" si="3"/>
        <v/>
      </c>
      <c r="N31" s="109" t="e">
        <f>CONCATENATE("* ",C31," -&gt; """,#REF!,"""")</f>
        <v>#REF!</v>
      </c>
    </row>
    <row r="32" spans="1:14" ht="29.5" x14ac:dyDescent="0.75">
      <c r="A32" s="111">
        <v>0</v>
      </c>
      <c r="B32" s="111">
        <f>'Oth-1'!A31</f>
        <v>25</v>
      </c>
      <c r="C32" s="111" t="str">
        <f>'Oth-1'!B31</f>
        <v>fertilityPreservation</v>
      </c>
      <c r="D32" s="138" t="s">
        <v>1050</v>
      </c>
      <c r="H32" s="109" t="b">
        <f t="shared" si="0"/>
        <v>1</v>
      </c>
      <c r="I32" s="110" t="str">
        <f t="shared" si="1"/>
        <v>* differential.element[25].mapping[0].identity = "fhir"</v>
      </c>
      <c r="J32" s="110" t="str">
        <f t="shared" si="2"/>
        <v>* differential.element[25].mapping[0].map = "TBD"</v>
      </c>
      <c r="K32" s="110" t="str">
        <f t="shared" si="3"/>
        <v/>
      </c>
      <c r="N32" s="109" t="str">
        <f t="shared" si="4"/>
        <v>* fertilityPreservation -&gt; "TBD"</v>
      </c>
    </row>
    <row r="33" spans="1:14" ht="29.5" x14ac:dyDescent="0.75">
      <c r="A33" s="111">
        <v>0</v>
      </c>
      <c r="B33" s="111">
        <f>'Oth-1'!A32</f>
        <v>26</v>
      </c>
      <c r="C33" s="111" t="str">
        <f>'Oth-1'!B32</f>
        <v>fertilityPreservation.occurred</v>
      </c>
      <c r="D33" s="138" t="s">
        <v>1050</v>
      </c>
      <c r="H33" s="109" t="b">
        <f t="shared" si="0"/>
        <v>1</v>
      </c>
      <c r="I33" s="110" t="str">
        <f t="shared" si="1"/>
        <v>* differential.element[26].mapping[0].identity = "fhir"</v>
      </c>
      <c r="J33" s="110" t="str">
        <f t="shared" si="2"/>
        <v>* differential.element[26].mapping[0].map = "TBD"</v>
      </c>
      <c r="K33" s="110" t="str">
        <f t="shared" si="3"/>
        <v/>
      </c>
      <c r="N33" s="109" t="str">
        <f t="shared" si="4"/>
        <v>* fertilityPreservation.occurred -&gt; "TBD"</v>
      </c>
    </row>
    <row r="34" spans="1:14" ht="29.5" x14ac:dyDescent="0.75">
      <c r="A34" s="111">
        <v>0</v>
      </c>
      <c r="B34" s="111">
        <f>'Oth-1'!A33</f>
        <v>27</v>
      </c>
      <c r="C34" s="111" t="str">
        <f>'Oth-1'!B33</f>
        <v>fertilityPreservation.storage</v>
      </c>
      <c r="D34" s="138" t="s">
        <v>1050</v>
      </c>
      <c r="H34" s="109" t="b">
        <f t="shared" si="0"/>
        <v>1</v>
      </c>
      <c r="I34" s="110" t="str">
        <f t="shared" si="1"/>
        <v>* differential.element[27].mapping[0].identity = "fhir"</v>
      </c>
      <c r="J34" s="110" t="str">
        <f t="shared" si="2"/>
        <v>* differential.element[27].mapping[0].map = "TBD"</v>
      </c>
      <c r="K34" s="110" t="str">
        <f t="shared" si="3"/>
        <v/>
      </c>
      <c r="N34" s="109" t="str">
        <f t="shared" si="4"/>
        <v>* fertilityPreservation.storage -&gt; "TBD"</v>
      </c>
    </row>
    <row r="35" spans="1:14" ht="29.5" x14ac:dyDescent="0.75">
      <c r="A35" s="111">
        <v>0</v>
      </c>
      <c r="B35" s="111">
        <f>'Oth-1'!A34</f>
        <v>28</v>
      </c>
      <c r="C35" s="111" t="str">
        <f>'Oth-1'!B34</f>
        <v>otherTreatment</v>
      </c>
      <c r="D35" s="138" t="s">
        <v>1050</v>
      </c>
      <c r="H35" s="109" t="b">
        <f t="shared" si="0"/>
        <v>1</v>
      </c>
      <c r="I35" s="110" t="str">
        <f t="shared" si="1"/>
        <v>* differential.element[28].mapping[0].identity = "fhir"</v>
      </c>
      <c r="J35" s="110" t="str">
        <f t="shared" si="2"/>
        <v>* differential.element[28].mapping[0].map = "TBD"</v>
      </c>
      <c r="K35" s="110" t="str">
        <f t="shared" si="3"/>
        <v/>
      </c>
      <c r="N35" s="109" t="str">
        <f t="shared" si="4"/>
        <v>* otherTreatment -&gt; "TBD"</v>
      </c>
    </row>
    <row r="36" spans="1:14" ht="29.5" x14ac:dyDescent="0.75">
      <c r="A36" s="111">
        <v>0</v>
      </c>
      <c r="B36" s="111">
        <f>'Oth-1'!A35</f>
        <v>29</v>
      </c>
      <c r="C36" s="111" t="str">
        <f>'Oth-1'!B35</f>
        <v>dischargeLetter</v>
      </c>
      <c r="D36" s="138" t="s">
        <v>1050</v>
      </c>
      <c r="H36" s="109" t="b">
        <f t="shared" si="0"/>
        <v>1</v>
      </c>
      <c r="I36" s="110" t="str">
        <f t="shared" si="1"/>
        <v>* differential.element[29].mapping[0].identity = "fhir"</v>
      </c>
      <c r="J36" s="110" t="str">
        <f t="shared" si="2"/>
        <v>* differential.element[29].mapping[0].map = "TBD"</v>
      </c>
      <c r="K36" s="110" t="str">
        <f t="shared" si="3"/>
        <v/>
      </c>
      <c r="N36" s="109" t="str">
        <f t="shared" si="4"/>
        <v>* dischargeLetter -&gt; "TBD"</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'Oth-1'!#REF!</f>
        <v>#REF!</v>
      </c>
      <c r="H48" s="109" t="b">
        <f t="shared" si="0"/>
        <v>0</v>
      </c>
      <c r="I48" s="110" t="str">
        <f t="shared" si="1"/>
        <v/>
      </c>
      <c r="J48" s="110" t="str">
        <f t="shared" si="2"/>
        <v/>
      </c>
      <c r="K48" s="110" t="str">
        <f t="shared" si="3"/>
        <v/>
      </c>
    </row>
    <row r="49" spans="2:11" x14ac:dyDescent="0.75">
      <c r="B49" s="109" t="e">
        <f>'Oth-1'!#REF!</f>
        <v>#REF!</v>
      </c>
      <c r="H49" s="109" t="b">
        <f t="shared" si="0"/>
        <v>0</v>
      </c>
      <c r="I49" s="110" t="str">
        <f t="shared" si="1"/>
        <v/>
      </c>
      <c r="J49" s="110" t="str">
        <f t="shared" si="2"/>
        <v/>
      </c>
      <c r="K49" s="110" t="str">
        <f t="shared" si="3"/>
        <v/>
      </c>
    </row>
    <row r="50" spans="2:11" x14ac:dyDescent="0.75">
      <c r="B50" s="109" t="e">
        <f>'Oth-1'!#REF!</f>
        <v>#REF!</v>
      </c>
      <c r="H50" s="109" t="b">
        <f t="shared" si="0"/>
        <v>0</v>
      </c>
      <c r="I50" s="110" t="str">
        <f t="shared" si="1"/>
        <v/>
      </c>
      <c r="J50" s="110" t="str">
        <f t="shared" si="2"/>
        <v/>
      </c>
      <c r="K50" s="110" t="str">
        <f t="shared" si="3"/>
        <v/>
      </c>
    </row>
    <row r="51" spans="2:11" x14ac:dyDescent="0.75">
      <c r="B51" s="109" t="e">
        <f>'Oth-1'!#REF!</f>
        <v>#REF!</v>
      </c>
      <c r="H51" s="109" t="b">
        <f t="shared" si="0"/>
        <v>0</v>
      </c>
      <c r="I51" s="110" t="str">
        <f t="shared" si="1"/>
        <v/>
      </c>
      <c r="J51" s="110" t="str">
        <f t="shared" si="2"/>
        <v/>
      </c>
      <c r="K51" s="110" t="str">
        <f t="shared" si="3"/>
        <v/>
      </c>
    </row>
    <row r="52" spans="2:11" x14ac:dyDescent="0.75">
      <c r="B52" s="109" t="e">
        <f>'Oth-1'!#REF!</f>
        <v>#REF!</v>
      </c>
      <c r="H52" s="109" t="b">
        <f t="shared" si="0"/>
        <v>0</v>
      </c>
      <c r="I52" s="110" t="str">
        <f t="shared" si="1"/>
        <v/>
      </c>
      <c r="J52" s="110" t="str">
        <f t="shared" si="2"/>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INDEX('Oth-Map-1'!$I$7:$K$102,1+B3,C3)</f>
        <v>* differential.element[0].mapping[0].identity = "fhir"</v>
      </c>
      <c r="E3" s="109" t="str">
        <f>INDEX('Oth-Map-1'!$I$8:$K$17,1,1)</f>
        <v>* differential.element[1].mapping[0].identity = "fhir"</v>
      </c>
    </row>
    <row r="4" spans="1:5" x14ac:dyDescent="0.75">
      <c r="A4" s="111">
        <v>2</v>
      </c>
      <c r="B4" s="111">
        <f t="shared" ref="B4:B67" si="0">IF(MOD(A4,3)=0,A4/3-1,INT(A4/3))</f>
        <v>0</v>
      </c>
      <c r="C4" s="111">
        <f t="shared" ref="C4:C67" si="1">IF(MOD(A4,3)=0,3,MOD(A4,3))</f>
        <v>2</v>
      </c>
      <c r="D4" s="109" t="str" cm="1">
        <f t="array" ref="D4">INDEX('Oth-Map-1'!$I$7:$K$102,1+B4,C4)</f>
        <v>* differential.element[0].mapping[0].map = "TBD"</v>
      </c>
    </row>
    <row r="5" spans="1:5" x14ac:dyDescent="0.75">
      <c r="A5" s="111">
        <v>3</v>
      </c>
      <c r="B5" s="111">
        <f t="shared" si="0"/>
        <v>0</v>
      </c>
      <c r="C5" s="111">
        <f t="shared" si="1"/>
        <v>3</v>
      </c>
      <c r="D5" s="109" t="str" cm="1">
        <f t="array" ref="D5">INDEX('Oth-Map-1'!$I$7:$K$102,1+B5,C5)</f>
        <v/>
      </c>
    </row>
    <row r="6" spans="1:5" x14ac:dyDescent="0.75">
      <c r="A6" s="111">
        <v>4</v>
      </c>
      <c r="B6" s="111">
        <f t="shared" si="0"/>
        <v>1</v>
      </c>
      <c r="C6" s="111">
        <f t="shared" si="1"/>
        <v>1</v>
      </c>
      <c r="D6" s="109" t="str" cm="1">
        <f t="array" ref="D6">INDEX('Oth-Map-1'!$I$7:$K$102,1+B6,C6)</f>
        <v>* differential.element[1].mapping[0].identity = "fhir"</v>
      </c>
    </row>
    <row r="7" spans="1:5" x14ac:dyDescent="0.75">
      <c r="A7" s="111">
        <v>5</v>
      </c>
      <c r="B7" s="111">
        <f t="shared" si="0"/>
        <v>1</v>
      </c>
      <c r="C7" s="111">
        <f t="shared" si="1"/>
        <v>2</v>
      </c>
      <c r="D7" s="109" t="str" cm="1">
        <f t="array" ref="D7">INDEX('Oth-Map-1'!$I$7:$K$102,1+B7,C7)</f>
        <v>* differential.element[1].mapping[0].map = "TBD"</v>
      </c>
    </row>
    <row r="8" spans="1:5" x14ac:dyDescent="0.75">
      <c r="A8" s="111">
        <v>6</v>
      </c>
      <c r="B8" s="111">
        <f t="shared" si="0"/>
        <v>1</v>
      </c>
      <c r="C8" s="111">
        <f t="shared" si="1"/>
        <v>3</v>
      </c>
      <c r="D8" s="109" t="str" cm="1">
        <f t="array" ref="D8">INDEX('Oth-Map-1'!$I$7:$K$102,1+B8,C8)</f>
        <v/>
      </c>
    </row>
    <row r="9" spans="1:5" x14ac:dyDescent="0.75">
      <c r="A9" s="111">
        <v>7</v>
      </c>
      <c r="B9" s="111">
        <f t="shared" si="0"/>
        <v>2</v>
      </c>
      <c r="C9" s="111">
        <f t="shared" si="1"/>
        <v>1</v>
      </c>
      <c r="D9" s="109" t="str" cm="1">
        <f t="array" ref="D9">INDEX('Oth-Map-1'!$I$7:$K$102,1+B9,C9)</f>
        <v>* differential.element[2].mapping[0].identity = "fhir"</v>
      </c>
    </row>
    <row r="10" spans="1:5" x14ac:dyDescent="0.75">
      <c r="A10" s="111">
        <v>8</v>
      </c>
      <c r="B10" s="111">
        <f t="shared" si="0"/>
        <v>2</v>
      </c>
      <c r="C10" s="111">
        <f t="shared" si="1"/>
        <v>2</v>
      </c>
      <c r="D10" s="109" t="str" cm="1">
        <f t="array" ref="D10">INDEX('Oth-Map-1'!$I$7:$K$102,1+B10,C10)</f>
        <v>* differential.element[2].mapping[0].map = "TBD"</v>
      </c>
    </row>
    <row r="11" spans="1:5" x14ac:dyDescent="0.75">
      <c r="A11" s="111">
        <v>9</v>
      </c>
      <c r="B11" s="111">
        <f t="shared" si="0"/>
        <v>2</v>
      </c>
      <c r="C11" s="111">
        <f t="shared" si="1"/>
        <v>3</v>
      </c>
      <c r="D11" s="109" t="str" cm="1">
        <f t="array" ref="D11">INDEX('Oth-Map-1'!$I$7:$K$102,1+B11,C11)</f>
        <v/>
      </c>
    </row>
    <row r="12" spans="1:5" x14ac:dyDescent="0.75">
      <c r="A12" s="111">
        <v>10</v>
      </c>
      <c r="B12" s="111">
        <f t="shared" si="0"/>
        <v>3</v>
      </c>
      <c r="C12" s="111">
        <f t="shared" si="1"/>
        <v>1</v>
      </c>
      <c r="D12" s="109" t="str" cm="1">
        <f t="array" ref="D12">INDEX('Oth-Map-1'!$I$7:$K$102,1+B12,C12)</f>
        <v>* differential.element[3].mapping[0].identity = "fhir"</v>
      </c>
    </row>
    <row r="13" spans="1:5" x14ac:dyDescent="0.75">
      <c r="A13" s="111">
        <v>11</v>
      </c>
      <c r="B13" s="111">
        <f t="shared" si="0"/>
        <v>3</v>
      </c>
      <c r="C13" s="111">
        <f t="shared" si="1"/>
        <v>2</v>
      </c>
      <c r="D13" s="109" t="str" cm="1">
        <f t="array" ref="D13">INDEX('Oth-Map-1'!$I$7:$K$102,1+B13,C13)</f>
        <v>* differential.element[3].mapping[0].map = "TBD"</v>
      </c>
    </row>
    <row r="14" spans="1:5" x14ac:dyDescent="0.75">
      <c r="A14" s="111">
        <v>12</v>
      </c>
      <c r="B14" s="111">
        <f t="shared" si="0"/>
        <v>3</v>
      </c>
      <c r="C14" s="111">
        <f t="shared" si="1"/>
        <v>3</v>
      </c>
      <c r="D14" s="109" t="str" cm="1">
        <f t="array" ref="D14">INDEX('Oth-Map-1'!$I$7:$K$102,1+B14,C14)</f>
        <v/>
      </c>
    </row>
    <row r="15" spans="1:5" x14ac:dyDescent="0.75">
      <c r="A15" s="111">
        <v>13</v>
      </c>
      <c r="B15" s="111">
        <f t="shared" si="0"/>
        <v>4</v>
      </c>
      <c r="C15" s="111">
        <f t="shared" si="1"/>
        <v>1</v>
      </c>
      <c r="D15" s="109" t="str" cm="1">
        <f t="array" ref="D15">INDEX('Oth-Map-1'!$I$7:$K$102,1+B15,C15)</f>
        <v>* differential.element[4].mapping[0].identity = "fhir"</v>
      </c>
    </row>
    <row r="16" spans="1:5" x14ac:dyDescent="0.75">
      <c r="A16" s="111">
        <v>14</v>
      </c>
      <c r="B16" s="111">
        <f t="shared" si="0"/>
        <v>4</v>
      </c>
      <c r="C16" s="111">
        <f t="shared" si="1"/>
        <v>2</v>
      </c>
      <c r="D16" s="109" t="str" cm="1">
        <f t="array" ref="D16">INDEX('Oth-Map-1'!$I$7:$K$102,1+B16,C16)</f>
        <v>* differential.element[4].mapping[0].map = "TBD"</v>
      </c>
    </row>
    <row r="17" spans="1:4" x14ac:dyDescent="0.75">
      <c r="A17" s="111">
        <v>15</v>
      </c>
      <c r="B17" s="111">
        <f t="shared" si="0"/>
        <v>4</v>
      </c>
      <c r="C17" s="111">
        <f t="shared" si="1"/>
        <v>3</v>
      </c>
      <c r="D17" s="109" t="str" cm="1">
        <f t="array" ref="D17">INDEX('Oth-Map-1'!$I$7:$K$102,1+B17,C17)</f>
        <v/>
      </c>
    </row>
    <row r="18" spans="1:4" x14ac:dyDescent="0.75">
      <c r="A18" s="111">
        <v>16</v>
      </c>
      <c r="B18" s="111">
        <f t="shared" si="0"/>
        <v>5</v>
      </c>
      <c r="C18" s="111">
        <f t="shared" si="1"/>
        <v>1</v>
      </c>
      <c r="D18" s="109" t="str" cm="1">
        <f t="array" ref="D18">INDEX('Oth-Map-1'!$I$7:$K$102,1+B18,C18)</f>
        <v>* differential.element[5].mapping[0].identity = "fhir"</v>
      </c>
    </row>
    <row r="19" spans="1:4" x14ac:dyDescent="0.75">
      <c r="A19" s="111">
        <v>17</v>
      </c>
      <c r="B19" s="111">
        <f t="shared" si="0"/>
        <v>5</v>
      </c>
      <c r="C19" s="111">
        <f t="shared" si="1"/>
        <v>2</v>
      </c>
      <c r="D19" s="109" t="str" cm="1">
        <f t="array" ref="D19">INDEX('Oth-Map-1'!$I$7:$K$102,1+B19,C19)</f>
        <v>* differential.element[5].mapping[0].map = "TBD"</v>
      </c>
    </row>
    <row r="20" spans="1:4" x14ac:dyDescent="0.75">
      <c r="A20" s="111">
        <v>18</v>
      </c>
      <c r="B20" s="111">
        <f t="shared" si="0"/>
        <v>5</v>
      </c>
      <c r="C20" s="111">
        <f t="shared" si="1"/>
        <v>3</v>
      </c>
      <c r="D20" s="109" t="str" cm="1">
        <f t="array" ref="D20">INDEX('Oth-Map-1'!$I$7:$K$102,1+B20,C20)</f>
        <v/>
      </c>
    </row>
    <row r="21" spans="1:4" x14ac:dyDescent="0.75">
      <c r="A21" s="111">
        <v>19</v>
      </c>
      <c r="B21" s="111">
        <f t="shared" si="0"/>
        <v>6</v>
      </c>
      <c r="C21" s="111">
        <f t="shared" si="1"/>
        <v>1</v>
      </c>
      <c r="D21" s="109" t="str" cm="1">
        <f t="array" ref="D21">INDEX('Oth-Map-1'!$I$7:$K$102,1+B21,C21)</f>
        <v>* differential.element[6].mapping[0].identity = "fhir"</v>
      </c>
    </row>
    <row r="22" spans="1:4" x14ac:dyDescent="0.75">
      <c r="A22" s="111">
        <v>20</v>
      </c>
      <c r="B22" s="111">
        <f t="shared" si="0"/>
        <v>6</v>
      </c>
      <c r="C22" s="111">
        <f t="shared" si="1"/>
        <v>2</v>
      </c>
      <c r="D22" s="109" t="str" cm="1">
        <f t="array" ref="D22">INDEX('Oth-Map-1'!$I$7:$K$102,1+B22,C22)</f>
        <v>* differential.element[6].mapping[0].map = "TBD"</v>
      </c>
    </row>
    <row r="23" spans="1:4" x14ac:dyDescent="0.75">
      <c r="A23" s="111">
        <v>21</v>
      </c>
      <c r="B23" s="111">
        <f t="shared" si="0"/>
        <v>6</v>
      </c>
      <c r="C23" s="111">
        <f t="shared" si="1"/>
        <v>3</v>
      </c>
      <c r="D23" s="109" t="str" cm="1">
        <f t="array" ref="D23">INDEX('Oth-Map-1'!$I$7:$K$102,1+B23,C23)</f>
        <v/>
      </c>
    </row>
    <row r="24" spans="1:4" x14ac:dyDescent="0.75">
      <c r="A24" s="111">
        <v>22</v>
      </c>
      <c r="B24" s="111">
        <f t="shared" si="0"/>
        <v>7</v>
      </c>
      <c r="C24" s="111">
        <f t="shared" si="1"/>
        <v>1</v>
      </c>
      <c r="D24" s="109" t="str" cm="1">
        <f t="array" ref="D24">INDEX('Oth-Map-1'!$I$7:$K$102,1+B24,C24)</f>
        <v>* differential.element[7].mapping[0].identity = "fhir"</v>
      </c>
    </row>
    <row r="25" spans="1:4" x14ac:dyDescent="0.75">
      <c r="A25" s="111">
        <v>23</v>
      </c>
      <c r="B25" s="111">
        <f t="shared" si="0"/>
        <v>7</v>
      </c>
      <c r="C25" s="111">
        <f t="shared" si="1"/>
        <v>2</v>
      </c>
      <c r="D25" s="109" t="str" cm="1">
        <f t="array" ref="D25">INDEX('Oth-Map-1'!$I$7:$K$102,1+B25,C25)</f>
        <v>* differential.element[7].mapping[0].map = "TBD"</v>
      </c>
    </row>
    <row r="26" spans="1:4" x14ac:dyDescent="0.75">
      <c r="A26" s="111">
        <v>24</v>
      </c>
      <c r="B26" s="111">
        <f t="shared" si="0"/>
        <v>7</v>
      </c>
      <c r="C26" s="111">
        <f t="shared" si="1"/>
        <v>3</v>
      </c>
      <c r="D26" s="109" t="str" cm="1">
        <f t="array" ref="D26">INDEX('Oth-Map-1'!$I$7:$K$102,1+B26,C26)</f>
        <v/>
      </c>
    </row>
    <row r="27" spans="1:4" x14ac:dyDescent="0.75">
      <c r="A27" s="111">
        <v>25</v>
      </c>
      <c r="B27" s="111">
        <f t="shared" si="0"/>
        <v>8</v>
      </c>
      <c r="C27" s="111">
        <f t="shared" si="1"/>
        <v>1</v>
      </c>
      <c r="D27" s="109" t="str" cm="1">
        <f t="array" ref="D27">INDEX('Oth-Map-1'!$I$7:$K$102,1+B27,C27)</f>
        <v>* differential.element[8].mapping[0].identity = "fhir"</v>
      </c>
    </row>
    <row r="28" spans="1:4" x14ac:dyDescent="0.75">
      <c r="A28" s="111">
        <v>26</v>
      </c>
      <c r="B28" s="111">
        <f t="shared" si="0"/>
        <v>8</v>
      </c>
      <c r="C28" s="111">
        <f t="shared" si="1"/>
        <v>2</v>
      </c>
      <c r="D28" s="109" t="str" cm="1">
        <f t="array" ref="D28">INDEX('Oth-Map-1'!$I$7:$K$102,1+B28,C28)</f>
        <v>* differential.element[8].mapping[0].map = "TBD"</v>
      </c>
    </row>
    <row r="29" spans="1:4" x14ac:dyDescent="0.75">
      <c r="A29" s="111">
        <v>27</v>
      </c>
      <c r="B29" s="111">
        <f t="shared" si="0"/>
        <v>8</v>
      </c>
      <c r="C29" s="111">
        <f t="shared" si="1"/>
        <v>3</v>
      </c>
      <c r="D29" s="109" t="str" cm="1">
        <f t="array" ref="D29">INDEX('Oth-Map-1'!$I$7:$K$102,1+B29,C29)</f>
        <v/>
      </c>
    </row>
    <row r="30" spans="1:4" x14ac:dyDescent="0.75">
      <c r="A30" s="111">
        <v>28</v>
      </c>
      <c r="B30" s="111">
        <f t="shared" si="0"/>
        <v>9</v>
      </c>
      <c r="C30" s="111">
        <f t="shared" si="1"/>
        <v>1</v>
      </c>
      <c r="D30" s="109" t="str" cm="1">
        <f t="array" ref="D30">INDEX('Oth-Map-1'!$I$7:$K$102,1+B30,C30)</f>
        <v>* differential.element[9].mapping[0].identity = "fhir"</v>
      </c>
    </row>
    <row r="31" spans="1:4" x14ac:dyDescent="0.75">
      <c r="A31" s="111">
        <v>29</v>
      </c>
      <c r="B31" s="111">
        <f t="shared" si="0"/>
        <v>9</v>
      </c>
      <c r="C31" s="111">
        <f t="shared" si="1"/>
        <v>2</v>
      </c>
      <c r="D31" s="109" t="str" cm="1">
        <f t="array" ref="D31">INDEX('Oth-Map-1'!$I$7:$K$102,1+B31,C31)</f>
        <v>* differential.element[9].mapping[0].map = "TBD"</v>
      </c>
    </row>
    <row r="32" spans="1:4" x14ac:dyDescent="0.75">
      <c r="A32" s="111">
        <v>30</v>
      </c>
      <c r="B32" s="111">
        <f t="shared" si="0"/>
        <v>9</v>
      </c>
      <c r="C32" s="111">
        <f t="shared" si="1"/>
        <v>3</v>
      </c>
      <c r="D32" s="109" t="str" cm="1">
        <f t="array" ref="D32">INDEX('Oth-Map-1'!$I$7:$K$102,1+B32,C32)</f>
        <v/>
      </c>
    </row>
    <row r="33" spans="1:4" x14ac:dyDescent="0.75">
      <c r="A33" s="111">
        <v>31</v>
      </c>
      <c r="B33" s="111">
        <f t="shared" si="0"/>
        <v>10</v>
      </c>
      <c r="C33" s="111">
        <f t="shared" si="1"/>
        <v>1</v>
      </c>
      <c r="D33" s="109" t="str" cm="1">
        <f t="array" ref="D33">INDEX('Oth-Map-1'!$I$7:$K$102,1+B33,C33)</f>
        <v>* differential.element[10].mapping[0].identity = "fhir"</v>
      </c>
    </row>
    <row r="34" spans="1:4" x14ac:dyDescent="0.75">
      <c r="A34" s="111">
        <v>32</v>
      </c>
      <c r="B34" s="111">
        <f t="shared" si="0"/>
        <v>10</v>
      </c>
      <c r="C34" s="111">
        <f t="shared" si="1"/>
        <v>2</v>
      </c>
      <c r="D34" s="109" t="str" cm="1">
        <f t="array" ref="D34">INDEX('Oth-Map-1'!$I$7:$K$102,1+B34,C34)</f>
        <v>* differential.element[10].mapping[0].map = "TBD"</v>
      </c>
    </row>
    <row r="35" spans="1:4" x14ac:dyDescent="0.75">
      <c r="A35" s="111">
        <v>33</v>
      </c>
      <c r="B35" s="111">
        <f t="shared" si="0"/>
        <v>10</v>
      </c>
      <c r="C35" s="111">
        <f t="shared" si="1"/>
        <v>3</v>
      </c>
      <c r="D35" s="109" t="str" cm="1">
        <f t="array" ref="D35">INDEX('Oth-Map-1'!$I$7:$K$102,1+B35,C35)</f>
        <v/>
      </c>
    </row>
    <row r="36" spans="1:4" x14ac:dyDescent="0.75">
      <c r="A36" s="111">
        <v>34</v>
      </c>
      <c r="B36" s="111">
        <f t="shared" si="0"/>
        <v>11</v>
      </c>
      <c r="C36" s="111">
        <f t="shared" si="1"/>
        <v>1</v>
      </c>
      <c r="D36" s="109" t="str" cm="1">
        <f t="array" ref="D36">INDEX('Oth-Map-1'!$I$7:$K$102,1+B36,C36)</f>
        <v>* differential.element[11].mapping[0].identity = "fhir"</v>
      </c>
    </row>
    <row r="37" spans="1:4" x14ac:dyDescent="0.75">
      <c r="A37" s="111">
        <v>35</v>
      </c>
      <c r="B37" s="111">
        <f t="shared" si="0"/>
        <v>11</v>
      </c>
      <c r="C37" s="111">
        <f t="shared" si="1"/>
        <v>2</v>
      </c>
      <c r="D37" s="109" t="str" cm="1">
        <f t="array" ref="D37">INDEX('Oth-Map-1'!$I$7:$K$102,1+B37,C37)</f>
        <v>* differential.element[11].mapping[0].map = "TBD"</v>
      </c>
    </row>
    <row r="38" spans="1:4" x14ac:dyDescent="0.75">
      <c r="A38" s="111">
        <v>36</v>
      </c>
      <c r="B38" s="111">
        <f t="shared" si="0"/>
        <v>11</v>
      </c>
      <c r="C38" s="111">
        <f t="shared" si="1"/>
        <v>3</v>
      </c>
      <c r="D38" s="109" t="str" cm="1">
        <f t="array" ref="D38">INDEX('Oth-Map-1'!$I$7:$K$102,1+B38,C38)</f>
        <v/>
      </c>
    </row>
    <row r="39" spans="1:4" x14ac:dyDescent="0.75">
      <c r="A39" s="111">
        <v>37</v>
      </c>
      <c r="B39" s="111">
        <f t="shared" si="0"/>
        <v>12</v>
      </c>
      <c r="C39" s="111">
        <f t="shared" si="1"/>
        <v>1</v>
      </c>
      <c r="D39" s="109" t="str" cm="1">
        <f t="array" ref="D39">INDEX('Oth-Map-1'!$I$7:$K$102,1+B39,C39)</f>
        <v>* differential.element[12].mapping[0].identity = "fhir"</v>
      </c>
    </row>
    <row r="40" spans="1:4" x14ac:dyDescent="0.75">
      <c r="A40" s="111">
        <v>38</v>
      </c>
      <c r="B40" s="111">
        <f t="shared" si="0"/>
        <v>12</v>
      </c>
      <c r="C40" s="111">
        <f t="shared" si="1"/>
        <v>2</v>
      </c>
      <c r="D40" s="109" t="str" cm="1">
        <f t="array" ref="D40">INDEX('Oth-Map-1'!$I$7:$K$102,1+B40,C40)</f>
        <v>* differential.element[12].mapping[0].map = "TBD"</v>
      </c>
    </row>
    <row r="41" spans="1:4" x14ac:dyDescent="0.75">
      <c r="A41" s="111">
        <v>39</v>
      </c>
      <c r="B41" s="111">
        <f t="shared" si="0"/>
        <v>12</v>
      </c>
      <c r="C41" s="111">
        <f t="shared" si="1"/>
        <v>3</v>
      </c>
      <c r="D41" s="109" t="str" cm="1">
        <f t="array" ref="D41">INDEX('Oth-Map-1'!$I$7:$K$102,1+B41,C41)</f>
        <v/>
      </c>
    </row>
    <row r="42" spans="1:4" x14ac:dyDescent="0.75">
      <c r="A42" s="111">
        <v>40</v>
      </c>
      <c r="B42" s="111">
        <f t="shared" si="0"/>
        <v>13</v>
      </c>
      <c r="C42" s="111">
        <f t="shared" si="1"/>
        <v>1</v>
      </c>
      <c r="D42" s="109" t="str" cm="1">
        <f t="array" ref="D42">INDEX('Oth-Map-1'!$I$7:$K$102,1+B42,C42)</f>
        <v>* differential.element[13].mapping[0].identity = "fhir"</v>
      </c>
    </row>
    <row r="43" spans="1:4" x14ac:dyDescent="0.75">
      <c r="A43" s="111">
        <v>41</v>
      </c>
      <c r="B43" s="111">
        <f t="shared" si="0"/>
        <v>13</v>
      </c>
      <c r="C43" s="111">
        <f t="shared" si="1"/>
        <v>2</v>
      </c>
      <c r="D43" s="109" t="str" cm="1">
        <f t="array" ref="D43">INDEX('Oth-Map-1'!$I$7:$K$102,1+B43,C43)</f>
        <v>* differential.element[13].mapping[0].map = "TBD"</v>
      </c>
    </row>
    <row r="44" spans="1:4" x14ac:dyDescent="0.75">
      <c r="A44" s="111">
        <v>42</v>
      </c>
      <c r="B44" s="111">
        <f t="shared" si="0"/>
        <v>13</v>
      </c>
      <c r="C44" s="111">
        <f t="shared" si="1"/>
        <v>3</v>
      </c>
      <c r="D44" s="109" t="str" cm="1">
        <f t="array" ref="D44">INDEX('Oth-Map-1'!$I$7:$K$102,1+B44,C44)</f>
        <v/>
      </c>
    </row>
    <row r="45" spans="1:4" x14ac:dyDescent="0.75">
      <c r="A45" s="111">
        <v>43</v>
      </c>
      <c r="B45" s="111">
        <f t="shared" si="0"/>
        <v>14</v>
      </c>
      <c r="C45" s="111">
        <f t="shared" si="1"/>
        <v>1</v>
      </c>
      <c r="D45" s="109" t="str" cm="1">
        <f t="array" ref="D45">INDEX('Oth-Map-1'!$I$7:$K$102,1+B45,C45)</f>
        <v>* differential.element[14].mapping[0].identity = "fhir"</v>
      </c>
    </row>
    <row r="46" spans="1:4" x14ac:dyDescent="0.75">
      <c r="A46" s="111">
        <v>44</v>
      </c>
      <c r="B46" s="111">
        <f t="shared" si="0"/>
        <v>14</v>
      </c>
      <c r="C46" s="111">
        <f t="shared" si="1"/>
        <v>2</v>
      </c>
      <c r="D46" s="109" t="str" cm="1">
        <f t="array" ref="D46">INDEX('Oth-Map-1'!$I$7:$K$102,1+B46,C46)</f>
        <v>* differential.element[14].mapping[0].map = "TBD"</v>
      </c>
    </row>
    <row r="47" spans="1:4" x14ac:dyDescent="0.75">
      <c r="A47" s="111">
        <v>45</v>
      </c>
      <c r="B47" s="111">
        <f t="shared" si="0"/>
        <v>14</v>
      </c>
      <c r="C47" s="111">
        <f t="shared" si="1"/>
        <v>3</v>
      </c>
      <c r="D47" s="109" t="str" cm="1">
        <f t="array" ref="D47">INDEX('Oth-Map-1'!$I$7:$K$102,1+B47,C47)</f>
        <v/>
      </c>
    </row>
    <row r="48" spans="1:4" x14ac:dyDescent="0.75">
      <c r="A48" s="111">
        <v>46</v>
      </c>
      <c r="B48" s="111">
        <f t="shared" si="0"/>
        <v>15</v>
      </c>
      <c r="C48" s="111">
        <f t="shared" si="1"/>
        <v>1</v>
      </c>
      <c r="D48" s="109" t="str" cm="1">
        <f t="array" ref="D48">INDEX('Oth-Map-1'!$I$7:$K$102,1+B48,C48)</f>
        <v>* differential.element[15].mapping[0].identity = "fhir"</v>
      </c>
    </row>
    <row r="49" spans="1:7" x14ac:dyDescent="0.75">
      <c r="A49" s="111">
        <v>47</v>
      </c>
      <c r="B49" s="111">
        <f t="shared" si="0"/>
        <v>15</v>
      </c>
      <c r="C49" s="111">
        <f t="shared" si="1"/>
        <v>2</v>
      </c>
      <c r="D49" s="109" t="str" cm="1">
        <f t="array" ref="D49">INDEX('Oth-Map-1'!$I$7:$K$102,1+B49,C49)</f>
        <v>* differential.element[15].mapping[0].map = "TBD"</v>
      </c>
    </row>
    <row r="50" spans="1:7" x14ac:dyDescent="0.75">
      <c r="A50" s="111">
        <v>48</v>
      </c>
      <c r="B50" s="111">
        <f t="shared" si="0"/>
        <v>15</v>
      </c>
      <c r="C50" s="111">
        <f t="shared" si="1"/>
        <v>3</v>
      </c>
      <c r="D50" s="109" t="str" cm="1">
        <f t="array" ref="D50">INDEX('Oth-Map-1'!$I$7:$K$102,1+B50,C50)</f>
        <v/>
      </c>
    </row>
    <row r="51" spans="1:7" x14ac:dyDescent="0.75">
      <c r="A51" s="111">
        <v>49</v>
      </c>
      <c r="B51" s="111">
        <f t="shared" si="0"/>
        <v>16</v>
      </c>
      <c r="C51" s="111">
        <f t="shared" si="1"/>
        <v>1</v>
      </c>
      <c r="D51" s="109" t="str" cm="1">
        <f t="array" ref="D51">INDEX('Oth-Map-1'!$I$7:$K$102,1+B51,C51)</f>
        <v>* differential.element[16].mapping[0].identity = "fhir"</v>
      </c>
    </row>
    <row r="52" spans="1:7" x14ac:dyDescent="0.75">
      <c r="A52" s="111">
        <v>50</v>
      </c>
      <c r="B52" s="111">
        <f t="shared" si="0"/>
        <v>16</v>
      </c>
      <c r="C52" s="111">
        <f t="shared" si="1"/>
        <v>2</v>
      </c>
      <c r="D52" s="109" t="str" cm="1">
        <f t="array" ref="D52">INDEX('Oth-Map-1'!$I$7:$K$102,1+B52,C52)</f>
        <v>* differential.element[16].mapping[0].map = "TBD"</v>
      </c>
    </row>
    <row r="53" spans="1:7" x14ac:dyDescent="0.75">
      <c r="A53" s="111">
        <v>51</v>
      </c>
      <c r="B53" s="111">
        <f t="shared" si="0"/>
        <v>16</v>
      </c>
      <c r="C53" s="111">
        <f t="shared" si="1"/>
        <v>3</v>
      </c>
      <c r="D53" s="109" t="str" cm="1">
        <f t="array" ref="D53">INDEX('Oth-Map-1'!$I$7:$K$102,1+B53,C53)</f>
        <v/>
      </c>
    </row>
    <row r="54" spans="1:7" x14ac:dyDescent="0.75">
      <c r="A54" s="111">
        <v>52</v>
      </c>
      <c r="B54" s="111">
        <f t="shared" si="0"/>
        <v>17</v>
      </c>
      <c r="C54" s="111">
        <f t="shared" si="1"/>
        <v>1</v>
      </c>
      <c r="D54" s="109" t="str" cm="1">
        <f t="array" ref="D54">INDEX('Oth-Map-1'!$I$7:$K$102,1+B54,C54)</f>
        <v>* differential.element[17].mapping[0].identity = "fhir"</v>
      </c>
    </row>
    <row r="55" spans="1:7" x14ac:dyDescent="0.75">
      <c r="A55" s="111">
        <v>53</v>
      </c>
      <c r="B55" s="111">
        <f t="shared" si="0"/>
        <v>17</v>
      </c>
      <c r="C55" s="111">
        <f t="shared" si="1"/>
        <v>2</v>
      </c>
      <c r="D55" s="109" t="str" cm="1">
        <f t="array" ref="D55">INDEX('Oth-Map-1'!$I$7:$K$102,1+B55,C55)</f>
        <v>* differential.element[17].mapping[0].map = "TBD"</v>
      </c>
      <c r="G55" s="14"/>
    </row>
    <row r="56" spans="1:7" x14ac:dyDescent="0.75">
      <c r="A56" s="111">
        <v>54</v>
      </c>
      <c r="B56" s="111">
        <f t="shared" si="0"/>
        <v>17</v>
      </c>
      <c r="C56" s="111">
        <f t="shared" si="1"/>
        <v>3</v>
      </c>
      <c r="D56" s="109" t="str" cm="1">
        <f t="array" ref="D56">INDEX('Oth-Map-1'!$I$7:$K$102,1+B56,C56)</f>
        <v/>
      </c>
    </row>
    <row r="57" spans="1:7" x14ac:dyDescent="0.75">
      <c r="A57" s="111">
        <v>55</v>
      </c>
      <c r="B57" s="111">
        <f t="shared" si="0"/>
        <v>18</v>
      </c>
      <c r="C57" s="111">
        <f t="shared" si="1"/>
        <v>1</v>
      </c>
      <c r="D57" s="109" t="str" cm="1">
        <f t="array" ref="D57">INDEX('Oth-Map-1'!$I$7:$K$102,1+B57,C57)</f>
        <v>* differential.element[18].mapping[0].identity = "fhir"</v>
      </c>
    </row>
    <row r="58" spans="1:7" x14ac:dyDescent="0.75">
      <c r="A58" s="111">
        <v>56</v>
      </c>
      <c r="B58" s="111">
        <f t="shared" si="0"/>
        <v>18</v>
      </c>
      <c r="C58" s="111">
        <f t="shared" si="1"/>
        <v>2</v>
      </c>
      <c r="D58" s="109" t="str" cm="1">
        <f t="array" ref="D58">INDEX('Oth-Map-1'!$I$7:$K$102,1+B58,C58)</f>
        <v>* differential.element[18].mapping[0].map = "TBD"</v>
      </c>
    </row>
    <row r="59" spans="1:7" x14ac:dyDescent="0.75">
      <c r="A59" s="111">
        <v>57</v>
      </c>
      <c r="B59" s="111">
        <f t="shared" si="0"/>
        <v>18</v>
      </c>
      <c r="C59" s="111">
        <f t="shared" si="1"/>
        <v>3</v>
      </c>
      <c r="D59" s="109" t="str" cm="1">
        <f t="array" ref="D59">INDEX('Oth-Map-1'!$I$7:$K$102,1+B59,C59)</f>
        <v/>
      </c>
    </row>
    <row r="60" spans="1:7" x14ac:dyDescent="0.75">
      <c r="A60" s="111">
        <v>58</v>
      </c>
      <c r="B60" s="111">
        <f t="shared" si="0"/>
        <v>19</v>
      </c>
      <c r="C60" s="111">
        <f t="shared" si="1"/>
        <v>1</v>
      </c>
      <c r="D60" s="109" t="str" cm="1">
        <f t="array" ref="D60">INDEX('Oth-Map-1'!$I$7:$K$102,1+B60,C60)</f>
        <v>* differential.element[19].mapping[0].identity = "fhir"</v>
      </c>
    </row>
    <row r="61" spans="1:7" x14ac:dyDescent="0.75">
      <c r="A61" s="111">
        <v>59</v>
      </c>
      <c r="B61" s="111">
        <f t="shared" si="0"/>
        <v>19</v>
      </c>
      <c r="C61" s="111">
        <f t="shared" si="1"/>
        <v>2</v>
      </c>
      <c r="D61" s="109" t="str" cm="1">
        <f t="array" ref="D61">INDEX('Oth-Map-1'!$I$7:$K$102,1+B61,C61)</f>
        <v>* differential.element[19].mapping[0].map = "TBD"</v>
      </c>
    </row>
    <row r="62" spans="1:7" x14ac:dyDescent="0.75">
      <c r="A62" s="111">
        <v>60</v>
      </c>
      <c r="B62" s="111">
        <f t="shared" si="0"/>
        <v>19</v>
      </c>
      <c r="C62" s="111">
        <f t="shared" si="1"/>
        <v>3</v>
      </c>
      <c r="D62" s="109" t="str" cm="1">
        <f t="array" ref="D62">INDEX('Oth-Map-1'!$I$7:$K$102,1+B62,C62)</f>
        <v/>
      </c>
    </row>
    <row r="63" spans="1:7" x14ac:dyDescent="0.75">
      <c r="A63" s="111">
        <v>61</v>
      </c>
      <c r="B63" s="111">
        <f t="shared" si="0"/>
        <v>20</v>
      </c>
      <c r="C63" s="111">
        <f t="shared" si="1"/>
        <v>1</v>
      </c>
      <c r="D63" s="109" t="str" cm="1">
        <f t="array" ref="D63">INDEX('Oth-Map-1'!$I$7:$K$102,1+B63,C63)</f>
        <v>* differential.element[20].mapping[0].identity = "fhir"</v>
      </c>
    </row>
    <row r="64" spans="1:7" x14ac:dyDescent="0.75">
      <c r="A64" s="111">
        <v>62</v>
      </c>
      <c r="B64" s="111">
        <f t="shared" si="0"/>
        <v>20</v>
      </c>
      <c r="C64" s="111">
        <f t="shared" si="1"/>
        <v>2</v>
      </c>
      <c r="D64" s="109" t="str" cm="1">
        <f t="array" ref="D64">INDEX('Oth-Map-1'!$I$7:$K$102,1+B64,C64)</f>
        <v>* differential.element[20].mapping[0].map = "TBD"</v>
      </c>
    </row>
    <row r="65" spans="1:4" x14ac:dyDescent="0.75">
      <c r="A65" s="111">
        <v>63</v>
      </c>
      <c r="B65" s="111">
        <f t="shared" si="0"/>
        <v>20</v>
      </c>
      <c r="C65" s="111">
        <f t="shared" si="1"/>
        <v>3</v>
      </c>
      <c r="D65" s="109" t="str" cm="1">
        <f t="array" ref="D65">INDEX('Oth-Map-1'!$I$7:$K$102,1+B65,C65)</f>
        <v/>
      </c>
    </row>
    <row r="66" spans="1:4" x14ac:dyDescent="0.75">
      <c r="A66" s="111">
        <v>64</v>
      </c>
      <c r="B66" s="111">
        <f t="shared" si="0"/>
        <v>21</v>
      </c>
      <c r="C66" s="111">
        <f t="shared" si="1"/>
        <v>1</v>
      </c>
      <c r="D66" s="109" t="str" cm="1">
        <f t="array" ref="D66">INDEX('Oth-Map-1'!$I$7:$K$102,1+B66,C66)</f>
        <v>* differential.element[21].mapping[0].identity = "fhir"</v>
      </c>
    </row>
    <row r="67" spans="1:4" x14ac:dyDescent="0.75">
      <c r="A67" s="111">
        <v>65</v>
      </c>
      <c r="B67" s="111">
        <f t="shared" si="0"/>
        <v>21</v>
      </c>
      <c r="C67" s="111">
        <f t="shared" si="1"/>
        <v>2</v>
      </c>
      <c r="D67" s="109" t="str" cm="1">
        <f t="array" ref="D67">INDEX('Oth-Map-1'!$I$7:$K$102,1+B67,C67)</f>
        <v>* differential.element[21].mapping[0].map = "TBD"</v>
      </c>
    </row>
    <row r="68" spans="1:4" x14ac:dyDescent="0.75">
      <c r="A68" s="111">
        <v>66</v>
      </c>
      <c r="B68" s="111">
        <f t="shared" ref="B68:B131" si="2">IF(MOD(A68,3)=0,A68/3-1,INT(A68/3))</f>
        <v>21</v>
      </c>
      <c r="C68" s="111">
        <f t="shared" ref="C68:C131" si="3">IF(MOD(A68,3)=0,3,MOD(A68,3))</f>
        <v>3</v>
      </c>
      <c r="D68" s="109" t="str" cm="1">
        <f t="array" ref="D68">INDEX('Oth-Map-1'!$I$7:$K$102,1+B68,C68)</f>
        <v/>
      </c>
    </row>
    <row r="69" spans="1:4" x14ac:dyDescent="0.75">
      <c r="A69" s="111">
        <v>67</v>
      </c>
      <c r="B69" s="111">
        <f t="shared" si="2"/>
        <v>22</v>
      </c>
      <c r="C69" s="111">
        <f t="shared" si="3"/>
        <v>1</v>
      </c>
      <c r="D69" s="109" t="str" cm="1">
        <f t="array" ref="D69">INDEX('Oth-Map-1'!$I$7:$K$102,1+B69,C69)</f>
        <v>* differential.element[22].mapping[0].identity = "fhir"</v>
      </c>
    </row>
    <row r="70" spans="1:4" x14ac:dyDescent="0.75">
      <c r="A70" s="111">
        <v>68</v>
      </c>
      <c r="B70" s="111">
        <f t="shared" si="2"/>
        <v>22</v>
      </c>
      <c r="C70" s="111">
        <f t="shared" si="3"/>
        <v>2</v>
      </c>
      <c r="D70" s="109" t="str" cm="1">
        <f t="array" ref="D70">INDEX('Oth-Map-1'!$I$7:$K$102,1+B70,C70)</f>
        <v>* differential.element[22].mapping[0].map = "TBD"</v>
      </c>
    </row>
    <row r="71" spans="1:4" x14ac:dyDescent="0.75">
      <c r="A71" s="111">
        <v>69</v>
      </c>
      <c r="B71" s="111">
        <f t="shared" si="2"/>
        <v>22</v>
      </c>
      <c r="C71" s="111">
        <f t="shared" si="3"/>
        <v>3</v>
      </c>
      <c r="D71" s="109" t="str" cm="1">
        <f t="array" ref="D71">INDEX('Oth-Map-1'!$I$7:$K$102,1+B71,C71)</f>
        <v/>
      </c>
    </row>
    <row r="72" spans="1:4" x14ac:dyDescent="0.75">
      <c r="A72" s="111">
        <v>70</v>
      </c>
      <c r="B72" s="111">
        <f t="shared" si="2"/>
        <v>23</v>
      </c>
      <c r="C72" s="111">
        <f t="shared" si="3"/>
        <v>1</v>
      </c>
      <c r="D72" s="109" t="str" cm="1">
        <f t="array" ref="D72">INDEX('Oth-Map-1'!$I$7:$K$102,1+B72,C72)</f>
        <v>* differential.element[23].mapping[0].identity = "fhir"</v>
      </c>
    </row>
    <row r="73" spans="1:4" x14ac:dyDescent="0.75">
      <c r="A73" s="111">
        <v>71</v>
      </c>
      <c r="B73" s="111">
        <f t="shared" si="2"/>
        <v>23</v>
      </c>
      <c r="C73" s="111">
        <f t="shared" si="3"/>
        <v>2</v>
      </c>
      <c r="D73" s="109" t="str" cm="1">
        <f t="array" ref="D73">INDEX('Oth-Map-1'!$I$7:$K$102,1+B73,C73)</f>
        <v>* differential.element[23].mapping[0].map = "TBD"</v>
      </c>
    </row>
    <row r="74" spans="1:4" x14ac:dyDescent="0.75">
      <c r="A74" s="111">
        <v>72</v>
      </c>
      <c r="B74" s="111">
        <f t="shared" si="2"/>
        <v>23</v>
      </c>
      <c r="C74" s="111">
        <f t="shared" si="3"/>
        <v>3</v>
      </c>
      <c r="D74" s="109" t="str" cm="1">
        <f t="array" ref="D74">INDEX('Oth-Map-1'!$I$7:$K$102,1+B74,C74)</f>
        <v/>
      </c>
    </row>
    <row r="75" spans="1:4" x14ac:dyDescent="0.75">
      <c r="A75" s="111">
        <v>73</v>
      </c>
      <c r="B75" s="111">
        <f t="shared" si="2"/>
        <v>24</v>
      </c>
      <c r="C75" s="111">
        <f t="shared" si="3"/>
        <v>1</v>
      </c>
      <c r="D75" s="109" t="str" cm="1">
        <f t="array" ref="D75">INDEX('Oth-Map-1'!$I$7:$K$102,1+B75,C75)</f>
        <v>* differential.element[24].mapping[0].identity = "fhir"</v>
      </c>
    </row>
    <row r="76" spans="1:4" x14ac:dyDescent="0.75">
      <c r="A76" s="111">
        <v>74</v>
      </c>
      <c r="B76" s="111">
        <f t="shared" si="2"/>
        <v>24</v>
      </c>
      <c r="C76" s="111">
        <f t="shared" si="3"/>
        <v>2</v>
      </c>
      <c r="D76" s="109" t="str" cm="1">
        <f t="array" ref="D76">INDEX('Oth-Map-1'!$I$7:$K$102,1+B76,C76)</f>
        <v>* differential.element[24].mapping[0].map = "TBD"</v>
      </c>
    </row>
    <row r="77" spans="1:4" x14ac:dyDescent="0.75">
      <c r="A77" s="111">
        <v>75</v>
      </c>
      <c r="B77" s="111">
        <f t="shared" si="2"/>
        <v>24</v>
      </c>
      <c r="C77" s="111">
        <f t="shared" si="3"/>
        <v>3</v>
      </c>
      <c r="D77" s="109" t="str" cm="1">
        <f t="array" ref="D77">INDEX('Oth-Map-1'!$I$7:$K$102,1+B77,C77)</f>
        <v/>
      </c>
    </row>
    <row r="78" spans="1:4" x14ac:dyDescent="0.75">
      <c r="A78" s="111">
        <v>76</v>
      </c>
      <c r="B78" s="111">
        <f t="shared" si="2"/>
        <v>25</v>
      </c>
      <c r="C78" s="111">
        <f t="shared" si="3"/>
        <v>1</v>
      </c>
      <c r="D78" s="109" t="str" cm="1">
        <f t="array" ref="D78">INDEX('Oth-Map-1'!$I$7:$K$102,1+B78,C78)</f>
        <v>* differential.element[25].mapping[0].identity = "fhir"</v>
      </c>
    </row>
    <row r="79" spans="1:4" x14ac:dyDescent="0.75">
      <c r="A79" s="111">
        <v>77</v>
      </c>
      <c r="B79" s="111">
        <f t="shared" si="2"/>
        <v>25</v>
      </c>
      <c r="C79" s="111">
        <f t="shared" si="3"/>
        <v>2</v>
      </c>
      <c r="D79" s="109" t="str" cm="1">
        <f t="array" ref="D79">INDEX('Oth-Map-1'!$I$7:$K$102,1+B79,C79)</f>
        <v>* differential.element[25].mapping[0].map = "TBD"</v>
      </c>
    </row>
    <row r="80" spans="1:4" x14ac:dyDescent="0.75">
      <c r="A80" s="111">
        <v>78</v>
      </c>
      <c r="B80" s="111">
        <f t="shared" si="2"/>
        <v>25</v>
      </c>
      <c r="C80" s="111">
        <f t="shared" si="3"/>
        <v>3</v>
      </c>
      <c r="D80" s="109" t="str" cm="1">
        <f t="array" ref="D80">INDEX('Oth-Map-1'!$I$7:$K$102,1+B80,C80)</f>
        <v/>
      </c>
    </row>
    <row r="81" spans="1:4" x14ac:dyDescent="0.75">
      <c r="A81" s="111">
        <v>79</v>
      </c>
      <c r="B81" s="111">
        <f t="shared" si="2"/>
        <v>26</v>
      </c>
      <c r="C81" s="111">
        <f t="shared" si="3"/>
        <v>1</v>
      </c>
      <c r="D81" s="109" t="str" cm="1">
        <f t="array" ref="D81">INDEX('Oth-Map-1'!$I$7:$K$102,1+B81,C81)</f>
        <v>* differential.element[26].mapping[0].identity = "fhir"</v>
      </c>
    </row>
    <row r="82" spans="1:4" x14ac:dyDescent="0.75">
      <c r="A82" s="111">
        <v>80</v>
      </c>
      <c r="B82" s="111">
        <f t="shared" si="2"/>
        <v>26</v>
      </c>
      <c r="C82" s="111">
        <f t="shared" si="3"/>
        <v>2</v>
      </c>
      <c r="D82" s="109" t="str" cm="1">
        <f t="array" ref="D82">INDEX('Oth-Map-1'!$I$7:$K$102,1+B82,C82)</f>
        <v>* differential.element[26].mapping[0].map = "TBD"</v>
      </c>
    </row>
    <row r="83" spans="1:4" x14ac:dyDescent="0.75">
      <c r="A83" s="111">
        <v>81</v>
      </c>
      <c r="B83" s="111">
        <f t="shared" si="2"/>
        <v>26</v>
      </c>
      <c r="C83" s="111">
        <f t="shared" si="3"/>
        <v>3</v>
      </c>
      <c r="D83" s="109" t="str" cm="1">
        <f t="array" ref="D83">INDEX('Oth-Map-1'!$I$7:$K$102,1+B83,C83)</f>
        <v/>
      </c>
    </row>
    <row r="84" spans="1:4" x14ac:dyDescent="0.75">
      <c r="A84" s="111">
        <v>82</v>
      </c>
      <c r="B84" s="111">
        <f t="shared" si="2"/>
        <v>27</v>
      </c>
      <c r="C84" s="111">
        <f t="shared" si="3"/>
        <v>1</v>
      </c>
      <c r="D84" s="109" t="str" cm="1">
        <f t="array" ref="D84">INDEX('Oth-Map-1'!$I$7:$K$102,1+B84,C84)</f>
        <v>* differential.element[27].mapping[0].identity = "fhir"</v>
      </c>
    </row>
    <row r="85" spans="1:4" x14ac:dyDescent="0.75">
      <c r="A85" s="111">
        <v>83</v>
      </c>
      <c r="B85" s="111">
        <f t="shared" si="2"/>
        <v>27</v>
      </c>
      <c r="C85" s="111">
        <f t="shared" si="3"/>
        <v>2</v>
      </c>
      <c r="D85" s="109" t="str" cm="1">
        <f t="array" ref="D85">INDEX('Oth-Map-1'!$I$7:$K$102,1+B85,C85)</f>
        <v>* differential.element[27].mapping[0].map = "TBD"</v>
      </c>
    </row>
    <row r="86" spans="1:4" x14ac:dyDescent="0.75">
      <c r="A86" s="111">
        <v>84</v>
      </c>
      <c r="B86" s="111">
        <f t="shared" si="2"/>
        <v>27</v>
      </c>
      <c r="C86" s="111">
        <f t="shared" si="3"/>
        <v>3</v>
      </c>
      <c r="D86" s="109" t="str" cm="1">
        <f t="array" ref="D86">INDEX('Oth-Map-1'!$I$7:$K$102,1+B86,C86)</f>
        <v/>
      </c>
    </row>
    <row r="87" spans="1:4" x14ac:dyDescent="0.75">
      <c r="A87" s="111">
        <v>85</v>
      </c>
      <c r="B87" s="111">
        <f t="shared" si="2"/>
        <v>28</v>
      </c>
      <c r="C87" s="111">
        <f t="shared" si="3"/>
        <v>1</v>
      </c>
      <c r="D87" s="109" t="str" cm="1">
        <f t="array" ref="D87">INDEX('Oth-Map-1'!$I$7:$K$102,1+B87,C87)</f>
        <v>* differential.element[28].mapping[0].identity = "fhir"</v>
      </c>
    </row>
    <row r="88" spans="1:4" x14ac:dyDescent="0.75">
      <c r="A88" s="111">
        <v>86</v>
      </c>
      <c r="B88" s="111">
        <f t="shared" si="2"/>
        <v>28</v>
      </c>
      <c r="C88" s="111">
        <f t="shared" si="3"/>
        <v>2</v>
      </c>
      <c r="D88" s="109" t="str" cm="1">
        <f t="array" ref="D88">INDEX('Oth-Map-1'!$I$7:$K$102,1+B88,C88)</f>
        <v>* differential.element[28].mapping[0].map = "TBD"</v>
      </c>
    </row>
    <row r="89" spans="1:4" x14ac:dyDescent="0.75">
      <c r="A89" s="111">
        <v>87</v>
      </c>
      <c r="B89" s="111">
        <f t="shared" si="2"/>
        <v>28</v>
      </c>
      <c r="C89" s="111">
        <f t="shared" si="3"/>
        <v>3</v>
      </c>
      <c r="D89" s="109" t="str" cm="1">
        <f t="array" ref="D89">INDEX('Oth-Map-1'!$I$7:$K$102,1+B89,C89)</f>
        <v/>
      </c>
    </row>
    <row r="90" spans="1:4" x14ac:dyDescent="0.75">
      <c r="A90" s="111">
        <v>88</v>
      </c>
      <c r="B90" s="111">
        <f t="shared" si="2"/>
        <v>29</v>
      </c>
      <c r="C90" s="111">
        <f t="shared" si="3"/>
        <v>1</v>
      </c>
      <c r="D90" s="109" t="str" cm="1">
        <f t="array" ref="D90">INDEX('Oth-Map-1'!$I$7:$K$102,1+B90,C90)</f>
        <v>* differential.element[29].mapping[0].identity = "fhir"</v>
      </c>
    </row>
    <row r="91" spans="1:4" x14ac:dyDescent="0.75">
      <c r="A91" s="111">
        <v>89</v>
      </c>
      <c r="B91" s="111">
        <f t="shared" si="2"/>
        <v>29</v>
      </c>
      <c r="C91" s="111">
        <f t="shared" si="3"/>
        <v>2</v>
      </c>
      <c r="D91" s="109" t="str" cm="1">
        <f t="array" ref="D91">INDEX('Oth-Map-1'!$I$7:$K$102,1+B91,C91)</f>
        <v>* differential.element[29].mapping[0].map = "TBD"</v>
      </c>
    </row>
    <row r="92" spans="1:4" x14ac:dyDescent="0.75">
      <c r="A92" s="111">
        <v>90</v>
      </c>
      <c r="B92" s="111">
        <f t="shared" si="2"/>
        <v>29</v>
      </c>
      <c r="C92" s="111">
        <f t="shared" si="3"/>
        <v>3</v>
      </c>
      <c r="D92" s="109" t="str" cm="1">
        <f t="array" ref="D92">INDEX('Oth-Map-1'!$I$7:$K$102,1+B92,C92)</f>
        <v/>
      </c>
    </row>
    <row r="93" spans="1:4" x14ac:dyDescent="0.75">
      <c r="A93" s="111">
        <v>91</v>
      </c>
      <c r="B93" s="111">
        <f t="shared" si="2"/>
        <v>30</v>
      </c>
      <c r="C93" s="111">
        <f t="shared" si="3"/>
        <v>1</v>
      </c>
      <c r="D93" s="109" t="str" cm="1">
        <f t="array" ref="D93">INDEX('Oth-Map-1'!$I$7:$K$102,1+B93,C93)</f>
        <v/>
      </c>
    </row>
    <row r="94" spans="1:4" x14ac:dyDescent="0.75">
      <c r="A94" s="111">
        <v>92</v>
      </c>
      <c r="B94" s="111">
        <f t="shared" si="2"/>
        <v>30</v>
      </c>
      <c r="C94" s="111">
        <f t="shared" si="3"/>
        <v>2</v>
      </c>
      <c r="D94" s="109" t="str" cm="1">
        <f t="array" ref="D94">INDEX('Oth-Map-1'!$I$7:$K$102,1+B94,C94)</f>
        <v/>
      </c>
    </row>
    <row r="95" spans="1:4" x14ac:dyDescent="0.75">
      <c r="A95" s="111">
        <v>93</v>
      </c>
      <c r="B95" s="111">
        <f t="shared" si="2"/>
        <v>30</v>
      </c>
      <c r="C95" s="111">
        <f t="shared" si="3"/>
        <v>3</v>
      </c>
      <c r="D95" s="109" t="str" cm="1">
        <f t="array" ref="D95">INDEX('Oth-Map-1'!$I$7:$K$102,1+B95,C95)</f>
        <v/>
      </c>
    </row>
    <row r="96" spans="1:4" x14ac:dyDescent="0.75">
      <c r="A96" s="111">
        <v>94</v>
      </c>
      <c r="B96" s="111">
        <f t="shared" si="2"/>
        <v>31</v>
      </c>
      <c r="C96" s="111">
        <f t="shared" si="3"/>
        <v>1</v>
      </c>
      <c r="D96" s="109" t="str" cm="1">
        <f t="array" ref="D96">INDEX('Oth-Map-1'!$I$7:$K$102,1+B96,C96)</f>
        <v/>
      </c>
    </row>
    <row r="97" spans="1:4" x14ac:dyDescent="0.75">
      <c r="A97" s="111">
        <v>95</v>
      </c>
      <c r="B97" s="111">
        <f t="shared" si="2"/>
        <v>31</v>
      </c>
      <c r="C97" s="111">
        <f t="shared" si="3"/>
        <v>2</v>
      </c>
      <c r="D97" s="109" t="str" cm="1">
        <f t="array" ref="D97">INDEX('Oth-Map-1'!$I$7:$K$102,1+B97,C97)</f>
        <v/>
      </c>
    </row>
    <row r="98" spans="1:4" x14ac:dyDescent="0.75">
      <c r="A98" s="111">
        <v>96</v>
      </c>
      <c r="B98" s="111">
        <f t="shared" si="2"/>
        <v>31</v>
      </c>
      <c r="C98" s="111">
        <f t="shared" si="3"/>
        <v>3</v>
      </c>
      <c r="D98" s="109" t="str" cm="1">
        <f t="array" ref="D98">INDEX('Oth-Map-1'!$I$7:$K$102,1+B98,C98)</f>
        <v/>
      </c>
    </row>
    <row r="99" spans="1:4" x14ac:dyDescent="0.75">
      <c r="A99" s="111">
        <v>97</v>
      </c>
      <c r="B99" s="111">
        <f t="shared" si="2"/>
        <v>32</v>
      </c>
      <c r="C99" s="111">
        <f t="shared" si="3"/>
        <v>1</v>
      </c>
      <c r="D99" s="109" t="str" cm="1">
        <f t="array" ref="D99">INDEX('Oth-Map-1'!$I$7:$K$102,1+B99,C99)</f>
        <v/>
      </c>
    </row>
    <row r="100" spans="1:4" x14ac:dyDescent="0.75">
      <c r="A100" s="111">
        <v>98</v>
      </c>
      <c r="B100" s="111">
        <f t="shared" si="2"/>
        <v>32</v>
      </c>
      <c r="C100" s="111">
        <f t="shared" si="3"/>
        <v>2</v>
      </c>
      <c r="D100" s="109" t="str" cm="1">
        <f t="array" ref="D100">INDEX('Oth-Map-1'!$I$7:$K$102,1+B100,C100)</f>
        <v/>
      </c>
    </row>
    <row r="101" spans="1:4" x14ac:dyDescent="0.75">
      <c r="A101" s="111">
        <v>99</v>
      </c>
      <c r="B101" s="111">
        <f t="shared" si="2"/>
        <v>32</v>
      </c>
      <c r="C101" s="111">
        <f t="shared" si="3"/>
        <v>3</v>
      </c>
      <c r="D101" s="109" t="str" cm="1">
        <f t="array" ref="D101">INDEX('Oth-Map-1'!$I$7:$K$102,1+B101,C101)</f>
        <v/>
      </c>
    </row>
    <row r="102" spans="1:4" x14ac:dyDescent="0.75">
      <c r="A102" s="111">
        <v>100</v>
      </c>
      <c r="B102" s="111">
        <f t="shared" si="2"/>
        <v>33</v>
      </c>
      <c r="C102" s="111">
        <f t="shared" si="3"/>
        <v>1</v>
      </c>
      <c r="D102" s="109" t="str" cm="1">
        <f t="array" ref="D102">INDEX('Oth-Map-1'!$I$7:$K$102,1+B102,C102)</f>
        <v/>
      </c>
    </row>
    <row r="103" spans="1:4" x14ac:dyDescent="0.75">
      <c r="A103" s="111">
        <v>101</v>
      </c>
      <c r="B103" s="111">
        <f t="shared" si="2"/>
        <v>33</v>
      </c>
      <c r="C103" s="111">
        <f t="shared" si="3"/>
        <v>2</v>
      </c>
      <c r="D103" s="109" t="str" cm="1">
        <f t="array" ref="D103">INDEX('Oth-Map-1'!$I$7:$K$102,1+B103,C103)</f>
        <v/>
      </c>
    </row>
    <row r="104" spans="1:4" x14ac:dyDescent="0.75">
      <c r="A104" s="111">
        <v>102</v>
      </c>
      <c r="B104" s="111">
        <f t="shared" si="2"/>
        <v>33</v>
      </c>
      <c r="C104" s="111">
        <f t="shared" si="3"/>
        <v>3</v>
      </c>
      <c r="D104" s="109" t="str" cm="1">
        <f t="array" ref="D104">INDEX('Oth-Map-1'!$I$7:$K$102,1+B104,C104)</f>
        <v/>
      </c>
    </row>
    <row r="105" spans="1:4" x14ac:dyDescent="0.75">
      <c r="A105" s="111">
        <v>103</v>
      </c>
      <c r="B105" s="111">
        <f t="shared" si="2"/>
        <v>34</v>
      </c>
      <c r="C105" s="111">
        <f t="shared" si="3"/>
        <v>1</v>
      </c>
      <c r="D105" s="109" t="str" cm="1">
        <f t="array" ref="D105">INDEX('Oth-Map-1'!$I$7:$K$102,1+B105,C105)</f>
        <v/>
      </c>
    </row>
    <row r="106" spans="1:4" x14ac:dyDescent="0.75">
      <c r="A106" s="111">
        <v>104</v>
      </c>
      <c r="B106" s="111">
        <f t="shared" si="2"/>
        <v>34</v>
      </c>
      <c r="C106" s="111">
        <f t="shared" si="3"/>
        <v>2</v>
      </c>
      <c r="D106" s="109" t="str" cm="1">
        <f t="array" ref="D106">INDEX('Oth-Map-1'!$I$7:$K$102,1+B106,C106)</f>
        <v/>
      </c>
    </row>
    <row r="107" spans="1:4" x14ac:dyDescent="0.75">
      <c r="A107" s="111">
        <v>105</v>
      </c>
      <c r="B107" s="111">
        <f t="shared" si="2"/>
        <v>34</v>
      </c>
      <c r="C107" s="111">
        <f t="shared" si="3"/>
        <v>3</v>
      </c>
      <c r="D107" s="109" t="str" cm="1">
        <f t="array" ref="D107">INDEX('Oth-Map-1'!$I$7:$K$102,1+B107,C107)</f>
        <v/>
      </c>
    </row>
    <row r="108" spans="1:4" x14ac:dyDescent="0.75">
      <c r="A108" s="111">
        <v>106</v>
      </c>
      <c r="B108" s="111">
        <f t="shared" si="2"/>
        <v>35</v>
      </c>
      <c r="C108" s="111">
        <f t="shared" si="3"/>
        <v>1</v>
      </c>
      <c r="D108" s="109" t="str" cm="1">
        <f t="array" ref="D108">INDEX('Oth-Map-1'!$I$7:$K$102,1+B108,C108)</f>
        <v/>
      </c>
    </row>
    <row r="109" spans="1:4" x14ac:dyDescent="0.75">
      <c r="A109" s="111">
        <v>107</v>
      </c>
      <c r="B109" s="111">
        <f t="shared" si="2"/>
        <v>35</v>
      </c>
      <c r="C109" s="111">
        <f t="shared" si="3"/>
        <v>2</v>
      </c>
      <c r="D109" s="109" t="str" cm="1">
        <f t="array" ref="D109">INDEX('Oth-Map-1'!$I$7:$K$102,1+B109,C109)</f>
        <v/>
      </c>
    </row>
    <row r="110" spans="1:4" x14ac:dyDescent="0.75">
      <c r="A110" s="111">
        <v>108</v>
      </c>
      <c r="B110" s="111">
        <f t="shared" si="2"/>
        <v>35</v>
      </c>
      <c r="C110" s="111">
        <f t="shared" si="3"/>
        <v>3</v>
      </c>
      <c r="D110" s="109" t="str" cm="1">
        <f t="array" ref="D110">INDEX('Oth-Map-1'!$I$7:$K$102,1+B110,C110)</f>
        <v/>
      </c>
    </row>
    <row r="111" spans="1:4" x14ac:dyDescent="0.75">
      <c r="A111" s="111">
        <v>109</v>
      </c>
      <c r="B111" s="111">
        <f t="shared" si="2"/>
        <v>36</v>
      </c>
      <c r="C111" s="111">
        <f t="shared" si="3"/>
        <v>1</v>
      </c>
      <c r="D111" s="109" t="str" cm="1">
        <f t="array" ref="D111">INDEX('Oth-Map-1'!$I$7:$K$102,1+B111,C111)</f>
        <v/>
      </c>
    </row>
    <row r="112" spans="1:4" x14ac:dyDescent="0.75">
      <c r="A112" s="111">
        <v>110</v>
      </c>
      <c r="B112" s="111">
        <f t="shared" si="2"/>
        <v>36</v>
      </c>
      <c r="C112" s="111">
        <f t="shared" si="3"/>
        <v>2</v>
      </c>
      <c r="D112" s="109" t="str" cm="1">
        <f t="array" ref="D112">INDEX('Oth-Map-1'!$I$7:$K$102,1+B112,C112)</f>
        <v/>
      </c>
    </row>
    <row r="113" spans="1:4" x14ac:dyDescent="0.75">
      <c r="A113" s="111">
        <v>111</v>
      </c>
      <c r="B113" s="111">
        <f t="shared" si="2"/>
        <v>36</v>
      </c>
      <c r="C113" s="111">
        <f t="shared" si="3"/>
        <v>3</v>
      </c>
      <c r="D113" s="109" t="str" cm="1">
        <f t="array" ref="D113">INDEX('Oth-Map-1'!$I$7:$K$102,1+B113,C113)</f>
        <v/>
      </c>
    </row>
    <row r="114" spans="1:4" x14ac:dyDescent="0.75">
      <c r="A114" s="111">
        <v>112</v>
      </c>
      <c r="B114" s="111">
        <f t="shared" si="2"/>
        <v>37</v>
      </c>
      <c r="C114" s="111">
        <f t="shared" si="3"/>
        <v>1</v>
      </c>
      <c r="D114" s="109" t="str" cm="1">
        <f t="array" ref="D114">INDEX('Oth-Map-1'!$I$7:$K$102,1+B114,C114)</f>
        <v/>
      </c>
    </row>
    <row r="115" spans="1:4" x14ac:dyDescent="0.75">
      <c r="A115" s="111">
        <v>113</v>
      </c>
      <c r="B115" s="111">
        <f t="shared" si="2"/>
        <v>37</v>
      </c>
      <c r="C115" s="111">
        <f t="shared" si="3"/>
        <v>2</v>
      </c>
      <c r="D115" s="109" t="str" cm="1">
        <f t="array" ref="D115">INDEX('Oth-Map-1'!$I$7:$K$102,1+B115,C115)</f>
        <v/>
      </c>
    </row>
    <row r="116" spans="1:4" x14ac:dyDescent="0.75">
      <c r="A116" s="111">
        <v>114</v>
      </c>
      <c r="B116" s="111">
        <f t="shared" si="2"/>
        <v>37</v>
      </c>
      <c r="C116" s="111">
        <f t="shared" si="3"/>
        <v>3</v>
      </c>
      <c r="D116" s="109" t="str" cm="1">
        <f t="array" ref="D116">INDEX('Oth-Map-1'!$I$7:$K$102,1+B116,C116)</f>
        <v/>
      </c>
    </row>
    <row r="117" spans="1:4" x14ac:dyDescent="0.75">
      <c r="A117" s="111">
        <v>115</v>
      </c>
      <c r="B117" s="111">
        <f t="shared" si="2"/>
        <v>38</v>
      </c>
      <c r="C117" s="111">
        <f t="shared" si="3"/>
        <v>1</v>
      </c>
      <c r="D117" s="109" t="str" cm="1">
        <f t="array" ref="D117">INDEX('Oth-Map-1'!$I$7:$K$102,1+B117,C117)</f>
        <v/>
      </c>
    </row>
    <row r="118" spans="1:4" x14ac:dyDescent="0.75">
      <c r="A118" s="111">
        <v>116</v>
      </c>
      <c r="B118" s="111">
        <f t="shared" si="2"/>
        <v>38</v>
      </c>
      <c r="C118" s="111">
        <f t="shared" si="3"/>
        <v>2</v>
      </c>
      <c r="D118" s="109" t="str" cm="1">
        <f t="array" ref="D118">INDEX('Oth-Map-1'!$I$7:$K$102,1+B118,C118)</f>
        <v/>
      </c>
    </row>
    <row r="119" spans="1:4" x14ac:dyDescent="0.75">
      <c r="A119" s="111">
        <v>117</v>
      </c>
      <c r="B119" s="111">
        <f t="shared" si="2"/>
        <v>38</v>
      </c>
      <c r="C119" s="111">
        <f t="shared" si="3"/>
        <v>3</v>
      </c>
      <c r="D119" s="109" t="str" cm="1">
        <f t="array" ref="D119">INDEX('Oth-Map-1'!$I$7:$K$102,1+B119,C119)</f>
        <v/>
      </c>
    </row>
    <row r="120" spans="1:4" x14ac:dyDescent="0.75">
      <c r="A120" s="111">
        <v>118</v>
      </c>
      <c r="B120" s="111">
        <f t="shared" si="2"/>
        <v>39</v>
      </c>
      <c r="C120" s="111">
        <f t="shared" si="3"/>
        <v>1</v>
      </c>
      <c r="D120" s="109" t="str" cm="1">
        <f t="array" ref="D120">INDEX('Oth-Map-1'!$I$7:$K$102,1+B120,C120)</f>
        <v/>
      </c>
    </row>
    <row r="121" spans="1:4" x14ac:dyDescent="0.75">
      <c r="A121" s="111">
        <v>119</v>
      </c>
      <c r="B121" s="111">
        <f t="shared" si="2"/>
        <v>39</v>
      </c>
      <c r="C121" s="111">
        <f t="shared" si="3"/>
        <v>2</v>
      </c>
      <c r="D121" s="109" t="str" cm="1">
        <f t="array" ref="D121">INDEX('Oth-Map-1'!$I$7:$K$102,1+B121,C121)</f>
        <v/>
      </c>
    </row>
    <row r="122" spans="1:4" x14ac:dyDescent="0.75">
      <c r="A122" s="111">
        <v>120</v>
      </c>
      <c r="B122" s="111">
        <f t="shared" si="2"/>
        <v>39</v>
      </c>
      <c r="C122" s="111">
        <f t="shared" si="3"/>
        <v>3</v>
      </c>
      <c r="D122" s="109" t="str" cm="1">
        <f t="array" ref="D122">INDEX('Oth-Map-1'!$I$7:$K$102,1+B122,C122)</f>
        <v/>
      </c>
    </row>
    <row r="123" spans="1:4" x14ac:dyDescent="0.75">
      <c r="A123" s="111">
        <v>121</v>
      </c>
      <c r="B123" s="111">
        <f t="shared" si="2"/>
        <v>40</v>
      </c>
      <c r="C123" s="111">
        <f t="shared" si="3"/>
        <v>1</v>
      </c>
      <c r="D123" s="109" t="str" cm="1">
        <f t="array" ref="D123">INDEX('Oth-Map-1'!$I$7:$K$102,1+B123,C123)</f>
        <v/>
      </c>
    </row>
    <row r="124" spans="1:4" x14ac:dyDescent="0.75">
      <c r="A124" s="111">
        <v>122</v>
      </c>
      <c r="B124" s="111">
        <f t="shared" si="2"/>
        <v>40</v>
      </c>
      <c r="C124" s="111">
        <f t="shared" si="3"/>
        <v>2</v>
      </c>
      <c r="D124" s="109" t="str" cm="1">
        <f t="array" ref="D124">INDEX('Oth-Map-1'!$I$7:$K$102,1+B124,C124)</f>
        <v/>
      </c>
    </row>
    <row r="125" spans="1:4" x14ac:dyDescent="0.75">
      <c r="A125" s="111">
        <v>123</v>
      </c>
      <c r="B125" s="111">
        <f t="shared" si="2"/>
        <v>40</v>
      </c>
      <c r="C125" s="111">
        <f t="shared" si="3"/>
        <v>3</v>
      </c>
      <c r="D125" s="109" t="str" cm="1">
        <f t="array" ref="D125">INDEX('Oth-Map-1'!$I$7:$K$102,1+B125,C125)</f>
        <v/>
      </c>
    </row>
    <row r="126" spans="1:4" x14ac:dyDescent="0.75">
      <c r="A126" s="111">
        <v>124</v>
      </c>
      <c r="B126" s="111">
        <f t="shared" si="2"/>
        <v>41</v>
      </c>
      <c r="C126" s="111">
        <f t="shared" si="3"/>
        <v>1</v>
      </c>
      <c r="D126" s="109" t="str" cm="1">
        <f t="array" ref="D126">INDEX('Oth-Map-1'!$I$7:$K$102,1+B126,C126)</f>
        <v/>
      </c>
    </row>
    <row r="127" spans="1:4" x14ac:dyDescent="0.75">
      <c r="A127" s="111">
        <v>125</v>
      </c>
      <c r="B127" s="111">
        <f t="shared" si="2"/>
        <v>41</v>
      </c>
      <c r="C127" s="111">
        <f t="shared" si="3"/>
        <v>2</v>
      </c>
      <c r="D127" s="109" t="str" cm="1">
        <f t="array" ref="D127">INDEX('Oth-Map-1'!$I$7:$K$102,1+B127,C127)</f>
        <v/>
      </c>
    </row>
    <row r="128" spans="1:4" x14ac:dyDescent="0.75">
      <c r="A128" s="111">
        <v>126</v>
      </c>
      <c r="B128" s="111">
        <f t="shared" si="2"/>
        <v>41</v>
      </c>
      <c r="C128" s="111">
        <f t="shared" si="3"/>
        <v>3</v>
      </c>
      <c r="D128" s="109" t="str" cm="1">
        <f t="array" ref="D128">INDEX('Oth-Map-1'!$I$7:$K$102,1+B128,C128)</f>
        <v/>
      </c>
    </row>
    <row r="129" spans="1:4" x14ac:dyDescent="0.75">
      <c r="A129" s="111">
        <v>127</v>
      </c>
      <c r="B129" s="111">
        <f t="shared" si="2"/>
        <v>42</v>
      </c>
      <c r="C129" s="111">
        <f t="shared" si="3"/>
        <v>1</v>
      </c>
      <c r="D129" s="109" t="str" cm="1">
        <f t="array" ref="D129">INDEX('Oth-Map-1'!$I$7:$K$102,1+B129,C129)</f>
        <v/>
      </c>
    </row>
    <row r="130" spans="1:4" x14ac:dyDescent="0.75">
      <c r="A130" s="111">
        <v>128</v>
      </c>
      <c r="B130" s="111">
        <f t="shared" si="2"/>
        <v>42</v>
      </c>
      <c r="C130" s="111">
        <f t="shared" si="3"/>
        <v>2</v>
      </c>
      <c r="D130" s="109" t="str" cm="1">
        <f t="array" ref="D130">INDEX('Oth-Map-1'!$I$7:$K$102,1+B130,C130)</f>
        <v/>
      </c>
    </row>
    <row r="131" spans="1:4" x14ac:dyDescent="0.75">
      <c r="A131" s="111">
        <v>129</v>
      </c>
      <c r="B131" s="111">
        <f t="shared" si="2"/>
        <v>42</v>
      </c>
      <c r="C131" s="111">
        <f t="shared" si="3"/>
        <v>3</v>
      </c>
      <c r="D131" s="109" t="str" cm="1">
        <f t="array" ref="D131">INDEX('Oth-Map-1'!$I$7:$K$102,1+B131,C131)</f>
        <v/>
      </c>
    </row>
    <row r="132" spans="1:4" x14ac:dyDescent="0.75">
      <c r="A132" s="111">
        <v>130</v>
      </c>
      <c r="B132" s="111">
        <f t="shared" ref="B132:B195" si="4">IF(MOD(A132,3)=0,A132/3-1,INT(A132/3))</f>
        <v>43</v>
      </c>
      <c r="C132" s="111">
        <f t="shared" ref="C132:C195" si="5">IF(MOD(A132,3)=0,3,MOD(A132,3))</f>
        <v>1</v>
      </c>
      <c r="D132" s="109" t="str" cm="1">
        <f t="array" ref="D132">INDEX('Oth-Map-1'!$I$7:$K$102,1+B132,C132)</f>
        <v/>
      </c>
    </row>
    <row r="133" spans="1:4" x14ac:dyDescent="0.75">
      <c r="A133" s="111">
        <v>131</v>
      </c>
      <c r="B133" s="111">
        <f t="shared" si="4"/>
        <v>43</v>
      </c>
      <c r="C133" s="111">
        <f t="shared" si="5"/>
        <v>2</v>
      </c>
      <c r="D133" s="109" t="str" cm="1">
        <f t="array" ref="D133">INDEX('Oth-Map-1'!$I$7:$K$102,1+B133,C133)</f>
        <v/>
      </c>
    </row>
    <row r="134" spans="1:4" x14ac:dyDescent="0.75">
      <c r="A134" s="111">
        <v>132</v>
      </c>
      <c r="B134" s="111">
        <f t="shared" si="4"/>
        <v>43</v>
      </c>
      <c r="C134" s="111">
        <f t="shared" si="5"/>
        <v>3</v>
      </c>
      <c r="D134" s="109" t="str" cm="1">
        <f t="array" ref="D134">INDEX('Oth-Map-1'!$I$7:$K$102,1+B134,C134)</f>
        <v/>
      </c>
    </row>
    <row r="135" spans="1:4" x14ac:dyDescent="0.75">
      <c r="A135" s="111">
        <v>133</v>
      </c>
      <c r="B135" s="111">
        <f t="shared" si="4"/>
        <v>44</v>
      </c>
      <c r="C135" s="111">
        <f t="shared" si="5"/>
        <v>1</v>
      </c>
      <c r="D135" s="109" t="str" cm="1">
        <f t="array" ref="D135">INDEX('Oth-Map-1'!$I$7:$K$102,1+B135,C135)</f>
        <v/>
      </c>
    </row>
    <row r="136" spans="1:4" x14ac:dyDescent="0.75">
      <c r="A136" s="111">
        <v>134</v>
      </c>
      <c r="B136" s="111">
        <f t="shared" si="4"/>
        <v>44</v>
      </c>
      <c r="C136" s="111">
        <f t="shared" si="5"/>
        <v>2</v>
      </c>
      <c r="D136" s="109" t="str" cm="1">
        <f t="array" ref="D136">INDEX('Oth-Map-1'!$I$7:$K$102,1+B136,C136)</f>
        <v/>
      </c>
    </row>
    <row r="137" spans="1:4" x14ac:dyDescent="0.75">
      <c r="A137" s="111">
        <v>135</v>
      </c>
      <c r="B137" s="111">
        <f t="shared" si="4"/>
        <v>44</v>
      </c>
      <c r="C137" s="111">
        <f t="shared" si="5"/>
        <v>3</v>
      </c>
      <c r="D137" s="109" t="str" cm="1">
        <f t="array" ref="D137">INDEX('Oth-Map-1'!$I$7:$K$102,1+B137,C137)</f>
        <v/>
      </c>
    </row>
    <row r="138" spans="1:4" x14ac:dyDescent="0.75">
      <c r="A138" s="111">
        <v>136</v>
      </c>
      <c r="B138" s="111">
        <f t="shared" si="4"/>
        <v>45</v>
      </c>
      <c r="C138" s="111">
        <f t="shared" si="5"/>
        <v>1</v>
      </c>
      <c r="D138" s="109" t="str" cm="1">
        <f t="array" ref="D138">INDEX('Oth-Map-1'!$I$7:$K$102,1+B138,C138)</f>
        <v/>
      </c>
    </row>
    <row r="139" spans="1:4" x14ac:dyDescent="0.75">
      <c r="A139" s="111">
        <v>137</v>
      </c>
      <c r="B139" s="111">
        <f t="shared" si="4"/>
        <v>45</v>
      </c>
      <c r="C139" s="111">
        <f t="shared" si="5"/>
        <v>2</v>
      </c>
      <c r="D139" s="109" t="str" cm="1">
        <f t="array" ref="D139">INDEX('Oth-Map-1'!$I$7:$K$102,1+B139,C139)</f>
        <v/>
      </c>
    </row>
    <row r="140" spans="1:4" x14ac:dyDescent="0.75">
      <c r="A140" s="111">
        <v>138</v>
      </c>
      <c r="B140" s="111">
        <f t="shared" si="4"/>
        <v>45</v>
      </c>
      <c r="C140" s="111">
        <f t="shared" si="5"/>
        <v>3</v>
      </c>
      <c r="D140" s="109" t="str" cm="1">
        <f t="array" ref="D140">INDEX('Oth-Map-1'!$I$7:$K$102,1+B140,C140)</f>
        <v/>
      </c>
    </row>
    <row r="141" spans="1:4" x14ac:dyDescent="0.75">
      <c r="A141" s="111">
        <v>139</v>
      </c>
      <c r="B141" s="111">
        <f t="shared" si="4"/>
        <v>46</v>
      </c>
      <c r="C141" s="111">
        <f t="shared" si="5"/>
        <v>1</v>
      </c>
      <c r="D141" s="109" cm="1">
        <f t="array" ref="D141">INDEX('Oth-Map-1'!$I$7:$K$102,1+B141,C141)</f>
        <v>0</v>
      </c>
    </row>
    <row r="142" spans="1:4" x14ac:dyDescent="0.75">
      <c r="A142" s="111">
        <v>140</v>
      </c>
      <c r="B142" s="111">
        <f t="shared" si="4"/>
        <v>46</v>
      </c>
      <c r="C142" s="111">
        <f t="shared" si="5"/>
        <v>2</v>
      </c>
      <c r="D142" s="109" cm="1">
        <f t="array" ref="D142">INDEX('Oth-Map-1'!$I$7:$K$102,1+B142,C142)</f>
        <v>0</v>
      </c>
    </row>
    <row r="143" spans="1:4" x14ac:dyDescent="0.75">
      <c r="A143" s="111">
        <v>141</v>
      </c>
      <c r="B143" s="111">
        <f t="shared" si="4"/>
        <v>46</v>
      </c>
      <c r="C143" s="111">
        <f t="shared" si="5"/>
        <v>3</v>
      </c>
      <c r="D143" s="109" cm="1">
        <f t="array" ref="D143">INDEX('Oth-Map-1'!$I$7:$K$102,1+B143,C143)</f>
        <v>0</v>
      </c>
    </row>
    <row r="144" spans="1:4" x14ac:dyDescent="0.75">
      <c r="A144" s="111">
        <v>142</v>
      </c>
      <c r="B144" s="111">
        <f t="shared" si="4"/>
        <v>47</v>
      </c>
      <c r="C144" s="111">
        <f t="shared" si="5"/>
        <v>1</v>
      </c>
      <c r="D144" s="109" cm="1">
        <f t="array" ref="D144">INDEX('Oth-Map-1'!$I$7:$K$102,1+B144,C144)</f>
        <v>0</v>
      </c>
    </row>
    <row r="145" spans="1:4" x14ac:dyDescent="0.75">
      <c r="A145" s="111">
        <v>143</v>
      </c>
      <c r="B145" s="111">
        <f t="shared" si="4"/>
        <v>47</v>
      </c>
      <c r="C145" s="111">
        <f t="shared" si="5"/>
        <v>2</v>
      </c>
      <c r="D145" s="109" cm="1">
        <f t="array" ref="D145">INDEX('Oth-Map-1'!$I$7:$K$102,1+B145,C145)</f>
        <v>0</v>
      </c>
    </row>
    <row r="146" spans="1:4" x14ac:dyDescent="0.75">
      <c r="A146" s="111">
        <v>144</v>
      </c>
      <c r="B146" s="111">
        <f t="shared" si="4"/>
        <v>47</v>
      </c>
      <c r="C146" s="111">
        <f t="shared" si="5"/>
        <v>3</v>
      </c>
      <c r="D146" s="109" cm="1">
        <f t="array" ref="D146">INDEX('Oth-Map-1'!$I$7:$K$102,1+B146,C146)</f>
        <v>0</v>
      </c>
    </row>
    <row r="147" spans="1:4" x14ac:dyDescent="0.75">
      <c r="A147" s="111">
        <v>145</v>
      </c>
      <c r="B147" s="111">
        <f t="shared" si="4"/>
        <v>48</v>
      </c>
      <c r="C147" s="111">
        <f t="shared" si="5"/>
        <v>1</v>
      </c>
      <c r="D147" s="109" cm="1">
        <f t="array" ref="D147">INDEX('Oth-Map-1'!$I$7:$K$102,1+B147,C147)</f>
        <v>0</v>
      </c>
    </row>
    <row r="148" spans="1:4" x14ac:dyDescent="0.75">
      <c r="A148" s="111">
        <v>146</v>
      </c>
      <c r="B148" s="111">
        <f t="shared" si="4"/>
        <v>48</v>
      </c>
      <c r="C148" s="111">
        <f t="shared" si="5"/>
        <v>2</v>
      </c>
      <c r="D148" s="109" cm="1">
        <f t="array" ref="D148">INDEX('Oth-Map-1'!$I$7:$K$102,1+B148,C148)</f>
        <v>0</v>
      </c>
    </row>
    <row r="149" spans="1:4" x14ac:dyDescent="0.75">
      <c r="A149" s="111">
        <v>147</v>
      </c>
      <c r="B149" s="111">
        <f t="shared" si="4"/>
        <v>48</v>
      </c>
      <c r="C149" s="111">
        <f t="shared" si="5"/>
        <v>3</v>
      </c>
      <c r="D149" s="109" cm="1">
        <f t="array" ref="D149">INDEX('Oth-Map-1'!$I$7:$K$102,1+B149,C149)</f>
        <v>0</v>
      </c>
    </row>
    <row r="150" spans="1:4" x14ac:dyDescent="0.75">
      <c r="A150" s="111">
        <v>148</v>
      </c>
      <c r="B150" s="111">
        <f t="shared" si="4"/>
        <v>49</v>
      </c>
      <c r="C150" s="111">
        <f t="shared" si="5"/>
        <v>1</v>
      </c>
      <c r="D150" s="109" cm="1">
        <f t="array" ref="D150">INDEX('Oth-Map-1'!$I$7:$K$102,1+B150,C150)</f>
        <v>0</v>
      </c>
    </row>
    <row r="151" spans="1:4" x14ac:dyDescent="0.75">
      <c r="A151" s="111">
        <v>149</v>
      </c>
      <c r="B151" s="111">
        <f t="shared" si="4"/>
        <v>49</v>
      </c>
      <c r="C151" s="111">
        <f t="shared" si="5"/>
        <v>2</v>
      </c>
      <c r="D151" s="109" cm="1">
        <f t="array" ref="D151">INDEX('Oth-Map-1'!$I$7:$K$102,1+B151,C151)</f>
        <v>0</v>
      </c>
    </row>
    <row r="152" spans="1:4" x14ac:dyDescent="0.75">
      <c r="A152" s="111">
        <v>150</v>
      </c>
      <c r="B152" s="111">
        <f t="shared" si="4"/>
        <v>49</v>
      </c>
      <c r="C152" s="111">
        <f t="shared" si="5"/>
        <v>3</v>
      </c>
      <c r="D152" s="109" cm="1">
        <f t="array" ref="D152">INDEX('Oth-Map-1'!$I$7:$K$102,1+B152,C152)</f>
        <v>0</v>
      </c>
    </row>
    <row r="153" spans="1:4" x14ac:dyDescent="0.75">
      <c r="A153" s="111">
        <v>151</v>
      </c>
      <c r="B153" s="111">
        <f t="shared" si="4"/>
        <v>50</v>
      </c>
      <c r="C153" s="111">
        <f t="shared" si="5"/>
        <v>1</v>
      </c>
      <c r="D153" s="109" cm="1">
        <f t="array" ref="D153">INDEX('Oth-Map-1'!$I$7:$K$102,1+B153,C153)</f>
        <v>0</v>
      </c>
    </row>
    <row r="154" spans="1:4" x14ac:dyDescent="0.75">
      <c r="A154" s="111">
        <v>152</v>
      </c>
      <c r="B154" s="111">
        <f t="shared" si="4"/>
        <v>50</v>
      </c>
      <c r="C154" s="111">
        <f t="shared" si="5"/>
        <v>2</v>
      </c>
      <c r="D154" s="109" cm="1">
        <f t="array" ref="D154">INDEX('Oth-Map-1'!$I$7:$K$102,1+B154,C154)</f>
        <v>0</v>
      </c>
    </row>
    <row r="155" spans="1:4" x14ac:dyDescent="0.75">
      <c r="A155" s="111">
        <v>153</v>
      </c>
      <c r="B155" s="111">
        <f t="shared" si="4"/>
        <v>50</v>
      </c>
      <c r="C155" s="111">
        <f t="shared" si="5"/>
        <v>3</v>
      </c>
      <c r="D155" s="109" cm="1">
        <f t="array" ref="D155">INDEX('Oth-Map-1'!$I$7:$K$102,1+B155,C155)</f>
        <v>0</v>
      </c>
    </row>
    <row r="156" spans="1:4" x14ac:dyDescent="0.75">
      <c r="A156" s="111">
        <v>154</v>
      </c>
      <c r="B156" s="111">
        <f t="shared" si="4"/>
        <v>51</v>
      </c>
      <c r="C156" s="111">
        <f t="shared" si="5"/>
        <v>1</v>
      </c>
      <c r="D156" s="109" cm="1">
        <f t="array" ref="D156">INDEX('Oth-Map-1'!$I$7:$K$102,1+B156,C156)</f>
        <v>0</v>
      </c>
    </row>
    <row r="157" spans="1:4" x14ac:dyDescent="0.75">
      <c r="A157" s="111">
        <v>155</v>
      </c>
      <c r="B157" s="111">
        <f t="shared" si="4"/>
        <v>51</v>
      </c>
      <c r="C157" s="111">
        <f t="shared" si="5"/>
        <v>2</v>
      </c>
      <c r="D157" s="109" cm="1">
        <f t="array" ref="D157">INDEX('Oth-Map-1'!$I$7:$K$102,1+B157,C157)</f>
        <v>0</v>
      </c>
    </row>
    <row r="158" spans="1:4" x14ac:dyDescent="0.75">
      <c r="A158" s="111">
        <v>156</v>
      </c>
      <c r="B158" s="111">
        <f t="shared" si="4"/>
        <v>51</v>
      </c>
      <c r="C158" s="111">
        <f t="shared" si="5"/>
        <v>3</v>
      </c>
      <c r="D158" s="109" cm="1">
        <f t="array" ref="D158">INDEX('Oth-Map-1'!$I$7:$K$102,1+B158,C158)</f>
        <v>0</v>
      </c>
    </row>
    <row r="159" spans="1:4" x14ac:dyDescent="0.75">
      <c r="A159" s="111">
        <v>157</v>
      </c>
      <c r="B159" s="111">
        <f t="shared" si="4"/>
        <v>52</v>
      </c>
      <c r="C159" s="111">
        <f t="shared" si="5"/>
        <v>1</v>
      </c>
      <c r="D159" s="109" cm="1">
        <f t="array" ref="D159">INDEX('Oth-Map-1'!$I$7:$K$102,1+B159,C159)</f>
        <v>0</v>
      </c>
    </row>
    <row r="160" spans="1:4" x14ac:dyDescent="0.75">
      <c r="A160" s="111">
        <v>158</v>
      </c>
      <c r="B160" s="111">
        <f t="shared" si="4"/>
        <v>52</v>
      </c>
      <c r="C160" s="111">
        <f t="shared" si="5"/>
        <v>2</v>
      </c>
      <c r="D160" s="109" cm="1">
        <f t="array" ref="D160">INDEX('Oth-Map-1'!$I$7:$K$102,1+B160,C160)</f>
        <v>0</v>
      </c>
    </row>
    <row r="161" spans="1:4" x14ac:dyDescent="0.75">
      <c r="A161" s="111">
        <v>159</v>
      </c>
      <c r="B161" s="111">
        <f t="shared" si="4"/>
        <v>52</v>
      </c>
      <c r="C161" s="111">
        <f t="shared" si="5"/>
        <v>3</v>
      </c>
      <c r="D161" s="109" cm="1">
        <f t="array" ref="D161">INDEX('Oth-Map-1'!$I$7:$K$102,1+B161,C161)</f>
        <v>0</v>
      </c>
    </row>
    <row r="162" spans="1:4" x14ac:dyDescent="0.75">
      <c r="A162" s="111">
        <v>160</v>
      </c>
      <c r="B162" s="111">
        <f t="shared" si="4"/>
        <v>53</v>
      </c>
      <c r="C162" s="111">
        <f t="shared" si="5"/>
        <v>1</v>
      </c>
      <c r="D162" s="109" cm="1">
        <f t="array" ref="D162">INDEX('Oth-Map-1'!$I$7:$K$102,1+B162,C162)</f>
        <v>0</v>
      </c>
    </row>
    <row r="163" spans="1:4" x14ac:dyDescent="0.75">
      <c r="A163" s="111">
        <v>161</v>
      </c>
      <c r="B163" s="111">
        <f t="shared" si="4"/>
        <v>53</v>
      </c>
      <c r="C163" s="111">
        <f t="shared" si="5"/>
        <v>2</v>
      </c>
      <c r="D163" s="109" cm="1">
        <f t="array" ref="D163">INDEX('Oth-Map-1'!$I$7:$K$102,1+B163,C163)</f>
        <v>0</v>
      </c>
    </row>
    <row r="164" spans="1:4" x14ac:dyDescent="0.75">
      <c r="A164" s="111">
        <v>162</v>
      </c>
      <c r="B164" s="111">
        <f t="shared" si="4"/>
        <v>53</v>
      </c>
      <c r="C164" s="111">
        <f t="shared" si="5"/>
        <v>3</v>
      </c>
      <c r="D164" s="109" cm="1">
        <f t="array" ref="D164">INDEX('Oth-Map-1'!$I$7:$K$102,1+B164,C164)</f>
        <v>0</v>
      </c>
    </row>
    <row r="165" spans="1:4" x14ac:dyDescent="0.75">
      <c r="A165" s="111">
        <v>163</v>
      </c>
      <c r="B165" s="111">
        <f t="shared" si="4"/>
        <v>54</v>
      </c>
      <c r="C165" s="111">
        <f t="shared" si="5"/>
        <v>1</v>
      </c>
      <c r="D165" s="109" cm="1">
        <f t="array" ref="D165">INDEX('Oth-Map-1'!$I$7:$K$102,1+B165,C165)</f>
        <v>0</v>
      </c>
    </row>
    <row r="166" spans="1:4" x14ac:dyDescent="0.75">
      <c r="A166" s="111">
        <v>164</v>
      </c>
      <c r="B166" s="111">
        <f t="shared" si="4"/>
        <v>54</v>
      </c>
      <c r="C166" s="111">
        <f t="shared" si="5"/>
        <v>2</v>
      </c>
      <c r="D166" s="109" cm="1">
        <f t="array" ref="D166">INDEX('Oth-Map-1'!$I$7:$K$102,1+B166,C166)</f>
        <v>0</v>
      </c>
    </row>
    <row r="167" spans="1:4" x14ac:dyDescent="0.75">
      <c r="A167" s="111">
        <v>165</v>
      </c>
      <c r="B167" s="111">
        <f t="shared" si="4"/>
        <v>54</v>
      </c>
      <c r="C167" s="111">
        <f t="shared" si="5"/>
        <v>3</v>
      </c>
      <c r="D167" s="109" cm="1">
        <f t="array" ref="D167">INDEX('Oth-Map-1'!$I$7:$K$102,1+B167,C167)</f>
        <v>0</v>
      </c>
    </row>
    <row r="168" spans="1:4" x14ac:dyDescent="0.75">
      <c r="A168" s="111">
        <v>166</v>
      </c>
      <c r="B168" s="111">
        <f t="shared" si="4"/>
        <v>55</v>
      </c>
      <c r="C168" s="111">
        <f t="shared" si="5"/>
        <v>1</v>
      </c>
      <c r="D168" s="109" cm="1">
        <f t="array" ref="D168">INDEX('Oth-Map-1'!$I$7:$K$102,1+B168,C168)</f>
        <v>0</v>
      </c>
    </row>
    <row r="169" spans="1:4" x14ac:dyDescent="0.75">
      <c r="A169" s="111">
        <v>167</v>
      </c>
      <c r="B169" s="111">
        <f t="shared" si="4"/>
        <v>55</v>
      </c>
      <c r="C169" s="111">
        <f t="shared" si="5"/>
        <v>2</v>
      </c>
      <c r="D169" s="109" cm="1">
        <f t="array" ref="D169">INDEX('Oth-Map-1'!$I$7:$K$102,1+B169,C169)</f>
        <v>0</v>
      </c>
    </row>
    <row r="170" spans="1:4" x14ac:dyDescent="0.75">
      <c r="A170" s="111">
        <v>168</v>
      </c>
      <c r="B170" s="111">
        <f t="shared" si="4"/>
        <v>55</v>
      </c>
      <c r="C170" s="111">
        <f t="shared" si="5"/>
        <v>3</v>
      </c>
      <c r="D170" s="109" cm="1">
        <f t="array" ref="D170">INDEX('Oth-Map-1'!$I$7:$K$102,1+B170,C170)</f>
        <v>0</v>
      </c>
    </row>
    <row r="171" spans="1:4" x14ac:dyDescent="0.75">
      <c r="A171" s="111">
        <v>169</v>
      </c>
      <c r="B171" s="111">
        <f t="shared" si="4"/>
        <v>56</v>
      </c>
      <c r="C171" s="111">
        <f t="shared" si="5"/>
        <v>1</v>
      </c>
      <c r="D171" s="109" cm="1">
        <f t="array" ref="D171">INDEX('Oth-Map-1'!$I$7:$K$102,1+B171,C171)</f>
        <v>0</v>
      </c>
    </row>
    <row r="172" spans="1:4" x14ac:dyDescent="0.75">
      <c r="A172" s="111">
        <v>170</v>
      </c>
      <c r="B172" s="111">
        <f t="shared" si="4"/>
        <v>56</v>
      </c>
      <c r="C172" s="111">
        <f t="shared" si="5"/>
        <v>2</v>
      </c>
      <c r="D172" s="109" cm="1">
        <f t="array" ref="D172">INDEX('Oth-Map-1'!$I$7:$K$102,1+B172,C172)</f>
        <v>0</v>
      </c>
    </row>
    <row r="173" spans="1:4" x14ac:dyDescent="0.75">
      <c r="A173" s="111">
        <v>171</v>
      </c>
      <c r="B173" s="111">
        <f t="shared" si="4"/>
        <v>56</v>
      </c>
      <c r="C173" s="111">
        <f t="shared" si="5"/>
        <v>3</v>
      </c>
      <c r="D173" s="109" cm="1">
        <f t="array" ref="D173">INDEX('Oth-Map-1'!$I$7:$K$102,1+B173,C173)</f>
        <v>0</v>
      </c>
    </row>
    <row r="174" spans="1:4" x14ac:dyDescent="0.75">
      <c r="A174" s="111">
        <v>172</v>
      </c>
      <c r="B174" s="111">
        <f t="shared" si="4"/>
        <v>57</v>
      </c>
      <c r="C174" s="111">
        <f t="shared" si="5"/>
        <v>1</v>
      </c>
      <c r="D174" s="109" cm="1">
        <f t="array" ref="D174">INDEX('Oth-Map-1'!$I$7:$K$102,1+B174,C174)</f>
        <v>0</v>
      </c>
    </row>
    <row r="175" spans="1:4" x14ac:dyDescent="0.75">
      <c r="A175" s="111">
        <v>173</v>
      </c>
      <c r="B175" s="111">
        <f t="shared" si="4"/>
        <v>57</v>
      </c>
      <c r="C175" s="111">
        <f t="shared" si="5"/>
        <v>2</v>
      </c>
      <c r="D175" s="109" cm="1">
        <f t="array" ref="D175">INDEX('Oth-Map-1'!$I$7:$K$102,1+B175,C175)</f>
        <v>0</v>
      </c>
    </row>
    <row r="176" spans="1:4" x14ac:dyDescent="0.75">
      <c r="A176" s="111">
        <v>174</v>
      </c>
      <c r="B176" s="111">
        <f t="shared" si="4"/>
        <v>57</v>
      </c>
      <c r="C176" s="111">
        <f t="shared" si="5"/>
        <v>3</v>
      </c>
      <c r="D176" s="109" cm="1">
        <f t="array" ref="D176">INDEX('Oth-Map-1'!$I$7:$K$102,1+B176,C176)</f>
        <v>0</v>
      </c>
    </row>
    <row r="177" spans="1:4" x14ac:dyDescent="0.75">
      <c r="A177" s="111">
        <v>175</v>
      </c>
      <c r="B177" s="111">
        <f t="shared" si="4"/>
        <v>58</v>
      </c>
      <c r="C177" s="111">
        <f t="shared" si="5"/>
        <v>1</v>
      </c>
      <c r="D177" s="109" cm="1">
        <f t="array" ref="D177">INDEX('Oth-Map-1'!$I$7:$K$102,1+B177,C177)</f>
        <v>0</v>
      </c>
    </row>
    <row r="178" spans="1:4" x14ac:dyDescent="0.75">
      <c r="A178" s="111">
        <v>176</v>
      </c>
      <c r="B178" s="111">
        <f t="shared" si="4"/>
        <v>58</v>
      </c>
      <c r="C178" s="111">
        <f t="shared" si="5"/>
        <v>2</v>
      </c>
      <c r="D178" s="109" cm="1">
        <f t="array" ref="D178">INDEX('Oth-Map-1'!$I$7:$K$102,1+B178,C178)</f>
        <v>0</v>
      </c>
    </row>
    <row r="179" spans="1:4" x14ac:dyDescent="0.75">
      <c r="A179" s="111">
        <v>177</v>
      </c>
      <c r="B179" s="111">
        <f t="shared" si="4"/>
        <v>58</v>
      </c>
      <c r="C179" s="111">
        <f t="shared" si="5"/>
        <v>3</v>
      </c>
      <c r="D179" s="109" cm="1">
        <f t="array" ref="D179">INDEX('Oth-Map-1'!$I$7:$K$102,1+B179,C179)</f>
        <v>0</v>
      </c>
    </row>
    <row r="180" spans="1:4" x14ac:dyDescent="0.75">
      <c r="A180" s="111">
        <v>178</v>
      </c>
      <c r="B180" s="111">
        <f t="shared" si="4"/>
        <v>59</v>
      </c>
      <c r="C180" s="111">
        <f t="shared" si="5"/>
        <v>1</v>
      </c>
      <c r="D180" s="109" cm="1">
        <f t="array" ref="D180">INDEX('Oth-Map-1'!$I$7:$K$102,1+B180,C180)</f>
        <v>0</v>
      </c>
    </row>
    <row r="181" spans="1:4" x14ac:dyDescent="0.75">
      <c r="A181" s="111">
        <v>179</v>
      </c>
      <c r="B181" s="111">
        <f t="shared" si="4"/>
        <v>59</v>
      </c>
      <c r="C181" s="111">
        <f t="shared" si="5"/>
        <v>2</v>
      </c>
      <c r="D181" s="109" cm="1">
        <f t="array" ref="D181">INDEX('Oth-Map-1'!$I$7:$K$102,1+B181,C181)</f>
        <v>0</v>
      </c>
    </row>
    <row r="182" spans="1:4" x14ac:dyDescent="0.75">
      <c r="A182" s="111">
        <v>180</v>
      </c>
      <c r="B182" s="111">
        <f t="shared" si="4"/>
        <v>59</v>
      </c>
      <c r="C182" s="111">
        <f t="shared" si="5"/>
        <v>3</v>
      </c>
      <c r="D182" s="109" cm="1">
        <f t="array" ref="D182">INDEX('Oth-Map-1'!$I$7:$K$102,1+B182,C182)</f>
        <v>0</v>
      </c>
    </row>
    <row r="183" spans="1:4" x14ac:dyDescent="0.75">
      <c r="A183" s="111">
        <v>181</v>
      </c>
      <c r="B183" s="111">
        <f t="shared" si="4"/>
        <v>60</v>
      </c>
      <c r="C183" s="111">
        <f t="shared" si="5"/>
        <v>1</v>
      </c>
      <c r="D183" s="109" cm="1">
        <f t="array" ref="D183">INDEX('Oth-Map-1'!$I$7:$K$102,1+B183,C183)</f>
        <v>0</v>
      </c>
    </row>
    <row r="184" spans="1:4" x14ac:dyDescent="0.75">
      <c r="A184" s="111">
        <v>182</v>
      </c>
      <c r="B184" s="111">
        <f t="shared" si="4"/>
        <v>60</v>
      </c>
      <c r="C184" s="111">
        <f t="shared" si="5"/>
        <v>2</v>
      </c>
      <c r="D184" s="109" cm="1">
        <f t="array" ref="D184">INDEX('Oth-Map-1'!$I$7:$K$102,1+B184,C184)</f>
        <v>0</v>
      </c>
    </row>
    <row r="185" spans="1:4" x14ac:dyDescent="0.75">
      <c r="A185" s="111">
        <v>183</v>
      </c>
      <c r="B185" s="111">
        <f t="shared" si="4"/>
        <v>60</v>
      </c>
      <c r="C185" s="111">
        <f t="shared" si="5"/>
        <v>3</v>
      </c>
      <c r="D185" s="109" cm="1">
        <f t="array" ref="D185">INDEX('Oth-Map-1'!$I$7:$K$102,1+B185,C185)</f>
        <v>0</v>
      </c>
    </row>
    <row r="186" spans="1:4" x14ac:dyDescent="0.75">
      <c r="A186" s="111">
        <v>184</v>
      </c>
      <c r="B186" s="111">
        <f t="shared" si="4"/>
        <v>61</v>
      </c>
      <c r="C186" s="111">
        <f t="shared" si="5"/>
        <v>1</v>
      </c>
      <c r="D186" s="109" cm="1">
        <f t="array" ref="D186">INDEX('Oth-Map-1'!$I$7:$K$102,1+B186,C186)</f>
        <v>0</v>
      </c>
    </row>
    <row r="187" spans="1:4" x14ac:dyDescent="0.75">
      <c r="A187" s="111">
        <v>185</v>
      </c>
      <c r="B187" s="111">
        <f t="shared" si="4"/>
        <v>61</v>
      </c>
      <c r="C187" s="111">
        <f t="shared" si="5"/>
        <v>2</v>
      </c>
      <c r="D187" s="109" cm="1">
        <f t="array" ref="D187">INDEX('Oth-Map-1'!$I$7:$K$102,1+B187,C187)</f>
        <v>0</v>
      </c>
    </row>
    <row r="188" spans="1:4" x14ac:dyDescent="0.75">
      <c r="A188" s="111">
        <v>186</v>
      </c>
      <c r="B188" s="111">
        <f t="shared" si="4"/>
        <v>61</v>
      </c>
      <c r="C188" s="111">
        <f t="shared" si="5"/>
        <v>3</v>
      </c>
      <c r="D188" s="109" cm="1">
        <f t="array" ref="D188">INDEX('Oth-Map-1'!$I$7:$K$102,1+B188,C188)</f>
        <v>0</v>
      </c>
    </row>
    <row r="189" spans="1:4" x14ac:dyDescent="0.75">
      <c r="A189" s="111">
        <v>187</v>
      </c>
      <c r="B189" s="111">
        <f t="shared" si="4"/>
        <v>62</v>
      </c>
      <c r="C189" s="111">
        <f t="shared" si="5"/>
        <v>1</v>
      </c>
      <c r="D189" s="109" cm="1">
        <f t="array" ref="D189">INDEX('Oth-Map-1'!$I$7:$K$102,1+B189,C189)</f>
        <v>0</v>
      </c>
    </row>
    <row r="190" spans="1:4" x14ac:dyDescent="0.75">
      <c r="A190" s="111">
        <v>188</v>
      </c>
      <c r="B190" s="111">
        <f t="shared" si="4"/>
        <v>62</v>
      </c>
      <c r="C190" s="111">
        <f t="shared" si="5"/>
        <v>2</v>
      </c>
      <c r="D190" s="109" cm="1">
        <f t="array" ref="D190">INDEX('Oth-Map-1'!$I$7:$K$102,1+B190,C190)</f>
        <v>0</v>
      </c>
    </row>
    <row r="191" spans="1:4" x14ac:dyDescent="0.75">
      <c r="A191" s="111">
        <v>189</v>
      </c>
      <c r="B191" s="111">
        <f t="shared" si="4"/>
        <v>62</v>
      </c>
      <c r="C191" s="111">
        <f t="shared" si="5"/>
        <v>3</v>
      </c>
      <c r="D191" s="109" cm="1">
        <f t="array" ref="D191">INDEX('Oth-Map-1'!$I$7:$K$102,1+B191,C191)</f>
        <v>0</v>
      </c>
    </row>
    <row r="192" spans="1:4" x14ac:dyDescent="0.75">
      <c r="A192" s="111">
        <v>190</v>
      </c>
      <c r="B192" s="111">
        <f t="shared" si="4"/>
        <v>63</v>
      </c>
      <c r="C192" s="111">
        <f t="shared" si="5"/>
        <v>1</v>
      </c>
      <c r="D192" s="109" cm="1">
        <f t="array" ref="D192">INDEX('Oth-Map-1'!$I$7:$K$102,1+B192,C192)</f>
        <v>0</v>
      </c>
    </row>
    <row r="193" spans="1:4" x14ac:dyDescent="0.75">
      <c r="A193" s="111">
        <v>191</v>
      </c>
      <c r="B193" s="111">
        <f t="shared" si="4"/>
        <v>63</v>
      </c>
      <c r="C193" s="111">
        <f t="shared" si="5"/>
        <v>2</v>
      </c>
      <c r="D193" s="109" cm="1">
        <f t="array" ref="D193">INDEX('Oth-Map-1'!$I$7:$K$102,1+B193,C193)</f>
        <v>0</v>
      </c>
    </row>
    <row r="194" spans="1:4" x14ac:dyDescent="0.75">
      <c r="A194" s="111">
        <v>192</v>
      </c>
      <c r="B194" s="111">
        <f t="shared" si="4"/>
        <v>63</v>
      </c>
      <c r="C194" s="111">
        <f t="shared" si="5"/>
        <v>3</v>
      </c>
      <c r="D194" s="109" cm="1">
        <f t="array" ref="D194">INDEX('Oth-Map-1'!$I$7:$K$102,1+B194,C194)</f>
        <v>0</v>
      </c>
    </row>
    <row r="195" spans="1:4" x14ac:dyDescent="0.75">
      <c r="A195" s="111">
        <v>193</v>
      </c>
      <c r="B195" s="111">
        <f t="shared" si="4"/>
        <v>64</v>
      </c>
      <c r="C195" s="111">
        <f t="shared" si="5"/>
        <v>1</v>
      </c>
      <c r="D195" s="109" cm="1">
        <f t="array" ref="D195">INDEX('Oth-Map-1'!$I$7:$K$102,1+B195,C195)</f>
        <v>0</v>
      </c>
    </row>
    <row r="196" spans="1:4" x14ac:dyDescent="0.75">
      <c r="A196" s="111">
        <v>194</v>
      </c>
      <c r="B196" s="111">
        <f t="shared" ref="B196:B206" si="6">IF(MOD(A196,3)=0,A196/3-1,INT(A196/3))</f>
        <v>64</v>
      </c>
      <c r="C196" s="111">
        <f t="shared" ref="C196:C206" si="7">IF(MOD(A196,3)=0,3,MOD(A196,3))</f>
        <v>2</v>
      </c>
      <c r="D196" s="109" cm="1">
        <f t="array" ref="D196">INDEX('Oth-Map-1'!$I$7:$K$102,1+B196,C196)</f>
        <v>0</v>
      </c>
    </row>
    <row r="197" spans="1:4" x14ac:dyDescent="0.75">
      <c r="A197" s="111">
        <v>195</v>
      </c>
      <c r="B197" s="111">
        <f t="shared" si="6"/>
        <v>64</v>
      </c>
      <c r="C197" s="111">
        <f t="shared" si="7"/>
        <v>3</v>
      </c>
      <c r="D197" s="109" cm="1">
        <f t="array" ref="D197">INDEX('Oth-Map-1'!$I$7:$K$102,1+B197,C197)</f>
        <v>0</v>
      </c>
    </row>
    <row r="198" spans="1:4" x14ac:dyDescent="0.75">
      <c r="A198" s="111">
        <v>196</v>
      </c>
      <c r="B198" s="111">
        <f t="shared" si="6"/>
        <v>65</v>
      </c>
      <c r="C198" s="111">
        <f t="shared" si="7"/>
        <v>1</v>
      </c>
      <c r="D198" s="109" cm="1">
        <f t="array" ref="D198">INDEX('Oth-Map-1'!$I$7:$K$102,1+B198,C198)</f>
        <v>0</v>
      </c>
    </row>
    <row r="199" spans="1:4" x14ac:dyDescent="0.75">
      <c r="A199" s="111">
        <v>197</v>
      </c>
      <c r="B199" s="111">
        <f t="shared" si="6"/>
        <v>65</v>
      </c>
      <c r="C199" s="111">
        <f t="shared" si="7"/>
        <v>2</v>
      </c>
      <c r="D199" s="109" cm="1">
        <f t="array" ref="D199">INDEX('Oth-Map-1'!$I$7:$K$102,1+B199,C199)</f>
        <v>0</v>
      </c>
    </row>
    <row r="200" spans="1:4" x14ac:dyDescent="0.75">
      <c r="A200" s="111">
        <v>198</v>
      </c>
      <c r="B200" s="111">
        <f t="shared" si="6"/>
        <v>65</v>
      </c>
      <c r="C200" s="111">
        <f t="shared" si="7"/>
        <v>3</v>
      </c>
      <c r="D200" s="109" cm="1">
        <f t="array" ref="D200">INDEX('Oth-Map-1'!$I$7:$K$102,1+B200,C200)</f>
        <v>0</v>
      </c>
    </row>
    <row r="201" spans="1:4" x14ac:dyDescent="0.75">
      <c r="A201" s="111">
        <v>199</v>
      </c>
      <c r="B201" s="111">
        <f t="shared" si="6"/>
        <v>66</v>
      </c>
      <c r="C201" s="111">
        <f t="shared" si="7"/>
        <v>1</v>
      </c>
      <c r="D201" s="109" cm="1">
        <f t="array" ref="D201">INDEX('Oth-Map-1'!$I$7:$K$102,1+B201,C201)</f>
        <v>0</v>
      </c>
    </row>
    <row r="202" spans="1:4" x14ac:dyDescent="0.75">
      <c r="A202" s="111">
        <v>200</v>
      </c>
      <c r="B202" s="111">
        <f t="shared" si="6"/>
        <v>66</v>
      </c>
      <c r="C202" s="111">
        <f t="shared" si="7"/>
        <v>2</v>
      </c>
      <c r="D202" s="109" cm="1">
        <f t="array" ref="D202">INDEX('Oth-Map-1'!$I$7:$K$102,1+B202,C202)</f>
        <v>0</v>
      </c>
    </row>
    <row r="203" spans="1:4" x14ac:dyDescent="0.75">
      <c r="A203" s="111">
        <v>201</v>
      </c>
      <c r="B203" s="111">
        <f t="shared" si="6"/>
        <v>66</v>
      </c>
      <c r="C203" s="111">
        <f t="shared" si="7"/>
        <v>3</v>
      </c>
      <c r="D203" s="109" cm="1">
        <f t="array" ref="D203">INDEX('Oth-Map-1'!$I$7:$K$102,1+B203,C203)</f>
        <v>0</v>
      </c>
    </row>
    <row r="204" spans="1:4" x14ac:dyDescent="0.75">
      <c r="A204" s="111">
        <v>202</v>
      </c>
      <c r="B204" s="111">
        <f t="shared" si="6"/>
        <v>67</v>
      </c>
      <c r="C204" s="111">
        <f t="shared" si="7"/>
        <v>1</v>
      </c>
      <c r="D204" s="109" cm="1">
        <f t="array" ref="D204">INDEX('Oth-Map-1'!$I$7:$K$102,1+B204,C204)</f>
        <v>0</v>
      </c>
    </row>
    <row r="205" spans="1:4" x14ac:dyDescent="0.75">
      <c r="A205" s="111">
        <v>203</v>
      </c>
      <c r="B205" s="111">
        <f t="shared" si="6"/>
        <v>67</v>
      </c>
      <c r="C205" s="111">
        <f t="shared" si="7"/>
        <v>2</v>
      </c>
      <c r="D205" s="109" cm="1">
        <f t="array" ref="D205">INDEX('Oth-Map-1'!$I$7:$K$102,1+B205,C205)</f>
        <v>0</v>
      </c>
    </row>
    <row r="206" spans="1:4" x14ac:dyDescent="0.75">
      <c r="A206" s="111">
        <v>204</v>
      </c>
      <c r="B206" s="111">
        <f t="shared" si="6"/>
        <v>67</v>
      </c>
      <c r="C206" s="111">
        <f t="shared" si="7"/>
        <v>3</v>
      </c>
      <c r="D206" s="109" cm="1">
        <f t="array" ref="D206">INDEX('Oth-Map-1'!$I$7:$K$102,1+B206,C206)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08"/>
  <sheetViews>
    <sheetView topLeftCell="A67" workbookViewId="0">
      <selection activeCell="D100" sqref="D100"/>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"TBD"</v>
      </c>
    </row>
    <row r="5" spans="4:4" x14ac:dyDescent="0.75">
      <c r="D5" s="111" t="str">
        <f>'Oth-Map-2'!D5</f>
        <v/>
      </c>
    </row>
    <row r="6" spans="4:4" x14ac:dyDescent="0.75">
      <c r="D6" s="111" t="str">
        <f>'Oth-Map-2'!D6</f>
        <v>* differential.element[1].mapping[0].identity = "fhir"</v>
      </c>
    </row>
    <row r="7" spans="4:4" x14ac:dyDescent="0.75">
      <c r="D7" s="111" t="str">
        <f>'Oth-Map-2'!D7</f>
        <v>* differential.element[1].mapping[0].map = "TBD"</v>
      </c>
    </row>
    <row r="8" spans="4:4" x14ac:dyDescent="0.75">
      <c r="D8" s="111" t="str">
        <f>'Oth-Map-2'!D8</f>
        <v/>
      </c>
    </row>
    <row r="9" spans="4:4" x14ac:dyDescent="0.75">
      <c r="D9" s="111" t="str">
        <f>'Oth-Map-2'!D9</f>
        <v>* differential.element[2].mapping[0].identity = "fhir"</v>
      </c>
    </row>
    <row r="10" spans="4:4" x14ac:dyDescent="0.75">
      <c r="D10" s="111" t="str">
        <f>'Oth-Map-2'!D10</f>
        <v>* differential.element[2].mapping[0].map = "TBD"</v>
      </c>
    </row>
    <row r="11" spans="4:4" x14ac:dyDescent="0.75">
      <c r="D11" s="111" t="str">
        <f>'Oth-Map-2'!D11</f>
        <v/>
      </c>
    </row>
    <row r="12" spans="4:4" x14ac:dyDescent="0.75">
      <c r="D12" s="111" t="str">
        <f>'Oth-Map-2'!D12</f>
        <v>* differential.element[3].mapping[0].identity = "fhir"</v>
      </c>
    </row>
    <row r="13" spans="4:4" x14ac:dyDescent="0.75">
      <c r="D13" s="111" t="str">
        <f>'Oth-Map-2'!D13</f>
        <v>* differential.element[3].mapping[0].map = "TBD"</v>
      </c>
    </row>
    <row r="14" spans="4:4" x14ac:dyDescent="0.75">
      <c r="D14" s="111" t="str">
        <f>'Oth-Map-2'!D14</f>
        <v/>
      </c>
    </row>
    <row r="15" spans="4:4" x14ac:dyDescent="0.75">
      <c r="D15" s="111" t="str">
        <f>'Oth-Map-2'!D15</f>
        <v>* differential.element[4].mapping[0].identity = "fhir"</v>
      </c>
    </row>
    <row r="16" spans="4:4" x14ac:dyDescent="0.75">
      <c r="D16" s="111" t="str">
        <f>'Oth-Map-2'!D16</f>
        <v>* differential.element[4].mapping[0].map = "TBD"</v>
      </c>
    </row>
    <row r="17" spans="4:4" x14ac:dyDescent="0.75">
      <c r="D17" s="111" t="str">
        <f>'Oth-Map-2'!D17</f>
        <v/>
      </c>
    </row>
    <row r="18" spans="4:4" x14ac:dyDescent="0.75">
      <c r="D18" s="111" t="str">
        <f>'Oth-Map-2'!D18</f>
        <v>* differential.element[5].mapping[0].identity = "fhir"</v>
      </c>
    </row>
    <row r="19" spans="4:4" x14ac:dyDescent="0.75">
      <c r="D19" s="111" t="str">
        <f>'Oth-Map-2'!D19</f>
        <v>* differential.element[5].mapping[0].map = "TBD"</v>
      </c>
    </row>
    <row r="20" spans="4:4" x14ac:dyDescent="0.75">
      <c r="D20" s="111" t="str">
        <f>'Oth-Map-2'!D20</f>
        <v/>
      </c>
    </row>
    <row r="21" spans="4:4" x14ac:dyDescent="0.75">
      <c r="D21" s="111" t="str">
        <f>'Oth-Map-2'!D21</f>
        <v>* differential.element[6].mapping[0].identity = "fhir"</v>
      </c>
    </row>
    <row r="22" spans="4:4" x14ac:dyDescent="0.75">
      <c r="D22" s="111" t="str">
        <f>'Oth-Map-2'!D22</f>
        <v>* differential.element[6].mapping[0].map = "TBD"</v>
      </c>
    </row>
    <row r="23" spans="4:4" x14ac:dyDescent="0.75">
      <c r="D23" s="111" t="str">
        <f>'Oth-Map-2'!D23</f>
        <v/>
      </c>
    </row>
    <row r="24" spans="4:4" x14ac:dyDescent="0.75">
      <c r="D24" s="111" t="str">
        <f>'Oth-Map-2'!D24</f>
        <v>* differential.element[7].mapping[0].identity = "fhir"</v>
      </c>
    </row>
    <row r="25" spans="4:4" x14ac:dyDescent="0.75">
      <c r="D25" s="111" t="str">
        <f>'Oth-Map-2'!D25</f>
        <v>* differential.element[7].mapping[0].map = "TBD"</v>
      </c>
    </row>
    <row r="26" spans="4:4" x14ac:dyDescent="0.75">
      <c r="D26" s="111" t="str">
        <f>'Oth-Map-2'!D26</f>
        <v/>
      </c>
    </row>
    <row r="27" spans="4:4" x14ac:dyDescent="0.75">
      <c r="D27" s="111" t="str">
        <f>'Oth-Map-2'!D27</f>
        <v>* differential.element[8].mapping[0].identity = "fhir"</v>
      </c>
    </row>
    <row r="28" spans="4:4" x14ac:dyDescent="0.75">
      <c r="D28" s="111" t="str">
        <f>'Oth-Map-2'!D28</f>
        <v>* differential.element[8].mapping[0].map = "TBD"</v>
      </c>
    </row>
    <row r="29" spans="4:4" x14ac:dyDescent="0.75">
      <c r="D29" s="111" t="str">
        <f>'Oth-Map-2'!D29</f>
        <v/>
      </c>
    </row>
    <row r="30" spans="4:4" x14ac:dyDescent="0.75">
      <c r="D30" s="111" t="str">
        <f>'Oth-Map-2'!D30</f>
        <v>* differential.element[9].mapping[0].identity = "fhir"</v>
      </c>
    </row>
    <row r="31" spans="4:4" x14ac:dyDescent="0.75">
      <c r="D31" s="111" t="str">
        <f>'Oth-Map-2'!D31</f>
        <v>* differential.element[9].mapping[0].map = "TBD"</v>
      </c>
    </row>
    <row r="32" spans="4:4" x14ac:dyDescent="0.75">
      <c r="D32" s="111" t="str">
        <f>'Oth-Map-2'!D32</f>
        <v/>
      </c>
    </row>
    <row r="33" spans="4:4" x14ac:dyDescent="0.75">
      <c r="D33" s="111" t="str">
        <f>'Oth-Map-2'!D33</f>
        <v>* differential.element[10].mapping[0].identity = "fhir"</v>
      </c>
    </row>
    <row r="34" spans="4:4" x14ac:dyDescent="0.75">
      <c r="D34" s="111" t="str">
        <f>'Oth-Map-2'!D34</f>
        <v>* differential.element[10].mapping[0].map = "TBD"</v>
      </c>
    </row>
    <row r="35" spans="4:4" x14ac:dyDescent="0.75">
      <c r="D35" s="111" t="str">
        <f>'Oth-Map-2'!D35</f>
        <v/>
      </c>
    </row>
    <row r="36" spans="4:4" x14ac:dyDescent="0.75">
      <c r="D36" s="111" t="str">
        <f>'Oth-Map-2'!D36</f>
        <v>* differential.element[11].mapping[0].identity = "fhir"</v>
      </c>
    </row>
    <row r="37" spans="4:4" x14ac:dyDescent="0.75">
      <c r="D37" s="111" t="str">
        <f>'Oth-Map-2'!D37</f>
        <v>* differential.element[11].mapping[0].map = "TBD"</v>
      </c>
    </row>
    <row r="38" spans="4:4" x14ac:dyDescent="0.75">
      <c r="D38" s="111" t="str">
        <f>'Oth-Map-2'!D38</f>
        <v/>
      </c>
    </row>
    <row r="39" spans="4:4" x14ac:dyDescent="0.75">
      <c r="D39" s="111" t="str">
        <f>'Oth-Map-2'!D39</f>
        <v>* differential.element[12].mapping[0].identity = "fhir"</v>
      </c>
    </row>
    <row r="40" spans="4:4" x14ac:dyDescent="0.75">
      <c r="D40" s="111" t="str">
        <f>'Oth-Map-2'!D40</f>
        <v>* differential.element[12].mapping[0].map = "TBD"</v>
      </c>
    </row>
    <row r="41" spans="4:4" x14ac:dyDescent="0.75">
      <c r="D41" s="111" t="str">
        <f>'Oth-Map-2'!D41</f>
        <v/>
      </c>
    </row>
    <row r="42" spans="4:4" x14ac:dyDescent="0.75">
      <c r="D42" s="111" t="str">
        <f>'Oth-Map-2'!D42</f>
        <v>* differential.element[13].mapping[0].identity = "fhir"</v>
      </c>
    </row>
    <row r="43" spans="4:4" x14ac:dyDescent="0.75">
      <c r="D43" s="111" t="str">
        <f>'Oth-Map-2'!D43</f>
        <v>* differential.element[13].mapping[0].map = "TBD"</v>
      </c>
    </row>
    <row r="44" spans="4:4" x14ac:dyDescent="0.75">
      <c r="D44" s="111" t="str">
        <f>'Oth-Map-2'!D44</f>
        <v/>
      </c>
    </row>
    <row r="45" spans="4:4" x14ac:dyDescent="0.75">
      <c r="D45" s="111" t="str">
        <f>'Oth-Map-2'!D45</f>
        <v>* differential.element[14].mapping[0].identity = "fhir"</v>
      </c>
    </row>
    <row r="46" spans="4:4" x14ac:dyDescent="0.75">
      <c r="D46" s="111" t="str">
        <f>'Oth-Map-2'!D46</f>
        <v>* differential.element[14].mapping[0].map = "TBD"</v>
      </c>
    </row>
    <row r="47" spans="4:4" x14ac:dyDescent="0.75">
      <c r="D47" s="111" t="str">
        <f>'Oth-Map-2'!D47</f>
        <v/>
      </c>
    </row>
    <row r="48" spans="4:4" x14ac:dyDescent="0.75">
      <c r="D48" s="111" t="str">
        <f>'Oth-Map-2'!D48</f>
        <v>* differential.element[15].mapping[0].identity = "fhir"</v>
      </c>
    </row>
    <row r="49" spans="4:4" x14ac:dyDescent="0.75">
      <c r="D49" s="111" t="str">
        <f>'Oth-Map-2'!D49</f>
        <v>* differential.element[15].mapping[0].map = "TBD"</v>
      </c>
    </row>
    <row r="50" spans="4:4" x14ac:dyDescent="0.75">
      <c r="D50" s="111" t="str">
        <f>'Oth-Map-2'!D50</f>
        <v/>
      </c>
    </row>
    <row r="51" spans="4:4" x14ac:dyDescent="0.75">
      <c r="D51" s="111" t="str">
        <f>'Oth-Map-2'!D51</f>
        <v>* differential.element[16].mapping[0].identity = "fhir"</v>
      </c>
    </row>
    <row r="52" spans="4:4" x14ac:dyDescent="0.75">
      <c r="D52" s="111" t="str">
        <f>'Oth-Map-2'!D52</f>
        <v>* differential.element[16].mapping[0].map = "TBD"</v>
      </c>
    </row>
    <row r="53" spans="4:4" x14ac:dyDescent="0.75">
      <c r="D53" s="111" t="str">
        <f>'Oth-Map-2'!D53</f>
        <v/>
      </c>
    </row>
    <row r="54" spans="4:4" x14ac:dyDescent="0.75">
      <c r="D54" s="111" t="str">
        <f>'Oth-Map-2'!D54</f>
        <v>* differential.element[17].mapping[0].identity = "fhir"</v>
      </c>
    </row>
    <row r="55" spans="4:4" x14ac:dyDescent="0.75">
      <c r="D55" s="111" t="str">
        <f>'Oth-Map-2'!D55</f>
        <v>* differential.element[17].mapping[0].map = "TBD"</v>
      </c>
    </row>
    <row r="56" spans="4:4" x14ac:dyDescent="0.75">
      <c r="D56" s="111" t="str">
        <f>'Oth-Map-2'!D56</f>
        <v/>
      </c>
    </row>
    <row r="57" spans="4:4" x14ac:dyDescent="0.75">
      <c r="D57" s="111" t="str">
        <f>'Oth-Map-2'!D57</f>
        <v>* differential.element[18].mapping[0].identity = "fhir"</v>
      </c>
    </row>
    <row r="58" spans="4:4" x14ac:dyDescent="0.75">
      <c r="D58" s="111" t="str">
        <f>'Oth-Map-2'!D58</f>
        <v>* differential.element[18].mapping[0].map = "TBD"</v>
      </c>
    </row>
    <row r="59" spans="4:4" x14ac:dyDescent="0.75">
      <c r="D59" s="111" t="str">
        <f>'Oth-Map-2'!D59</f>
        <v/>
      </c>
    </row>
    <row r="60" spans="4:4" x14ac:dyDescent="0.75">
      <c r="D60" s="111" t="str">
        <f>'Oth-Map-2'!D60</f>
        <v>* differential.element[19].mapping[0].identity = "fhir"</v>
      </c>
    </row>
    <row r="61" spans="4:4" x14ac:dyDescent="0.75">
      <c r="D61" s="111" t="str">
        <f>'Oth-Map-2'!D61</f>
        <v>* differential.element[19].mapping[0].map = "TBD"</v>
      </c>
    </row>
    <row r="62" spans="4:4" x14ac:dyDescent="0.75">
      <c r="D62" s="111" t="str">
        <f>'Oth-Map-2'!D62</f>
        <v/>
      </c>
    </row>
    <row r="63" spans="4:4" x14ac:dyDescent="0.75">
      <c r="D63" s="111" t="str">
        <f>'Oth-Map-2'!D63</f>
        <v>* differential.element[20].mapping[0].identity = "fhir"</v>
      </c>
    </row>
    <row r="64" spans="4:4" x14ac:dyDescent="0.75">
      <c r="D64" s="111" t="str">
        <f>'Oth-Map-2'!D64</f>
        <v>* differential.element[20].mapping[0].map = "TBD"</v>
      </c>
    </row>
    <row r="65" spans="4:4" x14ac:dyDescent="0.75">
      <c r="D65" s="111" t="str">
        <f>'Oth-Map-2'!D65</f>
        <v/>
      </c>
    </row>
    <row r="66" spans="4:4" x14ac:dyDescent="0.75">
      <c r="D66" s="111" t="str">
        <f>'Oth-Map-2'!D66</f>
        <v>* differential.element[21].mapping[0].identity = "fhir"</v>
      </c>
    </row>
    <row r="67" spans="4:4" x14ac:dyDescent="0.75">
      <c r="D67" s="111" t="str">
        <f>'Oth-Map-2'!D67</f>
        <v>* differential.element[21].mapping[0].map = "TBD"</v>
      </c>
    </row>
    <row r="68" spans="4:4" x14ac:dyDescent="0.75">
      <c r="D68" s="111" t="str">
        <f>'Oth-Map-2'!D68</f>
        <v/>
      </c>
    </row>
    <row r="69" spans="4:4" x14ac:dyDescent="0.75">
      <c r="D69" s="111" t="str">
        <f>'Oth-Map-2'!D69</f>
        <v>* differential.element[22].mapping[0].identity = "fhir"</v>
      </c>
    </row>
    <row r="70" spans="4:4" x14ac:dyDescent="0.75">
      <c r="D70" s="111" t="str">
        <f>'Oth-Map-2'!D70</f>
        <v>* differential.element[22].mapping[0].map = "TBD"</v>
      </c>
    </row>
    <row r="71" spans="4:4" x14ac:dyDescent="0.75">
      <c r="D71" s="111" t="str">
        <f>'Oth-Map-2'!D71</f>
        <v/>
      </c>
    </row>
    <row r="72" spans="4:4" x14ac:dyDescent="0.75">
      <c r="D72" s="111" t="str">
        <f>'Oth-Map-2'!D72</f>
        <v>* differential.element[23].mapping[0].identity = "fhir"</v>
      </c>
    </row>
    <row r="73" spans="4:4" x14ac:dyDescent="0.75">
      <c r="D73" s="111" t="str">
        <f>'Oth-Map-2'!D73</f>
        <v>* differential.element[23].mapping[0].map = "TBD"</v>
      </c>
    </row>
    <row r="74" spans="4:4" x14ac:dyDescent="0.75">
      <c r="D74" s="111" t="str">
        <f>'Oth-Map-2'!D74</f>
        <v/>
      </c>
    </row>
    <row r="75" spans="4:4" x14ac:dyDescent="0.75">
      <c r="D75" s="111" t="str">
        <f>'Oth-Map-2'!D75</f>
        <v>* differential.element[24].mapping[0].identity = "fhir"</v>
      </c>
    </row>
    <row r="76" spans="4:4" x14ac:dyDescent="0.75">
      <c r="D76" s="111" t="str">
        <f>'Oth-Map-2'!D76</f>
        <v>* differential.element[24].mapping[0].map = "TBD"</v>
      </c>
    </row>
    <row r="77" spans="4:4" x14ac:dyDescent="0.75">
      <c r="D77" s="111" t="str">
        <f>'Oth-Map-2'!D77</f>
        <v/>
      </c>
    </row>
    <row r="78" spans="4:4" x14ac:dyDescent="0.75">
      <c r="D78" s="111" t="str">
        <f>'Oth-Map-2'!D78</f>
        <v>* differential.element[25].mapping[0].identity = "fhir"</v>
      </c>
    </row>
    <row r="79" spans="4:4" x14ac:dyDescent="0.75">
      <c r="D79" s="111" t="str">
        <f>'Oth-Map-2'!D79</f>
        <v>* differential.element[25].mapping[0].map = "TBD"</v>
      </c>
    </row>
    <row r="80" spans="4:4" x14ac:dyDescent="0.75">
      <c r="D80" s="111" t="str">
        <f>'Oth-Map-2'!D80</f>
        <v/>
      </c>
    </row>
    <row r="81" spans="4:4" x14ac:dyDescent="0.75">
      <c r="D81" s="111" t="str">
        <f>'Oth-Map-2'!D81</f>
        <v>* differential.element[26].mapping[0].identity = "fhir"</v>
      </c>
    </row>
    <row r="82" spans="4:4" x14ac:dyDescent="0.75">
      <c r="D82" s="111" t="str">
        <f>'Oth-Map-2'!D82</f>
        <v>* differential.element[26].mapping[0].map = "TBD"</v>
      </c>
    </row>
    <row r="83" spans="4:4" x14ac:dyDescent="0.75">
      <c r="D83" s="111" t="str">
        <f>'Oth-Map-2'!D83</f>
        <v/>
      </c>
    </row>
    <row r="84" spans="4:4" x14ac:dyDescent="0.75">
      <c r="D84" s="111" t="str">
        <f>'Oth-Map-2'!D84</f>
        <v>* differential.element[27].mapping[0].identity = "fhir"</v>
      </c>
    </row>
    <row r="85" spans="4:4" x14ac:dyDescent="0.75">
      <c r="D85" s="111" t="str">
        <f>'Oth-Map-2'!D85</f>
        <v>* differential.element[27].mapping[0].map = "TBD"</v>
      </c>
    </row>
    <row r="86" spans="4:4" x14ac:dyDescent="0.75">
      <c r="D86" s="111" t="str">
        <f>'Oth-Map-2'!D86</f>
        <v/>
      </c>
    </row>
    <row r="87" spans="4:4" x14ac:dyDescent="0.75">
      <c r="D87" s="111" t="str">
        <f>'Oth-Map-2'!D87</f>
        <v>* differential.element[28].mapping[0].identity = "fhir"</v>
      </c>
    </row>
    <row r="88" spans="4:4" x14ac:dyDescent="0.75">
      <c r="D88" s="111" t="str">
        <f>'Oth-Map-2'!D88</f>
        <v>* differential.element[28].mapping[0].map = "TBD"</v>
      </c>
    </row>
    <row r="89" spans="4:4" x14ac:dyDescent="0.75">
      <c r="D89" s="111" t="str">
        <f>'Oth-Map-2'!D89</f>
        <v/>
      </c>
    </row>
    <row r="90" spans="4:4" x14ac:dyDescent="0.75">
      <c r="D90" s="111" t="str">
        <f>'Oth-Map-2'!D90</f>
        <v>* differential.element[29].mapping[0].identity = "fhir"</v>
      </c>
    </row>
    <row r="91" spans="4:4" x14ac:dyDescent="0.75">
      <c r="D91" s="111" t="str">
        <f>'Oth-Map-2'!D91</f>
        <v>* differential.element[29].mapping[0].map = "TBD"</v>
      </c>
    </row>
    <row r="92" spans="4:4" x14ac:dyDescent="0.75">
      <c r="D92" s="111" t="str">
        <f>'Oth-Map-2'!D92</f>
        <v/>
      </c>
    </row>
    <row r="93" spans="4:4" x14ac:dyDescent="0.75">
      <c r="D93" s="111" t="str">
        <f>'Oth-Map-2'!D93</f>
        <v/>
      </c>
    </row>
    <row r="94" spans="4:4" x14ac:dyDescent="0.75">
      <c r="D94" s="111" t="str">
        <f>'Oth-Map-2'!D94</f>
        <v/>
      </c>
    </row>
    <row r="95" spans="4:4" x14ac:dyDescent="0.75">
      <c r="D95" s="111" t="str">
        <f>'Oth-Map-2'!D95</f>
        <v/>
      </c>
    </row>
    <row r="96" spans="4:4" x14ac:dyDescent="0.75">
      <c r="D96" s="111" t="str">
        <f>'Oth-Map-2'!D96</f>
        <v/>
      </c>
    </row>
    <row r="97" spans="4:4" x14ac:dyDescent="0.75">
      <c r="D97" s="111" t="str">
        <f>'Oth-Map-2'!D97</f>
        <v/>
      </c>
    </row>
    <row r="98" spans="4:4" x14ac:dyDescent="0.75">
      <c r="D98" s="111" t="str">
        <f>'Oth-Map-2'!D98</f>
        <v/>
      </c>
    </row>
    <row r="99" spans="4:4" x14ac:dyDescent="0.75">
      <c r="D99" s="111" t="str">
        <f>'Oth-Map-2'!D99</f>
        <v/>
      </c>
    </row>
    <row r="100" spans="4:4" x14ac:dyDescent="0.75">
      <c r="D100" s="111" t="str">
        <f>'Oth-Map-2'!D100</f>
        <v/>
      </c>
    </row>
    <row r="101" spans="4:4" x14ac:dyDescent="0.75">
      <c r="D101" s="111" t="str">
        <f>'Oth-Map-2'!D101</f>
        <v/>
      </c>
    </row>
    <row r="102" spans="4:4" x14ac:dyDescent="0.75">
      <c r="D102" s="111" t="str">
        <f>'Oth-Map-2'!D102</f>
        <v/>
      </c>
    </row>
    <row r="103" spans="4:4" x14ac:dyDescent="0.75">
      <c r="D103" s="111" t="str">
        <f>'Oth-Map-2'!D103</f>
        <v/>
      </c>
    </row>
    <row r="104" spans="4:4" x14ac:dyDescent="0.75">
      <c r="D104" s="111" t="str">
        <f>'Oth-Map-2'!D104</f>
        <v/>
      </c>
    </row>
    <row r="108" spans="4:4" x14ac:dyDescent="0.75">
      <c r="D108" s="10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7" workbookViewId="0">
      <selection activeCell="D22" sqref="D2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1018</v>
      </c>
    </row>
    <row r="3" spans="1:9" x14ac:dyDescent="0.75">
      <c r="B3" s="20" t="s">
        <v>34</v>
      </c>
      <c r="D3" s="134"/>
    </row>
    <row r="4" spans="1:9" ht="15.5" thickBot="1" x14ac:dyDescent="0.9">
      <c r="B4" s="22" t="s">
        <v>52</v>
      </c>
      <c r="C4" s="23" t="s">
        <v>914</v>
      </c>
      <c r="D4" s="135"/>
    </row>
    <row r="5" spans="1:9" x14ac:dyDescent="0.75">
      <c r="C5" s="51" t="s">
        <v>7</v>
      </c>
      <c r="D5" s="4" t="s">
        <v>8</v>
      </c>
      <c r="E5" s="11" t="s">
        <v>17</v>
      </c>
      <c r="F5" s="11" t="s">
        <v>18</v>
      </c>
      <c r="G5" s="11" t="s">
        <v>19</v>
      </c>
    </row>
    <row r="6" spans="1:9" ht="15.5" thickBot="1" x14ac:dyDescent="0.9">
      <c r="A6" s="109">
        <v>0</v>
      </c>
      <c r="B6" s="23" t="s">
        <v>914</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939</v>
      </c>
      <c r="D16" s="112" t="s">
        <v>617</v>
      </c>
      <c r="E16" s="111">
        <v>0</v>
      </c>
      <c r="F16" s="111">
        <v>1</v>
      </c>
      <c r="G16" s="111" t="s">
        <v>2</v>
      </c>
      <c r="H16" s="111"/>
      <c r="I16" s="111" t="str">
        <f t="shared" si="0"/>
        <v>Date of surgery</v>
      </c>
    </row>
    <row r="17" spans="1:9" ht="29.5" x14ac:dyDescent="0.75">
      <c r="A17" s="111">
        <v>11</v>
      </c>
      <c r="B17" s="111" t="s">
        <v>891</v>
      </c>
      <c r="C17" s="111" t="s">
        <v>940</v>
      </c>
      <c r="D17" s="112" t="s">
        <v>620</v>
      </c>
      <c r="E17" s="111">
        <v>0</v>
      </c>
      <c r="F17" s="111">
        <v>1</v>
      </c>
      <c r="G17" s="111" t="s">
        <v>3</v>
      </c>
      <c r="H17" s="111"/>
      <c r="I17" s="111" t="str">
        <f t="shared" si="0"/>
        <v>Surgery description</v>
      </c>
    </row>
    <row r="18" spans="1:9" ht="44.25" x14ac:dyDescent="0.75">
      <c r="A18" s="111">
        <v>12</v>
      </c>
      <c r="B18" s="112" t="s">
        <v>935</v>
      </c>
      <c r="C18" s="112" t="s">
        <v>936</v>
      </c>
      <c r="D18" s="112" t="s">
        <v>915</v>
      </c>
      <c r="E18" s="111">
        <v>0</v>
      </c>
      <c r="F18" s="111" t="s">
        <v>20</v>
      </c>
      <c r="G18" s="111" t="s">
        <v>1</v>
      </c>
      <c r="H18" s="111"/>
      <c r="I18" s="111" t="str">
        <f>TRIM(C18)</f>
        <v>Affected Organs</v>
      </c>
    </row>
    <row r="19" spans="1:9" ht="162.25" x14ac:dyDescent="0.75">
      <c r="A19" s="111">
        <v>13</v>
      </c>
      <c r="B19" s="24" t="s">
        <v>945</v>
      </c>
      <c r="C19" s="111" t="s">
        <v>651</v>
      </c>
      <c r="D19" s="112" t="s">
        <v>929</v>
      </c>
      <c r="E19" s="111">
        <v>0</v>
      </c>
      <c r="F19" s="111" t="s">
        <v>20</v>
      </c>
      <c r="G19" s="111" t="s">
        <v>1</v>
      </c>
      <c r="H19" s="111"/>
      <c r="I19" s="111" t="str">
        <f t="shared" si="0"/>
        <v>Sacrified Organs</v>
      </c>
    </row>
    <row r="20" spans="1:9" x14ac:dyDescent="0.75">
      <c r="A20" s="111">
        <v>14</v>
      </c>
      <c r="B20" s="111" t="s">
        <v>934</v>
      </c>
      <c r="C20" s="111" t="s">
        <v>924</v>
      </c>
      <c r="D20" s="112" t="s">
        <v>666</v>
      </c>
      <c r="E20" s="111">
        <v>0</v>
      </c>
      <c r="F20" s="111" t="s">
        <v>20</v>
      </c>
      <c r="G20" s="111" t="s">
        <v>5</v>
      </c>
      <c r="H20" s="114"/>
      <c r="I20" s="111" t="str">
        <f t="shared" si="0"/>
        <v>Shunt application</v>
      </c>
    </row>
    <row r="21" spans="1:9" ht="118" x14ac:dyDescent="0.75">
      <c r="A21" s="111">
        <v>15</v>
      </c>
      <c r="B21" s="112" t="s">
        <v>937</v>
      </c>
      <c r="C21" s="111" t="s">
        <v>1007</v>
      </c>
      <c r="D21" s="112" t="s">
        <v>918</v>
      </c>
      <c r="E21" s="111">
        <v>0</v>
      </c>
      <c r="F21" s="111">
        <v>1</v>
      </c>
      <c r="G21" s="111" t="s">
        <v>1</v>
      </c>
      <c r="I21" s="111" t="str">
        <f t="shared" si="0"/>
        <v>Type of shunt</v>
      </c>
    </row>
    <row r="22" spans="1:9" ht="88.5" x14ac:dyDescent="0.75">
      <c r="A22" s="111">
        <v>16</v>
      </c>
      <c r="B22" s="112" t="s">
        <v>938</v>
      </c>
      <c r="C22" s="112" t="s">
        <v>1008</v>
      </c>
      <c r="D22" s="112" t="s">
        <v>919</v>
      </c>
      <c r="E22" s="111">
        <v>0</v>
      </c>
      <c r="F22" s="111">
        <v>1</v>
      </c>
      <c r="G22" s="111" t="s">
        <v>1</v>
      </c>
      <c r="I22" s="111" t="str">
        <f t="shared" si="0"/>
        <v>Laterality of shunt</v>
      </c>
    </row>
    <row r="23" spans="1:9" ht="73.75" x14ac:dyDescent="0.75">
      <c r="A23" s="111">
        <v>17</v>
      </c>
      <c r="B23" s="111" t="s">
        <v>916</v>
      </c>
      <c r="C23" s="111" t="s">
        <v>917</v>
      </c>
      <c r="D23" s="112" t="s">
        <v>920</v>
      </c>
      <c r="E23" s="111">
        <v>0</v>
      </c>
      <c r="F23" s="111">
        <v>1</v>
      </c>
      <c r="G23" s="111" t="s">
        <v>1</v>
      </c>
      <c r="I23" s="111" t="str">
        <f t="shared" si="0"/>
        <v>In place or removed ?</v>
      </c>
    </row>
    <row r="24" spans="1:9" ht="88.5" x14ac:dyDescent="0.75">
      <c r="A24" s="111">
        <v>18</v>
      </c>
      <c r="B24" s="111" t="s">
        <v>933</v>
      </c>
      <c r="C24" s="111" t="s">
        <v>925</v>
      </c>
      <c r="D24" s="112" t="s">
        <v>923</v>
      </c>
      <c r="E24" s="111">
        <v>0</v>
      </c>
      <c r="F24" s="111">
        <v>1</v>
      </c>
      <c r="G24" s="111" t="s">
        <v>1</v>
      </c>
      <c r="I24" s="111" t="str">
        <f t="shared" si="0"/>
        <v>Amputation</v>
      </c>
    </row>
    <row r="25" spans="1:9" x14ac:dyDescent="0.75">
      <c r="A25" s="111">
        <v>19</v>
      </c>
      <c r="B25" s="111" t="s">
        <v>932</v>
      </c>
      <c r="C25" s="111" t="s">
        <v>926</v>
      </c>
      <c r="D25" s="111" t="s">
        <v>926</v>
      </c>
      <c r="E25" s="111">
        <v>0</v>
      </c>
      <c r="F25" s="111">
        <v>1</v>
      </c>
      <c r="G25" s="111" t="s">
        <v>5</v>
      </c>
      <c r="I25" s="111" t="str">
        <f t="shared" si="0"/>
        <v>Prothesis</v>
      </c>
    </row>
    <row r="26" spans="1:9" ht="29.5" x14ac:dyDescent="0.75">
      <c r="A26" s="111">
        <v>20</v>
      </c>
      <c r="B26" s="111" t="s">
        <v>1012</v>
      </c>
      <c r="C26" s="111" t="s">
        <v>1011</v>
      </c>
      <c r="D26" s="112" t="s">
        <v>688</v>
      </c>
      <c r="E26" s="111">
        <v>0</v>
      </c>
      <c r="F26" s="111">
        <v>1</v>
      </c>
      <c r="G26" s="111" t="s">
        <v>1</v>
      </c>
      <c r="I26" s="111"/>
    </row>
    <row r="27" spans="1:9" ht="73.75" x14ac:dyDescent="0.75">
      <c r="A27" s="111">
        <v>21</v>
      </c>
      <c r="B27" s="111" t="s">
        <v>1013</v>
      </c>
      <c r="C27" s="111" t="s">
        <v>1015</v>
      </c>
      <c r="D27" s="112" t="s">
        <v>1014</v>
      </c>
      <c r="E27" s="111">
        <v>0</v>
      </c>
      <c r="F27" s="111">
        <v>1</v>
      </c>
      <c r="G27" s="111" t="s">
        <v>1</v>
      </c>
      <c r="I27" s="111"/>
    </row>
    <row r="28" spans="1:9" x14ac:dyDescent="0.75">
      <c r="A28" s="111">
        <v>22</v>
      </c>
      <c r="B28" s="111" t="s">
        <v>931</v>
      </c>
      <c r="C28" s="111" t="s">
        <v>927</v>
      </c>
      <c r="D28" s="111" t="s">
        <v>927</v>
      </c>
      <c r="E28" s="111">
        <v>0</v>
      </c>
      <c r="F28" s="111">
        <v>1</v>
      </c>
      <c r="G28" s="111" t="s">
        <v>5</v>
      </c>
      <c r="I28" s="111" t="str">
        <f t="shared" si="0"/>
        <v>Colostomy</v>
      </c>
    </row>
    <row r="29" spans="1:9" x14ac:dyDescent="0.75">
      <c r="A29" s="111">
        <v>23</v>
      </c>
      <c r="B29" s="111" t="s">
        <v>1010</v>
      </c>
      <c r="C29" s="111" t="s">
        <v>1011</v>
      </c>
      <c r="D29" s="112" t="s">
        <v>697</v>
      </c>
      <c r="E29" s="111">
        <v>0</v>
      </c>
      <c r="F29" s="111">
        <v>1</v>
      </c>
      <c r="G29" s="111" t="s">
        <v>1</v>
      </c>
      <c r="I29" s="111" t="str">
        <f t="shared" si="0"/>
        <v>status</v>
      </c>
    </row>
    <row r="30" spans="1:9" ht="59" x14ac:dyDescent="0.75">
      <c r="A30" s="111">
        <v>24</v>
      </c>
      <c r="B30" s="111" t="s">
        <v>1009</v>
      </c>
      <c r="C30" s="111" t="s">
        <v>917</v>
      </c>
      <c r="D30" s="112" t="s">
        <v>921</v>
      </c>
      <c r="E30" s="111">
        <v>0</v>
      </c>
      <c r="F30" s="111">
        <v>1</v>
      </c>
      <c r="G30" s="111" t="s">
        <v>1</v>
      </c>
      <c r="I30" s="111"/>
    </row>
    <row r="31" spans="1:9" ht="67.5" x14ac:dyDescent="0.75">
      <c r="A31" s="111">
        <v>25</v>
      </c>
      <c r="B31" s="111" t="s">
        <v>930</v>
      </c>
      <c r="C31" s="111" t="s">
        <v>928</v>
      </c>
      <c r="D31" s="28" t="s">
        <v>922</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30" zoomScaleNormal="130" workbookViewId="0">
      <selection activeCell="F16" sqref="F1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941</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906</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906</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907</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901</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902</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903</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904</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905</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942</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943</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909</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908</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944</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908</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1135</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908</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1033</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1016</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1030</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1136</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900</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1017</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1031</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900</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1016</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1032</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3" zoomScaleNormal="100" workbookViewId="0">
      <selection activeCell="G7" sqref="G7:G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946</v>
      </c>
      <c r="D2" s="152" t="s">
        <v>1039</v>
      </c>
      <c r="E2" s="25"/>
      <c r="F2" s="25"/>
      <c r="G2" s="25"/>
    </row>
    <row r="3" spans="1:9" x14ac:dyDescent="0.75">
      <c r="B3" s="20" t="s">
        <v>34</v>
      </c>
      <c r="C3" s="25"/>
      <c r="D3" s="56"/>
      <c r="E3" s="25"/>
      <c r="F3" s="25"/>
      <c r="G3" s="25"/>
    </row>
    <row r="4" spans="1:9" ht="15.5" thickBot="1" x14ac:dyDescent="0.9">
      <c r="B4" s="22" t="s">
        <v>52</v>
      </c>
      <c r="C4" s="148" t="s">
        <v>947</v>
      </c>
      <c r="D4" s="57"/>
      <c r="E4" s="25"/>
      <c r="F4" s="25"/>
      <c r="G4" s="25"/>
    </row>
    <row r="5" spans="1:9" x14ac:dyDescent="0.75">
      <c r="B5" s="25"/>
      <c r="C5" s="51" t="s">
        <v>7</v>
      </c>
      <c r="D5" s="4" t="s">
        <v>8</v>
      </c>
      <c r="E5" s="11" t="s">
        <v>17</v>
      </c>
      <c r="F5" s="11" t="s">
        <v>18</v>
      </c>
      <c r="G5" s="11" t="s">
        <v>19</v>
      </c>
    </row>
    <row r="6" spans="1:9" ht="15.5" thickBot="1" x14ac:dyDescent="0.9">
      <c r="A6">
        <v>0</v>
      </c>
      <c r="B6" s="33" t="s">
        <v>947</v>
      </c>
      <c r="C6" s="148" t="s">
        <v>946</v>
      </c>
      <c r="D6" s="148" t="s">
        <v>946</v>
      </c>
      <c r="E6" s="34">
        <v>1</v>
      </c>
      <c r="F6" s="34">
        <v>1</v>
      </c>
      <c r="G6" s="34" t="s">
        <v>21</v>
      </c>
    </row>
    <row r="7" spans="1:9" x14ac:dyDescent="0.75">
      <c r="A7" s="2">
        <v>1</v>
      </c>
      <c r="B7" s="26" t="s">
        <v>35</v>
      </c>
      <c r="C7" s="111" t="s">
        <v>948</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949</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981</v>
      </c>
      <c r="D16" s="67" t="s">
        <v>351</v>
      </c>
      <c r="E16" s="26">
        <v>0</v>
      </c>
      <c r="F16" s="26" t="s">
        <v>20</v>
      </c>
      <c r="G16" s="26" t="s">
        <v>5</v>
      </c>
      <c r="H16" s="2"/>
      <c r="I16" s="2"/>
    </row>
    <row r="17" spans="1:11" ht="74" x14ac:dyDescent="0.75">
      <c r="A17" s="111">
        <v>11</v>
      </c>
      <c r="B17" s="149" t="s">
        <v>952</v>
      </c>
      <c r="C17" s="26" t="s">
        <v>982</v>
      </c>
      <c r="D17" s="67" t="s">
        <v>951</v>
      </c>
      <c r="E17" s="26">
        <v>0</v>
      </c>
      <c r="F17" s="26">
        <v>1</v>
      </c>
      <c r="G17" s="111" t="s">
        <v>1</v>
      </c>
      <c r="H17" s="67"/>
      <c r="I17" s="2"/>
    </row>
    <row r="18" spans="1:11" ht="240.5" x14ac:dyDescent="0.75">
      <c r="A18" s="109">
        <v>12</v>
      </c>
      <c r="B18" s="149" t="s">
        <v>953</v>
      </c>
      <c r="C18" s="26" t="s">
        <v>955</v>
      </c>
      <c r="D18" s="95" t="s">
        <v>954</v>
      </c>
      <c r="E18" s="26">
        <v>0</v>
      </c>
      <c r="F18" s="26">
        <v>1</v>
      </c>
      <c r="G18" s="111" t="s">
        <v>1</v>
      </c>
      <c r="H18" s="67"/>
      <c r="I18" s="2"/>
    </row>
    <row r="19" spans="1:11" ht="92.5" x14ac:dyDescent="0.75">
      <c r="A19" s="109">
        <v>13</v>
      </c>
      <c r="B19" s="149" t="s">
        <v>956</v>
      </c>
      <c r="C19" s="26" t="s">
        <v>366</v>
      </c>
      <c r="D19" s="67" t="s">
        <v>950</v>
      </c>
      <c r="E19" s="32">
        <v>0</v>
      </c>
      <c r="F19" s="2">
        <v>1</v>
      </c>
      <c r="G19" s="111" t="s">
        <v>1</v>
      </c>
      <c r="H19" s="67"/>
    </row>
    <row r="20" spans="1:11" ht="129.5" x14ac:dyDescent="0.75">
      <c r="A20" s="111">
        <v>14</v>
      </c>
      <c r="B20" s="151" t="s">
        <v>978</v>
      </c>
      <c r="C20" s="24" t="s">
        <v>983</v>
      </c>
      <c r="D20" s="71" t="s">
        <v>373</v>
      </c>
      <c r="E20" s="32">
        <v>0</v>
      </c>
      <c r="F20" s="2">
        <v>1</v>
      </c>
      <c r="G20" s="2" t="s">
        <v>3</v>
      </c>
      <c r="H20" s="67"/>
    </row>
    <row r="21" spans="1:11" s="109" customFormat="1" ht="18.5" x14ac:dyDescent="0.75">
      <c r="A21" s="109">
        <v>15</v>
      </c>
      <c r="B21" s="149" t="s">
        <v>957</v>
      </c>
      <c r="C21" s="111" t="s">
        <v>994</v>
      </c>
      <c r="D21" s="95" t="s">
        <v>994</v>
      </c>
      <c r="E21" s="113">
        <v>0</v>
      </c>
      <c r="F21" s="111">
        <v>1</v>
      </c>
      <c r="G21" s="111" t="s">
        <v>5</v>
      </c>
      <c r="H21" s="67"/>
    </row>
    <row r="22" spans="1:11" ht="111" x14ac:dyDescent="0.75">
      <c r="A22" s="111">
        <v>16</v>
      </c>
      <c r="B22" s="26" t="s">
        <v>958</v>
      </c>
      <c r="C22" s="26" t="s">
        <v>984</v>
      </c>
      <c r="D22" s="95" t="s">
        <v>979</v>
      </c>
      <c r="E22" s="32">
        <v>0</v>
      </c>
      <c r="F22" s="2">
        <v>1</v>
      </c>
      <c r="G22" s="111" t="s">
        <v>1</v>
      </c>
      <c r="H22" s="67"/>
    </row>
    <row r="23" spans="1:11" ht="18.5" x14ac:dyDescent="0.75">
      <c r="A23" s="109">
        <v>17</v>
      </c>
      <c r="B23" s="111" t="s">
        <v>959</v>
      </c>
      <c r="C23" s="26" t="s">
        <v>985</v>
      </c>
      <c r="D23" s="67" t="s">
        <v>995</v>
      </c>
      <c r="E23" s="113">
        <v>0</v>
      </c>
      <c r="F23" s="113">
        <v>1</v>
      </c>
      <c r="G23" s="111" t="s">
        <v>5</v>
      </c>
      <c r="H23" s="67"/>
      <c r="K23">
        <f>800*20</f>
        <v>16000</v>
      </c>
    </row>
    <row r="24" spans="1:11" s="109" customFormat="1" ht="74" x14ac:dyDescent="0.75">
      <c r="A24" s="111">
        <v>18</v>
      </c>
      <c r="B24" s="111" t="s">
        <v>967</v>
      </c>
      <c r="C24" s="111" t="s">
        <v>986</v>
      </c>
      <c r="D24" s="67" t="s">
        <v>996</v>
      </c>
      <c r="E24" s="113">
        <v>1</v>
      </c>
      <c r="F24" s="113">
        <v>1</v>
      </c>
      <c r="G24" s="111" t="s">
        <v>1</v>
      </c>
      <c r="H24" s="67"/>
    </row>
    <row r="25" spans="1:11" ht="129.5" x14ac:dyDescent="0.75">
      <c r="A25" s="109">
        <v>19</v>
      </c>
      <c r="B25" s="111" t="s">
        <v>961</v>
      </c>
      <c r="C25" s="26" t="s">
        <v>382</v>
      </c>
      <c r="D25" s="67" t="s">
        <v>997</v>
      </c>
      <c r="E25" s="113">
        <v>1</v>
      </c>
      <c r="F25" s="113">
        <v>1</v>
      </c>
      <c r="G25" s="111" t="s">
        <v>1</v>
      </c>
      <c r="H25" s="67"/>
    </row>
    <row r="26" spans="1:11" ht="37" x14ac:dyDescent="0.75">
      <c r="A26" s="111">
        <v>20</v>
      </c>
      <c r="B26" s="111" t="s">
        <v>962</v>
      </c>
      <c r="C26" s="26" t="s">
        <v>885</v>
      </c>
      <c r="D26" s="67" t="s">
        <v>389</v>
      </c>
      <c r="E26" s="32">
        <v>0</v>
      </c>
      <c r="F26" s="2">
        <v>1</v>
      </c>
      <c r="G26" s="2" t="s">
        <v>4</v>
      </c>
      <c r="H26" s="67" t="s">
        <v>109</v>
      </c>
    </row>
    <row r="27" spans="1:11" ht="37" x14ac:dyDescent="0.75">
      <c r="A27" s="109">
        <v>21</v>
      </c>
      <c r="B27" s="111" t="s">
        <v>963</v>
      </c>
      <c r="C27" s="26" t="s">
        <v>886</v>
      </c>
      <c r="D27" s="67" t="s">
        <v>392</v>
      </c>
      <c r="E27" s="113">
        <v>0</v>
      </c>
      <c r="F27" s="111">
        <v>1</v>
      </c>
      <c r="G27" s="111" t="s">
        <v>4</v>
      </c>
      <c r="H27" s="67" t="s">
        <v>109</v>
      </c>
    </row>
    <row r="28" spans="1:11" ht="18.5" x14ac:dyDescent="0.75">
      <c r="A28" s="111">
        <v>22</v>
      </c>
      <c r="B28" s="111" t="s">
        <v>960</v>
      </c>
      <c r="C28" s="111" t="s">
        <v>987</v>
      </c>
      <c r="D28" s="111" t="s">
        <v>998</v>
      </c>
      <c r="E28" s="113">
        <v>0</v>
      </c>
      <c r="F28" s="113">
        <v>1</v>
      </c>
      <c r="G28" s="111" t="s">
        <v>5</v>
      </c>
      <c r="H28" s="67"/>
    </row>
    <row r="29" spans="1:11" s="109" customFormat="1" ht="74" x14ac:dyDescent="0.75">
      <c r="A29" s="109">
        <v>23</v>
      </c>
      <c r="B29" s="111" t="s">
        <v>968</v>
      </c>
      <c r="C29" s="111" t="s">
        <v>988</v>
      </c>
      <c r="D29" s="95" t="s">
        <v>999</v>
      </c>
      <c r="E29" s="113">
        <v>1</v>
      </c>
      <c r="F29" s="113">
        <v>1</v>
      </c>
      <c r="G29" s="111" t="s">
        <v>1</v>
      </c>
      <c r="H29" s="67"/>
    </row>
    <row r="30" spans="1:11" ht="74" x14ac:dyDescent="0.75">
      <c r="A30" s="111">
        <v>24</v>
      </c>
      <c r="B30" s="111" t="s">
        <v>964</v>
      </c>
      <c r="C30" s="111" t="s">
        <v>382</v>
      </c>
      <c r="D30" s="67" t="s">
        <v>1000</v>
      </c>
      <c r="E30" s="113">
        <v>1</v>
      </c>
      <c r="F30" s="113">
        <v>1</v>
      </c>
      <c r="G30" s="111" t="s">
        <v>1</v>
      </c>
      <c r="H30" s="67"/>
    </row>
    <row r="31" spans="1:11" ht="37" x14ac:dyDescent="0.75">
      <c r="A31" s="109">
        <v>25</v>
      </c>
      <c r="B31" s="111" t="s">
        <v>965</v>
      </c>
      <c r="C31" s="111" t="s">
        <v>885</v>
      </c>
      <c r="D31" s="67" t="s">
        <v>401</v>
      </c>
      <c r="E31" s="10">
        <v>0</v>
      </c>
      <c r="F31" s="10">
        <v>1</v>
      </c>
      <c r="G31" s="2" t="s">
        <v>4</v>
      </c>
      <c r="H31" s="67" t="s">
        <v>109</v>
      </c>
    </row>
    <row r="32" spans="1:11" ht="37" x14ac:dyDescent="0.75">
      <c r="A32" s="109">
        <v>26</v>
      </c>
      <c r="B32" s="111" t="s">
        <v>966</v>
      </c>
      <c r="C32" s="111" t="s">
        <v>886</v>
      </c>
      <c r="D32" s="67" t="s">
        <v>403</v>
      </c>
      <c r="E32" s="10">
        <v>0</v>
      </c>
      <c r="F32" s="10">
        <v>1</v>
      </c>
      <c r="G32" s="2" t="s">
        <v>4</v>
      </c>
      <c r="H32" s="67" t="s">
        <v>109</v>
      </c>
    </row>
    <row r="33" spans="1:8" ht="18.5" x14ac:dyDescent="0.75">
      <c r="A33" s="111">
        <v>27</v>
      </c>
      <c r="B33" s="26" t="s">
        <v>969</v>
      </c>
      <c r="C33" s="111" t="s">
        <v>989</v>
      </c>
      <c r="D33" s="67" t="s">
        <v>407</v>
      </c>
      <c r="E33" s="10">
        <v>0</v>
      </c>
      <c r="F33" s="10" t="s">
        <v>20</v>
      </c>
      <c r="G33" s="2" t="s">
        <v>3</v>
      </c>
      <c r="H33" s="67"/>
    </row>
    <row r="34" spans="1:8" s="109" customFormat="1" ht="18.5" x14ac:dyDescent="0.75">
      <c r="A34" s="109">
        <v>28</v>
      </c>
      <c r="B34" s="111" t="s">
        <v>970</v>
      </c>
      <c r="C34" s="111" t="s">
        <v>990</v>
      </c>
      <c r="D34" s="111" t="s">
        <v>1001</v>
      </c>
      <c r="E34" s="113">
        <v>0</v>
      </c>
      <c r="F34" s="113">
        <v>1</v>
      </c>
      <c r="G34" s="111" t="s">
        <v>5</v>
      </c>
      <c r="H34" s="67"/>
    </row>
    <row r="35" spans="1:8" ht="111" x14ac:dyDescent="0.75">
      <c r="A35" s="111">
        <v>29</v>
      </c>
      <c r="B35" s="111" t="s">
        <v>972</v>
      </c>
      <c r="C35" s="111" t="s">
        <v>971</v>
      </c>
      <c r="D35" s="67" t="s">
        <v>1002</v>
      </c>
      <c r="E35" s="10">
        <v>1</v>
      </c>
      <c r="F35" s="10">
        <v>1</v>
      </c>
      <c r="G35" s="111" t="s">
        <v>1</v>
      </c>
      <c r="H35" s="70"/>
    </row>
    <row r="36" spans="1:8" ht="74" x14ac:dyDescent="0.75">
      <c r="A36" s="109">
        <v>30</v>
      </c>
      <c r="B36" s="111" t="s">
        <v>973</v>
      </c>
      <c r="C36" s="111" t="s">
        <v>991</v>
      </c>
      <c r="D36" s="67" t="s">
        <v>1003</v>
      </c>
      <c r="E36" s="10">
        <v>1</v>
      </c>
      <c r="F36" s="10">
        <v>1</v>
      </c>
      <c r="G36" s="111" t="s">
        <v>1</v>
      </c>
      <c r="H36" s="67"/>
    </row>
    <row r="37" spans="1:8" s="109" customFormat="1" ht="18.5" x14ac:dyDescent="0.75">
      <c r="A37" s="111">
        <v>31</v>
      </c>
      <c r="B37" s="111" t="s">
        <v>974</v>
      </c>
      <c r="C37" s="111" t="s">
        <v>992</v>
      </c>
      <c r="D37" s="111" t="s">
        <v>1004</v>
      </c>
      <c r="E37" s="113">
        <v>0</v>
      </c>
      <c r="F37" s="113">
        <v>1</v>
      </c>
      <c r="G37" s="111" t="s">
        <v>5</v>
      </c>
      <c r="H37" s="67"/>
    </row>
    <row r="38" spans="1:8" ht="111" x14ac:dyDescent="0.75">
      <c r="A38" s="109">
        <v>32</v>
      </c>
      <c r="B38" s="111" t="s">
        <v>975</v>
      </c>
      <c r="C38" s="111" t="s">
        <v>971</v>
      </c>
      <c r="D38" s="67" t="s">
        <v>1005</v>
      </c>
      <c r="E38" s="113">
        <v>1</v>
      </c>
      <c r="F38" s="113">
        <v>1</v>
      </c>
      <c r="G38" s="111" t="s">
        <v>1</v>
      </c>
      <c r="H38" s="70"/>
    </row>
    <row r="39" spans="1:8" ht="74" x14ac:dyDescent="0.75">
      <c r="A39" s="111">
        <v>33</v>
      </c>
      <c r="B39" s="111" t="s">
        <v>976</v>
      </c>
      <c r="C39" s="111" t="s">
        <v>991</v>
      </c>
      <c r="D39" s="67" t="s">
        <v>1006</v>
      </c>
      <c r="E39" s="113">
        <v>1</v>
      </c>
      <c r="F39" s="113">
        <v>1</v>
      </c>
      <c r="G39" s="111" t="s">
        <v>1</v>
      </c>
      <c r="H39" s="67"/>
    </row>
    <row r="40" spans="1:8" ht="55.5" x14ac:dyDescent="0.75">
      <c r="A40" s="109">
        <v>34</v>
      </c>
      <c r="B40" s="150" t="s">
        <v>977</v>
      </c>
      <c r="C40" s="111" t="s">
        <v>993</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31" zoomScale="130" zoomScaleNormal="130" workbookViewId="0">
      <selection activeCell="G4" sqref="G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1092</v>
      </c>
      <c r="E2" s="35"/>
      <c r="G2" s="25" t="s">
        <v>38</v>
      </c>
      <c r="M2" s="44"/>
      <c r="N2" s="25" t="str">
        <f>CONCATENATE("Mapping: ",E2)</f>
        <v xml:space="preserve">Mapping: </v>
      </c>
    </row>
    <row r="3" spans="1:14" x14ac:dyDescent="0.75">
      <c r="C3" s="104" t="str">
        <f>'Sct-1'!B3</f>
        <v>Publisher</v>
      </c>
      <c r="D3" s="40"/>
      <c r="E3" s="36"/>
      <c r="G3" s="25" t="s">
        <v>1092</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980</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907</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906</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906</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73.75" x14ac:dyDescent="0.75">
      <c r="A11" s="26">
        <v>0</v>
      </c>
      <c r="B11" s="111">
        <f>'Sct-1'!A10</f>
        <v>4</v>
      </c>
      <c r="C11" s="111" t="str">
        <f>'Sct-1'!B10</f>
        <v>istitutionOfTreatment</v>
      </c>
      <c r="D11" s="112" t="s">
        <v>901</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ht="29.5" x14ac:dyDescent="0.75">
      <c r="A12" s="26">
        <v>0</v>
      </c>
      <c r="B12" s="111">
        <f>'Sct-1'!A11</f>
        <v>5</v>
      </c>
      <c r="C12" s="111" t="str">
        <f>'Sct-1'!B11</f>
        <v>istitutionOfTreatment.description</v>
      </c>
      <c r="D12" s="138" t="s">
        <v>902</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903</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904</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905</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1019</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908</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1034</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1035</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1036</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1020</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1037</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1024</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1025</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1021</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898</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899</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1026</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1027</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1021</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898</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899</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909</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1022</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1028</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1029</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1023</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1028</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1029</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1038</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topLeftCell="A5" zoomScale="115" zoomScaleNormal="115" workbookViewId="0">
      <selection activeCell="A7" sqref="A7:A22"/>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1097</v>
      </c>
      <c r="D2" s="112" t="s">
        <v>1115</v>
      </c>
    </row>
    <row r="3" spans="1:9" x14ac:dyDescent="0.75">
      <c r="B3" s="118" t="s">
        <v>34</v>
      </c>
      <c r="C3" s="123" t="s">
        <v>36</v>
      </c>
      <c r="D3" s="56"/>
    </row>
    <row r="4" spans="1:9" ht="15.5" thickBot="1" x14ac:dyDescent="0.9">
      <c r="B4" s="119" t="s">
        <v>52</v>
      </c>
      <c r="C4" s="112" t="s">
        <v>1040</v>
      </c>
      <c r="D4" s="57"/>
    </row>
    <row r="5" spans="1:9" x14ac:dyDescent="0.75">
      <c r="B5" s="110"/>
      <c r="C5" s="3" t="s">
        <v>7</v>
      </c>
      <c r="D5" s="4" t="s">
        <v>8</v>
      </c>
      <c r="E5" s="11" t="s">
        <v>17</v>
      </c>
      <c r="F5" s="11" t="s">
        <v>18</v>
      </c>
      <c r="G5" s="11" t="s">
        <v>19</v>
      </c>
    </row>
    <row r="6" spans="1:9" x14ac:dyDescent="0.75">
      <c r="A6" s="109">
        <v>0</v>
      </c>
      <c r="B6" s="112" t="s">
        <v>1040</v>
      </c>
      <c r="C6" s="111" t="s">
        <v>63</v>
      </c>
      <c r="D6" s="111" t="s">
        <v>63</v>
      </c>
      <c r="E6" s="34">
        <v>1</v>
      </c>
      <c r="F6" s="34">
        <v>1</v>
      </c>
      <c r="G6" s="34"/>
    </row>
    <row r="7" spans="1:9" x14ac:dyDescent="0.75">
      <c r="A7" s="109">
        <v>1</v>
      </c>
      <c r="B7" s="112" t="s">
        <v>1048</v>
      </c>
      <c r="C7" s="111" t="s">
        <v>858</v>
      </c>
      <c r="D7" s="111" t="s">
        <v>858</v>
      </c>
      <c r="E7" s="111">
        <v>0</v>
      </c>
      <c r="F7" s="111" t="s">
        <v>20</v>
      </c>
      <c r="G7" s="111" t="s">
        <v>5</v>
      </c>
      <c r="H7" s="111"/>
      <c r="I7" s="111"/>
    </row>
    <row r="8" spans="1:9" ht="59" x14ac:dyDescent="0.75">
      <c r="A8" s="109">
        <v>2</v>
      </c>
      <c r="B8" s="112" t="s">
        <v>1041</v>
      </c>
      <c r="C8" s="111" t="s">
        <v>862</v>
      </c>
      <c r="D8" s="112" t="s">
        <v>861</v>
      </c>
      <c r="E8" s="111">
        <v>0</v>
      </c>
      <c r="F8" s="111">
        <v>1</v>
      </c>
      <c r="G8" s="111" t="s">
        <v>1</v>
      </c>
      <c r="H8" s="111"/>
      <c r="I8" s="111"/>
    </row>
    <row r="9" spans="1:9" x14ac:dyDescent="0.75">
      <c r="A9" s="109">
        <v>3</v>
      </c>
      <c r="B9" s="112" t="s">
        <v>1060</v>
      </c>
      <c r="C9" s="111" t="s">
        <v>1061</v>
      </c>
      <c r="D9" s="111" t="s">
        <v>1061</v>
      </c>
      <c r="E9" s="111">
        <v>0</v>
      </c>
      <c r="F9" s="111">
        <v>1</v>
      </c>
      <c r="G9" s="111" t="s">
        <v>3</v>
      </c>
      <c r="H9" s="111"/>
      <c r="I9" s="111"/>
    </row>
    <row r="10" spans="1:9" ht="59" x14ac:dyDescent="0.75">
      <c r="A10" s="109">
        <v>4</v>
      </c>
      <c r="B10" s="112" t="s">
        <v>1042</v>
      </c>
      <c r="C10" s="111" t="s">
        <v>859</v>
      </c>
      <c r="D10" s="112" t="s">
        <v>860</v>
      </c>
      <c r="E10" s="111">
        <v>0</v>
      </c>
      <c r="F10" s="111">
        <v>1</v>
      </c>
      <c r="G10" s="111" t="s">
        <v>3</v>
      </c>
      <c r="H10" s="111"/>
      <c r="I10" s="111"/>
    </row>
    <row r="11" spans="1:9" x14ac:dyDescent="0.75">
      <c r="A11" s="109">
        <v>5</v>
      </c>
      <c r="B11" s="112" t="s">
        <v>1043</v>
      </c>
      <c r="C11" s="115" t="s">
        <v>870</v>
      </c>
      <c r="D11" s="111" t="s">
        <v>250</v>
      </c>
      <c r="E11" s="111">
        <v>0</v>
      </c>
      <c r="F11" s="111">
        <v>1</v>
      </c>
      <c r="G11" s="111" t="s">
        <v>3</v>
      </c>
      <c r="H11" s="111"/>
      <c r="I11" s="111"/>
    </row>
    <row r="12" spans="1:9" ht="44.25" x14ac:dyDescent="0.75">
      <c r="A12" s="109">
        <v>6</v>
      </c>
      <c r="B12" s="112" t="s">
        <v>1127</v>
      </c>
      <c r="C12" s="111" t="s">
        <v>1122</v>
      </c>
      <c r="D12" s="112" t="s">
        <v>1123</v>
      </c>
      <c r="E12" s="111">
        <v>0</v>
      </c>
      <c r="F12" s="111">
        <v>1</v>
      </c>
      <c r="G12" s="111" t="s">
        <v>2</v>
      </c>
      <c r="H12" s="111"/>
      <c r="I12" s="111"/>
    </row>
    <row r="13" spans="1:9" x14ac:dyDescent="0.75">
      <c r="A13" s="109">
        <v>7</v>
      </c>
      <c r="B13" s="112" t="s">
        <v>1044</v>
      </c>
      <c r="C13" s="115" t="s">
        <v>863</v>
      </c>
      <c r="D13" s="115" t="s">
        <v>863</v>
      </c>
      <c r="E13" s="111">
        <v>0</v>
      </c>
      <c r="F13" s="111">
        <v>1</v>
      </c>
      <c r="G13" s="111" t="s">
        <v>1</v>
      </c>
      <c r="H13" s="111"/>
      <c r="I13" s="111"/>
    </row>
    <row r="14" spans="1:9" x14ac:dyDescent="0.75">
      <c r="A14" s="109">
        <v>8</v>
      </c>
      <c r="B14" s="112" t="s">
        <v>1045</v>
      </c>
      <c r="C14" s="115" t="s">
        <v>864</v>
      </c>
      <c r="D14" s="115" t="s">
        <v>864</v>
      </c>
      <c r="E14" s="111">
        <v>0</v>
      </c>
      <c r="F14" s="111">
        <v>1</v>
      </c>
      <c r="G14" s="111" t="s">
        <v>1</v>
      </c>
      <c r="H14" s="111"/>
      <c r="I14" s="111"/>
    </row>
    <row r="15" spans="1:9" x14ac:dyDescent="0.75">
      <c r="A15" s="109">
        <v>9</v>
      </c>
      <c r="B15" s="112" t="s">
        <v>1046</v>
      </c>
      <c r="C15" s="115" t="s">
        <v>871</v>
      </c>
      <c r="D15" s="115" t="s">
        <v>871</v>
      </c>
      <c r="E15" s="111">
        <v>0</v>
      </c>
      <c r="F15" s="111">
        <v>1</v>
      </c>
      <c r="G15" s="111" t="s">
        <v>1</v>
      </c>
      <c r="H15" s="111"/>
      <c r="I15" s="111"/>
    </row>
    <row r="16" spans="1:9" x14ac:dyDescent="0.75">
      <c r="A16" s="109">
        <v>10</v>
      </c>
      <c r="B16" s="112" t="s">
        <v>1047</v>
      </c>
      <c r="C16" s="115" t="s">
        <v>865</v>
      </c>
      <c r="D16" s="115" t="s">
        <v>865</v>
      </c>
      <c r="E16" s="111">
        <v>0</v>
      </c>
      <c r="F16" s="111">
        <v>1</v>
      </c>
      <c r="G16" s="111" t="s">
        <v>1</v>
      </c>
      <c r="H16" s="111"/>
      <c r="I16" s="111"/>
    </row>
    <row r="17" spans="1:9" x14ac:dyDescent="0.75">
      <c r="A17" s="109">
        <v>11</v>
      </c>
      <c r="B17" s="112" t="s">
        <v>1117</v>
      </c>
      <c r="C17" s="115" t="s">
        <v>1118</v>
      </c>
      <c r="D17" s="115" t="s">
        <v>1118</v>
      </c>
      <c r="E17" s="111">
        <v>0</v>
      </c>
      <c r="F17" s="111">
        <v>1</v>
      </c>
      <c r="G17" s="111" t="s">
        <v>5</v>
      </c>
      <c r="H17" s="111"/>
      <c r="I17" s="111"/>
    </row>
    <row r="18" spans="1:9" x14ac:dyDescent="0.75">
      <c r="A18" s="109">
        <v>12</v>
      </c>
      <c r="B18" s="112" t="s">
        <v>1124</v>
      </c>
      <c r="C18" s="112" t="s">
        <v>866</v>
      </c>
      <c r="D18" s="112" t="s">
        <v>866</v>
      </c>
      <c r="E18" s="111">
        <v>0</v>
      </c>
      <c r="F18" s="111">
        <v>1</v>
      </c>
      <c r="G18" s="111" t="s">
        <v>5</v>
      </c>
      <c r="H18" s="111"/>
      <c r="I18" s="111"/>
    </row>
    <row r="19" spans="1:9" x14ac:dyDescent="0.75">
      <c r="A19" s="109">
        <v>13</v>
      </c>
      <c r="B19" s="112" t="s">
        <v>1125</v>
      </c>
      <c r="C19" s="112" t="s">
        <v>867</v>
      </c>
      <c r="D19" s="112" t="s">
        <v>867</v>
      </c>
      <c r="E19" s="111">
        <v>1</v>
      </c>
      <c r="F19" s="111">
        <v>1</v>
      </c>
      <c r="G19" s="111" t="s">
        <v>2</v>
      </c>
      <c r="I19" s="111"/>
    </row>
    <row r="20" spans="1:9" x14ac:dyDescent="0.75">
      <c r="A20" s="109">
        <v>14</v>
      </c>
      <c r="B20" s="112" t="s">
        <v>1126</v>
      </c>
      <c r="C20" s="112" t="s">
        <v>868</v>
      </c>
      <c r="D20" s="112" t="s">
        <v>868</v>
      </c>
      <c r="E20" s="111">
        <v>1</v>
      </c>
      <c r="F20" s="111">
        <v>1</v>
      </c>
      <c r="G20" s="111" t="s">
        <v>1</v>
      </c>
      <c r="H20" s="111"/>
      <c r="I20" s="111"/>
    </row>
    <row r="21" spans="1:9" x14ac:dyDescent="0.75">
      <c r="A21" s="109">
        <v>15</v>
      </c>
      <c r="B21" s="112" t="s">
        <v>1119</v>
      </c>
      <c r="C21" s="111" t="s">
        <v>872</v>
      </c>
      <c r="D21" s="111" t="s">
        <v>872</v>
      </c>
      <c r="E21" s="111">
        <v>0</v>
      </c>
      <c r="F21" s="111">
        <v>1</v>
      </c>
      <c r="G21" s="111" t="s">
        <v>1</v>
      </c>
      <c r="H21" s="111"/>
      <c r="I21" s="111"/>
    </row>
    <row r="22" spans="1:9" ht="29.5" x14ac:dyDescent="0.75">
      <c r="A22" s="109">
        <v>16</v>
      </c>
      <c r="B22" s="112" t="s">
        <v>1120</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Marturity Level: 1 - Profiles in progress"</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Marturity Level: 1 - Profiles in progress"</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16" zoomScale="115" zoomScaleNormal="115" workbookViewId="0">
      <selection activeCell="D23" sqref="D23:D2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1092</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1059</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59" x14ac:dyDescent="0.75">
      <c r="A8" s="111">
        <v>1</v>
      </c>
      <c r="B8" s="111">
        <f>'Flt-1'!A7</f>
        <v>1</v>
      </c>
      <c r="C8" s="112" t="str">
        <f>'Flt-1'!B7</f>
        <v>followedProtocol</v>
      </c>
      <c r="D8" s="138" t="s">
        <v>1049</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1121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59" x14ac:dyDescent="0.75">
      <c r="A10" s="111">
        <v>0</v>
      </c>
      <c r="B10" s="111">
        <f>'Flt-1'!A8</f>
        <v>2</v>
      </c>
      <c r="C10" s="112" t="str">
        <f>'Flt-1'!B8</f>
        <v>followedProtocol.type</v>
      </c>
      <c r="D10" s="44" t="s">
        <v>1062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59" x14ac:dyDescent="0.75">
      <c r="A11" s="111">
        <v>0</v>
      </c>
      <c r="B11" s="111">
        <f>'Flt-1'!A9</f>
        <v>3</v>
      </c>
      <c r="C11" s="112" t="str">
        <f>'Flt-1'!B9</f>
        <v>followedProtocol.name</v>
      </c>
      <c r="D11" s="44" t="s">
        <v>1063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59" x14ac:dyDescent="0.75">
      <c r="A12" s="111">
        <v>0</v>
      </c>
      <c r="B12" s="111">
        <f>'Flt-1'!A10</f>
        <v>4</v>
      </c>
      <c r="C12" s="112" t="str">
        <f>'Flt-1'!B10</f>
        <v>followedProtocol.description</v>
      </c>
      <c r="D12" s="44" t="s">
        <v>1064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59" x14ac:dyDescent="0.75">
      <c r="A13" s="111">
        <v>0</v>
      </c>
      <c r="B13" s="111">
        <f>'Flt-1'!A11</f>
        <v>5</v>
      </c>
      <c r="C13" s="112" t="str">
        <f>'Flt-1'!B11</f>
        <v>followedProtocol.arm</v>
      </c>
      <c r="D13" s="112" t="s">
        <v>1050</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59" x14ac:dyDescent="0.75">
      <c r="A14" s="111">
        <v>0</v>
      </c>
      <c r="B14" s="111">
        <f>'Flt-1'!A12</f>
        <v>6</v>
      </c>
      <c r="C14" s="112" t="str">
        <f>'Flt-1'!B12</f>
        <v>dateEOT</v>
      </c>
      <c r="D14" s="138" t="s">
        <v>1051</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1055</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1056</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1057</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1058</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1052</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1053</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1054</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73.75" x14ac:dyDescent="0.75">
      <c r="A23" s="111">
        <v>0</v>
      </c>
      <c r="B23" s="111">
        <f>'Flt-1'!A21</f>
        <v>15</v>
      </c>
      <c r="C23" s="112" t="str">
        <f>'Flt-1'!B21</f>
        <v>notForRelapse.isProgressionRelapseDuringFLT</v>
      </c>
      <c r="D23" s="112" t="s">
        <v>1138</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73.75" x14ac:dyDescent="0.75">
      <c r="A24" s="111">
        <v>0</v>
      </c>
      <c r="B24" s="111">
        <f>'Flt-1'!A22</f>
        <v>16</v>
      </c>
      <c r="C24" s="112" t="str">
        <f>'Flt-1'!B22</f>
        <v>notForRelapse.isProgressionRelapseAfterFLT</v>
      </c>
      <c r="D24" s="112" t="s">
        <v>1139</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B8" sqref="B8:C14"/>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1116</v>
      </c>
    </row>
    <row r="3" spans="1:9" x14ac:dyDescent="0.75">
      <c r="B3" s="118" t="s">
        <v>34</v>
      </c>
      <c r="C3" s="123" t="s">
        <v>36</v>
      </c>
      <c r="D3" s="56"/>
    </row>
    <row r="4" spans="1:9" ht="15.5" thickBot="1" x14ac:dyDescent="0.9">
      <c r="B4" s="119" t="s">
        <v>52</v>
      </c>
      <c r="C4" s="124" t="s">
        <v>1067</v>
      </c>
      <c r="D4" s="57"/>
    </row>
    <row r="5" spans="1:9" x14ac:dyDescent="0.75">
      <c r="C5" s="3" t="s">
        <v>7</v>
      </c>
      <c r="D5" s="4" t="s">
        <v>8</v>
      </c>
      <c r="E5" s="11" t="s">
        <v>17</v>
      </c>
      <c r="F5" s="11" t="s">
        <v>18</v>
      </c>
      <c r="G5" s="11" t="s">
        <v>19</v>
      </c>
      <c r="H5" s="176" t="s">
        <v>888</v>
      </c>
      <c r="I5" s="176"/>
    </row>
    <row r="6" spans="1:9" ht="15.5" thickBot="1" x14ac:dyDescent="0.9">
      <c r="A6" s="109">
        <v>0</v>
      </c>
      <c r="B6" s="124" t="s">
        <v>1067</v>
      </c>
      <c r="C6" s="16" t="s">
        <v>66</v>
      </c>
      <c r="D6" s="16" t="s">
        <v>66</v>
      </c>
      <c r="E6" s="34">
        <v>1</v>
      </c>
      <c r="F6" s="34">
        <v>1</v>
      </c>
      <c r="G6" s="34"/>
    </row>
    <row r="7" spans="1:9" x14ac:dyDescent="0.75">
      <c r="A7" s="109">
        <v>1</v>
      </c>
      <c r="B7" s="111" t="s">
        <v>35</v>
      </c>
      <c r="C7" s="112" t="s">
        <v>1076</v>
      </c>
      <c r="D7" s="112" t="s">
        <v>1076</v>
      </c>
      <c r="E7" s="111">
        <v>0</v>
      </c>
      <c r="F7" s="111">
        <v>1</v>
      </c>
      <c r="G7" s="111" t="s">
        <v>0</v>
      </c>
      <c r="H7" s="111"/>
      <c r="I7" s="111"/>
    </row>
    <row r="8" spans="1:9" x14ac:dyDescent="0.75">
      <c r="A8" s="109">
        <v>2</v>
      </c>
      <c r="B8" s="48" t="s">
        <v>896</v>
      </c>
      <c r="C8" s="138" t="s">
        <v>1068</v>
      </c>
      <c r="D8" s="112" t="s">
        <v>1068</v>
      </c>
      <c r="E8" s="111">
        <v>0</v>
      </c>
      <c r="F8" s="111">
        <v>1</v>
      </c>
      <c r="G8" s="111" t="s">
        <v>0</v>
      </c>
      <c r="H8" s="111"/>
      <c r="I8" s="111"/>
    </row>
    <row r="9" spans="1:9" ht="29.5" x14ac:dyDescent="0.75">
      <c r="A9" s="109">
        <v>4</v>
      </c>
      <c r="B9" s="48" t="s">
        <v>4</v>
      </c>
      <c r="C9" s="138" t="s">
        <v>1098</v>
      </c>
      <c r="D9" s="112" t="s">
        <v>715</v>
      </c>
      <c r="E9" s="111">
        <v>0</v>
      </c>
      <c r="F9" s="111">
        <v>1</v>
      </c>
      <c r="G9" s="111" t="s">
        <v>2</v>
      </c>
      <c r="H9" s="111"/>
      <c r="I9" s="111"/>
    </row>
    <row r="10" spans="1:9" ht="59" x14ac:dyDescent="0.75">
      <c r="A10" s="109">
        <v>3</v>
      </c>
      <c r="B10" s="48" t="s">
        <v>47</v>
      </c>
      <c r="C10" s="138" t="s">
        <v>1071</v>
      </c>
      <c r="D10" s="112" t="s">
        <v>1065</v>
      </c>
      <c r="E10" s="111">
        <v>0</v>
      </c>
      <c r="F10" s="111">
        <v>1</v>
      </c>
      <c r="G10" s="111" t="s">
        <v>1</v>
      </c>
      <c r="H10" s="111"/>
      <c r="I10" s="111"/>
    </row>
    <row r="11" spans="1:9" x14ac:dyDescent="0.75">
      <c r="A11" s="109">
        <v>5</v>
      </c>
      <c r="B11" s="138" t="s">
        <v>1070</v>
      </c>
      <c r="C11" s="138" t="s">
        <v>1069</v>
      </c>
      <c r="D11" s="112" t="s">
        <v>1066</v>
      </c>
      <c r="E11" s="111">
        <v>0</v>
      </c>
      <c r="F11" s="111">
        <v>1</v>
      </c>
      <c r="G11" s="111" t="s">
        <v>1</v>
      </c>
      <c r="H11" s="111"/>
      <c r="I11" s="111"/>
    </row>
    <row r="12" spans="1:9" x14ac:dyDescent="0.75">
      <c r="A12" s="109">
        <v>6</v>
      </c>
      <c r="B12" s="138" t="s">
        <v>1072</v>
      </c>
      <c r="C12" s="138" t="s">
        <v>721</v>
      </c>
      <c r="D12" s="112" t="s">
        <v>1110</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236"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59"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Marturity Level: 1 - Profiles in progress"</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Marturity Level: 1 - Profiles in progress"</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abSelected="1" workbookViewId="0">
      <selection activeCell="D7" sqref="D7:D13"/>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73.75" x14ac:dyDescent="0.75">
      <c r="A7" s="111">
        <v>0</v>
      </c>
      <c r="B7" s="111">
        <f>'RelFlt-1'!A6</f>
        <v>0</v>
      </c>
      <c r="C7" s="24" t="str">
        <f>'RelFlt-1'!B6</f>
        <v>RelapseDuringFLT</v>
      </c>
      <c r="D7" s="13" t="s">
        <v>1140</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907</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1073</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1074</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1075</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1141</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1137</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912</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908</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913</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909</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911</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910</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2022-05-05T12:00:55Z</dcterms:modified>
</cp:coreProperties>
</file>