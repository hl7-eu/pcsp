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4B2F4348-BFCD-4FC9-B7CE-B1479C9F3F3C}" xr6:coauthVersionLast="47" xr6:coauthVersionMax="47" xr10:uidLastSave="{00000000-0000-0000-0000-000000000000}"/>
  <bookViews>
    <workbookView xWindow="-90" yWindow="-21710" windowWidth="38620" windowHeight="21100" tabRatio="819" activeTab="1" xr2:uid="{82F0A5E9-86C8-45A2-AB20-6CF6AA2FD42B}"/>
    <workbookView xWindow="-90" yWindow="-21710" windowWidth="38620" windowHeight="21100" activeTab="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1" i="59"/>
  <c r="C13" i="92"/>
  <c r="B9" i="92"/>
  <c r="C9" i="92"/>
  <c r="B10" i="92"/>
  <c r="C10" i="92"/>
  <c r="B11" i="92"/>
  <c r="C11" i="92"/>
  <c r="G11" i="92" s="1"/>
  <c r="B12" i="92"/>
  <c r="C12" i="92"/>
  <c r="C3" i="90"/>
  <c r="C4" i="90"/>
  <c r="C5" i="90"/>
  <c r="C6" i="90"/>
  <c r="C7" i="90"/>
  <c r="D81" i="91" s="1" a="1"/>
  <c r="D81" i="91" s="1"/>
  <c r="B3" i="90"/>
  <c r="D44" i="91" s="1" a="1"/>
  <c r="D44" i="91" s="1"/>
  <c r="B4" i="90"/>
  <c r="B5" i="90"/>
  <c r="B6" i="90"/>
  <c r="B7" i="90"/>
  <c r="D45" i="91" a="1"/>
  <c r="D45" i="91" s="1"/>
  <c r="D46" i="91" a="1"/>
  <c r="D46" i="91" s="1"/>
  <c r="D47" i="91" a="1"/>
  <c r="D47" i="91" s="1"/>
  <c r="D48" i="91" a="1"/>
  <c r="D48" i="91" s="1"/>
  <c r="D49" i="91" a="1"/>
  <c r="D49" i="91" s="1"/>
  <c r="D50" i="91" a="1"/>
  <c r="D50" i="91" s="1"/>
  <c r="D51" i="91" a="1"/>
  <c r="D51" i="91" s="1"/>
  <c r="D52" i="91" a="1"/>
  <c r="D52" i="91" s="1"/>
  <c r="D53" i="91" a="1"/>
  <c r="D53" i="91" s="1"/>
  <c r="D36" i="91" a="1"/>
  <c r="D36"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I4" i="90"/>
  <c r="J4" i="90"/>
  <c r="D5" i="90"/>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62" i="93" a="1"/>
  <c r="D62" i="93" s="1"/>
  <c r="D62" i="104" s="1"/>
  <c r="D70" i="93" a="1"/>
  <c r="D70" i="93" s="1"/>
  <c r="D70" i="104" s="1"/>
  <c r="D170" i="93" a="1"/>
  <c r="D170" i="93" s="1"/>
  <c r="D170" i="104" s="1"/>
  <c r="D173" i="93" a="1"/>
  <c r="D173" i="93" s="1"/>
  <c r="D173" i="104" s="1"/>
  <c r="D176" i="93" a="1"/>
  <c r="D176" i="93" s="1"/>
  <c r="D176" i="104" s="1"/>
  <c r="D179" i="93" a="1"/>
  <c r="D179" i="93" s="1"/>
  <c r="D179" i="104" s="1"/>
  <c r="D180" i="93" a="1"/>
  <c r="D180" i="93" s="1"/>
  <c r="D180" i="104" s="1"/>
  <c r="D181" i="93" a="1"/>
  <c r="D181" i="93" s="1"/>
  <c r="D181" i="104" s="1"/>
  <c r="D182" i="93" a="1"/>
  <c r="D182" i="93" s="1"/>
  <c r="D182" i="104" s="1"/>
  <c r="D183" i="93" a="1"/>
  <c r="D183" i="93" s="1"/>
  <c r="D183" i="104" s="1"/>
  <c r="D184" i="93" a="1"/>
  <c r="D184" i="93" s="1"/>
  <c r="D184" i="104" s="1"/>
  <c r="D185" i="93" a="1"/>
  <c r="D185" i="93" s="1"/>
  <c r="D185" i="104" s="1"/>
  <c r="D186" i="93" a="1"/>
  <c r="D186" i="93" s="1"/>
  <c r="D186" i="104" s="1"/>
  <c r="D187" i="93" a="1"/>
  <c r="D187" i="93" s="1"/>
  <c r="D187" i="104" s="1"/>
  <c r="D188" i="93" a="1"/>
  <c r="D188" i="93" s="1"/>
  <c r="D188" i="104" s="1"/>
  <c r="D189" i="93" a="1"/>
  <c r="D189" i="93" s="1"/>
  <c r="D189" i="104" s="1"/>
  <c r="D190" i="93" a="1"/>
  <c r="D190" i="93" s="1"/>
  <c r="D190" i="104"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D8" i="93" s="1" a="1"/>
  <c r="D8" i="93" s="1"/>
  <c r="D8" i="104" s="1"/>
  <c r="J9" i="92"/>
  <c r="D11" i="93" s="1" a="1"/>
  <c r="D11" i="93" s="1"/>
  <c r="D11" i="104" s="1"/>
  <c r="J10" i="92"/>
  <c r="D14" i="93" s="1" a="1"/>
  <c r="D14" i="93" s="1"/>
  <c r="D14" i="104" s="1"/>
  <c r="J11" i="92"/>
  <c r="D17" i="93" s="1" a="1"/>
  <c r="D17" i="93" s="1"/>
  <c r="D17" i="104" s="1"/>
  <c r="J12" i="92"/>
  <c r="D20" i="93" s="1" a="1"/>
  <c r="D20" i="93" s="1"/>
  <c r="D20" i="104" s="1"/>
  <c r="G13" i="92"/>
  <c r="I13" i="92" s="1"/>
  <c r="D22" i="93" s="1" a="1"/>
  <c r="D22" i="93" s="1"/>
  <c r="D22" i="104" s="1"/>
  <c r="J13" i="92"/>
  <c r="D23" i="93" s="1" a="1"/>
  <c r="D23" i="93" s="1"/>
  <c r="D23" i="104" s="1"/>
  <c r="G14" i="92"/>
  <c r="H14" i="92" s="1"/>
  <c r="D24" i="93" s="1" a="1"/>
  <c r="D24" i="93" s="1"/>
  <c r="D24" i="104" s="1"/>
  <c r="J14" i="92"/>
  <c r="D26" i="93" s="1" a="1"/>
  <c r="D26" i="93" s="1"/>
  <c r="D26" i="104" s="1"/>
  <c r="G15" i="92"/>
  <c r="I15" i="92" s="1"/>
  <c r="D28" i="93" s="1" a="1"/>
  <c r="D28" i="93" s="1"/>
  <c r="D28" i="104" s="1"/>
  <c r="H15" i="92"/>
  <c r="D27" i="93" s="1" a="1"/>
  <c r="D27" i="93" s="1"/>
  <c r="D27" i="104" s="1"/>
  <c r="J15" i="92"/>
  <c r="D29" i="93" s="1" a="1"/>
  <c r="D29" i="93" s="1"/>
  <c r="D29" i="104" s="1"/>
  <c r="G16" i="92"/>
  <c r="H16" i="92" s="1"/>
  <c r="D30" i="93" s="1" a="1"/>
  <c r="D30" i="93" s="1"/>
  <c r="D30" i="104" s="1"/>
  <c r="J16" i="92"/>
  <c r="D32" i="93" s="1" a="1"/>
  <c r="D32" i="93" s="1"/>
  <c r="D32" i="104" s="1"/>
  <c r="G17" i="92"/>
  <c r="I17" i="92" s="1"/>
  <c r="D34" i="93" s="1" a="1"/>
  <c r="D34" i="93" s="1"/>
  <c r="D34" i="104" s="1"/>
  <c r="H17" i="92"/>
  <c r="D33" i="93" s="1" a="1"/>
  <c r="D33" i="93" s="1"/>
  <c r="D33" i="104" s="1"/>
  <c r="J17" i="92"/>
  <c r="D35" i="93" s="1" a="1"/>
  <c r="D35" i="93" s="1"/>
  <c r="D35" i="104" s="1"/>
  <c r="G18" i="92"/>
  <c r="H18" i="92" s="1"/>
  <c r="D36" i="93" s="1" a="1"/>
  <c r="D36" i="93" s="1"/>
  <c r="D36" i="104" s="1"/>
  <c r="J18" i="92"/>
  <c r="D38" i="93" s="1" a="1"/>
  <c r="D38" i="93" s="1"/>
  <c r="D38" i="104" s="1"/>
  <c r="G19" i="92"/>
  <c r="I19" i="92" s="1"/>
  <c r="D40" i="93" s="1" a="1"/>
  <c r="D40" i="93" s="1"/>
  <c r="D40" i="104" s="1"/>
  <c r="J19" i="92"/>
  <c r="D41" i="93" s="1" a="1"/>
  <c r="D41" i="93" s="1"/>
  <c r="D41" i="104" s="1"/>
  <c r="G20" i="92"/>
  <c r="H20" i="92" s="1"/>
  <c r="D42" i="93" s="1" a="1"/>
  <c r="D42" i="93" s="1"/>
  <c r="D42" i="104" s="1"/>
  <c r="J20" i="92"/>
  <c r="D44" i="93" s="1" a="1"/>
  <c r="D44" i="93" s="1"/>
  <c r="D44" i="104" s="1"/>
  <c r="G21" i="92"/>
  <c r="I21" i="92" s="1"/>
  <c r="D46" i="93" s="1" a="1"/>
  <c r="D46" i="93" s="1"/>
  <c r="D46" i="104" s="1"/>
  <c r="J21" i="92"/>
  <c r="D47" i="93" s="1" a="1"/>
  <c r="D47" i="93" s="1"/>
  <c r="D47" i="104" s="1"/>
  <c r="G22" i="92"/>
  <c r="H22" i="92" s="1"/>
  <c r="D48" i="93" s="1" a="1"/>
  <c r="D48" i="93" s="1"/>
  <c r="D48" i="104" s="1"/>
  <c r="J22" i="92"/>
  <c r="D50" i="93" s="1" a="1"/>
  <c r="D50" i="93" s="1"/>
  <c r="D50" i="104" s="1"/>
  <c r="G23" i="92"/>
  <c r="I23" i="92" s="1"/>
  <c r="D52" i="93" s="1" a="1"/>
  <c r="D52" i="93" s="1"/>
  <c r="D52" i="104" s="1"/>
  <c r="H23" i="92"/>
  <c r="D51" i="93" s="1" a="1"/>
  <c r="D51" i="93" s="1"/>
  <c r="D51" i="104" s="1"/>
  <c r="J23" i="92"/>
  <c r="D53" i="93" s="1" a="1"/>
  <c r="D53" i="93" s="1"/>
  <c r="D53" i="104" s="1"/>
  <c r="G24" i="92"/>
  <c r="H24" i="92" s="1"/>
  <c r="D54" i="93" s="1" a="1"/>
  <c r="D54" i="93" s="1"/>
  <c r="D54" i="104" s="1"/>
  <c r="J24" i="92"/>
  <c r="D56" i="93" s="1" a="1"/>
  <c r="D56" i="93" s="1"/>
  <c r="D56" i="104" s="1"/>
  <c r="G25" i="92"/>
  <c r="I25" i="92" s="1"/>
  <c r="D58" i="93" s="1" a="1"/>
  <c r="D58" i="93" s="1"/>
  <c r="D58" i="104" s="1"/>
  <c r="J25" i="92"/>
  <c r="D59" i="93" s="1" a="1"/>
  <c r="D59" i="93" s="1"/>
  <c r="D59" i="104" s="1"/>
  <c r="G26" i="92"/>
  <c r="H26" i="92" s="1"/>
  <c r="D60" i="93" s="1" a="1"/>
  <c r="D60" i="93" s="1"/>
  <c r="D60" i="104" s="1"/>
  <c r="J26" i="92"/>
  <c r="G27" i="92"/>
  <c r="I27" i="92" s="1"/>
  <c r="D64" i="93" s="1" a="1"/>
  <c r="D64" i="93" s="1"/>
  <c r="D64" i="104" s="1"/>
  <c r="H27" i="92"/>
  <c r="D63" i="93" s="1" a="1"/>
  <c r="D63" i="93" s="1"/>
  <c r="D63" i="104" s="1"/>
  <c r="J27" i="92"/>
  <c r="D65" i="93" s="1" a="1"/>
  <c r="D65" i="93" s="1"/>
  <c r="D65" i="104" s="1"/>
  <c r="G28" i="92"/>
  <c r="H28" i="92" s="1"/>
  <c r="D66" i="93" s="1" a="1"/>
  <c r="D66" i="93" s="1"/>
  <c r="D66" i="104" s="1"/>
  <c r="J28" i="92"/>
  <c r="D68" i="93" s="1" a="1"/>
  <c r="D68" i="93" s="1"/>
  <c r="D68" i="104" s="1"/>
  <c r="G29" i="92"/>
  <c r="I29" i="92" s="1"/>
  <c r="J29" i="92"/>
  <c r="D71" i="93" s="1" a="1"/>
  <c r="D71" i="93" s="1"/>
  <c r="D71" i="104" s="1"/>
  <c r="G30" i="92"/>
  <c r="H30" i="92" s="1"/>
  <c r="D72" i="93" s="1" a="1"/>
  <c r="D72" i="93" s="1"/>
  <c r="D72" i="104" s="1"/>
  <c r="J30" i="92"/>
  <c r="D74" i="93" s="1" a="1"/>
  <c r="D74" i="93" s="1"/>
  <c r="D74" i="104" s="1"/>
  <c r="G31" i="92"/>
  <c r="I31" i="92" s="1"/>
  <c r="D76" i="93" s="1" a="1"/>
  <c r="D76" i="93" s="1"/>
  <c r="D76" i="104" s="1"/>
  <c r="H31" i="92"/>
  <c r="D75" i="93" s="1" a="1"/>
  <c r="D75" i="93" s="1"/>
  <c r="D75" i="104" s="1"/>
  <c r="J31" i="92"/>
  <c r="D77" i="93" s="1" a="1"/>
  <c r="D77" i="93" s="1"/>
  <c r="D77" i="104" s="1"/>
  <c r="G32" i="92"/>
  <c r="H32" i="92" s="1"/>
  <c r="D78" i="93" s="1" a="1"/>
  <c r="D78" i="93" s="1"/>
  <c r="D78" i="104" s="1"/>
  <c r="J32" i="92"/>
  <c r="D80" i="93" s="1" a="1"/>
  <c r="D80" i="93" s="1"/>
  <c r="D80" i="104" s="1"/>
  <c r="G33" i="92"/>
  <c r="I33" i="92" s="1"/>
  <c r="D82" i="93" s="1" a="1"/>
  <c r="D82" i="93" s="1"/>
  <c r="D82" i="104" s="1"/>
  <c r="H33" i="92"/>
  <c r="D81" i="93" s="1" a="1"/>
  <c r="D81" i="93" s="1"/>
  <c r="D81" i="104" s="1"/>
  <c r="J33" i="92"/>
  <c r="D83" i="93" s="1" a="1"/>
  <c r="D83" i="93" s="1"/>
  <c r="D83" i="104" s="1"/>
  <c r="G34" i="92"/>
  <c r="H34" i="92" s="1"/>
  <c r="D84" i="93" s="1" a="1"/>
  <c r="D84" i="93" s="1"/>
  <c r="D84" i="104" s="1"/>
  <c r="J34" i="92"/>
  <c r="D86" i="93" s="1" a="1"/>
  <c r="D86" i="93" s="1"/>
  <c r="D86" i="104" s="1"/>
  <c r="G35" i="92"/>
  <c r="I35" i="92" s="1"/>
  <c r="D88" i="93" s="1" a="1"/>
  <c r="D88" i="93" s="1"/>
  <c r="D88" i="104" s="1"/>
  <c r="J35" i="92"/>
  <c r="D89" i="93" s="1" a="1"/>
  <c r="D89" i="93" s="1"/>
  <c r="D89" i="104" s="1"/>
  <c r="G36" i="92"/>
  <c r="H36" i="92" s="1"/>
  <c r="D90" i="93" s="1" a="1"/>
  <c r="D90" i="93" s="1"/>
  <c r="D90"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G9" i="92"/>
  <c r="G10" i="92"/>
  <c r="G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29" i="92" l="1"/>
  <c r="D69" i="93" s="1" a="1"/>
  <c r="D69" i="93" s="1"/>
  <c r="D69" i="104" s="1"/>
  <c r="H13" i="92"/>
  <c r="D21" i="93" s="1" a="1"/>
  <c r="D21" i="93" s="1"/>
  <c r="D21" i="104" s="1"/>
  <c r="H35" i="92"/>
  <c r="D87" i="93" s="1" a="1"/>
  <c r="D87" i="93" s="1"/>
  <c r="D87" i="104" s="1"/>
  <c r="H19" i="92"/>
  <c r="D39" i="93" s="1" a="1"/>
  <c r="D39" i="93" s="1"/>
  <c r="D39" i="104" s="1"/>
  <c r="H25" i="92"/>
  <c r="D57" i="93" s="1" a="1"/>
  <c r="D57" i="93" s="1"/>
  <c r="D57" i="104" s="1"/>
  <c r="H21" i="92"/>
  <c r="D45" i="93" s="1" a="1"/>
  <c r="D45" i="93" s="1"/>
  <c r="D45" i="104" s="1"/>
  <c r="H12" i="92"/>
  <c r="D18" i="93" s="1" a="1"/>
  <c r="D18" i="93" s="1"/>
  <c r="D18" i="104" s="1"/>
  <c r="H10" i="92"/>
  <c r="D12" i="93" s="1" a="1"/>
  <c r="D12" i="93" s="1"/>
  <c r="D12" i="104" s="1"/>
  <c r="I11" i="92"/>
  <c r="D16" i="93" s="1" a="1"/>
  <c r="D16" i="93" s="1"/>
  <c r="D16" i="104" s="1"/>
  <c r="H11" i="92"/>
  <c r="D15" i="93" s="1" a="1"/>
  <c r="D15" i="93" s="1"/>
  <c r="D15" i="104" s="1"/>
  <c r="I36" i="92"/>
  <c r="D91" i="93" s="1" a="1"/>
  <c r="D91" i="93" s="1"/>
  <c r="D91" i="104" s="1"/>
  <c r="I34" i="92"/>
  <c r="D85" i="93" s="1" a="1"/>
  <c r="D85" i="93" s="1"/>
  <c r="D85" i="104" s="1"/>
  <c r="I32" i="92"/>
  <c r="D79" i="93" s="1" a="1"/>
  <c r="D79" i="93" s="1"/>
  <c r="D79" i="104" s="1"/>
  <c r="I30" i="92"/>
  <c r="D73" i="93" s="1" a="1"/>
  <c r="D73" i="93" s="1"/>
  <c r="D73" i="104" s="1"/>
  <c r="I28" i="92"/>
  <c r="D67" i="93" s="1" a="1"/>
  <c r="D67" i="93" s="1"/>
  <c r="D67" i="104" s="1"/>
  <c r="I26" i="92"/>
  <c r="D61" i="93" s="1" a="1"/>
  <c r="D61" i="93" s="1"/>
  <c r="D61" i="104" s="1"/>
  <c r="I24" i="92"/>
  <c r="D55" i="93" s="1" a="1"/>
  <c r="D55" i="93" s="1"/>
  <c r="D55" i="104" s="1"/>
  <c r="I22" i="92"/>
  <c r="D49" i="93" s="1" a="1"/>
  <c r="D49" i="93" s="1"/>
  <c r="D49" i="104" s="1"/>
  <c r="I20" i="92"/>
  <c r="D43" i="93" s="1" a="1"/>
  <c r="D43" i="93" s="1"/>
  <c r="D43" i="104" s="1"/>
  <c r="I18" i="92"/>
  <c r="D37" i="93" s="1" a="1"/>
  <c r="D37" i="93" s="1"/>
  <c r="D37" i="104" s="1"/>
  <c r="I16" i="92"/>
  <c r="D31" i="93" s="1" a="1"/>
  <c r="D31" i="93" s="1"/>
  <c r="D31" i="104" s="1"/>
  <c r="I14" i="92"/>
  <c r="D25" i="93" s="1" a="1"/>
  <c r="D25" i="93" s="1"/>
  <c r="D25" i="104" s="1"/>
  <c r="I12" i="92"/>
  <c r="D19" i="93" s="1" a="1"/>
  <c r="D19" i="93" s="1"/>
  <c r="D19" i="104" s="1"/>
  <c r="I10" i="92"/>
  <c r="D13" i="93" s="1" a="1"/>
  <c r="D13" i="93" s="1"/>
  <c r="D13" i="104" s="1"/>
  <c r="D183" i="91" l="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5" i="105"/>
  <c r="N4" i="105"/>
  <c r="C4" i="105"/>
  <c r="N3" i="105"/>
  <c r="C3" i="105"/>
  <c r="N2" i="105"/>
  <c r="C2" i="105"/>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D9" i="93" s="1" a="1"/>
  <c r="D9" i="93" s="1"/>
  <c r="D9" i="104" s="1"/>
  <c r="I9" i="92"/>
  <c r="D10" i="93" s="1" a="1"/>
  <c r="D10" i="93" s="1"/>
  <c r="D10" i="104" s="1"/>
  <c r="H60" i="92"/>
  <c r="D162" i="93" s="1" a="1"/>
  <c r="D162" i="93" s="1"/>
  <c r="D162" i="104" s="1"/>
  <c r="I60" i="92"/>
  <c r="D163" i="93" s="1" a="1"/>
  <c r="D163" i="93" s="1"/>
  <c r="D163" i="104" s="1"/>
  <c r="I59" i="92"/>
  <c r="D160" i="93" s="1" a="1"/>
  <c r="D160" i="93" s="1"/>
  <c r="D160" i="104" s="1"/>
  <c r="H59" i="92"/>
  <c r="D159" i="93" s="1" a="1"/>
  <c r="D159" i="93" s="1"/>
  <c r="D159" i="104" s="1"/>
  <c r="I51" i="92"/>
  <c r="D136" i="93" s="1" a="1"/>
  <c r="D136" i="93" s="1"/>
  <c r="D136" i="104" s="1"/>
  <c r="H51" i="92"/>
  <c r="D135" i="93" s="1" a="1"/>
  <c r="D135" i="93" s="1"/>
  <c r="D135" i="104" s="1"/>
  <c r="I43" i="92"/>
  <c r="D112" i="93" s="1" a="1"/>
  <c r="D112" i="93" s="1"/>
  <c r="D112" i="104" s="1"/>
  <c r="H43" i="92"/>
  <c r="D111" i="93" s="1" a="1"/>
  <c r="D111" i="93" s="1"/>
  <c r="D111" i="104" s="1"/>
  <c r="H52" i="92"/>
  <c r="D138" i="93" s="1" a="1"/>
  <c r="D138" i="93" s="1"/>
  <c r="D138" i="104" s="1"/>
  <c r="I52" i="92"/>
  <c r="D139" i="93" s="1" a="1"/>
  <c r="D139" i="93" s="1"/>
  <c r="D139" i="104" s="1"/>
  <c r="H58" i="92"/>
  <c r="D156" i="93" s="1" a="1"/>
  <c r="D156" i="93" s="1"/>
  <c r="D156" i="104" s="1"/>
  <c r="I58" i="92"/>
  <c r="D157" i="93" s="1" a="1"/>
  <c r="D157" i="93" s="1"/>
  <c r="D157" i="104" s="1"/>
  <c r="H50" i="92"/>
  <c r="D132" i="93" s="1" a="1"/>
  <c r="D132" i="93" s="1"/>
  <c r="D132" i="104" s="1"/>
  <c r="I50" i="92"/>
  <c r="D133" i="93" s="1" a="1"/>
  <c r="D133" i="93" s="1"/>
  <c r="D133" i="104" s="1"/>
  <c r="H42" i="92"/>
  <c r="D108" i="93" s="1" a="1"/>
  <c r="D108" i="93" s="1"/>
  <c r="D108" i="104" s="1"/>
  <c r="I42" i="92"/>
  <c r="D109" i="93" s="1" a="1"/>
  <c r="D109" i="93" s="1"/>
  <c r="D109" i="104" s="1"/>
  <c r="I57" i="92"/>
  <c r="D154" i="93" s="1" a="1"/>
  <c r="D154" i="93" s="1"/>
  <c r="D154" i="104" s="1"/>
  <c r="H57" i="92"/>
  <c r="D153" i="93" s="1" a="1"/>
  <c r="D153" i="93" s="1"/>
  <c r="D153" i="104" s="1"/>
  <c r="I49" i="92"/>
  <c r="D130" i="93" s="1" a="1"/>
  <c r="D130" i="93" s="1"/>
  <c r="D130" i="104" s="1"/>
  <c r="H49" i="92"/>
  <c r="D129" i="93" s="1" a="1"/>
  <c r="D129" i="93" s="1"/>
  <c r="D129" i="104" s="1"/>
  <c r="I41" i="92"/>
  <c r="D106" i="93" s="1" a="1"/>
  <c r="D106" i="93" s="1"/>
  <c r="D106" i="104" s="1"/>
  <c r="H41" i="92"/>
  <c r="D105" i="93" s="1" a="1"/>
  <c r="D105" i="93" s="1"/>
  <c r="D105" i="104" s="1"/>
  <c r="H40" i="92"/>
  <c r="D102" i="93" s="1" a="1"/>
  <c r="D102" i="93" s="1"/>
  <c r="D102" i="104" s="1"/>
  <c r="I40" i="92"/>
  <c r="D103" i="93" s="1" a="1"/>
  <c r="D103" i="93" s="1"/>
  <c r="D103" i="104" s="1"/>
  <c r="H56" i="92"/>
  <c r="D150" i="93" s="1" a="1"/>
  <c r="D150" i="93" s="1"/>
  <c r="D150" i="104" s="1"/>
  <c r="I56" i="92"/>
  <c r="D151" i="93" s="1" a="1"/>
  <c r="D151" i="93" s="1"/>
  <c r="D151" i="104" s="1"/>
  <c r="I55" i="92"/>
  <c r="D148" i="93" s="1" a="1"/>
  <c r="D148" i="93" s="1"/>
  <c r="D148" i="104" s="1"/>
  <c r="H55" i="92"/>
  <c r="D147" i="93" s="1" a="1"/>
  <c r="D147" i="93" s="1"/>
  <c r="D147" i="104" s="1"/>
  <c r="I47" i="92"/>
  <c r="D124" i="93" s="1" a="1"/>
  <c r="D124" i="93" s="1"/>
  <c r="D124" i="104" s="1"/>
  <c r="H47" i="92"/>
  <c r="D123" i="93" s="1" a="1"/>
  <c r="D123" i="93" s="1"/>
  <c r="D123" i="104" s="1"/>
  <c r="H48" i="92"/>
  <c r="D126" i="93" s="1" a="1"/>
  <c r="D126" i="93" s="1"/>
  <c r="D126" i="104" s="1"/>
  <c r="I48" i="92"/>
  <c r="D127" i="93" s="1" a="1"/>
  <c r="D127" i="93" s="1"/>
  <c r="D127" i="104" s="1"/>
  <c r="H54" i="92"/>
  <c r="D144" i="93" s="1" a="1"/>
  <c r="D144" i="93" s="1"/>
  <c r="D144" i="104" s="1"/>
  <c r="I54" i="92"/>
  <c r="D145" i="93" s="1" a="1"/>
  <c r="D145" i="93" s="1"/>
  <c r="D145" i="104" s="1"/>
  <c r="H46" i="92"/>
  <c r="D120" i="93" s="1" a="1"/>
  <c r="D120" i="93" s="1"/>
  <c r="D120" i="104" s="1"/>
  <c r="I46" i="92"/>
  <c r="D121" i="93" s="1" a="1"/>
  <c r="D121" i="93" s="1"/>
  <c r="D121" i="104" s="1"/>
  <c r="I61" i="92"/>
  <c r="D166" i="93" s="1" a="1"/>
  <c r="D166" i="93" s="1"/>
  <c r="D166" i="104" s="1"/>
  <c r="H61" i="92"/>
  <c r="D165" i="93" s="1" a="1"/>
  <c r="D165" i="93" s="1"/>
  <c r="D165" i="104" s="1"/>
  <c r="I53" i="92"/>
  <c r="D142" i="93" s="1" a="1"/>
  <c r="D142" i="93" s="1"/>
  <c r="D142" i="104" s="1"/>
  <c r="H53" i="92"/>
  <c r="D141" i="93" s="1" a="1"/>
  <c r="D141" i="93" s="1"/>
  <c r="D141" i="104" s="1"/>
  <c r="I45" i="92"/>
  <c r="D118" i="93" s="1" a="1"/>
  <c r="D118" i="93" s="1"/>
  <c r="D118" i="104" s="1"/>
  <c r="H45" i="92"/>
  <c r="D117" i="93" s="1" a="1"/>
  <c r="D117" i="93" s="1"/>
  <c r="D117" i="104" s="1"/>
  <c r="H44" i="92"/>
  <c r="D114" i="93" s="1" a="1"/>
  <c r="D114" i="93" s="1"/>
  <c r="D114" i="104" s="1"/>
  <c r="I44" i="92"/>
  <c r="D115" i="93" s="1" a="1"/>
  <c r="D115" i="93" s="1"/>
  <c r="D115" i="104" s="1"/>
  <c r="I39" i="92"/>
  <c r="D100" i="93" s="1" a="1"/>
  <c r="D100" i="93" s="1"/>
  <c r="D100" i="104" s="1"/>
  <c r="H39" i="92"/>
  <c r="D99" i="93" s="1" a="1"/>
  <c r="D99" i="93" s="1"/>
  <c r="D99" i="104" s="1"/>
  <c r="H38" i="92"/>
  <c r="D96" i="93" s="1" a="1"/>
  <c r="D96" i="93" s="1"/>
  <c r="D96" i="104" s="1"/>
  <c r="I38" i="92"/>
  <c r="D97" i="93" s="1" a="1"/>
  <c r="D97" i="93" s="1"/>
  <c r="D97" i="104" s="1"/>
  <c r="I37" i="92"/>
  <c r="D94" i="93" s="1" a="1"/>
  <c r="D94" i="93" s="1"/>
  <c r="D94" i="104" s="1"/>
  <c r="H37" i="92"/>
  <c r="D93" i="93" s="1" a="1"/>
  <c r="D93" i="93" s="1"/>
  <c r="D93" i="104" s="1"/>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5" i="93" s="1" a="1"/>
  <c r="D5" i="93" s="1"/>
  <c r="D5" i="104" s="1"/>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N39" i="102" s="1"/>
  <c r="C40" i="102"/>
  <c r="N40" i="102" s="1"/>
  <c r="C41" i="102"/>
  <c r="N41" i="102" s="1"/>
  <c r="C9" i="102"/>
  <c r="N9" i="102" s="1"/>
  <c r="C10" i="102"/>
  <c r="N10" i="102" s="1"/>
  <c r="C11" i="102"/>
  <c r="N11" i="102" s="1"/>
  <c r="C12" i="102"/>
  <c r="N12" i="102" s="1"/>
  <c r="C13" i="102"/>
  <c r="N13" i="102" s="1"/>
  <c r="C14" i="102"/>
  <c r="N14" i="102" s="1"/>
  <c r="C15" i="102"/>
  <c r="N15" i="102" s="1"/>
  <c r="C16" i="102"/>
  <c r="N16" i="102" s="1"/>
  <c r="C17" i="102"/>
  <c r="N17" i="102" s="1"/>
  <c r="C18" i="102"/>
  <c r="N18" i="102" s="1"/>
  <c r="C19" i="102"/>
  <c r="N19" i="102" s="1"/>
  <c r="C20" i="102"/>
  <c r="N20" i="102" s="1"/>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I66" i="92"/>
  <c r="H67" i="92"/>
  <c r="I67" i="92"/>
  <c r="H68" i="92"/>
  <c r="I68" i="92"/>
  <c r="H69" i="92"/>
  <c r="I69" i="92"/>
  <c r="G62" i="92"/>
  <c r="G63" i="92"/>
  <c r="G64" i="92"/>
  <c r="G65" i="92"/>
  <c r="G66" i="92"/>
  <c r="G67" i="92"/>
  <c r="G68" i="92"/>
  <c r="G69" i="92"/>
  <c r="D169" i="103" l="1"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8" i="92" l="1"/>
  <c r="D6" i="93" s="1" a="1"/>
  <c r="D6" i="93" s="1"/>
  <c r="D6" i="104" s="1"/>
  <c r="I8" i="92"/>
  <c r="D7" i="93" s="1" a="1"/>
  <c r="D7" i="93" s="1"/>
  <c r="D7" i="104" s="1"/>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3"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<sst xmlns="http://schemas.openxmlformats.org/spreadsheetml/2006/main" count="2648" uniqueCount="1115">
  <si>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</si>
  <si>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</si>
  <si>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</si>
  <si>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</si>
  <si>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</si>
  <si>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</si>
  <si>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</si>
  <si>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</si>
  <si>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</si>
  <si>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</si>
  <si>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</si>
  <si>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</si>
  <si>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</si>
  <si>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</si>
  <si>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</si>
  <si>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</si>
  <si>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</si>
  <si>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</si>
  <si>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</si>
  <si>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</si>
  <si>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</si>
  <si>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</si>
  <si>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</si>
  <si>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</si>
  <si>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</si>
  <si>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</si>
  <si>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</si>
  <si>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</si>
  <si>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</si>
  <si>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</si>
  <si>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</si>
  <si>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</si>
  <si>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</si>
  <si>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</si>
  <si>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</si>
  <si>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</si>
  <si>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</si>
  <si>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</si>
  <si>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</si>
  <si>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</si>
  <si>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</si>
  <si>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</si>
  <si>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</si>
  <si>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</si>
  <si>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</si>
  <si>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</si>
  <si>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</si>
  <si>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</si>
  <si>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</si>
  <si>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</si>
  <si>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</si>
  <si>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</si>
  <si>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</si>
  <si>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</si>
  <si>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</si>
  <si>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</si>
  <si>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</si>
  <si>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</si>
  <si>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</si>
  <si>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</si>
  <si>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</si>
  <si>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</si>
  <si>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</si>
  <si>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</si>
  <si>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</si>
  <si>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</si>
  <si>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</si>
  <si>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</si>
  <si>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</si>
  <si>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</si>
  <si>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</si>
  <si>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</si>
  <si>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</si>
  <si>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</si>
  <si>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</si>
  <si>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</si>
  <si>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</si>
  <si>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</si>
  <si>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</si>
  <si>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</si>
  <si>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</si>
  <si>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</si>
  <si>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</si>
  <si>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</si>
  <si>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</si>
  <si>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</si>
  <si>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</si>
  <si>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</si>
  <si>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</si>
  <si>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</si>
  <si>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</si>
  <si>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</si>
  <si>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</si>
  <si>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</si>
  <si>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</si>
  <si>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</si>
  <si>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</si>
  <si>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</si>
  <si>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</si>
  <si>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</si>
  <si>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</si>
  <si>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</si>
  <si>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</si>
  <si>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</si>
  <si>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</si>
  <si>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</si>
  <si>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</si>
  <si>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</si>
  <si>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</si>
  <si>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</si>
  <si>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</si>
  <si>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</si>
  <si>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</si>
  <si>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</si>
  <si>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</si>
  <si>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</si>
  <si>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</si>
  <si>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</si>
  <si>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</si>
  <si>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</si>
  <si>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</si>
  <si>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</si>
  <si>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</si>
  <si>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</si>
  <si>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</si>
  <si>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</si>
  <si>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</si>
  <si>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</si>
  <si>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</si>
  <si>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</si>
  <si>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</si>
  <si>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</si>
  <si>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</si>
  <si>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</si>
  <si>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</si>
  <si>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</si>
  <si>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</si>
  <si>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</si>
  <si>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</si>
  <si>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</si>
  <si>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</si>
  <si>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</si>
  <si>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</si>
  <si>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</si>
  <si>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</si>
  <si>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</si>
  <si>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</si>
  <si>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</si>
  <si>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</si>
  <si>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</si>
  <si>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</si>
  <si>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</si>
  <si>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</si>
  <si>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</si>
  <si>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</si>
  <si>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</si>
  <si>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</si>
  <si>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</si>
  <si>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</si>
  <si>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</si>
  <si>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</si>
  <si>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</si>
  <si>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</si>
  <si>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</si>
  <si>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</si>
  <si>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</si>
  <si>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</si>
  <si>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</si>
  <si>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</si>
  <si>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</si>
  <si>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</si>
  <si>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</si>
  <si>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</si>
  <si>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</si>
  <si>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</si>
  <si>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</si>
  <si>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</si>
  <si>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</si>
  <si>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</si>
  <si>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</si>
  <si>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</si>
  <si>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</si>
  <si>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</si>
  <si>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</si>
  <si>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</si>
  <si>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</si>
  <si>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</si>
  <si>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</si>
  <si>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</si>
  <si>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</si>
  <si>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</si>
  <si>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</si>
  <si>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</si>
  <si>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</si>
  <si>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</si>
  <si>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</si>
  <si>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</si>
  <si>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</si>
  <si>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</si>
  <si>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</si>
  <si>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</si>
  <si>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</si>
  <si>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</si>
  <si>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</si>
  <si>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</si>
  <si>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</si>
  <si>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</si>
  <si>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</si>
  <si>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</si>
  <si>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</si>
  <si>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</si>
  <si>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</si>
  <si>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</si>
  <si>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</si>
  <si>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</si>
  <si>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</si>
  <si>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</si>
  <si>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</si>
  <si>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</si>
  <si>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</si>
  <si>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</si>
  <si>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</si>
  <si>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</si>
  <si>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</si>
  <si>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</si>
  <si>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</si>
  <si>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</si>
  <si>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</si>
  <si>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</si>
  <si>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</si>
  <si>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</si>
  <si>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</si>
  <si>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</si>
  <si>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</si>
  <si>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</si>
  <si>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</si>
  <si>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</si>
  <si>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</si>
  <si>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</si>
  <si>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</si>
  <si>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</si>
  <si>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</si>
  <si>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</si>
  <si>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</si>
  <si>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</si>
  <si>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</si>
  <si>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</si>
  <si>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</si>
  <si>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</si>
  <si>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</si>
  <si>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</si>
  <si>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</si>
  <si>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</si>
  <si>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</si>
  <si>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</si>
  <si>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</si>
  <si>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</si>
  <si>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</si>
  <si>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</si>
  <si>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</si>
  <si>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</si>
  <si>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</si>
  <si>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</si>
  <si>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</si>
  <si>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</si>
  <si>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</si>
  <si>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</si>
  <si>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</si>
  <si>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</si>
  <si>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</si>
  <si>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</si>
  <si>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</si>
  <si>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</si>
  <si>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</si>
  <si>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</si>
  <si>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</si>
  <si>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</si>
  <si>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</si>
  <si>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</si>
  <si>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</si>
  <si>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</si>
  <si>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</si>
  <si>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</si>
  <si>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</si>
  <si>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</si>
  <si>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</si>
  <si>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</si>
  <si>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</si>
  <si>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</si>
  <si>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</si>
  <si>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</si>
  <si>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</si>
  <si>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</si>
  <si>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</si>
  <si>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</si>
  <si>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</si>
  <si>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</si>
  <si>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</si>
  <si>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</si>
  <si>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</si>
  <si>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</si>
  <si>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</si>
  <si>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</si>
  <si>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</si>
  <si>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</si>
  <si>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</si>
  <si>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</si>
  <si>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</si>
  <si>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</si>
  <si>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</si>
  <si>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</si>
  <si>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</si>
  <si>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</si>
  <si>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</si>
  <si>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</si>
  <si>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</si>
  <si>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</si>
  <si>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</si>
  <si>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</si>
  <si>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</si>
  <si>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</si>
  <si>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</si>
  <si>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</si>
  <si>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</si>
  <si>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</si>
  <si>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</si>
  <si>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</si>
  <si>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</si>
  <si>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</si>
  <si>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</si>
  <si>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</si>
  <si>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</si>
  <si>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</si>
  <si>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</si>
  <si>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</si>
  <si>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</si>
  <si>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</si>
  <si>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</si>
  <si>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</si>
  <si>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</si>
  <si>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</si>
  <si>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</si>
  <si>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</si>
  <si>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</si>
  <si>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</si>
  <si>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</si>
  <si>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</si>
  <si>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</si>
  <si>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</si>
  <si>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</si>
  <si>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</si>
  <si>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</si>
  <si>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</si>
  <si>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</si>
  <si>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</si>
  <si>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</si>
  <si>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</si>
  <si>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</si>
  <si>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</si>
  <si>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</si>
  <si>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</si>
  <si>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</si>
  <si>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</si>
  <si>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</si>
  <si>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</si>
  <si>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</si>
  <si>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</si>
  <si>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</si>
  <si>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</si>
  <si>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</si>
  <si>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</si>
  <si>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</si>
  <si>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</si>
  <si>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</si>
  <si>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</si>
  <si>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</si>
  <si>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</si>
  <si>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</si>
  <si>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</si>
  <si>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</si>
  <si>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</si>
  <si>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</si>
  <si>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</si>
  <si>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</si>
  <si>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</si>
  <si>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</si>
  <si>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</si>
  <si>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</si>
  <si>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</si>
  <si>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</si>
  <si>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</si>
  <si>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</si>
  <si>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</si>
  <si>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</si>
  <si>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</si>
  <si>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</si>
  <si>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</si>
  <si>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</si>
  <si>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</si>
  <si>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</si>
  <si>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</si>
  <si>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</si>
  <si>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</si>
  <si>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</si>
  <si>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</si>
  <si>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</si>
  <si>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</si>
  <si>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</si>
  <si>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</si>
  <si>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</si>
  <si>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</si>
  <si>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</si>
  <si>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</si>
  <si>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</si>
  <si>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</si>
  <si>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</si>
  <si>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</si>
  <si>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</si>
  <si>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</si>
  <si>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</si>
  <si>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</si>
  <si>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</si>
  <si>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</si>
  <si>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</si>
  <si>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</si>
  <si>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</si>
  <si>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</si>
  <si>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</si>
  <si>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</si>
  <si>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</si>
  <si>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</si>
  <si>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</si>
  <si>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</si>
  <si>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</si>
  <si>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</si>
  <si>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</si>
  <si>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</si>
  <si>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</si>
  <si>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</si>
  <si>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</si>
  <si>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</si>
  <si>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</si>
  <si>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</si>
  <si>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</si>
  <si>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</si>
  <si>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</si>
  <si>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</si>
  <si>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</si>
  <si>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</si>
  <si>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</si>
  <si>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</si>
  <si>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</si>
  <si>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</si>
  <si>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</si>
  <si>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</si>
  <si>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</si>
  <si>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</si>
  <si>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</si>
  <si>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</si>
  <si>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</si>
  <si>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</si>
  <si>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</si>
  <si>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</si>
  <si>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</si>
  <si>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</si>
  <si>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</si>
  <si>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</si>
  <si>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</si>
  <si>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</si>
  <si>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</si>
  <si>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</si>
  <si>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</si>
  <si>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</si>
  <si>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</si>
  <si>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</si>
  <si>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</si>
  <si>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</si>
  <si>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</si>
  <si>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</si>
  <si>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</si>
  <si>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</si>
  <si>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</si>
  <si>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</si>
  <si>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</si>
  <si>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</si>
  <si>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</si>
  <si>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</si>
  <si>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</si>
  <si>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</si>
  <si>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</si>
  <si>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</si>
  <si>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</si>
  <si>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</si>
  <si>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</si>
  <si>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</si>
  <si>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</si>
  <si>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</si>
  <si>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</si>
  <si>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</si>
  <si>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</si>
  <si>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</si>
  <si>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</si>
  <si>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</si>
  <si>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</si>
  <si>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</si>
  <si>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</si>
  <si>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</si>
  <si>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</si>
  <si>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</si>
  <si>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</si>
  <si>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</si>
  <si>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</si>
  <si>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</si>
  <si>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</si>
  <si>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</si>
  <si>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</si>
  <si>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</si>
  <si>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</si>
  <si>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</si>
  <si>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</si>
  <si>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</si>
  <si>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</si>
  <si>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</si>
  <si>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</si>
  <si>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</si>
  <si>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</si>
  <si>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</si>
  <si>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</si>
  <si>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</si>
  <si>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</si>
  <si>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</si>
  <si>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</si>
  <si>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</si>
  <si>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</si>
  <si>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</si>
  <si>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</si>
  <si>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</si>
  <si>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</si>
  <si>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</si>
  <si>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</si>
  <si>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</si>
  <si>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</si>
  <si>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</si>
  <si>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</si>
  <si>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</si>
  <si>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</si>
  <si>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</si>
  <si>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</si>
  <si>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</si>
  <si>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</si>
  <si>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</si>
  <si>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</si>
  <si>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</si>
  <si>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</si>
  <si>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</si>
  <si>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</si>
  <si>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</si>
  <si>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</si>
  <si>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</si>
  <si>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</si>
  <si>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</si>
  <si>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</si>
  <si>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</si>
  <si>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</si>
  <si>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</si>
  <si>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</si>
  <si>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</si>
  <si>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</si>
  <si>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</si>
  <si>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</si>
  <si>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</si>
  <si>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</si>
  <si>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</si>
  <si>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</si>
  <si>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</si>
  <si>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</si>
  <si>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</si>
  <si>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</si>
  <si>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</si>
  <si>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</si>
  <si>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</si>
  <si>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</si>
  <si>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</si>
  <si>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</si>
  <si>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</si>
  <si>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</si>
  <si>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</si>
  <si>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</si>
  <si>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</si>
  <si>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</si>
  <si>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</si>
  <si>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</si>
  <si>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</si>
  <si>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</si>
  <si>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</si>
  <si>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</si>
  <si>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</si>
  <si>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</si>
  <si>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</si>
  <si>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</si>
  <si>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</si>
  <si>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</si>
  <si>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</si>
  <si>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</si>
  <si>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</si>
  <si>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</si>
  <si>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</si>
  <si>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</si>
  <si>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</si>
  <si>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</si>
  <si>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</si>
  <si>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</si>
  <si>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</si>
  <si>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</si>
  <si>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</si>
  <si>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</si>
  <si>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</si>
  <si>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</si>
  <si>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</si>
  <si>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</si>
  <si>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</si>
  <si>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</si>
  <si>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</si>
  <si>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</si>
  <si>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</si>
  <si>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</si>
  <si>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</si>
  <si>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</si>
  <si>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</si>
  <si>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</si>
  <si>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</si>
  <si>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</si>
  <si>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</si>
  <si>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</si>
  <si>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</si>
  <si>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</si>
  <si>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</si>
  <si>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</si>
  <si>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</si>
  <si>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</si>
  <si>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</si>
  <si>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</si>
  <si>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</si>
  <si>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</si>
  <si>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</si>
  <si>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</si>
  <si>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</si>
  <si>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</si>
  <si>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</si>
  <si>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</si>
  <si>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</si>
  <si>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</si>
  <si>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</si>
  <si>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</si>
  <si>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</si>
  <si>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</si>
  <si>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</si>
  <si>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</si>
  <si>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</si>
  <si>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</si>
  <si>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</si>
  <si>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</si>
  <si>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</si>
  <si>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</si>
  <si>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</si>
  <si>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</si>
  <si>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</si>
  <si>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</si>
  <si>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</si>
  <si>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</si>
  <si>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</si>
  <si>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</si>
  <si>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</si>
  <si>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</si>
  <si>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</si>
  <si>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</si>
  <si>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</si>
  <si>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</si>
  <si>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</si>
  <si>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</si>
  <si>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</si>
  <si>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</si>
  <si>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</si>
  <si>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</si>
  <si>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</si>
  <si>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</si>
  <si>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</si>
  <si>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</si>
  <si>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</si>
  <si>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</si>
  <si>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</si>
  <si>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</si>
  <si>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</si>
  <si>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</si>
  <si>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</si>
  <si>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</si>
  <si>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</si>
  <si>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</si>
  <si>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</si>
  <si>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</si>
  <si>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</si>
  <si>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</si>
  <si>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</si>
  <si>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</si>
  <si>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</si>
  <si>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</si>
  <si>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</si>
  <si>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</si>
  <si>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</si>
  <si>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</si>
  <si>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</si>
  <si>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</si>
  <si>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</si>
  <si>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</si>
  <si>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</si>
  <si>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</si>
  <si>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</si>
  <si>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</si>
  <si>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</si>
  <si>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</si>
  <si>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</si>
  <si>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</si>
  <si>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</si>
  <si>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</si>
  <si>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</si>
  <si>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</si>
  <si>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</si>
  <si>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</si>
  <si>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</si>
  <si>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</si>
  <si>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</si>
  <si>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</si>
  <si>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</si>
  <si>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</si>
  <si>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</si>
  <si>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</si>
  <si>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</si>
  <si>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</si>
  <si>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</si>
  <si>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</si>
  <si>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</si>
  <si>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</si>
  <si>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</si>
  <si>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</si>
  <si>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</si>
  <si>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</si>
  <si>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</si>
  <si>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</si>
  <si>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</si>
  <si>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</si>
  <si>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</si>
  <si>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</si>
  <si>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</si>
  <si>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</si>
  <si>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</si>
  <si>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</si>
  <si>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</si>
  <si>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</si>
  <si>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</si>
  <si>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</si>
  <si>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</si>
  <si>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</si>
  <si>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</si>
  <si>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</si>
  <si>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</si>
  <si>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</si>
  <si>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</si>
  <si>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</si>
  <si>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</si>
  <si>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</si>
  <si>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</si>
  <si>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</si>
  <si>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</si>
  <si>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</si>
  <si>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</si>
  <si>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</si>
  <si>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</si>
  <si>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</si>
  <si>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</si>
  <si>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</si>
  <si>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</si>
  <si>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</si>
  <si>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</si>
  <si>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</si>
  <si>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</si>
  <si>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</si>
  <si>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</si>
  <si>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</si>
  <si>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</si>
  <si>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</si>
  <si>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</si>
  <si>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</si>
  <si>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</si>
  <si>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</si>
  <si>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</si>
  <si>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</si>
  <si>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</si>
  <si>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</si>
  <si>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</si>
  <si>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</si>
  <si>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</si>
  <si>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</si>
  <si>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</si>
  <si>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</si>
  <si>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</si>
  <si>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</si>
  <si>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</si>
  <si>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</si>
  <si>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</si>
  <si>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</si>
  <si>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</si>
  <si>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</si>
  <si>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</si>
  <si>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</si>
  <si>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</si>
  <si>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</si>
  <si>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</si>
  <si>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</si>
  <si>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</si>
  <si>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</si>
  <si>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</si>
  <si>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</si>
  <si>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</si>
  <si>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</si>
  <si>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</si>
  <si>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</si>
  <si>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</si>
  <si>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</si>
  <si>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</si>
  <si>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</si>
  <si>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</si>
  <si>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</si>
  <si>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</si>
  <si>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</si>
  <si>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</si>
  <si>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</si>
  <si>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</si>
  <si>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</si>
  <si>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</si>
  <si>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</si>
  <si>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</si>
  <si>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</si>
  <si>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</si>
  <si>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</si>
  <si>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</si>
  <si>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</si>
  <si>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</si>
  <si>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</si>
  <si>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</si>
  <si>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</si>
  <si>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</si>
  <si>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</si>
  <si>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</si>
  <si>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</si>
  <si>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</si>
  <si>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</si>
  <si>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</si>
  <si>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</si>
  <si>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</si>
  <si>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</si>
  <si>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</si>
  <si>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</si>
  <si>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</si>
  <si>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</si>
  <si>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</si>
  <si>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</si>
  <si>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</si>
  <si>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</si>
  <si>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</si>
  <si>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</si>
  <si>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</si>
  <si>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</si>
  <si>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</si>
  <si>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</si>
  <si>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</si>
  <si>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</si>
  <si>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</si>
  <si>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</si>
  <si>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</si>
  <si>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</si>
  <si>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</si>
  <si>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</si>
  <si>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</si>
  <si>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</si>
  <si>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</si>
  <si>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</si>
  <si>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</si>
  <si>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</si>
  <si>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</si>
  <si>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</si>
  <si>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</si>
  <si>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</si>
  <si>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</si>
  <si>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</si>
  <si>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</si>
  <si>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</si>
  <si>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</si>
  <si>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</si>
  <si>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</si>
  <si>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</si>
  <si>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</si>
  <si>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</si>
  <si>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</si>
  <si>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</si>
  <si>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</si>
  <si>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</si>
  <si>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</si>
  <si>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</si>
  <si>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</si>
  <si>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</si>
  <si>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</si>
  <si>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</si>
  <si>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</si>
  <si>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</si>
  <si>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</si>
  <si>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</si>
  <si>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</si>
  <si>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</si>
  <si>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</si>
  <si>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</si>
  <si>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</si>
  <si>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</si>
  <si>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</si>
  <si>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</si>
  <si>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</si>
  <si>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</si>
  <si>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</si>
  <si>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</si>
  <si>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</si>
  <si>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</si>
  <si>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</si>
  <si>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</si>
  <si>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</si>
  <si>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</si>
  <si>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</si>
  <si>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</si>
  <si>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</si>
  <si>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</si>
  <si>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</si>
  <si>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</si>
  <si>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</si>
  <si>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</si>
  <si>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</si>
  <si>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</si>
  <si>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</si>
  <si>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</si>
  <si>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</si>
  <si>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</si>
  <si>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</si>
  <si>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</si>
  <si>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</si>
  <si>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</si>
  <si>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</si>
  <si>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</si>
  <si>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</si>
  <si>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</si>
  <si>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</si>
  <si>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</si>
  <si>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</si>
  <si>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</si>
  <si>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</si>
  <si>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</si>
  <si>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</si>
  <si>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</si>
  <si>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</si>
  <si>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</si>
  <si>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</si>
  <si>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</si>
  <si>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</si>
  <si>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</si>
  <si>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</si>
  <si>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</si>
  <si>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</si>
  <si>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</si>
  <si>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</si>
  <si>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</si>
  <si>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</si>
  <si>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</si>
  <si>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</si>
  <si>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</si>
  <si>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</si>
  <si>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</si>
  <si>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</si>
  <si>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</si>
  <si>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</si>
  <si>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</si>
  <si>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</si>
  <si>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</si>
  <si>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</si>
  <si>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</si>
  <si>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</si>
  <si>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</si>
  <si>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</si>
  <si>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</si>
  <si>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</si>
  <si>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</si>
  <si>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</si>
  <si>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</si>
  <si>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</si>
  <si>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</si>
  <si>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</si>
  <si>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</si>
  <si>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</si>
  <si>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</si>
  <si>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</si>
  <si>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</si>
  <si>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</si>
  <si>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</si>
  <si>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</si>
  <si>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</si>
  <si>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</si>
  <si>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</si>
  <si>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</si>
  <si>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</si>
  <si>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</si>
  <si>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</si>
  <si>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</si>
  <si>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</si>
  <si>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</si>
  <si>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</si>
  <si>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</si>
  <si>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</si>
  <si>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</si>
  <si>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</si>
  <si>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</si>
  <si>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</si>
  <si>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</si>
  <si>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</si>
  <si>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</si>
  <si>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</si>
  <si>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</si>
  <si>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</si>
  <si>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</si>
  <si>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</si>
  <si>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</si>
  <si>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</si>
  <si>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</si>
  <si>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</si>
  <si>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</si>
  <si>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</si>
  <si>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</si>
  <si>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</si>
  <si>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</si>
  <si>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</si>
  <si>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</si>
  <si>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</si>
  <si>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</si>
  <si>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</si>
  <si>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</si>
  <si>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</si>
  <si>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</si>
  <si>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</si>
  <si>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</si>
  <si>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</si>
  <si>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</si>
  <si>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</si>
  <si>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</si>
  <si>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</si>
  <si>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</si>
  <si>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</si>
  <si>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</si>
  <si>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</si>
  <si>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</si>
  <si>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</si>
  <si>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</si>
  <si>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</si>
  <si>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</si>
  <si>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</si>
  <si>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</si>
  <si>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</si>
  <si>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</si>
  <si>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</si>
  <si>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</si>
  <si>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</si>
  <si>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</si>
  <si>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</si>
  <si>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qualifier</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</si>
  <si>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</si>
  <si>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</si>
  <si>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</si>
  <si>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</si>
  <si>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</si>
  <si>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</si>
  <si>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</si>
  <si>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</si>
  <si>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</si>
  <si>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</si>
  <si>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</si>
  <si>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</si>
  <si>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</si>
  <si>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</si>
  <si>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</si>
  <si>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</si>
  <si>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</si>
  <si>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</si>
  <si>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</si>
  <si>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</si>
  <si>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</si>
  <si>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</si>
  <si>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</si>
  <si>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</si>
  <si>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</si>
  <si>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</si>
  <si>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</si>
  <si>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</si>
  <si>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</si>
  <si>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Progression-Relapse after FLT
Marturity Level: 1 - Profiles in progress</t>
  </si>
  <si>
    <t>FrontLineTreatment
Marturity Level: 1 - Profiles in progress</t>
  </si>
  <si>
    <t>Condition.conformsTo('http://hl7.eu/fhir/ig/pcsp/StructureDefinition/Condition-secondaryCancer-eu-pcsp').bodySite</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</si>
  <si>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</si>
  <si>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</si>
  <si>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</si>
  <si>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</si>
  <si>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date of relapse</t>
  </si>
  <si>
    <t>NOT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</si>
</sst>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0</xdr:row>
          <xdr:rowOff>0</xdr:rowOff>
        </xdr:from>
        <xdr:to>
          <xdr:col>6</xdr:col>
          <xdr:colOff>273050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1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1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1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1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1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1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1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1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1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1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1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1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1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1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1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1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1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1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1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1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1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1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1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1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1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1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1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1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1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1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1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1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1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1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1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1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1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1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1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1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1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1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1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1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1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1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1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1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1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1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1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1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1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1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1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1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1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1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1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1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1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7" zoomScale="70" zoomScaleNormal="70" workbookViewId="0">
      <selection activeCell="J239" sqref="J239:J254"/>
    </sheetView>
    <sheetView topLeftCell="B240" zoomScale="60" zoomScaleNormal="60" workbookViewId="1"/>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8" t="s">
        <v>80</v>
      </c>
      <c r="B2" s="61"/>
      <c r="C2" s="62" t="s">
        <v>81</v>
      </c>
      <c r="D2" s="63"/>
      <c r="E2" s="63"/>
      <c r="F2" s="63"/>
      <c r="G2" s="63"/>
      <c r="H2" s="63"/>
      <c r="I2" s="63"/>
      <c r="J2" s="64"/>
      <c r="K2" s="63"/>
    </row>
    <row r="3" spans="1:11" ht="40.5" customHeight="1" x14ac:dyDescent="0.75">
      <c r="A3" s="159"/>
      <c r="B3" s="65"/>
      <c r="C3" s="66" t="s">
        <v>22</v>
      </c>
      <c r="D3" s="67" t="s">
        <v>22</v>
      </c>
      <c r="E3" s="67" t="s">
        <v>82</v>
      </c>
      <c r="F3" s="67"/>
      <c r="G3" s="67" t="s">
        <v>83</v>
      </c>
      <c r="H3" s="67"/>
      <c r="I3" s="67" t="s">
        <v>84</v>
      </c>
      <c r="J3" s="67" t="s">
        <v>85</v>
      </c>
      <c r="K3" s="68" t="s">
        <v>84</v>
      </c>
    </row>
    <row r="4" spans="1:11" ht="40.5" customHeight="1" x14ac:dyDescent="0.75">
      <c r="A4" s="159"/>
      <c r="B4" s="65"/>
      <c r="C4" s="69" t="s">
        <v>53</v>
      </c>
      <c r="D4" s="70" t="s">
        <v>86</v>
      </c>
      <c r="E4" s="70" t="s">
        <v>82</v>
      </c>
      <c r="F4" s="70"/>
      <c r="G4" s="67" t="s">
        <v>87</v>
      </c>
      <c r="H4" s="67"/>
      <c r="I4" s="70" t="s">
        <v>88</v>
      </c>
      <c r="J4" s="67" t="s">
        <v>89</v>
      </c>
      <c r="K4" s="68" t="s">
        <v>90</v>
      </c>
    </row>
    <row r="5" spans="1:11" ht="40.5" customHeight="1" x14ac:dyDescent="0.75">
      <c r="A5" s="159"/>
      <c r="B5" s="65"/>
      <c r="C5" s="69" t="s">
        <v>56</v>
      </c>
      <c r="D5" s="70" t="s">
        <v>91</v>
      </c>
      <c r="E5" s="70" t="s">
        <v>82</v>
      </c>
      <c r="F5" s="70"/>
      <c r="G5" s="67" t="s">
        <v>87</v>
      </c>
      <c r="H5" s="67"/>
      <c r="I5" s="70" t="s">
        <v>92</v>
      </c>
      <c r="J5" s="67" t="s">
        <v>93</v>
      </c>
      <c r="K5" s="68" t="s">
        <v>90</v>
      </c>
    </row>
    <row r="6" spans="1:11" ht="40.5" customHeight="1" x14ac:dyDescent="0.75">
      <c r="A6" s="159"/>
      <c r="B6" s="65"/>
      <c r="C6" s="69" t="s">
        <v>54</v>
      </c>
      <c r="D6" s="70" t="s">
        <v>94</v>
      </c>
      <c r="E6" s="70" t="s">
        <v>82</v>
      </c>
      <c r="F6" s="70"/>
      <c r="G6" s="67" t="s">
        <v>87</v>
      </c>
      <c r="H6" s="67"/>
      <c r="I6" s="70" t="s">
        <v>92</v>
      </c>
      <c r="J6" s="67" t="s">
        <v>95</v>
      </c>
      <c r="K6" s="68" t="s">
        <v>90</v>
      </c>
    </row>
    <row r="7" spans="1:11" ht="40.5" customHeight="1" x14ac:dyDescent="0.75">
      <c r="A7" s="159"/>
      <c r="B7" s="65"/>
      <c r="C7" s="69" t="s">
        <v>55</v>
      </c>
      <c r="D7" s="70" t="s">
        <v>96</v>
      </c>
      <c r="E7" s="70" t="s">
        <v>82</v>
      </c>
      <c r="F7" s="70"/>
      <c r="G7" s="67" t="s">
        <v>87</v>
      </c>
      <c r="H7" s="67"/>
      <c r="I7" s="70" t="s">
        <v>88</v>
      </c>
      <c r="J7" s="67" t="s">
        <v>97</v>
      </c>
      <c r="K7" s="68" t="s">
        <v>90</v>
      </c>
    </row>
    <row r="8" spans="1:11" ht="55.5" x14ac:dyDescent="0.75">
      <c r="A8" s="159"/>
      <c r="B8" s="161" t="s">
        <v>98</v>
      </c>
      <c r="C8" s="69" t="s">
        <v>57</v>
      </c>
      <c r="D8" s="70" t="s">
        <v>99</v>
      </c>
      <c r="E8" s="70" t="s">
        <v>100</v>
      </c>
      <c r="F8" s="70"/>
      <c r="G8" s="71" t="s">
        <v>83</v>
      </c>
      <c r="H8" s="67" t="s">
        <v>101</v>
      </c>
      <c r="I8" s="70" t="s">
        <v>88</v>
      </c>
      <c r="J8" s="67" t="s">
        <v>102</v>
      </c>
      <c r="K8" s="68" t="s">
        <v>84</v>
      </c>
    </row>
    <row r="9" spans="1:11" ht="40.5" customHeight="1" x14ac:dyDescent="0.75">
      <c r="A9" s="159"/>
      <c r="B9" s="161"/>
      <c r="C9" s="66" t="s">
        <v>103</v>
      </c>
      <c r="D9" s="67" t="s">
        <v>104</v>
      </c>
      <c r="E9" s="70" t="s">
        <v>82</v>
      </c>
      <c r="F9" s="70"/>
      <c r="G9" s="71" t="s">
        <v>87</v>
      </c>
      <c r="H9" s="67"/>
      <c r="I9" s="67" t="s">
        <v>105</v>
      </c>
      <c r="J9" s="67" t="s">
        <v>106</v>
      </c>
      <c r="K9" s="68" t="s">
        <v>84</v>
      </c>
    </row>
    <row r="10" spans="1:11" ht="40.5" customHeight="1" x14ac:dyDescent="0.75">
      <c r="A10" s="159"/>
      <c r="B10" s="161" t="s">
        <v>107</v>
      </c>
      <c r="C10" s="69" t="s">
        <v>58</v>
      </c>
      <c r="D10" s="70" t="s">
        <v>108</v>
      </c>
      <c r="E10" s="70" t="s">
        <v>4</v>
      </c>
      <c r="F10" s="70"/>
      <c r="G10" s="67" t="s">
        <v>4</v>
      </c>
      <c r="H10" s="67" t="s">
        <v>109</v>
      </c>
      <c r="I10" s="70" t="s">
        <v>88</v>
      </c>
      <c r="J10" s="67" t="s">
        <v>110</v>
      </c>
      <c r="K10" s="68" t="s">
        <v>90</v>
      </c>
    </row>
    <row r="11" spans="1:11" ht="40.5" customHeight="1" x14ac:dyDescent="0.75">
      <c r="A11" s="159"/>
      <c r="B11" s="161"/>
      <c r="C11" s="69" t="s">
        <v>111</v>
      </c>
      <c r="D11" s="70" t="s">
        <v>112</v>
      </c>
      <c r="E11" s="70" t="s">
        <v>83</v>
      </c>
      <c r="F11" s="70" t="s">
        <v>84</v>
      </c>
      <c r="G11" s="67" t="s">
        <v>83</v>
      </c>
      <c r="H11" s="67"/>
      <c r="I11" s="70" t="s">
        <v>84</v>
      </c>
      <c r="J11" s="67" t="s">
        <v>113</v>
      </c>
      <c r="K11" s="68" t="s">
        <v>84</v>
      </c>
    </row>
    <row r="12" spans="1:11" ht="40.5" customHeight="1" x14ac:dyDescent="0.75">
      <c r="A12" s="159"/>
      <c r="B12" s="65"/>
      <c r="C12" s="69" t="s">
        <v>59</v>
      </c>
      <c r="D12" s="70" t="s">
        <v>114</v>
      </c>
      <c r="E12" s="70" t="s">
        <v>82</v>
      </c>
      <c r="F12" s="70"/>
      <c r="G12" s="67" t="s">
        <v>87</v>
      </c>
      <c r="H12" s="67"/>
      <c r="I12" s="70" t="s">
        <v>92</v>
      </c>
      <c r="J12" s="67" t="s">
        <v>115</v>
      </c>
      <c r="K12" s="68" t="s">
        <v>90</v>
      </c>
    </row>
    <row r="13" spans="1:11" ht="40.5" customHeight="1" x14ac:dyDescent="0.75">
      <c r="A13" s="159"/>
      <c r="B13" s="162" t="s">
        <v>116</v>
      </c>
      <c r="C13" s="69" t="s">
        <v>117</v>
      </c>
      <c r="D13" s="70" t="s">
        <v>118</v>
      </c>
      <c r="E13" s="70" t="s">
        <v>100</v>
      </c>
      <c r="F13" s="70"/>
      <c r="G13" s="67" t="s">
        <v>83</v>
      </c>
      <c r="H13" s="67" t="s">
        <v>119</v>
      </c>
      <c r="I13" s="70" t="s">
        <v>88</v>
      </c>
      <c r="J13" s="67" t="s">
        <v>120</v>
      </c>
      <c r="K13" s="68" t="s">
        <v>90</v>
      </c>
    </row>
    <row r="14" spans="1:11" ht="40.5" customHeight="1" x14ac:dyDescent="0.75">
      <c r="A14" s="159"/>
      <c r="B14" s="163"/>
      <c r="C14" s="69" t="s">
        <v>60</v>
      </c>
      <c r="D14" s="70" t="s">
        <v>121</v>
      </c>
      <c r="E14" s="70" t="s">
        <v>82</v>
      </c>
      <c r="F14" s="70"/>
      <c r="G14" s="67" t="s">
        <v>87</v>
      </c>
      <c r="H14" s="67"/>
      <c r="I14" s="70" t="s">
        <v>122</v>
      </c>
      <c r="J14" s="67" t="s">
        <v>123</v>
      </c>
      <c r="K14" s="70" t="s">
        <v>90</v>
      </c>
    </row>
    <row r="15" spans="1:11" ht="40.5" customHeight="1" thickBot="1" x14ac:dyDescent="0.9">
      <c r="A15" s="160"/>
      <c r="B15" s="164"/>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5" t="s">
        <v>128</v>
      </c>
      <c r="B17" s="61"/>
      <c r="C17" s="66" t="s">
        <v>129</v>
      </c>
      <c r="D17" s="67" t="s">
        <v>130</v>
      </c>
      <c r="E17" s="67" t="s">
        <v>83</v>
      </c>
      <c r="F17" s="67" t="s">
        <v>84</v>
      </c>
      <c r="G17" s="67" t="s">
        <v>83</v>
      </c>
      <c r="H17" s="67"/>
      <c r="I17" s="67" t="s">
        <v>84</v>
      </c>
      <c r="J17" s="67" t="s">
        <v>131</v>
      </c>
      <c r="K17" s="68" t="s">
        <v>84</v>
      </c>
    </row>
    <row r="18" spans="1:14" ht="40.5" customHeight="1" x14ac:dyDescent="0.75">
      <c r="A18" s="166"/>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6"/>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6"/>
      <c r="B20" s="65"/>
      <c r="C20" s="69" t="s">
        <v>140</v>
      </c>
      <c r="D20" s="70" t="s">
        <v>141</v>
      </c>
      <c r="E20" s="70" t="s">
        <v>82</v>
      </c>
      <c r="F20" s="70" t="s">
        <v>84</v>
      </c>
      <c r="G20" s="70" t="s">
        <v>87</v>
      </c>
      <c r="H20" s="70"/>
      <c r="I20" s="70" t="s">
        <v>84</v>
      </c>
      <c r="J20" s="67" t="s">
        <v>142</v>
      </c>
      <c r="K20" s="75" t="s">
        <v>84</v>
      </c>
    </row>
    <row r="21" spans="1:14" ht="40.5" customHeight="1" x14ac:dyDescent="0.75">
      <c r="A21" s="166"/>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6"/>
      <c r="B22" s="76"/>
      <c r="C22" s="66" t="s">
        <v>147</v>
      </c>
      <c r="D22" s="67" t="s">
        <v>148</v>
      </c>
      <c r="E22" s="70" t="s">
        <v>82</v>
      </c>
      <c r="F22" s="70"/>
      <c r="G22" s="67" t="s">
        <v>87</v>
      </c>
      <c r="H22" s="67"/>
      <c r="I22" s="67" t="s">
        <v>149</v>
      </c>
      <c r="J22" s="67" t="s">
        <v>150</v>
      </c>
      <c r="K22" s="77" t="s">
        <v>84</v>
      </c>
    </row>
    <row r="23" spans="1:14" ht="40.5" customHeight="1" x14ac:dyDescent="0.75">
      <c r="A23" s="166"/>
      <c r="B23" s="65"/>
      <c r="C23" s="69" t="s">
        <v>151</v>
      </c>
      <c r="D23" s="70" t="s">
        <v>152</v>
      </c>
      <c r="E23" s="70" t="s">
        <v>4</v>
      </c>
      <c r="F23" s="70"/>
      <c r="G23" s="67" t="s">
        <v>4</v>
      </c>
      <c r="H23" s="67" t="s">
        <v>109</v>
      </c>
      <c r="I23" s="70" t="s">
        <v>153</v>
      </c>
      <c r="J23" s="67" t="s">
        <v>154</v>
      </c>
      <c r="K23" s="70" t="s">
        <v>90</v>
      </c>
    </row>
    <row r="24" spans="1:14" ht="40.5" customHeight="1" x14ac:dyDescent="0.75">
      <c r="A24" s="166"/>
      <c r="B24" s="65"/>
      <c r="C24" s="69" t="s">
        <v>155</v>
      </c>
      <c r="D24" s="70" t="s">
        <v>156</v>
      </c>
      <c r="E24" s="70" t="s">
        <v>100</v>
      </c>
      <c r="F24" s="70" t="s">
        <v>84</v>
      </c>
      <c r="G24" s="67" t="s">
        <v>87</v>
      </c>
      <c r="H24" s="67" t="s">
        <v>157</v>
      </c>
      <c r="I24" s="70" t="s">
        <v>84</v>
      </c>
      <c r="J24" s="67" t="s">
        <v>158</v>
      </c>
      <c r="K24" s="68" t="s">
        <v>84</v>
      </c>
    </row>
    <row r="25" spans="1:14" ht="40.5" customHeight="1" x14ac:dyDescent="0.75">
      <c r="A25" s="166"/>
      <c r="B25" s="65"/>
      <c r="C25" s="69" t="s">
        <v>62</v>
      </c>
      <c r="D25" s="70" t="s">
        <v>159</v>
      </c>
      <c r="E25" s="70" t="s">
        <v>100</v>
      </c>
      <c r="F25" s="70"/>
      <c r="G25" s="67" t="s">
        <v>87</v>
      </c>
      <c r="H25" s="67" t="s">
        <v>160</v>
      </c>
      <c r="I25" s="70" t="s">
        <v>88</v>
      </c>
      <c r="J25" s="67" t="s">
        <v>161</v>
      </c>
      <c r="K25" s="68" t="s">
        <v>84</v>
      </c>
    </row>
    <row r="26" spans="1:14" ht="40.5" customHeight="1" x14ac:dyDescent="0.75">
      <c r="A26" s="166"/>
      <c r="B26" s="65"/>
      <c r="C26" s="69" t="s">
        <v>162</v>
      </c>
      <c r="D26" s="70" t="s">
        <v>163</v>
      </c>
      <c r="E26" s="70" t="s">
        <v>100</v>
      </c>
      <c r="F26" s="70" t="s">
        <v>84</v>
      </c>
      <c r="G26" s="67" t="s">
        <v>83</v>
      </c>
      <c r="H26" s="67"/>
      <c r="I26" s="70" t="s">
        <v>84</v>
      </c>
      <c r="J26" s="67" t="s">
        <v>164</v>
      </c>
      <c r="K26" s="68" t="s">
        <v>90</v>
      </c>
    </row>
    <row r="27" spans="1:14" ht="40.5" customHeight="1" x14ac:dyDescent="0.75">
      <c r="A27" s="166"/>
      <c r="B27" s="65"/>
      <c r="C27" s="69" t="s">
        <v>165</v>
      </c>
      <c r="D27" s="70" t="s">
        <v>166</v>
      </c>
      <c r="E27" s="70" t="s">
        <v>82</v>
      </c>
      <c r="F27" s="70"/>
      <c r="G27" s="67" t="s">
        <v>87</v>
      </c>
      <c r="H27" s="67"/>
      <c r="I27" s="70" t="s">
        <v>92</v>
      </c>
      <c r="J27" s="67" t="s">
        <v>167</v>
      </c>
      <c r="K27" s="68" t="s">
        <v>84</v>
      </c>
    </row>
    <row r="28" spans="1:14" ht="40.5" customHeight="1" x14ac:dyDescent="0.75">
      <c r="A28" s="166"/>
      <c r="B28" s="65"/>
      <c r="C28" s="69" t="s">
        <v>168</v>
      </c>
      <c r="D28" s="67" t="s">
        <v>169</v>
      </c>
      <c r="E28" s="70" t="s">
        <v>100</v>
      </c>
      <c r="F28" s="70"/>
      <c r="G28" s="67" t="s">
        <v>87</v>
      </c>
      <c r="H28" s="67" t="s">
        <v>170</v>
      </c>
      <c r="I28" s="70" t="s">
        <v>88</v>
      </c>
      <c r="J28" s="67" t="s">
        <v>171</v>
      </c>
      <c r="K28" s="68" t="s">
        <v>84</v>
      </c>
    </row>
    <row r="29" spans="1:14" ht="40.5" customHeight="1" x14ac:dyDescent="0.75">
      <c r="A29" s="166"/>
      <c r="B29" s="65"/>
      <c r="C29" s="69" t="s">
        <v>172</v>
      </c>
      <c r="D29" s="70" t="s">
        <v>173</v>
      </c>
      <c r="E29" s="70" t="s">
        <v>82</v>
      </c>
      <c r="F29" s="70"/>
      <c r="G29" s="67" t="s">
        <v>87</v>
      </c>
      <c r="H29" s="67"/>
      <c r="I29" s="70" t="s">
        <v>92</v>
      </c>
      <c r="J29" s="67" t="s">
        <v>174</v>
      </c>
      <c r="K29" s="68" t="s">
        <v>84</v>
      </c>
    </row>
    <row r="30" spans="1:14" ht="111" x14ac:dyDescent="0.75">
      <c r="A30" s="166"/>
      <c r="B30" s="65"/>
      <c r="C30" s="69" t="s">
        <v>175</v>
      </c>
      <c r="D30" s="70" t="s">
        <v>176</v>
      </c>
      <c r="E30" s="70" t="s">
        <v>100</v>
      </c>
      <c r="F30" s="70"/>
      <c r="G30" s="67" t="s">
        <v>83</v>
      </c>
      <c r="H30" s="67" t="s">
        <v>177</v>
      </c>
      <c r="I30" s="67" t="s">
        <v>84</v>
      </c>
      <c r="J30" s="67" t="s">
        <v>178</v>
      </c>
      <c r="K30" s="68" t="s">
        <v>84</v>
      </c>
    </row>
    <row r="31" spans="1:14" ht="40.5" customHeight="1" x14ac:dyDescent="0.75">
      <c r="A31" s="166"/>
      <c r="B31" s="65"/>
      <c r="C31" s="69" t="s">
        <v>179</v>
      </c>
      <c r="D31" s="70" t="s">
        <v>180</v>
      </c>
      <c r="E31" s="70" t="s">
        <v>100</v>
      </c>
      <c r="F31" s="70"/>
      <c r="G31" s="67" t="s">
        <v>83</v>
      </c>
      <c r="H31" s="67" t="s">
        <v>181</v>
      </c>
      <c r="I31" s="67" t="s">
        <v>84</v>
      </c>
      <c r="J31" s="67" t="s">
        <v>182</v>
      </c>
      <c r="K31" s="68" t="s">
        <v>84</v>
      </c>
    </row>
    <row r="32" spans="1:14" ht="40.5" customHeight="1" x14ac:dyDescent="0.75">
      <c r="A32" s="166"/>
      <c r="B32" s="65"/>
      <c r="C32" s="69" t="s">
        <v>183</v>
      </c>
      <c r="D32" s="70" t="s">
        <v>184</v>
      </c>
      <c r="E32" s="70" t="s">
        <v>100</v>
      </c>
      <c r="F32" s="70"/>
      <c r="G32" s="67" t="s">
        <v>83</v>
      </c>
      <c r="H32" s="67" t="s">
        <v>185</v>
      </c>
      <c r="I32" s="67" t="s">
        <v>186</v>
      </c>
      <c r="J32" s="67"/>
      <c r="K32" s="68" t="s">
        <v>90</v>
      </c>
    </row>
    <row r="33" spans="1:11" ht="40.5" customHeight="1" x14ac:dyDescent="0.75">
      <c r="A33" s="166"/>
      <c r="B33" s="65"/>
      <c r="C33" s="69" t="s">
        <v>187</v>
      </c>
      <c r="D33" s="70" t="s">
        <v>188</v>
      </c>
      <c r="E33" s="70" t="s">
        <v>100</v>
      </c>
      <c r="F33" s="70"/>
      <c r="G33" s="67" t="s">
        <v>87</v>
      </c>
      <c r="H33" s="67"/>
      <c r="I33" s="70" t="s">
        <v>189</v>
      </c>
      <c r="J33" s="67" t="s">
        <v>190</v>
      </c>
      <c r="K33" s="68" t="s">
        <v>84</v>
      </c>
    </row>
    <row r="34" spans="1:11" ht="40.5" customHeight="1" x14ac:dyDescent="0.75">
      <c r="A34" s="166"/>
      <c r="B34" s="65"/>
      <c r="C34" s="69" t="s">
        <v>191</v>
      </c>
      <c r="D34" s="70" t="s">
        <v>192</v>
      </c>
      <c r="E34" s="70" t="s">
        <v>82</v>
      </c>
      <c r="F34" s="70"/>
      <c r="G34" s="67" t="s">
        <v>87</v>
      </c>
      <c r="H34" s="67"/>
      <c r="I34" s="70" t="s">
        <v>193</v>
      </c>
      <c r="J34" s="67" t="s">
        <v>194</v>
      </c>
      <c r="K34" s="68" t="s">
        <v>84</v>
      </c>
    </row>
    <row r="35" spans="1:11" ht="40.5" customHeight="1" x14ac:dyDescent="0.75">
      <c r="A35" s="166"/>
      <c r="B35" s="65"/>
      <c r="C35" s="69" t="s">
        <v>195</v>
      </c>
      <c r="D35" s="70" t="s">
        <v>196</v>
      </c>
      <c r="E35" s="70" t="s">
        <v>82</v>
      </c>
      <c r="F35" s="70"/>
      <c r="G35" s="67" t="s">
        <v>87</v>
      </c>
      <c r="H35" s="67"/>
      <c r="I35" s="70" t="s">
        <v>92</v>
      </c>
      <c r="J35" s="67" t="s">
        <v>197</v>
      </c>
      <c r="K35" s="68" t="s">
        <v>84</v>
      </c>
    </row>
    <row r="36" spans="1:11" ht="40.5" customHeight="1" x14ac:dyDescent="0.75">
      <c r="A36" s="166"/>
      <c r="B36" s="65"/>
      <c r="C36" s="69" t="s">
        <v>198</v>
      </c>
      <c r="D36" s="70" t="s">
        <v>199</v>
      </c>
      <c r="E36" s="70" t="s">
        <v>82</v>
      </c>
      <c r="F36" s="70"/>
      <c r="G36" s="67" t="s">
        <v>87</v>
      </c>
      <c r="H36" s="67"/>
      <c r="I36" s="70" t="s">
        <v>92</v>
      </c>
      <c r="J36" s="67" t="s">
        <v>200</v>
      </c>
      <c r="K36" s="68" t="s">
        <v>84</v>
      </c>
    </row>
    <row r="37" spans="1:11" ht="40.5" customHeight="1" x14ac:dyDescent="0.75">
      <c r="A37" s="166"/>
      <c r="B37" s="65"/>
      <c r="C37" s="69" t="s">
        <v>201</v>
      </c>
      <c r="D37" s="70" t="s">
        <v>202</v>
      </c>
      <c r="E37" s="70" t="s">
        <v>82</v>
      </c>
      <c r="F37" s="70"/>
      <c r="G37" s="67" t="s">
        <v>87</v>
      </c>
      <c r="H37" s="67"/>
      <c r="I37" s="70" t="s">
        <v>92</v>
      </c>
      <c r="J37" s="67" t="s">
        <v>203</v>
      </c>
      <c r="K37" s="68" t="s">
        <v>84</v>
      </c>
    </row>
    <row r="38" spans="1:11" ht="40.5" customHeight="1" x14ac:dyDescent="0.75">
      <c r="A38" s="166"/>
      <c r="B38" s="65"/>
      <c r="C38" s="69" t="s">
        <v>204</v>
      </c>
      <c r="D38" s="70" t="s">
        <v>205</v>
      </c>
      <c r="E38" s="70" t="s">
        <v>100</v>
      </c>
      <c r="F38" s="70"/>
      <c r="G38" s="67" t="s">
        <v>83</v>
      </c>
      <c r="H38" s="79" t="s">
        <v>206</v>
      </c>
      <c r="I38" s="70" t="s">
        <v>88</v>
      </c>
      <c r="J38" s="67" t="s">
        <v>207</v>
      </c>
      <c r="K38" s="68" t="s">
        <v>84</v>
      </c>
    </row>
    <row r="39" spans="1:11" ht="40.5" customHeight="1" x14ac:dyDescent="0.75">
      <c r="A39" s="166"/>
      <c r="B39" s="65"/>
      <c r="C39" s="69" t="s">
        <v>208</v>
      </c>
      <c r="D39" s="67" t="s">
        <v>209</v>
      </c>
      <c r="E39" s="70" t="s">
        <v>100</v>
      </c>
      <c r="F39" s="70"/>
      <c r="G39" s="67" t="s">
        <v>87</v>
      </c>
      <c r="H39" s="67" t="s">
        <v>210</v>
      </c>
      <c r="I39" s="67" t="s">
        <v>211</v>
      </c>
      <c r="J39" s="67" t="s">
        <v>212</v>
      </c>
      <c r="K39" s="68" t="s">
        <v>84</v>
      </c>
    </row>
    <row r="40" spans="1:11" ht="40.5" customHeight="1" x14ac:dyDescent="0.75">
      <c r="A40" s="166"/>
      <c r="B40" s="65"/>
      <c r="C40" s="69" t="s">
        <v>213</v>
      </c>
      <c r="D40" s="67" t="s">
        <v>214</v>
      </c>
      <c r="E40" s="70" t="s">
        <v>82</v>
      </c>
      <c r="F40" s="70"/>
      <c r="G40" s="67" t="s">
        <v>87</v>
      </c>
      <c r="H40" s="67"/>
      <c r="I40" s="67" t="s">
        <v>215</v>
      </c>
      <c r="J40" s="67" t="s">
        <v>216</v>
      </c>
      <c r="K40" s="68" t="s">
        <v>84</v>
      </c>
    </row>
    <row r="41" spans="1:11" ht="40.5" customHeight="1" x14ac:dyDescent="0.75">
      <c r="A41" s="166"/>
      <c r="B41" s="80" t="s">
        <v>217</v>
      </c>
      <c r="C41" s="69" t="s">
        <v>218</v>
      </c>
      <c r="D41" s="70" t="s">
        <v>219</v>
      </c>
      <c r="E41" s="70" t="s">
        <v>100</v>
      </c>
      <c r="F41" s="70"/>
      <c r="G41" s="67" t="s">
        <v>83</v>
      </c>
      <c r="H41" s="67" t="s">
        <v>206</v>
      </c>
      <c r="I41" s="70" t="s">
        <v>88</v>
      </c>
      <c r="J41" s="67" t="s">
        <v>220</v>
      </c>
      <c r="K41" s="68" t="s">
        <v>84</v>
      </c>
    </row>
    <row r="42" spans="1:11" ht="40.5" customHeight="1" x14ac:dyDescent="0.75">
      <c r="A42" s="166"/>
      <c r="B42" s="80" t="s">
        <v>221</v>
      </c>
      <c r="C42" s="81" t="s">
        <v>222</v>
      </c>
      <c r="D42" s="79" t="s">
        <v>223</v>
      </c>
      <c r="E42" s="67" t="s">
        <v>224</v>
      </c>
      <c r="F42" s="67"/>
      <c r="G42" s="67" t="s">
        <v>87</v>
      </c>
      <c r="H42" s="77"/>
      <c r="I42" s="67" t="s">
        <v>225</v>
      </c>
      <c r="J42" s="79" t="s">
        <v>226</v>
      </c>
      <c r="K42" s="68" t="s">
        <v>84</v>
      </c>
    </row>
    <row r="43" spans="1:11" ht="40.5" customHeight="1" thickBot="1" x14ac:dyDescent="0.9">
      <c r="A43" s="167"/>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2" t="s">
        <v>234</v>
      </c>
      <c r="C46" s="69" t="s">
        <v>235</v>
      </c>
      <c r="D46" s="70" t="s">
        <v>236</v>
      </c>
      <c r="E46" s="70" t="s">
        <v>100</v>
      </c>
      <c r="F46" s="70"/>
      <c r="G46" s="67" t="s">
        <v>83</v>
      </c>
      <c r="H46" s="67" t="s">
        <v>237</v>
      </c>
      <c r="I46" s="70" t="s">
        <v>88</v>
      </c>
      <c r="J46" s="67" t="s">
        <v>238</v>
      </c>
      <c r="K46" s="68" t="s">
        <v>84</v>
      </c>
    </row>
    <row r="47" spans="1:11" ht="40.5" customHeight="1" x14ac:dyDescent="0.75">
      <c r="A47" s="89"/>
      <c r="B47" s="163"/>
      <c r="C47" s="69" t="s">
        <v>239</v>
      </c>
      <c r="D47" s="70" t="s">
        <v>240</v>
      </c>
      <c r="E47" s="70" t="s">
        <v>82</v>
      </c>
      <c r="F47" s="70"/>
      <c r="G47" s="67" t="s">
        <v>87</v>
      </c>
      <c r="H47" s="67"/>
      <c r="I47" s="67" t="s">
        <v>241</v>
      </c>
      <c r="J47" s="67" t="s">
        <v>242</v>
      </c>
      <c r="K47" s="68" t="s">
        <v>84</v>
      </c>
    </row>
    <row r="48" spans="1:11" ht="40.5" customHeight="1" x14ac:dyDescent="0.75">
      <c r="A48" s="89"/>
      <c r="B48" s="164"/>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5"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6"/>
      <c r="C101" s="67" t="s">
        <v>412</v>
      </c>
      <c r="D101" s="67" t="s">
        <v>413</v>
      </c>
      <c r="E101" s="70" t="s">
        <v>100</v>
      </c>
      <c r="F101" s="70"/>
      <c r="G101" s="67" t="s">
        <v>83</v>
      </c>
      <c r="H101" s="67" t="s">
        <v>414</v>
      </c>
      <c r="I101" s="70" t="s">
        <v>92</v>
      </c>
      <c r="J101" s="67" t="s">
        <v>415</v>
      </c>
      <c r="K101" s="68" t="s">
        <v>90</v>
      </c>
    </row>
    <row r="102" spans="1:11" ht="40.5" customHeight="1" x14ac:dyDescent="0.75">
      <c r="A102" s="68"/>
      <c r="B102" s="156"/>
      <c r="C102" s="70" t="s">
        <v>416</v>
      </c>
      <c r="D102" s="70" t="s">
        <v>417</v>
      </c>
      <c r="E102" s="70" t="s">
        <v>100</v>
      </c>
      <c r="F102" s="70"/>
      <c r="G102" s="67" t="s">
        <v>83</v>
      </c>
      <c r="H102" s="70" t="s">
        <v>418</v>
      </c>
      <c r="I102" s="70" t="s">
        <v>419</v>
      </c>
      <c r="J102" s="67" t="s">
        <v>416</v>
      </c>
      <c r="K102" s="68" t="s">
        <v>90</v>
      </c>
    </row>
    <row r="103" spans="1:11" ht="40.5" customHeight="1" x14ac:dyDescent="0.75">
      <c r="A103" s="68"/>
      <c r="B103" s="157"/>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90"/>
  <sheetViews>
    <sheetView tabSelected="1" workbookViewId="0">
      <selection activeCell="E1" sqref="E1:E599"/>
    </sheetView>
    <sheetView tabSelected="1" workbookViewId="1">
      <selection activeCell="E1" sqref="E1:E599"/>
    </sheetView>
  </sheetViews>
  <sheetFormatPr defaultRowHeight="14.75" x14ac:dyDescent="0.75"/>
  <cols>
    <col min="5" max="5" width="100.6796875" customWidth="1"/>
  </cols>
  <sheetData>
    <row r="1" spans="5:5" x14ac:dyDescent="0.75">
      <c r="E1" s="109" t="str">
        <f>'RelAftFlt-3'!D2</f>
        <v>Instance: RelapseAfterFLT</v>
      </c>
    </row>
    <row r="2" spans="5:5" x14ac:dyDescent="0.75">
      <c r="E2" s="109" t="str">
        <f>'RelAftFlt-3'!D3</f>
        <v>InstanceOf: StructureDefinition</v>
      </c>
    </row>
    <row r="3" spans="5:5" x14ac:dyDescent="0.75">
      <c r="E3" s="109" t="str">
        <f>'RelAftFlt-3'!D4</f>
        <v>Description: "Progression-Relapse after FLT
Marturity Level: 1 - Profiles in progress"</v>
      </c>
    </row>
    <row r="4" spans="5:5" x14ac:dyDescent="0.75">
      <c r="E4" s="109" t="str">
        <f>'RelAftFlt-3'!D5</f>
        <v>Title: "Progression-Relapse after FLT"</v>
      </c>
    </row>
    <row r="5" spans="5:5" x14ac:dyDescent="0.75">
      <c r="E5" s="109" t="str">
        <f>'RelAftFlt-3'!D6</f>
        <v>Usage: #definition</v>
      </c>
    </row>
    <row r="6" spans="5:5" x14ac:dyDescent="0.75">
      <c r="E6" s="109" t="str">
        <f>'RelAftFlt-3'!D8</f>
        <v>* publisher = "PanCareSurPass project"</v>
      </c>
    </row>
    <row r="7" spans="5:5" x14ac:dyDescent="0.75">
      <c r="E7" s="109" t="str">
        <f>'RelAftFlt-3'!D9</f>
        <v>* status = #draft</v>
      </c>
    </row>
    <row r="8" spans="5:5" x14ac:dyDescent="0.75">
      <c r="E8" s="109" t="str">
        <f>'RelAftFlt-3'!D10</f>
        <v>* url = "http://hl7.eu/fhir/ig/pcsp/StructureDefinition/RelapseAfterFLT"</v>
      </c>
    </row>
    <row r="9" spans="5:5" x14ac:dyDescent="0.75">
      <c r="E9" s="109" t="str">
        <f>'RelAftFlt-3'!D11</f>
        <v>* name = "RelapseAfterFLT"</v>
      </c>
    </row>
    <row r="10" spans="5:5" x14ac:dyDescent="0.75">
      <c r="E10" s="109" t="str">
        <f>'RelAftFlt-3'!D12</f>
        <v>* title = "Progression-Relapse after FLT"</v>
      </c>
    </row>
    <row r="11" spans="5:5" x14ac:dyDescent="0.75">
      <c r="E11" s="109" t="str">
        <f>'RelAftFlt-3'!D13</f>
        <v>* status = #draft</v>
      </c>
    </row>
    <row r="12" spans="5:5" x14ac:dyDescent="0.75">
      <c r="E12" s="109" t="str">
        <f>'RelAftFlt-3'!D14</f>
        <v>* experimental = true</v>
      </c>
    </row>
    <row r="13" spans="5:5" x14ac:dyDescent="0.75">
      <c r="E13" s="109" t="str">
        <f>'RelAftFlt-3'!D15</f>
        <v>* description = "Progression-Relapse after FLT
Marturity Level: 1 - Profiles in progress"</v>
      </c>
    </row>
    <row r="14" spans="5:5" x14ac:dyDescent="0.75">
      <c r="E14" s="109" t="str">
        <f>'RelAftFlt-3'!D16</f>
        <v>* version = "0.0.1"</v>
      </c>
    </row>
    <row r="15" spans="5:5" x14ac:dyDescent="0.75">
      <c r="E15" s="109" t="str">
        <f>'RelAftFlt-3'!D18</f>
        <v>* mapping[0].identity = "fhir"</v>
      </c>
    </row>
    <row r="16" spans="5:5" x14ac:dyDescent="0.75">
      <c r="E16" s="109" t="str">
        <f>'RelAftFlt-3'!D19</f>
        <v>* mapping[0].uri = "hl7.org/fhir/r4"</v>
      </c>
    </row>
    <row r="17" spans="5:5" x14ac:dyDescent="0.75">
      <c r="E17" s="109" t="str">
        <f>'RelAftFlt-3'!D20</f>
        <v>* mapping[0].name = "FHIR"</v>
      </c>
    </row>
    <row r="18" spans="5:5" x14ac:dyDescent="0.75">
      <c r="E18" s="109" t="str">
        <f>'RelAftFlt-3'!D22</f>
        <v>* kind = #logical</v>
      </c>
    </row>
    <row r="19" spans="5:5" x14ac:dyDescent="0.75">
      <c r="E19" s="109" t="str">
        <f>'RelAftFlt-3'!D23</f>
        <v>* abstract = true</v>
      </c>
    </row>
    <row r="20" spans="5:5" x14ac:dyDescent="0.75">
      <c r="E20" s="109" t="str">
        <f>'RelAftFlt-3'!D24</f>
        <v>* type = "RelapseAfterFLT"</v>
      </c>
    </row>
    <row r="21" spans="5:5" x14ac:dyDescent="0.75">
      <c r="E21" s="109" t="str">
        <f>'RelAftFlt-3'!D25</f>
        <v>* baseDefinition = "http://hl7.org/fhir/StructureDefinition/Element"</v>
      </c>
    </row>
    <row r="22" spans="5:5" x14ac:dyDescent="0.75">
      <c r="E22" s="109" t="str">
        <f>'RelAftFlt-3'!D26</f>
        <v>* derivation = #specialization</v>
      </c>
    </row>
    <row r="23" spans="5:5" x14ac:dyDescent="0.75">
      <c r="E23" s="109" t="str">
        <f>'RelAftFlt-3'!D28</f>
        <v>* differential.element[0].id = "RelapseAfterFLT"</v>
      </c>
    </row>
    <row r="24" spans="5:5" x14ac:dyDescent="0.75">
      <c r="E24" s="109" t="str">
        <f>'RelAftFlt-3'!D29</f>
        <v>* differential.element[0].path = "RelapseAfterFLT"</v>
      </c>
    </row>
    <row r="25" spans="5:5" x14ac:dyDescent="0.75">
      <c r="E25" s="109" t="str">
        <f>'RelAftFlt-3'!D30</f>
        <v>* differential.element[0].short = "Progression-Relapse after  FLT"</v>
      </c>
    </row>
    <row r="26" spans="5:5" x14ac:dyDescent="0.75">
      <c r="E26" s="109" t="str">
        <f>'RelAftFlt-3'!D31</f>
        <v>* differential.element[0].definition = "Progression-Relapse after  FLT"</v>
      </c>
    </row>
    <row r="27" spans="5:5" x14ac:dyDescent="0.75">
      <c r="E27" s="109" t="str">
        <f>'RelAftFlt-3'!D32</f>
        <v>* differential.element[0].min = 1</v>
      </c>
    </row>
    <row r="28" spans="5:5" x14ac:dyDescent="0.75">
      <c r="E28" s="109" t="str">
        <f>'RelAftFlt-3'!D33</f>
        <v>* differential.element[0].max = "1"</v>
      </c>
    </row>
    <row r="29" spans="5:5" x14ac:dyDescent="0.75">
      <c r="E29" s="109" t="str">
        <f>'RelAftFlt-3'!D35</f>
        <v>* differential.element[1].id = "RelapseAfterFLT.identifier"</v>
      </c>
    </row>
    <row r="30" spans="5:5" x14ac:dyDescent="0.75">
      <c r="E30" s="109" t="str">
        <f>'RelAftFlt-3'!D36</f>
        <v>* differential.element[1].path = "RelapseAfterFLT.identifier"</v>
      </c>
    </row>
    <row r="31" spans="5:5" x14ac:dyDescent="0.75">
      <c r="E31" s="109" t="str">
        <f>'RelAftFlt-3'!D37</f>
        <v>* differential.element[1].short = "Progression-relapse after FLT number"</v>
      </c>
    </row>
    <row r="32" spans="5:5" x14ac:dyDescent="0.75">
      <c r="E32" s="109" t="str">
        <f>'RelAftFlt-3'!D38</f>
        <v>* differential.element[1].definition = "Progressive number of progression/relapse (1=first; 2= second; 3 = third; …) after the end of treatment.
In this field must be reported the ordinal number of the progression/relapse after the end of treatment."</v>
      </c>
    </row>
    <row r="33" spans="5:5" x14ac:dyDescent="0.75">
      <c r="E33" s="109" t="str">
        <f>'RelAftFlt-3'!D39</f>
        <v>* differential.element[1].min = 0</v>
      </c>
    </row>
    <row r="34" spans="5:5" x14ac:dyDescent="0.75">
      <c r="E34" s="109" t="str">
        <f>'RelAftFlt-3'!D40</f>
        <v>* differential.element[1].max = "1"</v>
      </c>
    </row>
    <row r="35" spans="5:5" x14ac:dyDescent="0.75">
      <c r="E35" s="109" t="str">
        <f>'RelAftFlt-3'!D41</f>
        <v>* differential.element[1].type.code = #Identifier</v>
      </c>
    </row>
    <row r="36" spans="5:5" x14ac:dyDescent="0.75">
      <c r="E36" s="109" t="str">
        <f>'RelAftFlt-3'!D42</f>
        <v/>
      </c>
    </row>
    <row r="37" spans="5:5" x14ac:dyDescent="0.75">
      <c r="E37" s="109" t="str">
        <f>'RelAftFlt-3'!D43</f>
        <v/>
      </c>
    </row>
    <row r="38" spans="5:5" x14ac:dyDescent="0.75">
      <c r="E38" s="109" t="str">
        <f>'RelAftFlt-3'!D44</f>
        <v>* differential.element[2].id = "RelapseAfterFLT.relatedDiagnosis"</v>
      </c>
    </row>
    <row r="39" spans="5:5" x14ac:dyDescent="0.75">
      <c r="E39" s="109" t="str">
        <f>'RelAftFlt-3'!D45</f>
        <v>* differential.element[2].path = "RelapseAfterFLT.relatedDiagnosis"</v>
      </c>
    </row>
    <row r="40" spans="5:5" x14ac:dyDescent="0.75">
      <c r="E40" s="109" t="str">
        <f>'RelAftFlt-3'!D46</f>
        <v>* differential.element[2].short = "Progressive number of diagnosis"</v>
      </c>
    </row>
    <row r="41" spans="5:5" x14ac:dyDescent="0.75">
      <c r="E41" s="109" t="str">
        <f>'RelAftFlt-3'!D47</f>
        <v>* differential.element[2].definition = "Progressive number of diagnosis (1=first; 2= second; 3 = third; …).  
In this field must be reported the ordinal number of the tumor diagnosis in which progression/relapse ocuured during front line treatment."</v>
      </c>
    </row>
    <row r="42" spans="5:5" x14ac:dyDescent="0.75">
      <c r="E42" s="109" t="str">
        <f>'RelAftFlt-3'!D48</f>
        <v>* differential.element[2].min = 0</v>
      </c>
    </row>
    <row r="43" spans="5:5" x14ac:dyDescent="0.75">
      <c r="E43" s="109" t="str">
        <f>'RelAftFlt-3'!D49</f>
        <v>* differential.element[2].max = "1"</v>
      </c>
    </row>
    <row r="44" spans="5:5" x14ac:dyDescent="0.75">
      <c r="E44" s="109" t="str">
        <f>'RelAftFlt-3'!D50</f>
        <v>* differential.element[2].type.code = #Identifier</v>
      </c>
    </row>
    <row r="45" spans="5:5" x14ac:dyDescent="0.75">
      <c r="E45" s="109" t="str">
        <f>'RelAftFlt-3'!D51</f>
        <v/>
      </c>
    </row>
    <row r="46" spans="5:5" x14ac:dyDescent="0.75">
      <c r="E46" s="109" t="str">
        <f>'RelAftFlt-3'!D52</f>
        <v/>
      </c>
    </row>
    <row r="47" spans="5:5" x14ac:dyDescent="0.75">
      <c r="E47" s="109" t="str">
        <f>'RelAftFlt-3'!D53</f>
        <v>* differential.element[3].id = "RelapseAfterFLT.Date  "</v>
      </c>
    </row>
    <row r="48" spans="5:5" x14ac:dyDescent="0.75">
      <c r="E48" s="109" t="str">
        <f>'RelAftFlt-3'!D54</f>
        <v>* differential.element[3].path = "RelapseAfterFLT.Date  "</v>
      </c>
    </row>
    <row r="49" spans="5:5" x14ac:dyDescent="0.75">
      <c r="E49" s="109" t="str">
        <f>'RelAftFlt-3'!D55</f>
        <v>* differential.element[3].short = "date of relapse"</v>
      </c>
    </row>
    <row r="50" spans="5:5" x14ac:dyDescent="0.75">
      <c r="E50" s="109" t="str">
        <f>'RelAftFlt-3'!D56</f>
        <v>* differential.element[3].definition = "Report here the date (dd/mm/yyyy ) of the relapse/progression. If the date is unkown or partially missed insert the year at the best of your knowledge."</v>
      </c>
    </row>
    <row r="51" spans="5:5" x14ac:dyDescent="0.75">
      <c r="E51" s="109" t="str">
        <f>'RelAftFlt-3'!D57</f>
        <v>* differential.element[3].min = 0</v>
      </c>
    </row>
    <row r="52" spans="5:5" x14ac:dyDescent="0.75">
      <c r="E52" s="109" t="str">
        <f>'RelAftFlt-3'!D58</f>
        <v>* differential.element[3].max = "1"</v>
      </c>
    </row>
    <row r="53" spans="5:5" x14ac:dyDescent="0.75">
      <c r="E53" s="109" t="str">
        <f>'RelAftFlt-3'!D59</f>
        <v>* differential.element[3].type.code = #date</v>
      </c>
    </row>
    <row r="54" spans="5:5" x14ac:dyDescent="0.75">
      <c r="E54" s="109" t="str">
        <f>'RelAftFlt-3'!D60</f>
        <v/>
      </c>
    </row>
    <row r="55" spans="5:5" x14ac:dyDescent="0.75">
      <c r="E55" s="109" t="str">
        <f>'RelAftFlt-3'!D61</f>
        <v/>
      </c>
    </row>
    <row r="56" spans="5:5" x14ac:dyDescent="0.75">
      <c r="E56" s="109" t="str">
        <f>'RelAftFlt-3'!D62</f>
        <v>* differential.element[4].id = "RelapseAfterFLT.type"</v>
      </c>
    </row>
    <row r="57" spans="5:5" x14ac:dyDescent="0.75">
      <c r="E57" s="109" t="str">
        <f>'RelAftFlt-3'!D63</f>
        <v>* differential.element[4].path = "RelapseAfterFLT.type"</v>
      </c>
    </row>
    <row r="58" spans="5:5" x14ac:dyDescent="0.75">
      <c r="E58" s="109" t="str">
        <f>'RelAftFlt-3'!D64</f>
        <v>* differential.element[4].short = "relapse | progression"</v>
      </c>
    </row>
    <row r="59" spans="5:5" x14ac:dyDescent="0.75">
      <c r="E59" s="109" t="str">
        <f>'RelAftFlt-3'!D65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0" spans="5:5" x14ac:dyDescent="0.75">
      <c r="E60" s="109" t="str">
        <f>'RelAftFlt-3'!D66</f>
        <v>* differential.element[4].min = 0</v>
      </c>
    </row>
    <row r="61" spans="5:5" x14ac:dyDescent="0.75">
      <c r="E61" s="109" t="str">
        <f>'RelAftFlt-3'!D67</f>
        <v>* differential.element[4].max = "1"</v>
      </c>
    </row>
    <row r="62" spans="5:5" x14ac:dyDescent="0.75">
      <c r="E62" s="109" t="str">
        <f>'RelAftFlt-3'!D68</f>
        <v>* differential.element[4].type.code = #CodeableConcept</v>
      </c>
    </row>
    <row r="63" spans="5:5" x14ac:dyDescent="0.75">
      <c r="E63" s="109" t="str">
        <f>'RelAftFlt-3'!D69</f>
        <v/>
      </c>
    </row>
    <row r="64" spans="5:5" x14ac:dyDescent="0.75">
      <c r="E64" s="109" t="str">
        <f>'RelAftFlt-3'!D70</f>
        <v/>
      </c>
    </row>
    <row r="65" spans="5:5" x14ac:dyDescent="0.75">
      <c r="E65" s="109" t="str">
        <f>'RelAftFlt-3'!D71</f>
        <v>* differential.element[5].id = "RelapseAfterFLT.qualifier"</v>
      </c>
    </row>
    <row r="66" spans="5:5" x14ac:dyDescent="0.75">
      <c r="E66" s="109" t="str">
        <f>'RelAftFlt-3'!D72</f>
        <v>* differential.element[5].path = "RelapseAfterFLT.qualifier"</v>
      </c>
    </row>
    <row r="67" spans="5:5" x14ac:dyDescent="0.75">
      <c r="E67" s="109" t="str">
        <f>'RelAftFlt-3'!D73</f>
        <v>* differential.element[5].short = "local | distant | combined"</v>
      </c>
    </row>
    <row r="68" spans="5:5" x14ac:dyDescent="0.75">
      <c r="E68" s="109" t="str">
        <f>'RelAftFlt-3'!D74</f>
        <v>* differential.element[5].definition = "Please define if the relapse/progression was local, distant or combined.
"</v>
      </c>
    </row>
    <row r="69" spans="5:5" x14ac:dyDescent="0.75">
      <c r="E69" s="109" t="str">
        <f>'RelAftFlt-3'!D75</f>
        <v>* differential.element[5].min = 0</v>
      </c>
    </row>
    <row r="70" spans="5:5" x14ac:dyDescent="0.75">
      <c r="E70" s="109" t="str">
        <f>'RelAftFlt-3'!D76</f>
        <v>* differential.element[5].max = "1"</v>
      </c>
    </row>
    <row r="71" spans="5:5" x14ac:dyDescent="0.75">
      <c r="E71" s="109" t="str">
        <f>'RelAftFlt-3'!D77</f>
        <v>* differential.element[5].type.code = #CodeableConcept</v>
      </c>
    </row>
    <row r="72" spans="5:5" x14ac:dyDescent="0.75">
      <c r="E72" s="109" t="str">
        <f>'RelAftFlt-3'!D78</f>
        <v/>
      </c>
    </row>
    <row r="73" spans="5:5" x14ac:dyDescent="0.75">
      <c r="E73" s="109" t="str">
        <f>'RelAftFlt-3'!D79</f>
        <v/>
      </c>
    </row>
    <row r="74" spans="5:5" x14ac:dyDescent="0.75">
      <c r="E74" s="109" t="str">
        <f>'RelAftFlt-3'!D80</f>
        <v>* differential.element[6].id = "RelapseAfterFLT.site"</v>
      </c>
    </row>
    <row r="75" spans="5:5" x14ac:dyDescent="0.75">
      <c r="E75" s="109" t="str">
        <f>'RelAftFlt-3'!D81</f>
        <v>* differential.element[6].path = "RelapseAfterFLT.site"</v>
      </c>
    </row>
    <row r="76" spans="5:5" x14ac:dyDescent="0.75">
      <c r="E76" s="109" t="str">
        <f>'RelAftFlt-3'!D82</f>
        <v>* differential.element[6].short = "If distant, site of metastases"</v>
      </c>
    </row>
    <row r="77" spans="5:5" x14ac:dyDescent="0.75">
      <c r="E77" s="109" t="str">
        <f>'RelAftFlt-3'!D83</f>
        <v>* differential.element[6].definition = "Please define if the relapse/progression was local, distant or combined.
"</v>
      </c>
    </row>
    <row r="78" spans="5:5" x14ac:dyDescent="0.75">
      <c r="E78" s="109" t="str">
        <f>'RelAftFlt-3'!D84</f>
        <v>* differential.element[6].min = 0</v>
      </c>
    </row>
    <row r="79" spans="5:5" x14ac:dyDescent="0.75">
      <c r="E79" s="109" t="str">
        <f>'RelAftFlt-3'!D85</f>
        <v>* differential.element[6].max = "1"</v>
      </c>
    </row>
    <row r="80" spans="5:5" x14ac:dyDescent="0.75">
      <c r="E80" s="109" t="str">
        <f>'RelAftFlt-3'!D86</f>
        <v>* differential.element[6].type.code = #string</v>
      </c>
    </row>
    <row r="81" spans="5:5" x14ac:dyDescent="0.75">
      <c r="E81" s="109" t="str">
        <f>'RelAftFlt-3'!D88</f>
        <v/>
      </c>
    </row>
    <row r="82" spans="5:5" x14ac:dyDescent="0.75">
      <c r="E82" s="109" t="str">
        <f>'RelAftFlt-3'!D115</f>
        <v/>
      </c>
    </row>
    <row r="83" spans="5:5" x14ac:dyDescent="0.75">
      <c r="E83" s="109" t="str">
        <f>'RelAftFlt-3'!D124</f>
        <v/>
      </c>
    </row>
    <row r="84" spans="5:5" x14ac:dyDescent="0.75">
      <c r="E84" s="109" t="str">
        <f>'RelAftFlt-3'!D133</f>
        <v/>
      </c>
    </row>
    <row r="85" spans="5:5" x14ac:dyDescent="0.75">
      <c r="E85" s="109" t="str">
        <f>'RelAftFlt-3'!D142</f>
        <v/>
      </c>
    </row>
    <row r="86" spans="5:5" x14ac:dyDescent="0.75">
      <c r="E86" s="109" t="str">
        <f>'RelAftFlt-3'!D151</f>
        <v/>
      </c>
    </row>
    <row r="87" spans="5:5" x14ac:dyDescent="0.75">
      <c r="E87" s="109" t="str">
        <f>'RelAftFlt-3'!D160</f>
        <v/>
      </c>
    </row>
    <row r="88" spans="5:5" x14ac:dyDescent="0.75">
      <c r="E88" s="109" t="str">
        <f>'RelAftFlt-3'!D169</f>
        <v/>
      </c>
    </row>
    <row r="89" spans="5:5" x14ac:dyDescent="0.75">
      <c r="E89" s="109" t="str">
        <f>'RelAftFlt-3'!D178</f>
        <v/>
      </c>
    </row>
    <row r="90" spans="5:5" x14ac:dyDescent="0.75">
      <c r="E90" s="109" t="str">
        <f>'RelAftFlt-3'!D187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69850</xdr:colOff>
                    <xdr:row>0</xdr:row>
                    <xdr:rowOff>0</xdr:rowOff>
                  </from>
                  <to>
                    <xdr:col>6</xdr:col>
                    <xdr:colOff>273050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topLeftCell="B1" zoomScale="85" zoomScaleNormal="85" workbookViewId="0">
      <selection activeCell="B6" sqref="B6:G16"/>
    </sheetView>
    <sheetView workbookViewId="1">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1105</v>
      </c>
      <c r="E2" s="25"/>
      <c r="F2" s="25"/>
      <c r="G2" s="25"/>
    </row>
    <row r="3" spans="1:9" x14ac:dyDescent="0.75">
      <c r="B3" s="118" t="s">
        <v>34</v>
      </c>
      <c r="C3" s="107" t="s">
        <v>36</v>
      </c>
      <c r="D3" s="56"/>
      <c r="E3" s="25"/>
      <c r="F3" s="25"/>
      <c r="G3" s="25"/>
    </row>
    <row r="4" spans="1:9" ht="15.5" thickBot="1" x14ac:dyDescent="0.9">
      <c r="B4" s="119" t="s">
        <v>52</v>
      </c>
      <c r="C4" s="16" t="s">
        <v>1082</v>
      </c>
      <c r="D4" s="57"/>
      <c r="E4" s="25"/>
      <c r="F4" s="25"/>
      <c r="G4" s="25"/>
    </row>
    <row r="5" spans="1:9" x14ac:dyDescent="0.75">
      <c r="C5" s="3" t="s">
        <v>7</v>
      </c>
      <c r="D5" s="4" t="s">
        <v>8</v>
      </c>
      <c r="E5" s="11" t="s">
        <v>17</v>
      </c>
      <c r="F5" s="11" t="s">
        <v>18</v>
      </c>
      <c r="G5" s="11" t="s">
        <v>19</v>
      </c>
    </row>
    <row r="6" spans="1:9" x14ac:dyDescent="0.75">
      <c r="A6">
        <v>0</v>
      </c>
      <c r="B6" s="16" t="s">
        <v>1082</v>
      </c>
      <c r="C6" s="16"/>
      <c r="D6" s="122"/>
      <c r="E6" s="34">
        <v>1</v>
      </c>
      <c r="F6" s="34">
        <v>1</v>
      </c>
      <c r="G6" s="34" t="s">
        <v>21</v>
      </c>
      <c r="I6" s="25"/>
    </row>
    <row r="7" spans="1:9" x14ac:dyDescent="0.75">
      <c r="A7" s="109">
        <v>1</v>
      </c>
      <c r="B7" s="111" t="s">
        <v>35</v>
      </c>
      <c r="C7" s="154" t="s">
        <v>1083</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1084</v>
      </c>
      <c r="C10" s="111" t="s">
        <v>1102</v>
      </c>
      <c r="D10" s="112" t="s">
        <v>813</v>
      </c>
      <c r="E10" s="111">
        <v>0</v>
      </c>
      <c r="F10" s="111" t="s">
        <v>20</v>
      </c>
      <c r="G10" s="111" t="s">
        <v>5</v>
      </c>
    </row>
    <row r="11" spans="1:9" s="109" customFormat="1" x14ac:dyDescent="0.75">
      <c r="A11" s="109">
        <v>5</v>
      </c>
      <c r="B11" s="112" t="s">
        <v>1109</v>
      </c>
      <c r="C11" s="111" t="s">
        <v>1110</v>
      </c>
      <c r="D11" s="111" t="s">
        <v>1110</v>
      </c>
      <c r="E11" s="111">
        <v>0</v>
      </c>
      <c r="F11" s="111">
        <v>1</v>
      </c>
      <c r="G11" s="111" t="s">
        <v>3</v>
      </c>
    </row>
    <row r="12" spans="1:9" x14ac:dyDescent="0.75">
      <c r="A12" s="109">
        <v>6</v>
      </c>
      <c r="B12" s="112" t="s">
        <v>1085</v>
      </c>
      <c r="C12" s="111" t="s">
        <v>1087</v>
      </c>
      <c r="D12" s="112" t="s">
        <v>1090</v>
      </c>
      <c r="E12" s="111">
        <v>0</v>
      </c>
      <c r="F12" s="111">
        <v>1</v>
      </c>
      <c r="G12" s="111" t="s">
        <v>3</v>
      </c>
      <c r="H12" s="2"/>
      <c r="I12" s="25"/>
    </row>
    <row r="13" spans="1:9" s="25" customFormat="1" x14ac:dyDescent="0.75">
      <c r="A13" s="109">
        <v>7</v>
      </c>
      <c r="B13" s="112" t="s">
        <v>1091</v>
      </c>
      <c r="C13" s="111" t="s">
        <v>1092</v>
      </c>
      <c r="D13" s="111" t="s">
        <v>1093</v>
      </c>
      <c r="E13" s="111">
        <v>0</v>
      </c>
      <c r="F13" s="111">
        <v>1</v>
      </c>
      <c r="G13" s="111" t="s">
        <v>1097</v>
      </c>
      <c r="H13" s="21"/>
    </row>
    <row r="14" spans="1:9" s="109" customFormat="1" x14ac:dyDescent="0.75">
      <c r="A14" s="109">
        <v>8</v>
      </c>
      <c r="B14" s="112" t="s">
        <v>1086</v>
      </c>
      <c r="C14" s="111" t="s">
        <v>1089</v>
      </c>
      <c r="D14" s="111" t="s">
        <v>1094</v>
      </c>
      <c r="E14" s="111">
        <v>0</v>
      </c>
      <c r="F14" s="111">
        <v>1</v>
      </c>
      <c r="G14" s="111" t="s">
        <v>1088</v>
      </c>
      <c r="H14" s="114"/>
    </row>
    <row r="15" spans="1:9" s="25" customFormat="1" ht="29.5" x14ac:dyDescent="0.75">
      <c r="A15" s="109">
        <v>9</v>
      </c>
      <c r="B15" s="112" t="s">
        <v>1095</v>
      </c>
      <c r="C15" s="111" t="s">
        <v>1103</v>
      </c>
      <c r="D15" s="112" t="s">
        <v>816</v>
      </c>
      <c r="E15" s="111">
        <v>0</v>
      </c>
      <c r="F15" s="111">
        <v>1</v>
      </c>
      <c r="G15" s="111" t="s">
        <v>2</v>
      </c>
      <c r="H15" s="21"/>
    </row>
    <row r="16" spans="1:9" s="109" customFormat="1" x14ac:dyDescent="0.75">
      <c r="B16" s="112" t="s">
        <v>1096</v>
      </c>
      <c r="C16" s="111" t="s">
        <v>1104</v>
      </c>
      <c r="D16" s="112" t="s">
        <v>819</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9" t="s">
        <v>1114</v>
      </c>
      <c r="C24" s="170"/>
      <c r="D24" s="171"/>
      <c r="E24" s="111"/>
      <c r="F24" s="111"/>
      <c r="G24" s="113"/>
      <c r="H24" s="114"/>
    </row>
    <row r="25" spans="1:8" s="109" customFormat="1" x14ac:dyDescent="0.75">
      <c r="B25" s="172"/>
      <c r="C25" s="173"/>
      <c r="D25" s="174"/>
      <c r="E25" s="111"/>
      <c r="F25" s="111"/>
      <c r="G25" s="113"/>
      <c r="H25" s="114"/>
    </row>
    <row r="26" spans="1:8" s="109" customFormat="1" x14ac:dyDescent="0.75">
      <c r="B26" s="172"/>
      <c r="C26" s="173"/>
      <c r="D26" s="174"/>
      <c r="E26" s="111"/>
      <c r="F26" s="111"/>
      <c r="G26" s="113"/>
      <c r="H26" s="114"/>
    </row>
    <row r="27" spans="1:8" s="109" customFormat="1" x14ac:dyDescent="0.75">
      <c r="B27" s="172"/>
      <c r="C27" s="173"/>
      <c r="D27" s="174"/>
      <c r="E27" s="111"/>
      <c r="F27" s="111"/>
      <c r="G27" s="113"/>
      <c r="H27" s="114"/>
    </row>
    <row r="28" spans="1:8" x14ac:dyDescent="0.75">
      <c r="A28" s="109"/>
      <c r="B28" s="175"/>
      <c r="C28" s="176"/>
      <c r="D28" s="177"/>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4" zoomScale="85" zoomScaleNormal="85" workbookViewId="0">
      <selection activeCell="B11" sqref="B11:J38"/>
    </sheetView>
    <sheetView workbookViewId="1"/>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61" workbookViewId="0">
      <selection activeCell="D98" sqref="D98:E110"/>
    </sheetView>
    <sheetView workbookViewId="1"/>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zoomScaleNormal="100" workbookViewId="0">
      <selection activeCell="C18" sqref="C18:D38"/>
    </sheetView>
    <sheetView workbookViewId="1"/>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1059</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1059</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1059</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1059</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'Sug-1'!A10</f>
        <v>4</v>
      </c>
      <c r="C11" s="111" t="str">
        <f>'Sug-1'!B10</f>
        <v>prescribedMedication</v>
      </c>
      <c r="D11" s="138" t="s">
        <v>1059</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1059</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1059</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1059</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1059</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1059</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1059</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topLeftCell="A20" zoomScale="80" zoomScaleNormal="80" workbookViewId="0">
      <selection activeCell="D19" sqref="D19"/>
    </sheetView>
    <sheetView topLeftCell="A2" zoomScale="70" zoomScaleNormal="70" workbookViewId="1">
      <selection activeCell="A6" sqref="A6:A12"/>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1101</v>
      </c>
      <c r="D2" s="122" t="s">
        <v>1106</v>
      </c>
    </row>
    <row r="3" spans="1:9" x14ac:dyDescent="0.75">
      <c r="B3" s="118" t="s">
        <v>34</v>
      </c>
      <c r="C3" s="123" t="s">
        <v>36</v>
      </c>
      <c r="D3" s="56"/>
    </row>
    <row r="4" spans="1:9" ht="15.5" thickBot="1" x14ac:dyDescent="0.9">
      <c r="B4" s="119" t="s">
        <v>52</v>
      </c>
      <c r="C4" s="124" t="s">
        <v>1098</v>
      </c>
      <c r="D4" s="57"/>
    </row>
    <row r="5" spans="1:9" x14ac:dyDescent="0.75">
      <c r="C5" s="3" t="s">
        <v>7</v>
      </c>
      <c r="D5" s="4" t="s">
        <v>8</v>
      </c>
      <c r="E5" s="11" t="s">
        <v>17</v>
      </c>
      <c r="F5" s="11" t="s">
        <v>18</v>
      </c>
      <c r="G5" s="11" t="s">
        <v>19</v>
      </c>
      <c r="H5" s="168" t="s">
        <v>889</v>
      </c>
      <c r="I5" s="168"/>
    </row>
    <row r="6" spans="1:9" ht="15.5" thickBot="1" x14ac:dyDescent="0.9">
      <c r="A6" s="109">
        <v>0</v>
      </c>
      <c r="B6" s="124" t="s">
        <v>1098</v>
      </c>
      <c r="C6" s="16" t="s">
        <v>1099</v>
      </c>
      <c r="D6" s="16" t="s">
        <v>1099</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29.5" x14ac:dyDescent="0.75">
      <c r="A9" s="109">
        <v>3</v>
      </c>
      <c r="B9" s="111" t="s">
        <v>713</v>
      </c>
      <c r="C9" s="112" t="s">
        <v>1113</v>
      </c>
      <c r="D9" s="112" t="s">
        <v>825</v>
      </c>
      <c r="E9" s="111">
        <v>0</v>
      </c>
      <c r="F9" s="111">
        <v>1</v>
      </c>
      <c r="G9" s="111" t="s">
        <v>4</v>
      </c>
      <c r="H9" s="67"/>
      <c r="I9" s="111"/>
    </row>
    <row r="10" spans="1:9" ht="103.25" x14ac:dyDescent="0.75">
      <c r="A10" s="109">
        <v>4</v>
      </c>
      <c r="B10" s="111" t="s">
        <v>47</v>
      </c>
      <c r="C10" s="112" t="s">
        <v>1077</v>
      </c>
      <c r="D10" s="112" t="s">
        <v>1100</v>
      </c>
      <c r="E10" s="111">
        <v>0</v>
      </c>
      <c r="F10" s="111">
        <v>1</v>
      </c>
      <c r="G10" s="111" t="s">
        <v>1</v>
      </c>
      <c r="H10" s="67"/>
      <c r="I10" s="111"/>
    </row>
    <row r="11" spans="1:9" ht="29.5" x14ac:dyDescent="0.75">
      <c r="A11" s="109">
        <v>5</v>
      </c>
      <c r="B11" s="111" t="s">
        <v>1076</v>
      </c>
      <c r="C11" s="112" t="s">
        <v>1075</v>
      </c>
      <c r="D11" s="112" t="s">
        <v>827</v>
      </c>
      <c r="E11" s="111">
        <v>0</v>
      </c>
      <c r="F11" s="111">
        <v>1</v>
      </c>
      <c r="G11" s="111" t="s">
        <v>1</v>
      </c>
      <c r="H11" s="67"/>
      <c r="I11" s="111"/>
    </row>
    <row r="12" spans="1:9" ht="29.5" x14ac:dyDescent="0.75">
      <c r="A12" s="109">
        <v>6</v>
      </c>
      <c r="B12" s="111" t="s">
        <v>1078</v>
      </c>
      <c r="C12" s="112" t="s">
        <v>721</v>
      </c>
      <c r="D12" s="112" t="s">
        <v>827</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B1" zoomScale="85" zoomScaleNormal="85" workbookViewId="0">
      <selection activeCell="B7" sqref="B7:I17"/>
    </sheetView>
    <sheetView workbookViewId="1">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  "</v>
      </c>
      <c r="C4" s="112" t="str">
        <f>CONCATENATE("* differential.element[",'RelAftFlt-1'!$A9,"].path = """,'RelAftFlt-1'!$B$6,".",'RelAftFlt-1'!B9,"""")</f>
        <v>* differential.element[3].path = "RelapseAfterFLT.Date  "</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"RelapseAfterFLT.type"</v>
      </c>
      <c r="C5" s="112" t="str">
        <f>CONCATENATE("* differential.element[",'RelAftFlt-1'!$A10,"].path = """,'RelAftFlt-1'!$B$6,".",'RelAftFlt-1'!B10,"""")</f>
        <v>* differential.element[4].path = "RelapseAfterFLT.type"</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"RelapseAfterFLT.qualifier"</v>
      </c>
      <c r="C6" s="112" t="str">
        <f>CONCATENATE("* differential.element[",'RelAftFlt-1'!$A11,"].path = """,'RelAftFlt-1'!$B$6,".",'RelAftFlt-1'!B11,"""")</f>
        <v>* differential.element[5].path = "RelapseAfterFLT.qualifier"</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1" workbookViewId="0">
      <selection activeCell="D80" sqref="D80:E108"/>
    </sheetView>
    <sheetView topLeftCell="A87" workbookViewId="1">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Marturity Level: 1 - Profiles in progress"</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Marturity Level: 1 - Profiles in progress"</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  "</v>
      </c>
    </row>
    <row r="54" spans="1:4" x14ac:dyDescent="0.75">
      <c r="A54" s="111">
        <v>20</v>
      </c>
      <c r="B54" s="111">
        <f t="shared" si="2"/>
        <v>2</v>
      </c>
      <c r="C54" s="111">
        <f t="shared" si="3"/>
        <v>2</v>
      </c>
      <c r="D54" s="112" t="str" cm="1">
        <f t="array" ref="D54">INDEX('RelAftFlt-2'!$B$2:$J$100,1+B54,C54)</f>
        <v>* differential.element[3].path = "RelapseAfterFLT.Date  "</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"RelapseAfterFLT.type"</v>
      </c>
    </row>
    <row r="63" spans="1:4" x14ac:dyDescent="0.75">
      <c r="A63" s="111">
        <v>29</v>
      </c>
      <c r="B63" s="111">
        <f t="shared" si="2"/>
        <v>3</v>
      </c>
      <c r="C63" s="111">
        <f t="shared" si="3"/>
        <v>2</v>
      </c>
      <c r="D63" s="112" t="str" cm="1">
        <f t="array" ref="D63">INDEX('RelAftFlt-2'!$B$2:$J$100,1+B63,C63)</f>
        <v>* differential.element[4].path = "RelapseAfterFLT.type"</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"RelapseAfterFLT.qualifier"</v>
      </c>
    </row>
    <row r="72" spans="1:4" x14ac:dyDescent="0.75">
      <c r="A72" s="111">
        <v>38</v>
      </c>
      <c r="B72" s="111">
        <f t="shared" si="2"/>
        <v>4</v>
      </c>
      <c r="C72" s="111">
        <f t="shared" si="3"/>
        <v>2</v>
      </c>
      <c r="D72" s="112" t="str" cm="1">
        <f t="array" ref="D72">INDEX('RelAftFlt-2'!$B$2:$J$100,1+B72,C72)</f>
        <v>* differential.element[5].path = "RelapseAfterFLT.qualifier"</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B10" zoomScale="85" zoomScaleNormal="85" workbookViewId="0">
      <selection activeCell="D11" sqref="D11"/>
    </sheetView>
    <sheetView topLeftCell="A10" workbookViewId="1">
      <selection activeCell="D12" sqref="D12"/>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73.75" x14ac:dyDescent="0.75">
      <c r="A7" s="111">
        <v>0</v>
      </c>
      <c r="B7" s="111">
        <f>'RelAftFlt-1'!A6</f>
        <v>0</v>
      </c>
      <c r="C7" s="24" t="str">
        <f>'RelAftFlt-1'!B6</f>
        <v>RelapseAfterFLT</v>
      </c>
      <c r="D7" s="13" t="s">
        <v>1111</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908</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1079</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  </v>
      </c>
      <c r="D10" s="111" t="s">
        <v>1080</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118" x14ac:dyDescent="0.75">
      <c r="A11" s="111">
        <v>0</v>
      </c>
      <c r="B11" s="111">
        <f>'RelAftFlt-1'!A10</f>
        <v>4</v>
      </c>
      <c r="C11" s="113" t="str">
        <f>'RelAftFlt-1'!B10</f>
        <v>type</v>
      </c>
      <c r="D11" s="112" t="s">
        <v>1112</v>
      </c>
      <c r="G11" s="109" t="b">
        <f t="shared" si="0"/>
        <v>1</v>
      </c>
      <c r="H11" s="110" t="str">
        <f t="shared" si="1"/>
        <v>* differential.element[4].mapping[0].identity = "fhir"</v>
      </c>
      <c r="I11" s="110" t="str">
        <f t="shared" si="2"/>
        <v>* differential.element[4].mapping[0].map = ".extension('http://hl7.eu/fhir/ig/pcsp/StructureDefinition/condition-previousStatus').where(Condition.clinicalStatus = #inactive or #relapse or #recurrence).valueCodeableConcept OR Condition.where( clinicalStatus = #relapse or clinicalStatus = #recurrence).clinicalStatus"</v>
      </c>
      <c r="J11" s="110" t="str">
        <f t="shared" si="3"/>
        <v/>
      </c>
      <c r="M11" s="109" t="str">
        <f t="shared" si="4"/>
        <v>* type -&gt; ".extension('http://hl7.eu/fhir/ig/pcsp/StructureDefinition/condition-previousStatus').where(Condition.clinicalStatus = #inactive or #relapse or #recurrence).valueCodeableConcept OR Condition.where( clinicalStatus = #relapse or clinicalStatus = #recurrence).clinicalStatus"</v>
      </c>
    </row>
    <row r="12" spans="1:13" ht="59" x14ac:dyDescent="0.75">
      <c r="A12" s="111">
        <v>0</v>
      </c>
      <c r="B12" s="111">
        <f>'RelAftFlt-1'!A11</f>
        <v>5</v>
      </c>
      <c r="C12" s="113" t="str">
        <f>'RelAftFlt-1'!B11</f>
        <v>qualifier</v>
      </c>
      <c r="D12" s="111"/>
      <c r="G12" s="109" t="b">
        <f t="shared" si="0"/>
        <v>1</v>
      </c>
      <c r="H12" s="110" t="str">
        <f t="shared" si="1"/>
        <v>* differential.element[5].mapping[0].identity = "fhir"</v>
      </c>
      <c r="I12" s="110" t="str">
        <f t="shared" si="2"/>
        <v>* differential.element[5].mapping[0].map = ""</v>
      </c>
      <c r="J12" s="110" t="str">
        <f t="shared" si="3"/>
        <v/>
      </c>
      <c r="M12" s="109" t="str">
        <f t="shared" si="4"/>
        <v>* qualifier -&gt; ""</v>
      </c>
    </row>
    <row r="13" spans="1:13" x14ac:dyDescent="0.75">
      <c r="A13" s="111">
        <v>0</v>
      </c>
      <c r="B13" s="111">
        <f>'RelAftFlt-1'!A12</f>
        <v>6</v>
      </c>
      <c r="C13" s="113" t="str">
        <f>'RelAftFlt-1'!B12</f>
        <v>site</v>
      </c>
      <c r="D13" s="111" t="s">
        <v>1108</v>
      </c>
      <c r="G13" s="109" t="b">
        <f t="shared" si="0"/>
        <v>1</v>
      </c>
      <c r="H13" s="110" t="str">
        <f t="shared" si="1"/>
        <v>* differential.element[6].mapping[0].identity = "fhir"</v>
      </c>
      <c r="I13" s="110" t="str">
        <f t="shared" si="2"/>
        <v>* differential.element[6].mapping[0].map = "Condition.conformsTo('http://hl7.eu/fhir/ig/pcsp/StructureDefinition/Condition-secondaryCancer-eu-pcsp').bodySite"</v>
      </c>
      <c r="J13" s="110" t="str">
        <f t="shared" si="3"/>
        <v/>
      </c>
      <c r="M13" s="109" t="str">
        <f t="shared" si="4"/>
        <v>* site -&gt; "Condition.conformsTo('http://hl7.eu/fhir/ig/pcsp/StructureDefinition/Condition-secondaryCancer-eu-pcsp').bodySite"</v>
      </c>
    </row>
    <row r="14" spans="1:13" x14ac:dyDescent="0.75">
      <c r="A14" s="111">
        <v>0</v>
      </c>
      <c r="B14" s="111">
        <f>'RelAftFlt-1'!A13</f>
        <v>0</v>
      </c>
      <c r="C14" s="113"/>
      <c r="D14" s="48"/>
      <c r="G14" s="109" t="b">
        <f t="shared" si="0"/>
        <v>0</v>
      </c>
      <c r="H14" s="110" t="str">
        <f t="shared" si="1"/>
        <v/>
      </c>
      <c r="I14" s="110" t="str">
        <f t="shared" si="2"/>
        <v/>
      </c>
      <c r="J14" s="110" t="str">
        <f t="shared" si="3"/>
        <v/>
      </c>
      <c r="M14" s="109" t="str">
        <f t="shared" si="4"/>
        <v>*  -&gt; ""</v>
      </c>
    </row>
    <row r="15" spans="1:13" x14ac:dyDescent="0.75">
      <c r="A15" s="111">
        <v>0</v>
      </c>
      <c r="B15" s="111">
        <f>'RelAftFlt-1'!A14</f>
        <v>0</v>
      </c>
      <c r="C15" s="113"/>
      <c r="D15" s="48"/>
      <c r="G15" s="109" t="b">
        <f t="shared" si="0"/>
        <v>0</v>
      </c>
      <c r="H15" s="110" t="str">
        <f t="shared" si="1"/>
        <v/>
      </c>
      <c r="I15" s="110" t="str">
        <f t="shared" si="2"/>
        <v/>
      </c>
      <c r="J15" s="110" t="str">
        <f t="shared" si="3"/>
        <v/>
      </c>
      <c r="M15" s="109" t="str">
        <f t="shared" si="4"/>
        <v>*  -&gt; ""</v>
      </c>
    </row>
    <row r="16" spans="1:13" x14ac:dyDescent="0.75">
      <c r="A16" s="111">
        <v>0</v>
      </c>
      <c r="B16" s="111">
        <f>'RelAftFlt-1'!A15</f>
        <v>0</v>
      </c>
      <c r="C16" s="113"/>
      <c r="D16" s="48"/>
      <c r="G16" s="109" t="b">
        <f t="shared" si="0"/>
        <v>0</v>
      </c>
      <c r="H16" s="110" t="str">
        <f t="shared" si="1"/>
        <v/>
      </c>
      <c r="I16" s="110" t="str">
        <f t="shared" si="2"/>
        <v/>
      </c>
      <c r="J16" s="110" t="str">
        <f t="shared" si="3"/>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5">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6">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6"/>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6"/>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6"/>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6"/>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6"/>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6"/>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6"/>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6"/>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913</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909</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914</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910</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912</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911</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7">IF(D62&gt;"",TRUE,FALSE)</f>
        <v>0</v>
      </c>
      <c r="H62" s="110" t="str">
        <f t="shared" ref="H62" si="8">IF(G62,CONCATENATE("* differential.element[",$B62,"].mapping[",$A62,"].identity = """,$F$1,""""),"")</f>
        <v/>
      </c>
      <c r="I62" s="110" t="str">
        <f t="shared" ref="I62" si="9">IF(G62,CONCATENATE("* differential.element[",$B62,"].mapping[",$A62,"].map = """,D62,""""),"")</f>
        <v/>
      </c>
    </row>
    <row r="63" spans="1:10" x14ac:dyDescent="0.75">
      <c r="A63" s="111">
        <v>0</v>
      </c>
      <c r="B63" s="111">
        <f>'RelAftFlt-1'!A62</f>
        <v>0</v>
      </c>
      <c r="C63" s="113">
        <f>'RelAftFlt-1'!B55</f>
        <v>0</v>
      </c>
      <c r="G63" s="109" t="b">
        <f t="shared" si="7"/>
        <v>0</v>
      </c>
      <c r="H63" s="110" t="str">
        <f t="shared" ref="H63:H69" si="10">IF(G63,CONCATENATE("* differential.element[",$B63,"].mapping[",$A63,"].identity = """,$F$1,""""),"")</f>
        <v/>
      </c>
      <c r="I63" s="110" t="str">
        <f t="shared" ref="I63:I69" si="11">IF(G63,CONCATENATE("* differential.element[",$B63,"].mapping[",$A63,"].map = """,D63,""""),"")</f>
        <v/>
      </c>
    </row>
    <row r="64" spans="1:10" x14ac:dyDescent="0.75">
      <c r="A64" s="111">
        <v>0</v>
      </c>
      <c r="B64" s="111">
        <f>'RelAftFlt-1'!A63</f>
        <v>0</v>
      </c>
      <c r="C64" s="113">
        <f>'RelAftFlt-1'!B56</f>
        <v>0</v>
      </c>
      <c r="G64" s="109" t="b">
        <f t="shared" si="7"/>
        <v>0</v>
      </c>
      <c r="H64" s="110" t="str">
        <f t="shared" si="10"/>
        <v/>
      </c>
      <c r="I64" s="110" t="str">
        <f t="shared" si="11"/>
        <v/>
      </c>
    </row>
    <row r="65" spans="1:9" x14ac:dyDescent="0.75">
      <c r="A65" s="111">
        <v>0</v>
      </c>
      <c r="B65" s="111">
        <f>'RelAftFlt-1'!A64</f>
        <v>0</v>
      </c>
      <c r="C65" s="113">
        <f>'RelAftFlt-1'!B57</f>
        <v>0</v>
      </c>
      <c r="G65" s="109" t="b">
        <f t="shared" si="7"/>
        <v>0</v>
      </c>
      <c r="H65" s="110" t="str">
        <f t="shared" si="10"/>
        <v/>
      </c>
      <c r="I65" s="110" t="str">
        <f t="shared" si="11"/>
        <v/>
      </c>
    </row>
    <row r="66" spans="1:9" x14ac:dyDescent="0.75">
      <c r="A66" s="111"/>
      <c r="B66" s="111"/>
      <c r="C66" s="113"/>
      <c r="G66" s="109" t="b">
        <f t="shared" si="7"/>
        <v>0</v>
      </c>
      <c r="H66" s="110" t="str">
        <f t="shared" si="10"/>
        <v/>
      </c>
      <c r="I66" s="110" t="str">
        <f t="shared" si="11"/>
        <v/>
      </c>
    </row>
    <row r="67" spans="1:9" x14ac:dyDescent="0.75">
      <c r="A67" s="111"/>
      <c r="B67" s="111"/>
      <c r="C67" s="113"/>
      <c r="G67" s="109" t="b">
        <f t="shared" si="7"/>
        <v>0</v>
      </c>
      <c r="H67" s="110" t="str">
        <f t="shared" si="10"/>
        <v/>
      </c>
      <c r="I67" s="110" t="str">
        <f t="shared" si="11"/>
        <v/>
      </c>
    </row>
    <row r="68" spans="1:9" x14ac:dyDescent="0.75">
      <c r="A68" s="111"/>
      <c r="B68" s="111"/>
      <c r="C68" s="113"/>
      <c r="G68" s="109" t="b">
        <f t="shared" si="7"/>
        <v>0</v>
      </c>
      <c r="H68" s="110" t="str">
        <f t="shared" si="10"/>
        <v/>
      </c>
      <c r="I68" s="110" t="str">
        <f t="shared" si="11"/>
        <v/>
      </c>
    </row>
    <row r="69" spans="1:9" x14ac:dyDescent="0.75">
      <c r="A69" s="111"/>
      <c r="B69" s="111"/>
      <c r="C69" s="113"/>
      <c r="G69" s="109" t="b">
        <f t="shared" si="7"/>
        <v>0</v>
      </c>
      <c r="H69" s="110" t="str">
        <f t="shared" si="10"/>
        <v/>
      </c>
      <c r="I69" s="110" t="str">
        <f t="shared" si="11"/>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50" sqref="D50"/>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D8" sqref="D8"/>
    </sheetView>
    <sheetView workbookViewId="1"/>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'RelAftFlt-1'!A10</f>
        <v>4</v>
      </c>
      <c r="C10" s="113" t="str">
        <f>'RelAftFlt-1'!B10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t="e">
        <f>'RelAftFlt-1'!#REF!</f>
        <v>#REF!</v>
      </c>
      <c r="C12" s="113" t="e">
        <f>'RelAftFlt-1'!#REF!</f>
        <v>#REF!</v>
      </c>
      <c r="D12" s="113"/>
      <c r="H12" s="109" t="b">
        <f t="shared" si="0"/>
        <v>0</v>
      </c>
      <c r="I12" s="110" t="str">
        <f t="shared" si="1"/>
        <v/>
      </c>
      <c r="J12" s="110" t="str">
        <f t="shared" si="2"/>
        <v/>
      </c>
      <c r="K12" s="110" t="str">
        <f t="shared" si="4"/>
        <v/>
      </c>
      <c r="M12" s="44"/>
      <c r="N12" s="109" t="e">
        <f t="shared" si="3"/>
        <v>#REF!</v>
      </c>
    </row>
    <row r="13" spans="1:14" x14ac:dyDescent="0.75">
      <c r="A13" s="111">
        <v>0</v>
      </c>
      <c r="B13" s="111">
        <f>'RelAftFlt-1'!A11</f>
        <v>5</v>
      </c>
      <c r="C13" s="113" t="str">
        <f>'RelAftFlt-1'!B11</f>
        <v>qualifier</v>
      </c>
      <c r="D13" s="113"/>
      <c r="H13" s="109" t="b">
        <f t="shared" si="0"/>
        <v>0</v>
      </c>
      <c r="I13" s="110" t="str">
        <f t="shared" si="1"/>
        <v/>
      </c>
      <c r="J13" s="110" t="str">
        <f t="shared" si="2"/>
        <v/>
      </c>
      <c r="K13" s="110" t="str">
        <f t="shared" si="4"/>
        <v/>
      </c>
      <c r="M13" s="44"/>
      <c r="N13" s="109" t="str">
        <f t="shared" si="3"/>
        <v>* qualifier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t="e">
        <f>'RelAftFlt-1'!#REF!</f>
        <v>#REF!</v>
      </c>
      <c r="C15" s="113" t="e">
        <f>'RelAftFlt-1'!#REF!</f>
        <v>#REF!</v>
      </c>
      <c r="D15" s="111"/>
      <c r="H15" s="109" t="b">
        <f t="shared" si="0"/>
        <v>0</v>
      </c>
      <c r="I15" s="110" t="str">
        <f t="shared" si="1"/>
        <v/>
      </c>
      <c r="J15" s="110" t="str">
        <f t="shared" si="2"/>
        <v/>
      </c>
      <c r="K15" s="110" t="str">
        <f t="shared" si="4"/>
        <v/>
      </c>
      <c r="N15" s="109" t="e">
        <f t="shared" si="3"/>
        <v>#REF!</v>
      </c>
    </row>
    <row r="16" spans="1:14" x14ac:dyDescent="0.75">
      <c r="A16" s="111">
        <v>0</v>
      </c>
      <c r="B16" s="111" t="e">
        <f>'RelAftFlt-1'!#REF!</f>
        <v>#REF!</v>
      </c>
      <c r="C16" s="113" t="e">
        <f>'RelAftFlt-1'!#REF!</f>
        <v>#REF!</v>
      </c>
      <c r="D16" s="111"/>
      <c r="H16" s="109" t="b">
        <f t="shared" si="0"/>
        <v>0</v>
      </c>
      <c r="I16" s="110" t="str">
        <f t="shared" si="1"/>
        <v/>
      </c>
      <c r="J16" s="110" t="str">
        <f t="shared" si="2"/>
        <v/>
      </c>
      <c r="K16" s="110" t="str">
        <f t="shared" si="4"/>
        <v/>
      </c>
      <c r="N16" s="109" t="e">
        <f t="shared" si="3"/>
        <v>#REF!</v>
      </c>
    </row>
    <row r="17" spans="1:14" x14ac:dyDescent="0.75">
      <c r="A17" s="111">
        <v>0</v>
      </c>
      <c r="B17" s="111" t="e">
        <f>'RelAftFlt-1'!#REF!</f>
        <v>#REF!</v>
      </c>
      <c r="C17" s="113" t="e">
        <f>'RelAftFlt-1'!#REF!</f>
        <v>#REF!</v>
      </c>
      <c r="D17" s="111"/>
      <c r="H17" s="109" t="b">
        <f t="shared" si="0"/>
        <v>0</v>
      </c>
      <c r="I17" s="110" t="str">
        <f t="shared" si="1"/>
        <v/>
      </c>
      <c r="J17" s="110" t="str">
        <f t="shared" si="2"/>
        <v/>
      </c>
      <c r="K17" s="110" t="str">
        <f t="shared" si="4"/>
        <v/>
      </c>
      <c r="N17" s="109" t="e">
        <f t="shared" si="3"/>
        <v>#REF!</v>
      </c>
    </row>
    <row r="18" spans="1:14" x14ac:dyDescent="0.75">
      <c r="A18" s="111">
        <v>0</v>
      </c>
      <c r="B18" s="111" t="e">
        <f>'RelAftFlt-1'!#REF!</f>
        <v>#REF!</v>
      </c>
      <c r="C18" s="113" t="e">
        <f>'RelAftFlt-1'!#REF!</f>
        <v>#REF!</v>
      </c>
      <c r="D18" s="111"/>
      <c r="H18" s="109" t="b">
        <f t="shared" si="0"/>
        <v>0</v>
      </c>
      <c r="I18" s="110" t="str">
        <f t="shared" si="1"/>
        <v/>
      </c>
      <c r="J18" s="110" t="str">
        <f t="shared" si="2"/>
        <v/>
      </c>
      <c r="K18" s="110" t="str">
        <f t="shared" si="4"/>
        <v/>
      </c>
      <c r="N18" s="109" t="e">
        <f t="shared" si="3"/>
        <v>#REF!</v>
      </c>
    </row>
    <row r="19" spans="1:14" x14ac:dyDescent="0.75">
      <c r="A19" s="111">
        <v>0</v>
      </c>
      <c r="B19" s="111" t="e">
        <f>'RelAftFlt-1'!#REF!</f>
        <v>#REF!</v>
      </c>
      <c r="C19" s="113" t="e">
        <f>'RelAftFlt-1'!#REF!</f>
        <v>#REF!</v>
      </c>
      <c r="D19" s="111"/>
      <c r="H19" s="109" t="b">
        <f t="shared" si="0"/>
        <v>0</v>
      </c>
      <c r="I19" s="110" t="str">
        <f t="shared" si="1"/>
        <v/>
      </c>
      <c r="J19" s="110" t="str">
        <f t="shared" si="2"/>
        <v/>
      </c>
      <c r="K19" s="110" t="str">
        <f t="shared" si="4"/>
        <v/>
      </c>
      <c r="N19" s="109" t="e">
        <f t="shared" si="3"/>
        <v>#REF!</v>
      </c>
    </row>
    <row r="20" spans="1:14" x14ac:dyDescent="0.75">
      <c r="A20" s="111">
        <v>0</v>
      </c>
      <c r="B20" s="111">
        <f>'RelAftFlt-1'!A12</f>
        <v>6</v>
      </c>
      <c r="C20" s="113" t="str">
        <f>'RelAftFlt-1'!B12</f>
        <v>site</v>
      </c>
      <c r="D20" s="111"/>
      <c r="H20" s="109" t="b">
        <f t="shared" si="0"/>
        <v>0</v>
      </c>
      <c r="I20" s="110" t="str">
        <f t="shared" si="1"/>
        <v/>
      </c>
      <c r="J20" s="110" t="str">
        <f t="shared" si="2"/>
        <v/>
      </c>
      <c r="K20" s="110" t="str">
        <f t="shared" si="4"/>
        <v/>
      </c>
      <c r="N20" s="109" t="str">
        <f t="shared" si="3"/>
        <v>* site -&gt; ""</v>
      </c>
    </row>
    <row r="21" spans="1:14" x14ac:dyDescent="0.75">
      <c r="A21" s="111">
        <v>0</v>
      </c>
      <c r="B21" s="111">
        <f>'RelAftFlt-1'!A13</f>
        <v>0</v>
      </c>
      <c r="C21" s="113">
        <f>'RelAftFlt-1'!B13</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'RelAftFlt-1'!A14</f>
        <v>0</v>
      </c>
      <c r="C22" s="113">
        <f>'RelAftFlt-1'!B14</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'RelAftFlt-1'!A15</f>
        <v>0</v>
      </c>
      <c r="C23" s="113">
        <f>'RelAftFlt-1'!B15</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'RelAftFlt-1'!A16</f>
        <v>0</v>
      </c>
      <c r="C24" s="113">
        <f>'RelAftFlt-1'!B16</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'RelAftFlt-1'!A17</f>
        <v>0</v>
      </c>
      <c r="C25" s="113">
        <f>'RelAftFlt-1'!B17</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'RelAftFlt-1'!A18</f>
        <v>0</v>
      </c>
      <c r="C26" s="113">
        <f>'RelAftFlt-1'!B18</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'RelAftFlt-1'!A19</f>
        <v>0</v>
      </c>
      <c r="C27" s="113">
        <f>'RelAftFlt-1'!B19</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'RelAftFlt-1'!A20</f>
        <v>0</v>
      </c>
      <c r="C28" s="113">
        <f>'RelAftFlt-1'!B20</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'RelAftFlt-1'!A21</f>
        <v>0</v>
      </c>
      <c r="C29" s="113">
        <f>'RelAftFlt-1'!B21</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D8" sqref="D8"/>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D3" sqref="D3:D206"/>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"Condition.conformsTo('http://hl7.eu/fhir/ig/pcsp/StructureDefinition/Condition-secondaryCancer-eu-pcsp').bodySite"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 workbookViewId="1"/>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 workbookViewId="1"/>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 workbookViewId="1"/>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 workbookViewId="1"/>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 workbookViewId="1"/>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 workbookViewId="1"/>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 workbookViewId="1"/>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 workbookViewId="1"/>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1081</v>
      </c>
      <c r="E2" s="35"/>
      <c r="G2" s="25" t="s">
        <v>38</v>
      </c>
      <c r="M2" s="44"/>
      <c r="N2" s="25" t="str">
        <f>CONCATENATE("Mapping: ",E2)</f>
        <v xml:space="preserve">Mapping: </v>
      </c>
    </row>
    <row r="3" spans="1:14" x14ac:dyDescent="0.75">
      <c r="C3" s="104" t="str">
        <f>'Sct-1'!B3</f>
        <v>Publisher</v>
      </c>
      <c r="D3" s="40"/>
      <c r="E3" s="36"/>
      <c r="G3" s="25" t="s">
        <v>1081</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 workbookViewId="1"/>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 workbookViewId="1"/>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 workbookViewId="1"/>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 workbookViewId="1"/>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 topLeftCell="A3" workbookViewId="1"/>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1107</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D2" sqref="D2"/>
    </sheetView>
    <sheetView workbookViewId="1"/>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2" sqref="D2"/>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2" sqref="D2"/>
    </sheetView>
    <sheetView workbookViewId="1"/>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2" sqref="D2"/>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D2" sqref="D2"/>
    </sheetView>
    <sheetView workbookViewId="1"/>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D2" sqref="D2"/>
    </sheetView>
    <sheetView workbookViewId="1"/>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2" sqref="D2"/>
    </sheetView>
    <sheetView workbookViewId="1"/>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2022-06-09T08:55:22Z</dcterms:modified>
</cp:coreProperties>
</file>