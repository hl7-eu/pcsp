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93E015A4-19B1-4E73-AE57-E4FCBF3C04EC}" xr6:coauthVersionLast="47" xr6:coauthVersionMax="47" xr10:uidLastSave="{00000000-0000-0000-0000-000000000000}"/>
  <bookViews>
    <workbookView xWindow="-90" yWindow="-21710" windowWidth="38620" windowHeight="21100" activeTab="1" xr2:uid="{E88F86F9-81FE-428E-A2ED-3BA5F4F90726}"/>
  </bookViews>
  <sheets>
    <sheet name="VariablesList" sheetId="70" r:id="rId1"/>
    <sheet name="Common" sheetId="59" r:id="rId2"/>
    <sheet name="Sug-1" sheetId="8" r:id="rId3"/>
    <sheet name="Sug-2" sheetId="9" r:id="rId4"/>
    <sheet name="Sug-3" sheetId="10" r:id="rId5"/>
    <sheet name="Sug-Map-1" sheetId="105" r:id="rId6"/>
    <sheet name="Sug-Map-2" sheetId="106" r:id="rId7"/>
    <sheet name="Sug-Map-2-all" sheetId="109" r:id="rId8"/>
    <sheet name="RelAftFlt-1" sheetId="89" r:id="rId9"/>
    <sheet name="RelAftFlt-2" sheetId="90" r:id="rId10"/>
    <sheet name="RelAftFlt-3" sheetId="91" r:id="rId11"/>
    <sheet name="RelAftFlt-Map-1" sheetId="92" r:id="rId12"/>
    <sheet name="RelAftFlt-Map-2" sheetId="93" r:id="rId13"/>
    <sheet name="RelAftFlt-Map2-1" sheetId="102" r:id="rId14"/>
    <sheet name="RelAftFlt-Map2-2" sheetId="103" r:id="rId15"/>
    <sheet name="RelAftFlt-Map-all" sheetId="104" r:id="rId16"/>
    <sheet name="Meta-1" sheetId="94" r:id="rId17"/>
    <sheet name="Meta-2" sheetId="95" r:id="rId18"/>
    <sheet name="Meta-3" sheetId="96" r:id="rId19"/>
    <sheet name="Meta-Map-1" sheetId="97" r:id="rId20"/>
    <sheet name="Meta-Map-2" sheetId="98" r:id="rId21"/>
    <sheet name="Meta-Map2-1" sheetId="99" r:id="rId22"/>
    <sheet name="Meta-Map2-2" sheetId="100" r:id="rId23"/>
    <sheet name="Meta-Map-all" sheetId="101" r:id="rId24"/>
    <sheet name="Sct-1" sheetId="12" r:id="rId25"/>
    <sheet name="Sct-2" sheetId="13" r:id="rId26"/>
    <sheet name="Sct-3" sheetId="14" r:id="rId27"/>
    <sheet name="Sct-Map-1" sheetId="33" r:id="rId28"/>
    <sheet name="Sct-Map-2" sheetId="34" r:id="rId29"/>
    <sheet name="Sct-Map2-1" sheetId="71" r:id="rId30"/>
    <sheet name="Sct-Map2-2" sheetId="72" r:id="rId31"/>
    <sheet name="Sct-Map-all" sheetId="73" r:id="rId32"/>
    <sheet name="Flt-1" sheetId="74" r:id="rId33"/>
    <sheet name="Flt-2" sheetId="75" r:id="rId34"/>
    <sheet name="Flt-3" sheetId="76" r:id="rId35"/>
    <sheet name="Flt-Map-1" sheetId="77" r:id="rId36"/>
    <sheet name="Flt-Map-2" sheetId="78" r:id="rId37"/>
    <sheet name="Flt-Map2-1" sheetId="79" r:id="rId38"/>
    <sheet name="Flt-Map2-2" sheetId="80" r:id="rId39"/>
    <sheet name="Flt-Map-all" sheetId="81" r:id="rId40"/>
  </sheets>
  <definedNames>
    <definedName name="_xlnm._FilterDatabase" localSheetId="8" hidden="1">'RelAftFlt-1'!$A$5:$I$25</definedName>
    <definedName name="_xlnm._FilterDatabase" localSheetId="0" hidden="1">VariablesList!$C$1:$K$254</definedName>
    <definedName name="DocumentReference" localSheetId="19">'Meta-Map-1'!$D$12</definedName>
    <definedName name="ImmunizationRecommendation.recommendation.supportingPatientInformation" localSheetId="11">'RelAftFlt-Map-1'!#REF!</definedName>
    <definedName name="MedicationStatement.medication_x_" localSheetId="35">'Flt-Map-1'!$D$27</definedName>
    <definedName name="PatientRole" localSheetId="37">'Flt-Map2-1'!$D$8</definedName>
    <definedName name="PatientRole" localSheetId="21">'Meta-Map2-1'!$D$8</definedName>
    <definedName name="PatientRole" localSheetId="13">'RelAftFlt-Map2-1'!$D$8</definedName>
    <definedName name="PatientRole" localSheetId="29">'Sct-Map2-1'!$D$8</definedName>
    <definedName name="PatientRole.addr" localSheetId="37">'Flt-Map2-1'!$D$13</definedName>
    <definedName name="PatientRole.addr" localSheetId="21">'Meta-Map2-1'!$D$13</definedName>
    <definedName name="PatientRole.addr" localSheetId="13">'RelAftFlt-Map2-1'!$D$13</definedName>
    <definedName name="PatientRole.addr" localSheetId="29">'Sct-Map2-1'!$D$13</definedName>
    <definedName name="PatientRole.classCode" localSheetId="37">'Flt-Map2-1'!$D$9</definedName>
    <definedName name="PatientRole.classCode" localSheetId="21">'Meta-Map2-1'!$D$9</definedName>
    <definedName name="PatientRole.classCode" localSheetId="13">'RelAftFlt-Map2-1'!$D$9</definedName>
    <definedName name="PatientRole.classCode" localSheetId="29">'Sct-Map2-1'!$D$9</definedName>
    <definedName name="PatientRole.identifiedBy" localSheetId="37">'Flt-Map2-1'!$D$12</definedName>
    <definedName name="PatientRole.identifiedBy" localSheetId="21">'Meta-Map2-1'!$D$12</definedName>
    <definedName name="PatientRole.identifiedBy" localSheetId="13">'RelAftFlt-Map2-1'!$D$12</definedName>
    <definedName name="PatientRole.identifiedBy" localSheetId="29">'Sct-Map2-1'!$D$12</definedName>
    <definedName name="PatientRole.patient" localSheetId="37">'Flt-Map2-1'!$D$15</definedName>
    <definedName name="PatientRole.patient" localSheetId="21">'Meta-Map2-1'!$D$15</definedName>
    <definedName name="PatientRole.patient" localSheetId="13">'RelAftFlt-Map2-1'!$D$15</definedName>
    <definedName name="PatientRole.patient" localSheetId="29">'Sct-Map2-1'!$D$15</definedName>
    <definedName name="PatientRole.providerOrganization" localSheetId="37">'Flt-Map2-1'!$D$16</definedName>
    <definedName name="PatientRole.providerOrganization" localSheetId="21">'Meta-Map2-1'!$D$16</definedName>
    <definedName name="PatientRole.providerOrganization" localSheetId="13">'RelAftFlt-Map2-1'!$D$16</definedName>
    <definedName name="PatientRole.providerOrganization" localSheetId="29">'Sct-Map2-1'!$D$16</definedName>
    <definedName name="PatientRole.telecom" localSheetId="37">'Flt-Map2-1'!$D$14</definedName>
    <definedName name="PatientRole.telecom" localSheetId="21">'Meta-Map2-1'!$D$14</definedName>
    <definedName name="PatientRole.telecom" localSheetId="13">'RelAftFlt-Map2-1'!$D$14</definedName>
    <definedName name="PatientRole.telecom" localSheetId="29">'Sct-Map2-1'!$D$14</definedName>
    <definedName name="PatientRole.templateId" localSheetId="37">'Flt-Map2-1'!$D$11</definedName>
    <definedName name="PatientRole.templateId" localSheetId="21">'Meta-Map2-1'!$D$11</definedName>
    <definedName name="PatientRole.templateId" localSheetId="13">'RelAftFlt-Map2-1'!$D$11</definedName>
    <definedName name="PatientRole.templateId" localSheetId="29">'Sct-Map2-1'!$D$11</definedName>
    <definedName name="Product.code.medicinalProductCode" localSheetId="8">'RelAftFlt-1'!#REF!</definedName>
    <definedName name="Product.code.medicinalProductCode" localSheetId="2">'Sug-1'!#REF!</definedName>
    <definedName name="Product.code.MPID" localSheetId="8">'RelAftFlt-1'!#REF!</definedName>
    <definedName name="Product.code.MPID" localSheetId="2">'Sug-1'!#REF!</definedName>
    <definedName name="Product.code.packagedProductCode" localSheetId="8">'RelAftFlt-1'!#REF!</definedName>
    <definedName name="Product.code.packagedProductCode" localSheetId="2">'Sug-1'!#REF!</definedName>
    <definedName name="Product.code.PCID" localSheetId="8">'RelAftFlt-1'!#REF!</definedName>
    <definedName name="Product.code.PCID" localSheetId="2">'Sug-1'!#REF!</definedName>
    <definedName name="Product.code.pharmaceuticalProductCode" localSheetId="8">'RelAftFlt-1'!#REF!</definedName>
    <definedName name="Product.code.pharmaceuticalProductCode" localSheetId="2">'Sug-1'!#REF!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B8" i="97"/>
  <c r="B9" i="97"/>
  <c r="B10" i="97"/>
  <c r="B11" i="97"/>
  <c r="B12" i="97"/>
  <c r="B13" i="97"/>
  <c r="B14" i="97"/>
  <c r="B15" i="97"/>
  <c r="B16" i="97"/>
  <c r="B17" i="97"/>
  <c r="B18" i="97"/>
  <c r="B19" i="97"/>
  <c r="B20" i="97"/>
  <c r="B21" i="97"/>
  <c r="B22" i="97"/>
  <c r="B23" i="97"/>
  <c r="B24" i="97"/>
  <c r="B25" i="97"/>
  <c r="B26" i="97"/>
  <c r="B27" i="97"/>
  <c r="B28" i="97"/>
  <c r="B29" i="97"/>
  <c r="C8" i="97"/>
  <c r="C9" i="97"/>
  <c r="C10" i="97"/>
  <c r="C11" i="97"/>
  <c r="C12" i="97"/>
  <c r="C13" i="97"/>
  <c r="C14" i="97"/>
  <c r="C15" i="97"/>
  <c r="C16" i="97"/>
  <c r="C17" i="97"/>
  <c r="C18" i="97"/>
  <c r="C19" i="97"/>
  <c r="C20" i="97"/>
  <c r="C21" i="97"/>
  <c r="C22" i="97"/>
  <c r="C23" i="97"/>
  <c r="C24" i="97"/>
  <c r="C25" i="97"/>
  <c r="C26" i="97"/>
  <c r="C27" i="97"/>
  <c r="C28" i="97"/>
  <c r="C29" i="97"/>
  <c r="B3" i="95"/>
  <c r="C3" i="95"/>
  <c r="D3" i="95"/>
  <c r="E3" i="95"/>
  <c r="F3" i="95"/>
  <c r="G3" i="95"/>
  <c r="H3" i="95"/>
  <c r="B4" i="95"/>
  <c r="D49" i="96" s="1" a="1"/>
  <c r="D49" i="96" s="1"/>
  <c r="C4" i="95"/>
  <c r="D4" i="95"/>
  <c r="E4" i="95"/>
  <c r="F4" i="95"/>
  <c r="G4" i="95"/>
  <c r="H4" i="95"/>
  <c r="D55" i="96" s="1" a="1"/>
  <c r="D55" i="96" s="1"/>
  <c r="B5" i="95"/>
  <c r="C5" i="95"/>
  <c r="D57" i="96" s="1" a="1"/>
  <c r="D57" i="96" s="1"/>
  <c r="D5" i="95"/>
  <c r="E5" i="95"/>
  <c r="F5" i="95"/>
  <c r="G5" i="95"/>
  <c r="H5" i="95"/>
  <c r="B6" i="95"/>
  <c r="C6" i="95"/>
  <c r="D6" i="95"/>
  <c r="D65" i="96" s="1" a="1"/>
  <c r="D65" i="96" s="1"/>
  <c r="E6" i="95"/>
  <c r="F6" i="95"/>
  <c r="G6" i="95"/>
  <c r="H6" i="95"/>
  <c r="B7" i="95"/>
  <c r="C7" i="95"/>
  <c r="D7" i="95"/>
  <c r="E7" i="95"/>
  <c r="D73" i="96" s="1" a="1"/>
  <c r="D73" i="96" s="1"/>
  <c r="F7" i="95"/>
  <c r="G7" i="95"/>
  <c r="H7" i="95"/>
  <c r="B8" i="95"/>
  <c r="C8" i="95"/>
  <c r="D8" i="95"/>
  <c r="E8" i="95"/>
  <c r="F8" i="95"/>
  <c r="D81" i="96" s="1" a="1"/>
  <c r="D81" i="96" s="1"/>
  <c r="G8" i="95"/>
  <c r="H8" i="95"/>
  <c r="B9" i="95"/>
  <c r="C9" i="95"/>
  <c r="D9" i="95"/>
  <c r="E9" i="95"/>
  <c r="F9" i="95"/>
  <c r="G9" i="95"/>
  <c r="D89" i="96" s="1" a="1"/>
  <c r="D89" i="96" s="1"/>
  <c r="H9" i="95"/>
  <c r="B10" i="95"/>
  <c r="C10" i="95"/>
  <c r="D10" i="95"/>
  <c r="E10" i="95"/>
  <c r="F10" i="95"/>
  <c r="G10" i="95"/>
  <c r="H10" i="95"/>
  <c r="D97" i="96" s="1" a="1"/>
  <c r="D97" i="96" s="1"/>
  <c r="B11" i="95"/>
  <c r="C11" i="95"/>
  <c r="D11" i="95"/>
  <c r="E11" i="95"/>
  <c r="F11" i="95"/>
  <c r="G11" i="95"/>
  <c r="H11" i="95"/>
  <c r="B12" i="95"/>
  <c r="D105" i="96" s="1" a="1"/>
  <c r="D105" i="96" s="1"/>
  <c r="C12" i="95"/>
  <c r="D12" i="95"/>
  <c r="E12" i="95"/>
  <c r="F12" i="95"/>
  <c r="G12" i="95"/>
  <c r="H12" i="95"/>
  <c r="B13" i="95"/>
  <c r="C13" i="95"/>
  <c r="D113" i="96" s="1" a="1"/>
  <c r="D113" i="96" s="1"/>
  <c r="D13" i="95"/>
  <c r="E13" i="95"/>
  <c r="F13" i="95"/>
  <c r="G13" i="95"/>
  <c r="H13" i="95"/>
  <c r="B14" i="95"/>
  <c r="C14" i="95"/>
  <c r="D14" i="95"/>
  <c r="D121" i="96" s="1" a="1"/>
  <c r="D121" i="96" s="1"/>
  <c r="E14" i="95"/>
  <c r="F14" i="95"/>
  <c r="G14" i="95"/>
  <c r="H14" i="95"/>
  <c r="B15" i="95"/>
  <c r="C15" i="95"/>
  <c r="D15" i="95"/>
  <c r="E15" i="95"/>
  <c r="D129" i="96" s="1" a="1"/>
  <c r="D129" i="96" s="1"/>
  <c r="F15" i="95"/>
  <c r="G15" i="95"/>
  <c r="H15" i="95"/>
  <c r="B16" i="95"/>
  <c r="C16" i="95"/>
  <c r="D16" i="95"/>
  <c r="E16" i="95"/>
  <c r="F16" i="95"/>
  <c r="D137" i="96" s="1" a="1"/>
  <c r="D137" i="96" s="1"/>
  <c r="G16" i="95"/>
  <c r="H16" i="95"/>
  <c r="B17" i="95"/>
  <c r="C17" i="95"/>
  <c r="D17" i="95"/>
  <c r="E17" i="95"/>
  <c r="F17" i="95"/>
  <c r="G17" i="95"/>
  <c r="D145" i="96" s="1" a="1"/>
  <c r="D145" i="96" s="1"/>
  <c r="H17" i="95"/>
  <c r="B18" i="95"/>
  <c r="C18" i="95"/>
  <c r="D18" i="95"/>
  <c r="E18" i="95"/>
  <c r="F18" i="95"/>
  <c r="G18" i="95"/>
  <c r="D152" i="96" s="1" a="1"/>
  <c r="D152" i="96" s="1"/>
  <c r="H18" i="95"/>
  <c r="D153" i="96" s="1" a="1"/>
  <c r="D153" i="96" s="1"/>
  <c r="B19" i="95"/>
  <c r="C19" i="95"/>
  <c r="D19" i="95"/>
  <c r="E19" i="95"/>
  <c r="F19" i="95"/>
  <c r="G19" i="95"/>
  <c r="H19" i="95"/>
  <c r="B20" i="95"/>
  <c r="D161" i="96" s="1" a="1"/>
  <c r="D161" i="96" s="1"/>
  <c r="C20" i="95"/>
  <c r="D20" i="95"/>
  <c r="E20" i="95"/>
  <c r="F20" i="95"/>
  <c r="G20" i="95"/>
  <c r="H20" i="95"/>
  <c r="B21" i="95"/>
  <c r="C21" i="95"/>
  <c r="D169" i="96" s="1" a="1"/>
  <c r="D169" i="96" s="1"/>
  <c r="D21" i="95"/>
  <c r="E21" i="95"/>
  <c r="F21" i="95"/>
  <c r="G21" i="95"/>
  <c r="H21" i="95"/>
  <c r="B22" i="95"/>
  <c r="C22" i="95"/>
  <c r="D22" i="95"/>
  <c r="D177" i="96" s="1" a="1"/>
  <c r="D177" i="96" s="1"/>
  <c r="E22" i="95"/>
  <c r="F22" i="95"/>
  <c r="G22" i="95"/>
  <c r="H22" i="95"/>
  <c r="B23" i="95"/>
  <c r="C23" i="95"/>
  <c r="D23" i="95"/>
  <c r="E23" i="95"/>
  <c r="D185" i="96" s="1" a="1"/>
  <c r="D185" i="96" s="1"/>
  <c r="F23" i="95"/>
  <c r="G23" i="95"/>
  <c r="H23" i="95"/>
  <c r="E2" i="95"/>
  <c r="D38" i="96" s="1" a="1"/>
  <c r="D38" i="96" s="1"/>
  <c r="D2" i="95"/>
  <c r="D37" i="96" s="1" a="1"/>
  <c r="D37" i="96" s="1"/>
  <c r="C2" i="95"/>
  <c r="D36" i="96" s="1" a="1"/>
  <c r="D36" i="96" s="1"/>
  <c r="B2" i="95"/>
  <c r="D39" i="96" a="1"/>
  <c r="D39" i="96" s="1"/>
  <c r="D40" i="96" a="1"/>
  <c r="D40" i="96" s="1"/>
  <c r="D41" i="96" a="1"/>
  <c r="D41" i="96" s="1"/>
  <c r="D42" i="96" a="1"/>
  <c r="D42" i="96" s="1"/>
  <c r="D43" i="96" a="1"/>
  <c r="D43" i="96" s="1"/>
  <c r="D44" i="96" a="1"/>
  <c r="D44" i="96" s="1"/>
  <c r="D45" i="96" a="1"/>
  <c r="D45" i="96" s="1"/>
  <c r="D46" i="96" a="1"/>
  <c r="D46" i="96" s="1"/>
  <c r="D47" i="96" a="1"/>
  <c r="D47" i="96" s="1"/>
  <c r="D48" i="96" a="1"/>
  <c r="D48" i="96" s="1"/>
  <c r="D50" i="96" a="1"/>
  <c r="D50" i="96" s="1"/>
  <c r="D51" i="96" a="1"/>
  <c r="D51" i="96" s="1"/>
  <c r="D52" i="96" a="1"/>
  <c r="D52" i="96" s="1"/>
  <c r="D53" i="96" a="1"/>
  <c r="D53" i="96" s="1"/>
  <c r="D54" i="96" a="1"/>
  <c r="D54" i="96" s="1"/>
  <c r="D56" i="96" a="1"/>
  <c r="D56" i="96" s="1"/>
  <c r="D58" i="96" a="1"/>
  <c r="D58" i="96" s="1"/>
  <c r="D59" i="96" a="1"/>
  <c r="D59" i="96" s="1"/>
  <c r="D60" i="96" a="1"/>
  <c r="D60" i="96" s="1"/>
  <c r="D61" i="96" a="1"/>
  <c r="D61" i="96" s="1"/>
  <c r="D62" i="96" a="1"/>
  <c r="D62" i="96" s="1"/>
  <c r="D63" i="96" a="1"/>
  <c r="D63" i="96" s="1"/>
  <c r="D64" i="96" a="1"/>
  <c r="D64" i="96" s="1"/>
  <c r="D66" i="96" a="1"/>
  <c r="D66" i="96" s="1"/>
  <c r="D67" i="96" a="1"/>
  <c r="D67" i="96" s="1"/>
  <c r="D68" i="96" a="1"/>
  <c r="D68" i="96" s="1"/>
  <c r="D69" i="96" a="1"/>
  <c r="D69" i="96" s="1"/>
  <c r="D70" i="96" a="1"/>
  <c r="D70" i="96" s="1"/>
  <c r="D71" i="96" a="1"/>
  <c r="D71" i="96" s="1"/>
  <c r="D72" i="96" a="1"/>
  <c r="D72" i="96" s="1"/>
  <c r="D74" i="96" a="1"/>
  <c r="D74" i="96" s="1"/>
  <c r="D75" i="96" a="1"/>
  <c r="D75" i="96" s="1"/>
  <c r="D76" i="96" a="1"/>
  <c r="D76" i="96" s="1"/>
  <c r="D77" i="96" a="1"/>
  <c r="D77" i="96" s="1"/>
  <c r="D78" i="96" a="1"/>
  <c r="D78" i="96" s="1"/>
  <c r="D79" i="96" a="1"/>
  <c r="D79" i="96" s="1"/>
  <c r="D80" i="96" a="1"/>
  <c r="D80" i="96" s="1"/>
  <c r="D82" i="96" a="1"/>
  <c r="D82" i="96" s="1"/>
  <c r="D83" i="96" a="1"/>
  <c r="D83" i="96" s="1"/>
  <c r="D84" i="96" a="1"/>
  <c r="D84" i="96" s="1"/>
  <c r="D85" i="96" a="1"/>
  <c r="D85" i="96" s="1"/>
  <c r="D86" i="96" a="1"/>
  <c r="D86" i="96" s="1"/>
  <c r="D87" i="96" a="1"/>
  <c r="D87" i="96" s="1"/>
  <c r="D88" i="96" a="1"/>
  <c r="D88" i="96" s="1"/>
  <c r="D90" i="96" a="1"/>
  <c r="D90" i="96" s="1"/>
  <c r="D91" i="96" a="1"/>
  <c r="D91" i="96" s="1"/>
  <c r="D92" i="96" a="1"/>
  <c r="D92" i="96" s="1"/>
  <c r="D93" i="96" a="1"/>
  <c r="D93" i="96" s="1"/>
  <c r="D94" i="96" a="1"/>
  <c r="D94" i="96" s="1"/>
  <c r="D95" i="96" a="1"/>
  <c r="D95" i="96" s="1"/>
  <c r="D96" i="96" a="1"/>
  <c r="D96" i="96" s="1"/>
  <c r="D98" i="96" a="1"/>
  <c r="D98" i="96" s="1"/>
  <c r="D99" i="96" a="1"/>
  <c r="D99" i="96" s="1"/>
  <c r="D100" i="96" a="1"/>
  <c r="D100" i="96" s="1"/>
  <c r="D101" i="96" a="1"/>
  <c r="D101" i="96" s="1"/>
  <c r="D102" i="96" a="1"/>
  <c r="D102" i="96" s="1"/>
  <c r="D103" i="96" a="1"/>
  <c r="D103" i="96" s="1"/>
  <c r="D104" i="96" a="1"/>
  <c r="D104" i="96" s="1"/>
  <c r="D106" i="96" a="1"/>
  <c r="D106" i="96" s="1"/>
  <c r="D107" i="96" a="1"/>
  <c r="D107" i="96" s="1"/>
  <c r="D108" i="96" a="1"/>
  <c r="D108" i="96" s="1"/>
  <c r="D109" i="96" a="1"/>
  <c r="D109" i="96" s="1"/>
  <c r="D110" i="96" a="1"/>
  <c r="D110" i="96" s="1"/>
  <c r="D111" i="96" a="1"/>
  <c r="D111" i="96" s="1"/>
  <c r="D112" i="96" a="1"/>
  <c r="D112" i="96" s="1"/>
  <c r="D114" i="96" a="1"/>
  <c r="D114" i="96" s="1"/>
  <c r="D115" i="96" a="1"/>
  <c r="D115" i="96" s="1"/>
  <c r="D116" i="96" a="1"/>
  <c r="D116" i="96" s="1"/>
  <c r="D117" i="96" a="1"/>
  <c r="D117" i="96" s="1"/>
  <c r="D118" i="96" a="1"/>
  <c r="D118" i="96" s="1"/>
  <c r="D119" i="96" a="1"/>
  <c r="D119" i="96" s="1"/>
  <c r="D120" i="96" a="1"/>
  <c r="D120" i="96" s="1"/>
  <c r="D122" i="96" a="1"/>
  <c r="D122" i="96" s="1"/>
  <c r="D123" i="96" a="1"/>
  <c r="D123" i="96" s="1"/>
  <c r="D124" i="96" a="1"/>
  <c r="D124" i="96" s="1"/>
  <c r="D125" i="96" a="1"/>
  <c r="D125" i="96" s="1"/>
  <c r="D126" i="96" a="1"/>
  <c r="D126" i="96" s="1"/>
  <c r="D127" i="96" a="1"/>
  <c r="D127" i="96" s="1"/>
  <c r="D128" i="96" a="1"/>
  <c r="D128" i="96" s="1"/>
  <c r="D130" i="96" a="1"/>
  <c r="D130" i="96" s="1"/>
  <c r="D131" i="96" a="1"/>
  <c r="D131" i="96" s="1"/>
  <c r="D132" i="96" a="1"/>
  <c r="D132" i="96" s="1"/>
  <c r="D133" i="96" a="1"/>
  <c r="D133" i="96" s="1"/>
  <c r="D134" i="96" a="1"/>
  <c r="D134" i="96" s="1"/>
  <c r="D135" i="96" a="1"/>
  <c r="D135" i="96" s="1"/>
  <c r="D136" i="96" a="1"/>
  <c r="D136" i="96" s="1"/>
  <c r="D138" i="96" a="1"/>
  <c r="D138" i="96" s="1"/>
  <c r="D139" i="96" a="1"/>
  <c r="D139" i="96" s="1"/>
  <c r="D140" i="96" a="1"/>
  <c r="D140" i="96" s="1"/>
  <c r="D141" i="96" a="1"/>
  <c r="D141" i="96" s="1"/>
  <c r="D142" i="96" a="1"/>
  <c r="D142" i="96" s="1"/>
  <c r="D143" i="96" a="1"/>
  <c r="D143" i="96" s="1"/>
  <c r="D144" i="96" a="1"/>
  <c r="D144" i="96" s="1"/>
  <c r="D146" i="96" a="1"/>
  <c r="D146" i="96" s="1"/>
  <c r="D147" i="96" a="1"/>
  <c r="D147" i="96" s="1"/>
  <c r="D148" i="96" a="1"/>
  <c r="D148" i="96" s="1"/>
  <c r="D149" i="96" a="1"/>
  <c r="D149" i="96" s="1"/>
  <c r="D150" i="96" a="1"/>
  <c r="D150" i="96" s="1"/>
  <c r="D151" i="96" a="1"/>
  <c r="D151" i="96" s="1"/>
  <c r="D154" i="96" a="1"/>
  <c r="D154" i="96" s="1"/>
  <c r="D155" i="96" a="1"/>
  <c r="D155" i="96" s="1"/>
  <c r="D156" i="96" a="1"/>
  <c r="D156" i="96" s="1"/>
  <c r="D157" i="96" a="1"/>
  <c r="D157" i="96" s="1"/>
  <c r="D158" i="96" a="1"/>
  <c r="D158" i="96" s="1"/>
  <c r="D159" i="96" a="1"/>
  <c r="D159" i="96" s="1"/>
  <c r="D160" i="96" a="1"/>
  <c r="D160" i="96" s="1"/>
  <c r="D162" i="96" a="1"/>
  <c r="D162" i="96" s="1"/>
  <c r="D163" i="96" a="1"/>
  <c r="D163" i="96" s="1"/>
  <c r="D164" i="96" a="1"/>
  <c r="D164" i="96" s="1"/>
  <c r="D165" i="96" a="1"/>
  <c r="D165" i="96" s="1"/>
  <c r="D166" i="96" a="1"/>
  <c r="D166" i="96" s="1"/>
  <c r="D167" i="96" a="1"/>
  <c r="D167" i="96" s="1"/>
  <c r="D168" i="96" a="1"/>
  <c r="D168" i="96" s="1"/>
  <c r="D170" i="96" a="1"/>
  <c r="D170" i="96" s="1"/>
  <c r="D171" i="96" a="1"/>
  <c r="D171" i="96" s="1"/>
  <c r="D172" i="96" a="1"/>
  <c r="D172" i="96" s="1"/>
  <c r="D173" i="96" a="1"/>
  <c r="D173" i="96" s="1"/>
  <c r="D174" i="96" a="1"/>
  <c r="D174" i="96" s="1"/>
  <c r="D175" i="96" a="1"/>
  <c r="D175" i="96" s="1"/>
  <c r="D176" i="96" a="1"/>
  <c r="D176" i="96" s="1"/>
  <c r="D178" i="96" a="1"/>
  <c r="D178" i="96" s="1"/>
  <c r="D179" i="96" a="1"/>
  <c r="D179" i="96" s="1"/>
  <c r="D180" i="96" a="1"/>
  <c r="D180" i="96" s="1"/>
  <c r="D181" i="96" a="1"/>
  <c r="D181" i="96" s="1"/>
  <c r="D182" i="96" a="1"/>
  <c r="D182" i="96" s="1"/>
  <c r="D183" i="96" a="1"/>
  <c r="D183" i="96" s="1"/>
  <c r="D184" i="96" a="1"/>
  <c r="D184" i="96" s="1"/>
  <c r="D186" i="96" a="1"/>
  <c r="D186" i="96" s="1"/>
  <c r="D187" i="96" a="1"/>
  <c r="D187" i="96" s="1"/>
  <c r="D188" i="96" a="1"/>
  <c r="D188" i="96" s="1"/>
  <c r="F2" i="95"/>
  <c r="G2" i="95"/>
  <c r="H2" i="95"/>
  <c r="D35" i="96" a="1"/>
  <c r="D35" i="96" s="1"/>
  <c r="I21" i="94"/>
  <c r="I13" i="94"/>
  <c r="I12" i="94"/>
  <c r="I7" i="94"/>
  <c r="I8" i="94"/>
  <c r="I9" i="94"/>
  <c r="I10" i="94"/>
  <c r="I11" i="94"/>
  <c r="I14" i="94"/>
  <c r="I15" i="94"/>
  <c r="I16" i="94"/>
  <c r="I17" i="94"/>
  <c r="I18" i="94"/>
  <c r="I19" i="94"/>
  <c r="I20" i="94"/>
  <c r="I22" i="94"/>
  <c r="I23" i="94"/>
  <c r="I24" i="94"/>
  <c r="I25" i="94"/>
  <c r="I26" i="94"/>
  <c r="I27" i="94"/>
  <c r="I28" i="94"/>
  <c r="I29" i="94"/>
  <c r="I30" i="94"/>
  <c r="I31" i="94"/>
  <c r="I6" i="94"/>
  <c r="D4" i="104" l="1"/>
  <c r="D5" i="104"/>
  <c r="D6" i="104"/>
  <c r="D7" i="104"/>
  <c r="D8" i="104"/>
  <c r="D9" i="104"/>
  <c r="D10" i="104"/>
  <c r="D11" i="104"/>
  <c r="D12" i="104"/>
  <c r="D13" i="104"/>
  <c r="D14" i="104"/>
  <c r="D15" i="104"/>
  <c r="D16" i="104"/>
  <c r="D17" i="104"/>
  <c r="D18" i="104"/>
  <c r="D19" i="104"/>
  <c r="D20" i="104"/>
  <c r="D21" i="104"/>
  <c r="D22" i="104"/>
  <c r="D23" i="104"/>
  <c r="D24" i="104"/>
  <c r="D25" i="104"/>
  <c r="D26" i="104"/>
  <c r="D27" i="104"/>
  <c r="D28" i="104"/>
  <c r="D29" i="104"/>
  <c r="D30" i="104"/>
  <c r="D31" i="104"/>
  <c r="D32" i="104"/>
  <c r="D33" i="104"/>
  <c r="D34" i="104"/>
  <c r="D35" i="104"/>
  <c r="D36" i="104"/>
  <c r="D37" i="104"/>
  <c r="D38" i="104"/>
  <c r="D39" i="104"/>
  <c r="D40" i="104"/>
  <c r="D41" i="104"/>
  <c r="D42" i="104"/>
  <c r="D43" i="104"/>
  <c r="D44" i="104"/>
  <c r="D45" i="104"/>
  <c r="D46" i="104"/>
  <c r="D47" i="104"/>
  <c r="D48" i="104"/>
  <c r="D49" i="104"/>
  <c r="D50" i="104"/>
  <c r="D51" i="104"/>
  <c r="D52" i="104"/>
  <c r="D53" i="104"/>
  <c r="D54" i="104"/>
  <c r="D55" i="104"/>
  <c r="D56" i="104"/>
  <c r="D57" i="104"/>
  <c r="D58" i="104"/>
  <c r="D59" i="104"/>
  <c r="D60" i="104"/>
  <c r="D61" i="104"/>
  <c r="D62" i="104"/>
  <c r="D63" i="104"/>
  <c r="D64" i="104"/>
  <c r="D65" i="104"/>
  <c r="D66" i="104"/>
  <c r="D67" i="104"/>
  <c r="D68" i="104"/>
  <c r="D69" i="104"/>
  <c r="D70" i="104"/>
  <c r="D71" i="104"/>
  <c r="D72" i="104"/>
  <c r="D73" i="104"/>
  <c r="D74" i="104"/>
  <c r="D75" i="104"/>
  <c r="D76" i="104"/>
  <c r="D77" i="104"/>
  <c r="D78" i="104"/>
  <c r="D79" i="104"/>
  <c r="D80" i="104"/>
  <c r="D81" i="104"/>
  <c r="D82" i="104"/>
  <c r="D83" i="104"/>
  <c r="D84" i="104"/>
  <c r="D85" i="104"/>
  <c r="D86" i="104"/>
  <c r="D87" i="104"/>
  <c r="D88" i="104"/>
  <c r="D89" i="104"/>
  <c r="D90" i="104"/>
  <c r="D91" i="104"/>
  <c r="D92" i="104"/>
  <c r="D93" i="104"/>
  <c r="D94" i="104"/>
  <c r="D95" i="104"/>
  <c r="D96" i="104"/>
  <c r="D97" i="104"/>
  <c r="D98" i="104"/>
  <c r="D99" i="104"/>
  <c r="D100" i="104"/>
  <c r="D101" i="104"/>
  <c r="D102" i="104"/>
  <c r="D103" i="104"/>
  <c r="D104" i="104"/>
  <c r="D105" i="104"/>
  <c r="D106" i="104"/>
  <c r="D107" i="104"/>
  <c r="D108" i="104"/>
  <c r="D109" i="104"/>
  <c r="D110" i="104"/>
  <c r="D111" i="104"/>
  <c r="D112" i="104"/>
  <c r="D113" i="104"/>
  <c r="D114" i="104"/>
  <c r="D115" i="104"/>
  <c r="D116" i="104"/>
  <c r="D117" i="104"/>
  <c r="D118" i="104"/>
  <c r="D119" i="104"/>
  <c r="D120" i="104"/>
  <c r="D121" i="104"/>
  <c r="D122" i="104"/>
  <c r="D123" i="104"/>
  <c r="D124" i="104"/>
  <c r="D125" i="104"/>
  <c r="D126" i="104"/>
  <c r="D127" i="104"/>
  <c r="D128" i="104"/>
  <c r="D129" i="104"/>
  <c r="D130" i="104"/>
  <c r="D131" i="104"/>
  <c r="D132" i="104"/>
  <c r="D133" i="104"/>
  <c r="D134" i="104"/>
  <c r="D135" i="104"/>
  <c r="D136" i="104"/>
  <c r="D137" i="104"/>
  <c r="D138" i="104"/>
  <c r="D139" i="104"/>
  <c r="D140" i="104"/>
  <c r="D141" i="104"/>
  <c r="D142" i="104"/>
  <c r="D143" i="104"/>
  <c r="D144" i="104"/>
  <c r="D145" i="104"/>
  <c r="D146" i="104"/>
  <c r="D147" i="104"/>
  <c r="D148" i="104"/>
  <c r="D149" i="104"/>
  <c r="D150" i="104"/>
  <c r="D151" i="104"/>
  <c r="D152" i="104"/>
  <c r="D153" i="104"/>
  <c r="D154" i="104"/>
  <c r="D155" i="104"/>
  <c r="D156" i="104"/>
  <c r="D157" i="104"/>
  <c r="D158" i="104"/>
  <c r="D159" i="104"/>
  <c r="D160" i="104"/>
  <c r="D161" i="104"/>
  <c r="D162" i="104"/>
  <c r="D163" i="104"/>
  <c r="D164" i="104"/>
  <c r="D165" i="104"/>
  <c r="D166" i="104"/>
  <c r="D167" i="104"/>
  <c r="D168" i="104"/>
  <c r="D169" i="104"/>
  <c r="D170" i="104"/>
  <c r="D171" i="104"/>
  <c r="D172" i="104"/>
  <c r="D173" i="104"/>
  <c r="D174" i="104"/>
  <c r="D175" i="104"/>
  <c r="D176" i="104"/>
  <c r="D177" i="104"/>
  <c r="D178" i="104"/>
  <c r="D179" i="104"/>
  <c r="D180" i="104"/>
  <c r="D181" i="104"/>
  <c r="D182" i="104"/>
  <c r="D183" i="104"/>
  <c r="D184" i="104"/>
  <c r="D185" i="104"/>
  <c r="D186" i="104"/>
  <c r="D187" i="104"/>
  <c r="D188" i="104"/>
  <c r="D189" i="104"/>
  <c r="D190" i="104"/>
  <c r="D191" i="104"/>
  <c r="D192" i="104"/>
  <c r="D193" i="104"/>
  <c r="D194" i="104"/>
  <c r="D195" i="104"/>
  <c r="D196" i="104"/>
  <c r="D197" i="104"/>
  <c r="D198" i="104"/>
  <c r="D199" i="104"/>
  <c r="D200" i="104"/>
  <c r="D201" i="104"/>
  <c r="D202" i="104"/>
  <c r="D203" i="104"/>
  <c r="D204" i="104"/>
  <c r="D205" i="104"/>
  <c r="D206" i="104"/>
  <c r="B8"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B42" i="102"/>
  <c r="B43" i="102"/>
  <c r="B44" i="102"/>
  <c r="B45" i="102"/>
  <c r="B46" i="102"/>
  <c r="C8" i="102"/>
  <c r="C9" i="102"/>
  <c r="C10" i="102"/>
  <c r="C11" i="102"/>
  <c r="C12" i="102"/>
  <c r="C13" i="102"/>
  <c r="C14" i="102"/>
  <c r="C15" i="102"/>
  <c r="C16" i="102"/>
  <c r="C17" i="102"/>
  <c r="C18" i="102"/>
  <c r="C19" i="102"/>
  <c r="C20" i="102"/>
  <c r="C21" i="102"/>
  <c r="C22" i="102"/>
  <c r="C23" i="102"/>
  <c r="C24" i="102"/>
  <c r="C25" i="102"/>
  <c r="C26" i="102"/>
  <c r="C27" i="102"/>
  <c r="C28" i="102"/>
  <c r="C29" i="102"/>
  <c r="C30" i="102"/>
  <c r="C31" i="102"/>
  <c r="C32" i="102"/>
  <c r="C33" i="102"/>
  <c r="C34" i="102"/>
  <c r="C35" i="102"/>
  <c r="C36" i="102"/>
  <c r="C37" i="102"/>
  <c r="C38" i="102"/>
  <c r="C39" i="102"/>
  <c r="C40" i="102"/>
  <c r="C41" i="102"/>
  <c r="C42" i="102"/>
  <c r="C43" i="102"/>
  <c r="C44" i="102"/>
  <c r="C45" i="102"/>
  <c r="C46" i="102"/>
  <c r="C47" i="102"/>
  <c r="D4" i="93" a="1"/>
  <c r="D4" i="93" s="1"/>
  <c r="D5" i="93" a="1"/>
  <c r="D5" i="93" s="1"/>
  <c r="D6" i="93" a="1"/>
  <c r="D6" i="93" s="1"/>
  <c r="D7" i="93" a="1"/>
  <c r="D7" i="93" s="1"/>
  <c r="D8" i="93" a="1"/>
  <c r="D8" i="93" s="1"/>
  <c r="D9" i="93" a="1"/>
  <c r="D9" i="93" s="1"/>
  <c r="D10" i="93" a="1"/>
  <c r="D10" i="93"/>
  <c r="D11" i="93" a="1"/>
  <c r="D11" i="93" s="1"/>
  <c r="D12" i="93" a="1"/>
  <c r="D12" i="93" s="1"/>
  <c r="D13" i="93" a="1"/>
  <c r="D13" i="93" s="1"/>
  <c r="D14" i="93" a="1"/>
  <c r="D14" i="93" s="1"/>
  <c r="D15" i="93" a="1"/>
  <c r="D15" i="93" s="1"/>
  <c r="D16" i="93" a="1"/>
  <c r="D16" i="93" s="1"/>
  <c r="D17" i="93" a="1"/>
  <c r="D17" i="93" s="1"/>
  <c r="D18" i="93" a="1"/>
  <c r="D18" i="93" s="1"/>
  <c r="D19" i="93" a="1"/>
  <c r="D19" i="93" s="1"/>
  <c r="D20" i="93" a="1"/>
  <c r="D20" i="93" s="1"/>
  <c r="D21" i="93" a="1"/>
  <c r="D21" i="93" s="1"/>
  <c r="D23" i="93" a="1"/>
  <c r="D23" i="93" s="1"/>
  <c r="D26" i="93" a="1"/>
  <c r="D26" i="93" s="1"/>
  <c r="D27" i="93" a="1"/>
  <c r="D27" i="93" s="1"/>
  <c r="D28" i="93" a="1"/>
  <c r="D28" i="93" s="1"/>
  <c r="D29" i="93" a="1"/>
  <c r="D29" i="93" s="1"/>
  <c r="D30" i="93" a="1"/>
  <c r="D30" i="93" s="1"/>
  <c r="D31" i="93" a="1"/>
  <c r="D31" i="93" s="1"/>
  <c r="D32" i="93" a="1"/>
  <c r="D32" i="93" s="1"/>
  <c r="D33" i="93" a="1"/>
  <c r="D33" i="93" s="1"/>
  <c r="D34" i="93" a="1"/>
  <c r="D34" i="93" s="1"/>
  <c r="D35" i="93" a="1"/>
  <c r="D35" i="93" s="1"/>
  <c r="D36" i="93" a="1"/>
  <c r="D36" i="93" s="1"/>
  <c r="D37" i="93" a="1"/>
  <c r="D37" i="93" s="1"/>
  <c r="D38" i="93" a="1"/>
  <c r="D38" i="93" s="1"/>
  <c r="G13" i="92"/>
  <c r="H13" i="92" s="1"/>
  <c r="J13" i="92"/>
  <c r="G14" i="92"/>
  <c r="I14" i="92" s="1"/>
  <c r="D25" i="93" s="1" a="1"/>
  <c r="D25" i="93" s="1"/>
  <c r="H14" i="92"/>
  <c r="D24" i="93" s="1" a="1"/>
  <c r="D24" i="93" s="1"/>
  <c r="J14" i="92"/>
  <c r="G15" i="92"/>
  <c r="H15" i="92" s="1"/>
  <c r="J15" i="92"/>
  <c r="G16" i="92"/>
  <c r="H16" i="92"/>
  <c r="I16" i="92"/>
  <c r="J16" i="92"/>
  <c r="B13" i="92"/>
  <c r="C13" i="92"/>
  <c r="C14" i="92"/>
  <c r="B9" i="92"/>
  <c r="C9" i="92"/>
  <c r="B10" i="92"/>
  <c r="C10" i="92"/>
  <c r="B11" i="92"/>
  <c r="C11" i="92"/>
  <c r="G11" i="92" s="1"/>
  <c r="B12" i="92"/>
  <c r="C12" i="92"/>
  <c r="C3" i="90"/>
  <c r="C4" i="90"/>
  <c r="C5" i="90"/>
  <c r="C6" i="90"/>
  <c r="C7" i="90"/>
  <c r="D81" i="91" s="1" a="1"/>
  <c r="D81" i="91" s="1"/>
  <c r="B3" i="90"/>
  <c r="D44" i="91" s="1" a="1"/>
  <c r="D44" i="91" s="1"/>
  <c r="B4" i="90"/>
  <c r="D53" i="91" s="1" a="1"/>
  <c r="D53" i="91" s="1"/>
  <c r="B5" i="90"/>
  <c r="B6" i="90"/>
  <c r="B7" i="90"/>
  <c r="D45" i="91" a="1"/>
  <c r="D45" i="91" s="1"/>
  <c r="D46" i="91" a="1"/>
  <c r="D46" i="91" s="1"/>
  <c r="D47" i="91" a="1"/>
  <c r="D47" i="91" s="1"/>
  <c r="D48" i="91" a="1"/>
  <c r="D48" i="91" s="1"/>
  <c r="D49" i="91" a="1"/>
  <c r="D49" i="91" s="1"/>
  <c r="D50" i="91" a="1"/>
  <c r="D50" i="91" s="1"/>
  <c r="D51" i="91" a="1"/>
  <c r="D51" i="91" s="1"/>
  <c r="D52" i="91" a="1"/>
  <c r="D52" i="91" s="1"/>
  <c r="D37" i="91" a="1"/>
  <c r="D37" i="91" s="1"/>
  <c r="D38" i="91" a="1"/>
  <c r="D38" i="91" s="1"/>
  <c r="D39" i="91" a="1"/>
  <c r="D39" i="91" s="1"/>
  <c r="D40" i="91" a="1"/>
  <c r="D40" i="91" s="1"/>
  <c r="D41" i="91" a="1"/>
  <c r="D41" i="91" s="1"/>
  <c r="D42" i="91" a="1"/>
  <c r="D42" i="91" s="1"/>
  <c r="D43" i="91" a="1"/>
  <c r="D43" i="91" s="1"/>
  <c r="D54" i="91" a="1"/>
  <c r="D54" i="91" s="1"/>
  <c r="D55" i="91" a="1"/>
  <c r="D55" i="91" s="1"/>
  <c r="D56" i="91" a="1"/>
  <c r="D56" i="91" s="1"/>
  <c r="D57" i="91" a="1"/>
  <c r="D57" i="91" s="1"/>
  <c r="D58" i="91" a="1"/>
  <c r="D58" i="91" s="1"/>
  <c r="D60" i="91" a="1"/>
  <c r="D60" i="91" s="1"/>
  <c r="D61" i="91" a="1"/>
  <c r="D61" i="91" s="1"/>
  <c r="D62" i="91" a="1"/>
  <c r="D62" i="91" s="1"/>
  <c r="D63" i="91" a="1"/>
  <c r="D63"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2" i="91" a="1"/>
  <c r="D82" i="91" s="1"/>
  <c r="D83" i="91" a="1"/>
  <c r="D83" i="91" s="1"/>
  <c r="D84" i="91" a="1"/>
  <c r="D84" i="91" s="1"/>
  <c r="D85" i="91" a="1"/>
  <c r="D85" i="91" s="1"/>
  <c r="D86" i="91" a="1"/>
  <c r="D86" i="91" s="1"/>
  <c r="D87" i="91" a="1"/>
  <c r="D87" i="91" s="1"/>
  <c r="D88" i="91" a="1"/>
  <c r="D88" i="91" s="1"/>
  <c r="D89" i="91" a="1"/>
  <c r="D89" i="91" s="1"/>
  <c r="D90" i="91" a="1"/>
  <c r="D90" i="91" s="1"/>
  <c r="D3" i="90"/>
  <c r="E3" i="90"/>
  <c r="F3" i="90"/>
  <c r="G3" i="90"/>
  <c r="H3" i="90"/>
  <c r="I3" i="90"/>
  <c r="J3" i="90"/>
  <c r="D4" i="90"/>
  <c r="E4" i="90"/>
  <c r="F4" i="90"/>
  <c r="G4" i="90"/>
  <c r="H4" i="90"/>
  <c r="D59" i="91" s="1" a="1"/>
  <c r="D59" i="91" s="1"/>
  <c r="I4" i="90"/>
  <c r="J4" i="90"/>
  <c r="D5" i="90"/>
  <c r="D64" i="91" s="1" a="1"/>
  <c r="D64" i="91" s="1"/>
  <c r="E5" i="90"/>
  <c r="F5" i="90"/>
  <c r="G5" i="90"/>
  <c r="H5" i="90"/>
  <c r="I5" i="90"/>
  <c r="J5" i="90"/>
  <c r="D6" i="90"/>
  <c r="E6" i="90"/>
  <c r="F6" i="90"/>
  <c r="G6" i="90"/>
  <c r="H6" i="90"/>
  <c r="I6" i="90"/>
  <c r="J6" i="90"/>
  <c r="D7" i="90"/>
  <c r="E7" i="90"/>
  <c r="F7" i="90"/>
  <c r="G7" i="90"/>
  <c r="H7" i="90"/>
  <c r="B8" i="105"/>
  <c r="C8" i="105"/>
  <c r="B9" i="105"/>
  <c r="C9" i="105"/>
  <c r="B10" i="105"/>
  <c r="C10" i="105"/>
  <c r="B11" i="105"/>
  <c r="C11" i="105"/>
  <c r="B12" i="105"/>
  <c r="C12" i="105"/>
  <c r="B13" i="105"/>
  <c r="C13" i="105"/>
  <c r="B14" i="105"/>
  <c r="C14" i="105"/>
  <c r="B15" i="105"/>
  <c r="C15" i="105"/>
  <c r="B16" i="105"/>
  <c r="C16" i="105"/>
  <c r="B17" i="105"/>
  <c r="C17" i="105"/>
  <c r="B18" i="105"/>
  <c r="B19" i="105"/>
  <c r="B20" i="105"/>
  <c r="B21" i="105"/>
  <c r="B22" i="105"/>
  <c r="B23" i="105"/>
  <c r="B24" i="105"/>
  <c r="B25" i="105"/>
  <c r="B26" i="105"/>
  <c r="B27" i="105"/>
  <c r="B28" i="105"/>
  <c r="B29" i="105"/>
  <c r="B30" i="105"/>
  <c r="B31" i="105"/>
  <c r="B32" i="105"/>
  <c r="B33" i="105"/>
  <c r="B34" i="105"/>
  <c r="B7" i="105"/>
  <c r="C7" i="105"/>
  <c r="D170" i="93" a="1"/>
  <c r="D170" i="93" s="1"/>
  <c r="D173" i="93" a="1"/>
  <c r="D173" i="93" s="1"/>
  <c r="D176" i="93" a="1"/>
  <c r="D176" i="93" s="1"/>
  <c r="D179" i="93" a="1"/>
  <c r="D179" i="93" s="1"/>
  <c r="D182" i="93" a="1"/>
  <c r="D182" i="93" s="1"/>
  <c r="D185" i="93" a="1"/>
  <c r="D185" i="93" s="1"/>
  <c r="D188" i="93" a="1"/>
  <c r="D188" i="93" s="1"/>
  <c r="D191" i="93" a="1"/>
  <c r="D191" i="93" s="1"/>
  <c r="D192" i="93" a="1"/>
  <c r="D192" i="93" s="1"/>
  <c r="D193" i="93" a="1"/>
  <c r="D193" i="93" s="1"/>
  <c r="D194" i="93" a="1"/>
  <c r="D194" i="93" s="1"/>
  <c r="D195" i="93" a="1"/>
  <c r="D195" i="93" s="1"/>
  <c r="D196" i="93" a="1"/>
  <c r="D196" i="93" s="1"/>
  <c r="D197" i="93" a="1"/>
  <c r="D197" i="93" s="1"/>
  <c r="D198" i="93" a="1"/>
  <c r="D198" i="93" s="1"/>
  <c r="D199" i="93" a="1"/>
  <c r="D199" i="93" s="1"/>
  <c r="D200" i="93" a="1"/>
  <c r="D200" i="93" s="1"/>
  <c r="D201" i="93" a="1"/>
  <c r="D201" i="93" s="1"/>
  <c r="D202" i="93" a="1"/>
  <c r="D202" i="93" s="1"/>
  <c r="D203" i="93" a="1"/>
  <c r="D203" i="93" s="1"/>
  <c r="D204" i="93" a="1"/>
  <c r="D204" i="93" s="1"/>
  <c r="D205" i="93" a="1"/>
  <c r="D205" i="93" s="1"/>
  <c r="D206" i="93" a="1"/>
  <c r="D206" i="93"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J8" i="92"/>
  <c r="J9" i="92"/>
  <c r="J10" i="92"/>
  <c r="J11" i="92"/>
  <c r="J12" i="92"/>
  <c r="G17" i="92"/>
  <c r="I17" i="92" s="1"/>
  <c r="J17" i="92"/>
  <c r="G18" i="92"/>
  <c r="H18" i="92" s="1"/>
  <c r="J18" i="92"/>
  <c r="G19" i="92"/>
  <c r="I19" i="92" s="1"/>
  <c r="J19" i="92"/>
  <c r="D41" i="93" s="1" a="1"/>
  <c r="D41" i="93" s="1"/>
  <c r="G20" i="92"/>
  <c r="H20" i="92" s="1"/>
  <c r="J20" i="92"/>
  <c r="G21" i="92"/>
  <c r="I21" i="92" s="1"/>
  <c r="J21" i="92"/>
  <c r="D47" i="93" s="1" a="1"/>
  <c r="D47" i="93" s="1"/>
  <c r="G22" i="92"/>
  <c r="H22" i="92" s="1"/>
  <c r="J22" i="92"/>
  <c r="G23" i="92"/>
  <c r="I23" i="92" s="1"/>
  <c r="H23" i="92"/>
  <c r="D51" i="93" s="1" a="1"/>
  <c r="D51" i="93" s="1"/>
  <c r="J23" i="92"/>
  <c r="D53" i="93" s="1" a="1"/>
  <c r="D53" i="93" s="1"/>
  <c r="G24" i="92"/>
  <c r="H24" i="92" s="1"/>
  <c r="J24" i="92"/>
  <c r="G25" i="92"/>
  <c r="I25" i="92" s="1"/>
  <c r="J25" i="92"/>
  <c r="G26" i="92"/>
  <c r="H26" i="92" s="1"/>
  <c r="J26" i="92"/>
  <c r="D62" i="93" s="1" a="1"/>
  <c r="D62" i="93" s="1"/>
  <c r="G27" i="92"/>
  <c r="I27" i="92" s="1"/>
  <c r="J27" i="92"/>
  <c r="G28" i="92"/>
  <c r="H28" i="92" s="1"/>
  <c r="J28" i="92"/>
  <c r="D68" i="93" s="1" a="1"/>
  <c r="D68" i="93" s="1"/>
  <c r="G29" i="92"/>
  <c r="I29" i="92" s="1"/>
  <c r="J29" i="92"/>
  <c r="G30" i="92"/>
  <c r="H30" i="92" s="1"/>
  <c r="J30" i="92"/>
  <c r="D74" i="93" s="1" a="1"/>
  <c r="D74" i="93" s="1"/>
  <c r="G31" i="92"/>
  <c r="I31" i="92" s="1"/>
  <c r="J31" i="92"/>
  <c r="G32" i="92"/>
  <c r="H32" i="92" s="1"/>
  <c r="D78" i="93" s="1" a="1"/>
  <c r="D78" i="93" s="1"/>
  <c r="J32" i="92"/>
  <c r="G33" i="92"/>
  <c r="I33" i="92" s="1"/>
  <c r="J33" i="92"/>
  <c r="D83" i="93" s="1" a="1"/>
  <c r="D83" i="93" s="1"/>
  <c r="G34" i="92"/>
  <c r="H34" i="92" s="1"/>
  <c r="J34" i="92"/>
  <c r="G35" i="92"/>
  <c r="I35" i="92" s="1"/>
  <c r="J35" i="92"/>
  <c r="D89" i="93" s="1" a="1"/>
  <c r="D89" i="93" s="1"/>
  <c r="G36" i="92"/>
  <c r="H36" i="92" s="1"/>
  <c r="J36" i="92"/>
  <c r="J37" i="92"/>
  <c r="J38" i="92"/>
  <c r="J39" i="92"/>
  <c r="D101" i="93" s="1" a="1"/>
  <c r="D101" i="93" s="1"/>
  <c r="J40" i="92"/>
  <c r="D104" i="93" s="1" a="1"/>
  <c r="D104" i="93" s="1"/>
  <c r="J41" i="92"/>
  <c r="J42" i="92"/>
  <c r="D110" i="93" s="1" a="1"/>
  <c r="D110" i="93" s="1"/>
  <c r="J43" i="92"/>
  <c r="D113" i="93" s="1" a="1"/>
  <c r="D113" i="93" s="1"/>
  <c r="J44" i="92"/>
  <c r="J45" i="92"/>
  <c r="J46" i="92"/>
  <c r="J47" i="92"/>
  <c r="D125" i="93" s="1" a="1"/>
  <c r="D125" i="93" s="1"/>
  <c r="J48" i="92"/>
  <c r="D128" i="93" s="1" a="1"/>
  <c r="D128" i="93" s="1"/>
  <c r="J49" i="92"/>
  <c r="J50" i="92"/>
  <c r="D134" i="93" s="1" a="1"/>
  <c r="D134" i="93" s="1"/>
  <c r="J51" i="92"/>
  <c r="D137" i="93" s="1" a="1"/>
  <c r="D137" i="93" s="1"/>
  <c r="J52" i="92"/>
  <c r="J53" i="92"/>
  <c r="J54" i="92"/>
  <c r="J55" i="92"/>
  <c r="D149" i="93" s="1" a="1"/>
  <c r="D149" i="93" s="1"/>
  <c r="J56" i="92"/>
  <c r="D152" i="93" s="1" a="1"/>
  <c r="D152" i="93" s="1"/>
  <c r="J57" i="92"/>
  <c r="J58" i="92"/>
  <c r="D158" i="93" s="1" a="1"/>
  <c r="D158" i="93" s="1"/>
  <c r="J59" i="92"/>
  <c r="D161" i="93" s="1" a="1"/>
  <c r="D161" i="93" s="1"/>
  <c r="J60" i="92"/>
  <c r="J61" i="92"/>
  <c r="D167" i="93" s="1" a="1"/>
  <c r="D167" i="93" s="1"/>
  <c r="G9" i="92"/>
  <c r="G10" i="92"/>
  <c r="G12"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109" i="91" a="1"/>
  <c r="D109" i="91" s="1"/>
  <c r="D110" i="91" a="1"/>
  <c r="D110" i="91" s="1"/>
  <c r="D111" i="91" a="1"/>
  <c r="D111" i="91" s="1"/>
  <c r="D112" i="91" a="1"/>
  <c r="D112" i="91" s="1"/>
  <c r="D113" i="91" a="1"/>
  <c r="D113" i="91" s="1"/>
  <c r="D114" i="91" a="1"/>
  <c r="D114" i="91" s="1"/>
  <c r="D116" i="91" a="1"/>
  <c r="D116" i="91" s="1"/>
  <c r="D117" i="91" a="1"/>
  <c r="D117" i="91" s="1"/>
  <c r="D118" i="91" a="1"/>
  <c r="D118" i="91" s="1"/>
  <c r="D119" i="91" a="1"/>
  <c r="D119" i="91" s="1"/>
  <c r="D120" i="91" a="1"/>
  <c r="D120" i="91" s="1"/>
  <c r="D121" i="91" a="1"/>
  <c r="D121" i="91" s="1"/>
  <c r="D122" i="91" a="1"/>
  <c r="D122" i="91" s="1"/>
  <c r="D123" i="91" a="1"/>
  <c r="D123" i="91" s="1"/>
  <c r="D125" i="91" a="1"/>
  <c r="D125" i="91" s="1"/>
  <c r="D126" i="91" a="1"/>
  <c r="D126" i="91" s="1"/>
  <c r="D127" i="91" a="1"/>
  <c r="D127" i="91" s="1"/>
  <c r="D128" i="91" a="1"/>
  <c r="D128" i="91" s="1"/>
  <c r="D129" i="91" a="1"/>
  <c r="D129" i="91" s="1"/>
  <c r="D130" i="91" a="1"/>
  <c r="D130" i="91" s="1"/>
  <c r="D131" i="91" a="1"/>
  <c r="D131" i="91" s="1"/>
  <c r="D132" i="91" a="1"/>
  <c r="D132" i="91" s="1"/>
  <c r="D134" i="91" a="1"/>
  <c r="D134" i="91" s="1"/>
  <c r="D135" i="91" a="1"/>
  <c r="D135" i="91" s="1"/>
  <c r="D136" i="91" a="1"/>
  <c r="D136" i="91" s="1"/>
  <c r="D137" i="91" a="1"/>
  <c r="D137" i="91" s="1"/>
  <c r="D138" i="91" a="1"/>
  <c r="D138" i="91" s="1"/>
  <c r="D139" i="91" a="1"/>
  <c r="D139" i="91" s="1"/>
  <c r="D140" i="91" a="1"/>
  <c r="D140" i="91" s="1"/>
  <c r="D141" i="91" a="1"/>
  <c r="D141" i="91" s="1"/>
  <c r="D143" i="91" a="1"/>
  <c r="D143" i="91" s="1"/>
  <c r="D144" i="91" a="1"/>
  <c r="D144" i="91" s="1"/>
  <c r="D145" i="91" a="1"/>
  <c r="D145" i="91" s="1"/>
  <c r="D146" i="91" a="1"/>
  <c r="D146" i="91" s="1"/>
  <c r="D147" i="91" a="1"/>
  <c r="D147" i="91" s="1"/>
  <c r="D148" i="91" a="1"/>
  <c r="D148" i="91" s="1"/>
  <c r="D149" i="91" a="1"/>
  <c r="D149" i="91" s="1"/>
  <c r="D150" i="91" a="1"/>
  <c r="D150" i="91" s="1"/>
  <c r="D152" i="91" a="1"/>
  <c r="D152" i="91" s="1"/>
  <c r="D153" i="91" a="1"/>
  <c r="D153" i="91" s="1"/>
  <c r="D154" i="91" a="1"/>
  <c r="D154" i="91" s="1"/>
  <c r="D155" i="91" a="1"/>
  <c r="D155" i="91" s="1"/>
  <c r="D156" i="91" a="1"/>
  <c r="D156" i="91" s="1"/>
  <c r="D157" i="91" a="1"/>
  <c r="D157" i="91" s="1"/>
  <c r="D158" i="91" a="1"/>
  <c r="D158" i="91" s="1"/>
  <c r="D159" i="91" a="1"/>
  <c r="D159" i="91" s="1"/>
  <c r="D161" i="91" a="1"/>
  <c r="D161" i="91" s="1"/>
  <c r="D162" i="91" a="1"/>
  <c r="D162" i="91" s="1"/>
  <c r="D163" i="91" a="1"/>
  <c r="D163" i="91" s="1"/>
  <c r="D164" i="91" a="1"/>
  <c r="D164" i="91" s="1"/>
  <c r="D165" i="91" a="1"/>
  <c r="D165" i="91" s="1"/>
  <c r="D166" i="91" a="1"/>
  <c r="D166" i="91" s="1"/>
  <c r="D167" i="91" a="1"/>
  <c r="D167" i="91" s="1"/>
  <c r="D168" i="91" a="1"/>
  <c r="D168" i="91" s="1"/>
  <c r="D170" i="91" a="1"/>
  <c r="D170" i="91" s="1"/>
  <c r="D171" i="91" a="1"/>
  <c r="D171" i="91" s="1"/>
  <c r="D172" i="91" a="1"/>
  <c r="D172" i="91" s="1"/>
  <c r="D173" i="91" a="1"/>
  <c r="D173" i="91" s="1"/>
  <c r="D174" i="91" a="1"/>
  <c r="D174" i="91" s="1"/>
  <c r="D175" i="91" a="1"/>
  <c r="D175" i="91" s="1"/>
  <c r="D176" i="91" a="1"/>
  <c r="D176" i="91" s="1"/>
  <c r="D177" i="91" a="1"/>
  <c r="D177" i="91" s="1"/>
  <c r="J7" i="90"/>
  <c r="J8" i="90"/>
  <c r="J9" i="90"/>
  <c r="J10" i="90"/>
  <c r="D115" i="91" s="1" a="1"/>
  <c r="D115" i="91" s="1"/>
  <c r="J11" i="90"/>
  <c r="D124" i="91" s="1" a="1"/>
  <c r="D124" i="91" s="1"/>
  <c r="J12" i="90"/>
  <c r="D133" i="91" s="1" a="1"/>
  <c r="D133" i="91" s="1"/>
  <c r="J13" i="90"/>
  <c r="D142" i="91" s="1" a="1"/>
  <c r="D142" i="91" s="1"/>
  <c r="J14" i="90"/>
  <c r="D151" i="91" s="1" a="1"/>
  <c r="D151" i="91" s="1"/>
  <c r="J15" i="90"/>
  <c r="D160" i="91" s="1" a="1"/>
  <c r="D160" i="91" s="1"/>
  <c r="J16" i="90"/>
  <c r="D169" i="91" s="1" a="1"/>
  <c r="D169" i="91" s="1"/>
  <c r="J17" i="90"/>
  <c r="D178" i="91" s="1" a="1"/>
  <c r="D178" i="91" s="1"/>
  <c r="I15" i="92" l="1"/>
  <c r="I13" i="92"/>
  <c r="H27" i="92"/>
  <c r="D63" i="93" s="1" a="1"/>
  <c r="D63" i="93" s="1"/>
  <c r="H33" i="92"/>
  <c r="D98" i="93" a="1"/>
  <c r="D98" i="93" s="1"/>
  <c r="D155" i="93" a="1"/>
  <c r="D155" i="93" s="1"/>
  <c r="D131" i="93" a="1"/>
  <c r="D131" i="93" s="1"/>
  <c r="D107" i="93" a="1"/>
  <c r="D107" i="93" s="1"/>
  <c r="D77" i="93" a="1"/>
  <c r="D77" i="93" s="1"/>
  <c r="D56" i="93" a="1"/>
  <c r="D56" i="93" s="1"/>
  <c r="H17" i="92"/>
  <c r="D86" i="93" a="1"/>
  <c r="D86" i="93" s="1"/>
  <c r="H31" i="92"/>
  <c r="D75" i="93" s="1" a="1"/>
  <c r="D75" i="93" s="1"/>
  <c r="D65" i="93" a="1"/>
  <c r="D65" i="93" s="1"/>
  <c r="D54" i="93" a="1"/>
  <c r="D54" i="93" s="1"/>
  <c r="D44" i="93" a="1"/>
  <c r="D44" i="93" s="1"/>
  <c r="D143" i="93" a="1"/>
  <c r="D143" i="93" s="1"/>
  <c r="D119" i="93" a="1"/>
  <c r="D119" i="93" s="1"/>
  <c r="D95" i="93" a="1"/>
  <c r="D95" i="93" s="1"/>
  <c r="D81" i="93" a="1"/>
  <c r="D81" i="93" s="1"/>
  <c r="D164" i="93" a="1"/>
  <c r="D164" i="93" s="1"/>
  <c r="D140" i="93" a="1"/>
  <c r="D140" i="93" s="1"/>
  <c r="D116" i="93" a="1"/>
  <c r="D116" i="93" s="1"/>
  <c r="D92" i="93" a="1"/>
  <c r="D92" i="93" s="1"/>
  <c r="D71" i="93" a="1"/>
  <c r="D71" i="93" s="1"/>
  <c r="D60" i="93" a="1"/>
  <c r="D60" i="93" s="1"/>
  <c r="D50" i="93" a="1"/>
  <c r="D50" i="93" s="1"/>
  <c r="D146" i="93" a="1"/>
  <c r="D146" i="93" s="1"/>
  <c r="D80" i="93" a="1"/>
  <c r="D80" i="93" s="1"/>
  <c r="D59" i="93" a="1"/>
  <c r="D59" i="93" s="1"/>
  <c r="D48" i="93" a="1"/>
  <c r="D48" i="93" s="1"/>
  <c r="D122" i="93" a="1"/>
  <c r="D122" i="93" s="1"/>
  <c r="H29" i="92"/>
  <c r="D69" i="93" s="1" a="1"/>
  <c r="D69" i="93" s="1"/>
  <c r="H35" i="92"/>
  <c r="D87" i="93" s="1" a="1"/>
  <c r="D87" i="93" s="1"/>
  <c r="H19" i="92"/>
  <c r="D39" i="93" s="1" a="1"/>
  <c r="D39" i="93" s="1"/>
  <c r="H25" i="92"/>
  <c r="D57" i="93" s="1" a="1"/>
  <c r="D57" i="93" s="1"/>
  <c r="H21" i="92"/>
  <c r="D45" i="93" s="1" a="1"/>
  <c r="D45" i="93" s="1"/>
  <c r="H12" i="92"/>
  <c r="H10" i="92"/>
  <c r="I11" i="92"/>
  <c r="H11" i="92"/>
  <c r="I36" i="92"/>
  <c r="D88" i="93" s="1" a="1"/>
  <c r="D88" i="93" s="1"/>
  <c r="I34" i="92"/>
  <c r="D85" i="93" s="1" a="1"/>
  <c r="D85" i="93" s="1"/>
  <c r="I32" i="92"/>
  <c r="D79" i="93" s="1" a="1"/>
  <c r="D79" i="93" s="1"/>
  <c r="I30" i="92"/>
  <c r="I28" i="92"/>
  <c r="D67" i="93" s="1" a="1"/>
  <c r="D67" i="93" s="1"/>
  <c r="I26" i="92"/>
  <c r="D61" i="93" s="1" a="1"/>
  <c r="D61" i="93" s="1"/>
  <c r="I24" i="92"/>
  <c r="D55" i="93" s="1" a="1"/>
  <c r="D55" i="93" s="1"/>
  <c r="I22" i="92"/>
  <c r="D49" i="93" s="1" a="1"/>
  <c r="D49" i="93" s="1"/>
  <c r="I20" i="92"/>
  <c r="D43" i="93" s="1" a="1"/>
  <c r="D43" i="93" s="1"/>
  <c r="I18" i="92"/>
  <c r="I12" i="92"/>
  <c r="I10" i="92"/>
  <c r="D22" i="93" l="1" a="1"/>
  <c r="D22" i="93" s="1"/>
  <c r="D58" i="93" a="1"/>
  <c r="D58" i="93" s="1"/>
  <c r="D72" i="93" a="1"/>
  <c r="D72" i="93" s="1"/>
  <c r="D66" i="93" a="1"/>
  <c r="D66" i="93" s="1"/>
  <c r="D76" i="93" a="1"/>
  <c r="D76" i="93" s="1"/>
  <c r="D73" i="93" a="1"/>
  <c r="D73" i="93" s="1"/>
  <c r="D70" i="93" a="1"/>
  <c r="D70" i="93" s="1"/>
  <c r="D64" i="93" a="1"/>
  <c r="D64" i="93" s="1"/>
  <c r="D82" i="93" a="1"/>
  <c r="D82" i="93" s="1"/>
  <c r="D40" i="93" a="1"/>
  <c r="D40" i="93" s="1"/>
  <c r="D42" i="93" a="1"/>
  <c r="D42" i="93" s="1"/>
  <c r="D52" i="93" a="1"/>
  <c r="D52" i="93" s="1"/>
  <c r="D84" i="93" a="1"/>
  <c r="D84" i="93" s="1"/>
  <c r="D46" i="93" a="1"/>
  <c r="D46" i="93" s="1"/>
  <c r="D183" i="91" a="1"/>
  <c r="D183" i="91" s="1"/>
  <c r="D184" i="91" a="1"/>
  <c r="D184" i="91" s="1"/>
  <c r="D185" i="91" a="1"/>
  <c r="D185" i="91" s="1"/>
  <c r="D186" i="91" a="1"/>
  <c r="D186" i="91" s="1"/>
  <c r="J18" i="90"/>
  <c r="D187" i="91" s="1" a="1"/>
  <c r="D187" i="91" s="1"/>
  <c r="J19" i="90"/>
  <c r="J20" i="90"/>
  <c r="D111" i="10" l="1"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D2" i="9"/>
  <c r="D37" i="10" s="1" a="1"/>
  <c r="D37" i="10" s="1"/>
  <c r="B2" i="9"/>
  <c r="C2" i="9"/>
  <c r="D36" i="10" s="1" a="1"/>
  <c r="D36" i="10" s="1"/>
  <c r="E2" i="9"/>
  <c r="D38" i="10" s="1" a="1"/>
  <c r="D38" i="10" s="1"/>
  <c r="F2" i="9"/>
  <c r="D39" i="10" s="1" a="1"/>
  <c r="D39" i="10" s="1"/>
  <c r="G2" i="9"/>
  <c r="D40" i="10" s="1" a="1"/>
  <c r="D40" i="10" s="1"/>
  <c r="H2" i="9"/>
  <c r="D41" i="10" s="1" a="1"/>
  <c r="D41" i="10" s="1"/>
  <c r="D20" i="96"/>
  <c r="D19" i="96"/>
  <c r="D18" i="96"/>
  <c r="D20" i="10"/>
  <c r="D19" i="10"/>
  <c r="D18" i="10"/>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D59" i="106" s="1" a="1"/>
  <c r="D59" i="106" s="1"/>
  <c r="D59" i="109" s="1"/>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D47" i="106" s="1" a="1"/>
  <c r="D47" i="106" s="1"/>
  <c r="D47" i="109" s="1"/>
  <c r="C46" i="106"/>
  <c r="B46" i="106"/>
  <c r="C45" i="106"/>
  <c r="B45" i="106"/>
  <c r="C44" i="106"/>
  <c r="B44" i="106"/>
  <c r="C43" i="106"/>
  <c r="B43" i="106"/>
  <c r="C42" i="106"/>
  <c r="B42" i="106"/>
  <c r="C41" i="106"/>
  <c r="B41" i="106"/>
  <c r="C40" i="106"/>
  <c r="B40" i="106"/>
  <c r="C39" i="106"/>
  <c r="B39" i="106"/>
  <c r="D39" i="106" s="1" a="1"/>
  <c r="D39" i="106" s="1"/>
  <c r="D39" i="109" s="1"/>
  <c r="C38" i="106"/>
  <c r="B38" i="106"/>
  <c r="C37" i="106"/>
  <c r="B37" i="106"/>
  <c r="C36" i="106"/>
  <c r="B36" i="106"/>
  <c r="C35" i="106"/>
  <c r="B35" i="106"/>
  <c r="D35" i="106" s="1" a="1"/>
  <c r="D35" i="106" s="1"/>
  <c r="D35" i="109" s="1"/>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D23" i="106" s="1" a="1"/>
  <c r="D23" i="106" s="1"/>
  <c r="D23" i="109" s="1"/>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D11" i="106" s="1" a="1"/>
  <c r="D11" i="106" s="1"/>
  <c r="D11" i="109" s="1"/>
  <c r="C10" i="106"/>
  <c r="B10" i="106"/>
  <c r="C9" i="106"/>
  <c r="B9" i="106"/>
  <c r="C8" i="106"/>
  <c r="B8" i="106"/>
  <c r="C7" i="106"/>
  <c r="B7" i="106"/>
  <c r="C6" i="106"/>
  <c r="B6" i="106"/>
  <c r="C5" i="106"/>
  <c r="B5" i="106"/>
  <c r="D5" i="106" s="1" a="1"/>
  <c r="D5" i="106" s="1"/>
  <c r="D5" i="109" s="1"/>
  <c r="C4" i="106"/>
  <c r="B4" i="106"/>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H35" i="105"/>
  <c r="I35" i="105" s="1"/>
  <c r="K34" i="105"/>
  <c r="J34" i="105"/>
  <c r="H34" i="105"/>
  <c r="I34" i="105" s="1"/>
  <c r="N34" i="105"/>
  <c r="N33" i="105"/>
  <c r="K33" i="105"/>
  <c r="H33" i="105"/>
  <c r="J33" i="105" s="1"/>
  <c r="K32" i="105"/>
  <c r="I32" i="105"/>
  <c r="H32" i="105"/>
  <c r="J32" i="105" s="1"/>
  <c r="N32" i="105"/>
  <c r="N31" i="105"/>
  <c r="K31" i="105"/>
  <c r="H31" i="105"/>
  <c r="J31" i="105" s="1"/>
  <c r="K30" i="105"/>
  <c r="D74" i="106" s="1" a="1"/>
  <c r="D74" i="106" s="1"/>
  <c r="D74" i="109" s="1"/>
  <c r="H30" i="105"/>
  <c r="N30" i="105"/>
  <c r="J30" i="105"/>
  <c r="N29" i="105"/>
  <c r="K29" i="105"/>
  <c r="J29" i="105"/>
  <c r="H29" i="105"/>
  <c r="I29" i="105"/>
  <c r="N28" i="105"/>
  <c r="K28" i="105"/>
  <c r="H28" i="105"/>
  <c r="J28" i="105" s="1"/>
  <c r="N27" i="105"/>
  <c r="K27" i="105"/>
  <c r="D65" i="106" s="1" a="1"/>
  <c r="D65" i="106" s="1"/>
  <c r="D65" i="109" s="1"/>
  <c r="H27" i="105"/>
  <c r="J27" i="105" s="1"/>
  <c r="K26" i="105"/>
  <c r="I26" i="105"/>
  <c r="H26" i="105"/>
  <c r="J26" i="105" s="1"/>
  <c r="N26" i="105"/>
  <c r="N25" i="105"/>
  <c r="K25" i="105"/>
  <c r="H25" i="105"/>
  <c r="J25" i="105" s="1"/>
  <c r="D58" i="106" s="1" a="1"/>
  <c r="D58" i="106" s="1"/>
  <c r="D58" i="109" s="1"/>
  <c r="K24" i="105"/>
  <c r="H24" i="105"/>
  <c r="I24" i="105" s="1"/>
  <c r="N24" i="105"/>
  <c r="N23" i="105"/>
  <c r="K23" i="105"/>
  <c r="H23" i="105"/>
  <c r="J23" i="105" s="1"/>
  <c r="K22" i="105"/>
  <c r="H22" i="105"/>
  <c r="I22" i="105" s="1"/>
  <c r="N21" i="105"/>
  <c r="K21" i="105"/>
  <c r="H21" i="105"/>
  <c r="J21" i="105" s="1"/>
  <c r="N20" i="105"/>
  <c r="K20" i="105"/>
  <c r="H20" i="105"/>
  <c r="J20" i="105" s="1"/>
  <c r="K19" i="105"/>
  <c r="J19" i="105"/>
  <c r="I19" i="105"/>
  <c r="H19" i="105"/>
  <c r="N19" i="105"/>
  <c r="N18" i="105"/>
  <c r="K18" i="105"/>
  <c r="H18" i="105"/>
  <c r="J18" i="105" s="1"/>
  <c r="K17" i="105"/>
  <c r="H17" i="105"/>
  <c r="I17" i="105" s="1"/>
  <c r="N17" i="105"/>
  <c r="N16" i="105"/>
  <c r="K16" i="105"/>
  <c r="H16" i="105"/>
  <c r="J16" i="105" s="1"/>
  <c r="K15" i="105"/>
  <c r="H15" i="105"/>
  <c r="J15" i="105" s="1"/>
  <c r="N15" i="105"/>
  <c r="N14" i="105"/>
  <c r="K14" i="105"/>
  <c r="H14" i="105"/>
  <c r="I14" i="105" s="1"/>
  <c r="N13" i="105"/>
  <c r="K13" i="105"/>
  <c r="I13" i="105"/>
  <c r="H13" i="105"/>
  <c r="J13" i="105" s="1"/>
  <c r="N12" i="105"/>
  <c r="K12" i="105"/>
  <c r="H12" i="105"/>
  <c r="J12" i="105" s="1"/>
  <c r="K11" i="105"/>
  <c r="H11" i="105"/>
  <c r="J11" i="105" s="1"/>
  <c r="N11" i="105"/>
  <c r="N10" i="105"/>
  <c r="K10" i="105"/>
  <c r="H10" i="105"/>
  <c r="J10" i="105" s="1"/>
  <c r="K9" i="105"/>
  <c r="H9" i="105"/>
  <c r="I9" i="105" s="1"/>
  <c r="N9" i="105"/>
  <c r="N8" i="105"/>
  <c r="K8" i="105"/>
  <c r="H8" i="105"/>
  <c r="J8" i="105" s="1"/>
  <c r="K7" i="105"/>
  <c r="H7" i="105"/>
  <c r="I7" i="105" s="1"/>
  <c r="N6" i="105"/>
  <c r="N4" i="105"/>
  <c r="C4" i="105"/>
  <c r="N3" i="105"/>
  <c r="C3" i="105"/>
  <c r="N2" i="105"/>
  <c r="C2" i="105"/>
  <c r="N5" i="105" s="1"/>
  <c r="C1" i="105"/>
  <c r="D87" i="106" l="1" a="1"/>
  <c r="D87" i="106" s="1"/>
  <c r="D87" i="109" s="1"/>
  <c r="I21" i="105"/>
  <c r="I28" i="105"/>
  <c r="D88" i="106" a="1"/>
  <c r="D88" i="106" s="1"/>
  <c r="D88" i="109" s="1"/>
  <c r="J22" i="105"/>
  <c r="J14" i="105"/>
  <c r="D15" i="106" a="1"/>
  <c r="D15" i="106" s="1"/>
  <c r="D15" i="109" s="1"/>
  <c r="I11" i="105"/>
  <c r="I15" i="105"/>
  <c r="D27" i="106" s="1" a="1"/>
  <c r="D27" i="106" s="1"/>
  <c r="D27" i="109" s="1"/>
  <c r="J7" i="105"/>
  <c r="D4" i="106" s="1" a="1"/>
  <c r="D4" i="106" s="1"/>
  <c r="D4" i="109" s="1"/>
  <c r="D8" i="106" a="1"/>
  <c r="D8" i="106" s="1"/>
  <c r="D8" i="109" s="1"/>
  <c r="D16" i="106" a="1"/>
  <c r="D16" i="106" s="1"/>
  <c r="D16" i="109" s="1"/>
  <c r="D20" i="106" a="1"/>
  <c r="D20" i="106" s="1"/>
  <c r="D20" i="109" s="1"/>
  <c r="D24" i="106" a="1"/>
  <c r="D24" i="106" s="1"/>
  <c r="D24" i="109" s="1"/>
  <c r="D28" i="106" a="1"/>
  <c r="D28" i="106" s="1"/>
  <c r="D28" i="109" s="1"/>
  <c r="D32" i="106" a="1"/>
  <c r="D32" i="106" s="1"/>
  <c r="D32" i="109" s="1"/>
  <c r="D40" i="106" a="1"/>
  <c r="D40" i="106" s="1"/>
  <c r="D40" i="109" s="1"/>
  <c r="D44" i="106" a="1"/>
  <c r="D44" i="106" s="1"/>
  <c r="D44" i="109" s="1"/>
  <c r="D48" i="106" a="1"/>
  <c r="D48" i="106" s="1"/>
  <c r="D48" i="109" s="1"/>
  <c r="D52" i="106" a="1"/>
  <c r="D52" i="106" s="1"/>
  <c r="D52" i="109" s="1"/>
  <c r="D56" i="106" a="1"/>
  <c r="D56" i="106" s="1"/>
  <c r="D56" i="109" s="1"/>
  <c r="D64" i="106" a="1"/>
  <c r="D64" i="106" s="1"/>
  <c r="D64" i="109" s="1"/>
  <c r="D83" i="106" a="1"/>
  <c r="D83" i="106" s="1"/>
  <c r="D83" i="109" s="1"/>
  <c r="D60" i="106" a="1"/>
  <c r="D60" i="106" s="1"/>
  <c r="D60" i="109" s="1"/>
  <c r="D80" i="106" a="1"/>
  <c r="D80" i="106" s="1"/>
  <c r="D80" i="109" s="1"/>
  <c r="D9" i="106" a="1"/>
  <c r="D9" i="106" s="1"/>
  <c r="D9" i="109" s="1"/>
  <c r="D17" i="106" a="1"/>
  <c r="D17" i="106" s="1"/>
  <c r="D17" i="109" s="1"/>
  <c r="D21" i="106" a="1"/>
  <c r="D21" i="106" s="1"/>
  <c r="D21" i="109" s="1"/>
  <c r="D25" i="106" a="1"/>
  <c r="D25" i="106" s="1"/>
  <c r="D25" i="109" s="1"/>
  <c r="D29" i="106" a="1"/>
  <c r="D29" i="106" s="1"/>
  <c r="D29" i="109" s="1"/>
  <c r="D37" i="106" a="1"/>
  <c r="D37" i="106" s="1"/>
  <c r="D37" i="109" s="1"/>
  <c r="D41" i="106" a="1"/>
  <c r="D41" i="106" s="1"/>
  <c r="D41" i="109" s="1"/>
  <c r="D45" i="106" a="1"/>
  <c r="D45" i="106" s="1"/>
  <c r="D45" i="109" s="1"/>
  <c r="D49" i="106" a="1"/>
  <c r="D49" i="106" s="1"/>
  <c r="D49" i="109" s="1"/>
  <c r="D53" i="106" a="1"/>
  <c r="D53" i="106" s="1"/>
  <c r="D53" i="109" s="1"/>
  <c r="D61" i="106" a="1"/>
  <c r="D61" i="106" s="1"/>
  <c r="D61" i="109" s="1"/>
  <c r="D68" i="106" a="1"/>
  <c r="D68" i="106" s="1"/>
  <c r="D68" i="109" s="1"/>
  <c r="D84" i="106" a="1"/>
  <c r="D84" i="106" s="1"/>
  <c r="D84" i="109" s="1"/>
  <c r="D71" i="106" a="1"/>
  <c r="D71" i="106" s="1"/>
  <c r="D71" i="109" s="1"/>
  <c r="D77" i="106" a="1"/>
  <c r="D77" i="106" s="1"/>
  <c r="D77" i="109" s="1"/>
  <c r="D85" i="106" a="1"/>
  <c r="D85" i="106" s="1"/>
  <c r="D85" i="109" s="1"/>
  <c r="D14" i="106" a="1"/>
  <c r="D14" i="106" s="1"/>
  <c r="D14" i="109" s="1"/>
  <c r="D26" i="106" a="1"/>
  <c r="D26" i="106" s="1"/>
  <c r="D26" i="109" s="1"/>
  <c r="D38" i="106" a="1"/>
  <c r="D38" i="106" s="1"/>
  <c r="D38" i="109" s="1"/>
  <c r="D50" i="106" a="1"/>
  <c r="D50" i="106" s="1"/>
  <c r="D50" i="109" s="1"/>
  <c r="D62" i="106" a="1"/>
  <c r="D62" i="106" s="1"/>
  <c r="D62" i="109" s="1"/>
  <c r="D66" i="106" a="1"/>
  <c r="D66" i="106" s="1"/>
  <c r="D66" i="109" s="1"/>
  <c r="D70" i="106" a="1"/>
  <c r="D70" i="106" s="1"/>
  <c r="D70" i="109" s="1"/>
  <c r="D78" i="106" a="1"/>
  <c r="D78" i="106" s="1"/>
  <c r="D78" i="109" s="1"/>
  <c r="D86" i="106" a="1"/>
  <c r="D86" i="106" s="1"/>
  <c r="D86" i="109" s="1"/>
  <c r="D135" i="106"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67" i="106" a="1"/>
  <c r="D67" i="106" s="1"/>
  <c r="D67" i="109" s="1"/>
  <c r="D22" i="106" a="1"/>
  <c r="D22" i="106" s="1"/>
  <c r="D2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D42" i="106" s="1" a="1"/>
  <c r="D42" i="106" s="1"/>
  <c r="D42" i="109" s="1"/>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D12" i="106" s="1" a="1"/>
  <c r="D12" i="106" s="1"/>
  <c r="D12" i="109" s="1"/>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37" i="92"/>
  <c r="G37" i="92" s="1"/>
  <c r="C38" i="92"/>
  <c r="G38" i="92" s="1"/>
  <c r="C39" i="92"/>
  <c r="G39" i="92" s="1"/>
  <c r="C40" i="92"/>
  <c r="G40" i="92" s="1"/>
  <c r="C41" i="92"/>
  <c r="G41" i="92" s="1"/>
  <c r="C42" i="92"/>
  <c r="G42" i="92" s="1"/>
  <c r="C43" i="92"/>
  <c r="G43" i="92" s="1"/>
  <c r="C44" i="92"/>
  <c r="G44" i="92" s="1"/>
  <c r="C45" i="92"/>
  <c r="G45" i="92" s="1"/>
  <c r="C46" i="92"/>
  <c r="G46" i="92" s="1"/>
  <c r="C47" i="92"/>
  <c r="G47" i="92" s="1"/>
  <c r="C48" i="92"/>
  <c r="G48" i="92" s="1"/>
  <c r="C49" i="92"/>
  <c r="G49" i="92" s="1"/>
  <c r="C50" i="92"/>
  <c r="G50" i="92" s="1"/>
  <c r="C51" i="92"/>
  <c r="G51" i="92" s="1"/>
  <c r="C52" i="92"/>
  <c r="G52" i="92" s="1"/>
  <c r="C53" i="92"/>
  <c r="G53" i="92" s="1"/>
  <c r="C54" i="92"/>
  <c r="G54" i="92" s="1"/>
  <c r="C55" i="92"/>
  <c r="G55" i="92" s="1"/>
  <c r="C56" i="92"/>
  <c r="G56" i="92" s="1"/>
  <c r="C57" i="92"/>
  <c r="G57" i="92" s="1"/>
  <c r="C58" i="92"/>
  <c r="G58" i="92" s="1"/>
  <c r="C59" i="92"/>
  <c r="G59" i="92" s="1"/>
  <c r="C60" i="92"/>
  <c r="G60" i="92" s="1"/>
  <c r="C61" i="92"/>
  <c r="G61" i="92" s="1"/>
  <c r="C62" i="92"/>
  <c r="C63" i="92"/>
  <c r="C64" i="92"/>
  <c r="C65" i="92"/>
  <c r="B8" i="92"/>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H9" i="92" l="1"/>
  <c r="I9" i="92"/>
  <c r="H60" i="92"/>
  <c r="I60" i="92"/>
  <c r="I59" i="92"/>
  <c r="D160" i="93" s="1" a="1"/>
  <c r="D160" i="93" s="1"/>
  <c r="H59" i="92"/>
  <c r="D159" i="93" s="1" a="1"/>
  <c r="D159" i="93" s="1"/>
  <c r="I51" i="92"/>
  <c r="D136" i="93" s="1" a="1"/>
  <c r="D136" i="93" s="1"/>
  <c r="H51" i="92"/>
  <c r="D135" i="93" s="1" a="1"/>
  <c r="D135" i="93" s="1"/>
  <c r="I43" i="92"/>
  <c r="H43" i="92"/>
  <c r="H52" i="92"/>
  <c r="I52" i="92"/>
  <c r="H58" i="92"/>
  <c r="D156" i="93" s="1" a="1"/>
  <c r="D156" i="93" s="1"/>
  <c r="I58" i="92"/>
  <c r="D157" i="93" s="1" a="1"/>
  <c r="D157" i="93" s="1"/>
  <c r="H50" i="92"/>
  <c r="I50" i="92"/>
  <c r="D133" i="93" s="1" a="1"/>
  <c r="D133" i="93" s="1"/>
  <c r="H42" i="92"/>
  <c r="D108" i="93" s="1" a="1"/>
  <c r="D108" i="93" s="1"/>
  <c r="I42" i="92"/>
  <c r="D109" i="93" s="1" a="1"/>
  <c r="D109" i="93" s="1"/>
  <c r="I57" i="92"/>
  <c r="H57" i="92"/>
  <c r="I49" i="92"/>
  <c r="H49" i="92"/>
  <c r="D129" i="93" s="1" a="1"/>
  <c r="D129" i="93" s="1"/>
  <c r="I41" i="92"/>
  <c r="H41" i="92"/>
  <c r="D105" i="93" s="1" a="1"/>
  <c r="D105" i="93" s="1"/>
  <c r="H40" i="92"/>
  <c r="I40" i="92"/>
  <c r="D103" i="93" s="1" a="1"/>
  <c r="D103" i="93" s="1"/>
  <c r="H56" i="92"/>
  <c r="D150" i="93" s="1" a="1"/>
  <c r="D150" i="93" s="1"/>
  <c r="I56" i="92"/>
  <c r="I55" i="92"/>
  <c r="D148" i="93" s="1" a="1"/>
  <c r="D148" i="93" s="1"/>
  <c r="H55" i="92"/>
  <c r="D147" i="93" s="1" a="1"/>
  <c r="D147" i="93" s="1"/>
  <c r="I47" i="92"/>
  <c r="H47" i="92"/>
  <c r="D123" i="93" s="1" a="1"/>
  <c r="D123" i="93" s="1"/>
  <c r="H48" i="92"/>
  <c r="D126" i="93" s="1" a="1"/>
  <c r="D126" i="93" s="1"/>
  <c r="I48" i="92"/>
  <c r="D127" i="93" s="1" a="1"/>
  <c r="D127" i="93" s="1"/>
  <c r="H54" i="92"/>
  <c r="I54" i="92"/>
  <c r="H46" i="92"/>
  <c r="I46" i="92"/>
  <c r="D121" i="93" s="1" a="1"/>
  <c r="D121" i="93" s="1"/>
  <c r="I61" i="92"/>
  <c r="H61" i="92"/>
  <c r="I53" i="92"/>
  <c r="D142" i="93" s="1" a="1"/>
  <c r="D142" i="93" s="1"/>
  <c r="H53" i="92"/>
  <c r="D141" i="93" s="1" a="1"/>
  <c r="D141" i="93" s="1"/>
  <c r="I45" i="92"/>
  <c r="H45" i="92"/>
  <c r="H44" i="92"/>
  <c r="D114" i="93" s="1" a="1"/>
  <c r="D114" i="93" s="1"/>
  <c r="I44" i="92"/>
  <c r="D115" i="93" s="1" a="1"/>
  <c r="D115" i="93" s="1"/>
  <c r="I39" i="92"/>
  <c r="H39" i="92"/>
  <c r="D99" i="93" s="1" a="1"/>
  <c r="D99" i="93" s="1"/>
  <c r="H38" i="92"/>
  <c r="D96" i="93" s="1" a="1"/>
  <c r="D96" i="93" s="1"/>
  <c r="I38" i="92"/>
  <c r="D97" i="93" s="1" a="1"/>
  <c r="D97" i="93" s="1"/>
  <c r="I37" i="92"/>
  <c r="H37" i="92"/>
  <c r="D6" i="106"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00" i="93" l="1" a="1"/>
  <c r="D100" i="93" s="1"/>
  <c r="D124" i="93" a="1"/>
  <c r="D124" i="93" s="1"/>
  <c r="D106" i="93" a="1"/>
  <c r="D106" i="93" s="1"/>
  <c r="D132" i="93" a="1"/>
  <c r="D132" i="93" s="1"/>
  <c r="D130" i="93" a="1"/>
  <c r="D130" i="93" s="1"/>
  <c r="D93" i="93" a="1"/>
  <c r="D93" i="93" s="1"/>
  <c r="D90" i="93" a="1"/>
  <c r="D90" i="93" s="1"/>
  <c r="D117" i="93" a="1"/>
  <c r="D117" i="93" s="1"/>
  <c r="D145" i="93" a="1"/>
  <c r="D145" i="93" s="1"/>
  <c r="D151" i="93" a="1"/>
  <c r="D151" i="93" s="1"/>
  <c r="D153" i="93" a="1"/>
  <c r="D153" i="93" s="1"/>
  <c r="D139" i="93" a="1"/>
  <c r="D139" i="93" s="1"/>
  <c r="D163" i="93" a="1"/>
  <c r="D163" i="93" s="1"/>
  <c r="D120" i="93" a="1"/>
  <c r="D120" i="93" s="1"/>
  <c r="D94" i="93" a="1"/>
  <c r="D94" i="93" s="1"/>
  <c r="D91" i="93" a="1"/>
  <c r="D91" i="93" s="1"/>
  <c r="D118" i="93" a="1"/>
  <c r="D118" i="93" s="1"/>
  <c r="D144" i="93" a="1"/>
  <c r="D144" i="93" s="1"/>
  <c r="D154" i="93" a="1"/>
  <c r="D154" i="93" s="1"/>
  <c r="D138" i="93" a="1"/>
  <c r="D138" i="93" s="1"/>
  <c r="D162" i="93" a="1"/>
  <c r="D162" i="93" s="1"/>
  <c r="D111" i="93" a="1"/>
  <c r="D111" i="93" s="1"/>
  <c r="D102" i="93" a="1"/>
  <c r="D102" i="93" s="1"/>
  <c r="D112" i="93" a="1"/>
  <c r="D112" i="93" s="1"/>
  <c r="D121" i="78" a="1"/>
  <c r="D121" i="78" s="1"/>
  <c r="D124" i="78" a="1"/>
  <c r="D124" i="78" s="1"/>
  <c r="D133" i="78" a="1"/>
  <c r="D133" i="78" s="1"/>
  <c r="H9" i="97"/>
  <c r="H10" i="97"/>
  <c r="H11" i="97"/>
  <c r="H12" i="97"/>
  <c r="H13" i="97"/>
  <c r="H14" i="97"/>
  <c r="H15" i="97"/>
  <c r="I15" i="97" s="1"/>
  <c r="D27" i="98" s="1" a="1"/>
  <c r="D27" i="98" s="1"/>
  <c r="D27" i="101" s="1"/>
  <c r="H16" i="97"/>
  <c r="H17" i="97"/>
  <c r="H18" i="97"/>
  <c r="H19" i="97"/>
  <c r="H20" i="97"/>
  <c r="H21" i="97"/>
  <c r="H22" i="97"/>
  <c r="H23" i="97"/>
  <c r="H24" i="97"/>
  <c r="H25" i="97"/>
  <c r="H26" i="97"/>
  <c r="H27" i="97"/>
  <c r="H28" i="97"/>
  <c r="H29" i="97"/>
  <c r="H30" i="97"/>
  <c r="H31" i="97"/>
  <c r="H32" i="97"/>
  <c r="H33" i="97"/>
  <c r="H34" i="97"/>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D100" i="98" s="1" a="1"/>
  <c r="D100" i="98" s="1"/>
  <c r="D100" i="101" s="1"/>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139" i="98" s="1" a="1"/>
  <c r="D139" i="98" s="1"/>
  <c r="D91" i="98" a="1"/>
  <c r="D91" i="98" s="1"/>
  <c r="D91" i="101" s="1"/>
  <c r="D99" i="98" a="1"/>
  <c r="D99" i="98" s="1"/>
  <c r="D99"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J32" i="97"/>
  <c r="D79" i="98" s="1" a="1"/>
  <c r="D79" i="98" s="1"/>
  <c r="D79" i="101" s="1"/>
  <c r="J24" i="97"/>
  <c r="D55" i="98" s="1" a="1"/>
  <c r="D55" i="98" s="1"/>
  <c r="D55" i="101" s="1"/>
  <c r="I26" i="97"/>
  <c r="D60" i="98" s="1" a="1"/>
  <c r="D60" i="98" s="1"/>
  <c r="D60" i="101" s="1"/>
  <c r="J15" i="97" l="1"/>
  <c r="D28" i="98" s="1" a="1"/>
  <c r="D28" i="98" s="1"/>
  <c r="D28" i="101" s="1"/>
  <c r="I32" i="97"/>
  <c r="D78" i="98" s="1" a="1"/>
  <c r="D78" i="98" s="1"/>
  <c r="D78" i="101" s="1"/>
  <c r="I31" i="97"/>
  <c r="D75" i="98" s="1" a="1"/>
  <c r="D75" i="98" s="1"/>
  <c r="D75" i="101" s="1"/>
  <c r="I30" i="97"/>
  <c r="D72" i="98" s="1" a="1"/>
  <c r="D72" i="98" s="1"/>
  <c r="D72" i="101" s="1"/>
  <c r="I24" i="97"/>
  <c r="D54" i="98" s="1" a="1"/>
  <c r="D54" i="98" s="1"/>
  <c r="D54" i="101" s="1"/>
  <c r="I25" i="97"/>
  <c r="D57" i="98" s="1" a="1"/>
  <c r="D57" i="98" s="1"/>
  <c r="D57" i="101" s="1"/>
  <c r="I29" i="97"/>
  <c r="D69" i="98" s="1" a="1"/>
  <c r="D69" i="98" s="1"/>
  <c r="D69" i="101" s="1"/>
  <c r="I28" i="97"/>
  <c r="D66" i="98" s="1" a="1"/>
  <c r="D66" i="98" s="1"/>
  <c r="D66" i="101" s="1"/>
  <c r="J34" i="97"/>
  <c r="D85" i="98" s="1" a="1"/>
  <c r="D85" i="98" s="1"/>
  <c r="D85" i="101" s="1"/>
  <c r="J27" i="97"/>
  <c r="D64" i="98" s="1" a="1"/>
  <c r="D64" i="98" s="1"/>
  <c r="D64" i="101" s="1"/>
  <c r="I33" i="97"/>
  <c r="D81" i="98" s="1" a="1"/>
  <c r="D81" i="98" s="1"/>
  <c r="D81" i="101" s="1"/>
  <c r="J26" i="97"/>
  <c r="D61" i="98" s="1" a="1"/>
  <c r="D61" i="98" s="1"/>
  <c r="D61" i="101" s="1"/>
  <c r="J28" i="97"/>
  <c r="D67" i="98" s="1" a="1"/>
  <c r="D67" i="98" s="1"/>
  <c r="D67" i="101" s="1"/>
  <c r="I34" i="97"/>
  <c r="D84" i="98" s="1" a="1"/>
  <c r="D84" i="98" s="1"/>
  <c r="D84" i="101" s="1"/>
  <c r="J31" i="97"/>
  <c r="D76" i="98" s="1" a="1"/>
  <c r="D76" i="98" s="1"/>
  <c r="D76" i="101" s="1"/>
  <c r="I27" i="97"/>
  <c r="D63" i="98" s="1" a="1"/>
  <c r="D63" i="98" s="1"/>
  <c r="D63" i="101" s="1"/>
  <c r="J45" i="97"/>
  <c r="D118" i="98" s="1" a="1"/>
  <c r="D118" i="98" s="1"/>
  <c r="J37" i="97"/>
  <c r="D94" i="98" s="1" a="1"/>
  <c r="D94" i="98" s="1"/>
  <c r="D94" i="101" s="1"/>
  <c r="J29" i="97"/>
  <c r="D70" i="98" s="1" a="1"/>
  <c r="D70" i="98" s="1"/>
  <c r="D70" i="101" s="1"/>
  <c r="J49" i="97"/>
  <c r="D130" i="98" s="1" a="1"/>
  <c r="D130" i="98" s="1"/>
  <c r="J41" i="97"/>
  <c r="D106" i="98" s="1" a="1"/>
  <c r="D106" i="98" s="1"/>
  <c r="D106" i="101" s="1"/>
  <c r="J33" i="97"/>
  <c r="D82" i="98" s="1" a="1"/>
  <c r="D82" i="98" s="1"/>
  <c r="D82" i="101" s="1"/>
  <c r="J25" i="97"/>
  <c r="D58" i="98" s="1" a="1"/>
  <c r="D58" i="98" s="1"/>
  <c r="D58" i="101" s="1"/>
  <c r="J46" i="97"/>
  <c r="D121" i="98" s="1" a="1"/>
  <c r="D121" i="98" s="1"/>
  <c r="J38" i="97"/>
  <c r="D97" i="98" s="1" a="1"/>
  <c r="D97" i="98" s="1"/>
  <c r="D97" i="101" s="1"/>
  <c r="J30" i="97"/>
  <c r="D73" i="98" s="1" a="1"/>
  <c r="D73" i="98" s="1"/>
  <c r="D73"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D50" i="98" s="1" a="1"/>
  <c r="D50" i="98" s="1"/>
  <c r="D50" i="101" s="1"/>
  <c r="K20" i="97"/>
  <c r="D44" i="98" s="1" a="1"/>
  <c r="D44" i="98" s="1"/>
  <c r="D44" i="101" s="1"/>
  <c r="N20" i="97"/>
  <c r="I14" i="97" l="1"/>
  <c r="D24" i="98" s="1" a="1"/>
  <c r="D24" i="98" s="1"/>
  <c r="D24" i="101" s="1"/>
  <c r="J14" i="97"/>
  <c r="D25" i="98" s="1" a="1"/>
  <c r="D25" i="98" s="1"/>
  <c r="D25" i="101" s="1"/>
  <c r="J16" i="97"/>
  <c r="D31" i="98" s="1" a="1"/>
  <c r="D31" i="98" s="1"/>
  <c r="D31" i="101" s="1"/>
  <c r="I16" i="97"/>
  <c r="D30" i="98" s="1" a="1"/>
  <c r="D30" i="98" s="1"/>
  <c r="D30" i="101" s="1"/>
  <c r="I23" i="97"/>
  <c r="D51" i="98" s="1" a="1"/>
  <c r="D51" i="98" s="1"/>
  <c r="D51" i="101" s="1"/>
  <c r="J23" i="97"/>
  <c r="D52" i="98" s="1" a="1"/>
  <c r="D52" i="98" s="1"/>
  <c r="D52" i="101" s="1"/>
  <c r="J12" i="97"/>
  <c r="D19" i="98" s="1" a="1"/>
  <c r="D19" i="98" s="1"/>
  <c r="D19" i="101" s="1"/>
  <c r="I12" i="97"/>
  <c r="D18" i="98" s="1" a="1"/>
  <c r="D18" i="98" s="1"/>
  <c r="D18" i="101" s="1"/>
  <c r="J20" i="97"/>
  <c r="D43" i="98" s="1" a="1"/>
  <c r="D43" i="98" s="1"/>
  <c r="D43" i="101" s="1"/>
  <c r="I20" i="97"/>
  <c r="D42" i="98" s="1" a="1"/>
  <c r="D42" i="98" s="1"/>
  <c r="D42" i="101" s="1"/>
  <c r="J13" i="97"/>
  <c r="D22" i="98" s="1" a="1"/>
  <c r="D22" i="98" s="1"/>
  <c r="D22" i="101" s="1"/>
  <c r="I13" i="97"/>
  <c r="D21" i="98" s="1" a="1"/>
  <c r="D21" i="98" s="1"/>
  <c r="D21" i="101" s="1"/>
  <c r="I19" i="97"/>
  <c r="D39" i="98" s="1" a="1"/>
  <c r="D39" i="98" s="1"/>
  <c r="D39" i="101" s="1"/>
  <c r="J19" i="97"/>
  <c r="D40" i="98" s="1" a="1"/>
  <c r="D40" i="98" s="1"/>
  <c r="D40" i="101" s="1"/>
  <c r="I18" i="97"/>
  <c r="D36" i="98" s="1" a="1"/>
  <c r="D36" i="98" s="1"/>
  <c r="D36" i="101" s="1"/>
  <c r="J18" i="97"/>
  <c r="D37" i="98" s="1" a="1"/>
  <c r="D37" i="98" s="1"/>
  <c r="D37" i="101" s="1"/>
  <c r="J22" i="97"/>
  <c r="D49" i="98" s="1" a="1"/>
  <c r="D49" i="98" s="1"/>
  <c r="D49" i="101" s="1"/>
  <c r="I22" i="97"/>
  <c r="D48" i="98" s="1" a="1"/>
  <c r="D48" i="98" s="1"/>
  <c r="D48" i="101" s="1"/>
  <c r="J21" i="97"/>
  <c r="D46" i="98" s="1" a="1"/>
  <c r="D46" i="98" s="1"/>
  <c r="D46" i="101" s="1"/>
  <c r="I21" i="97"/>
  <c r="D45" i="98" s="1" a="1"/>
  <c r="D45" i="98" s="1"/>
  <c r="D45" i="101" s="1"/>
  <c r="I11" i="97"/>
  <c r="D15" i="98" s="1" a="1"/>
  <c r="D15" i="98" s="1"/>
  <c r="D15" i="101" s="1"/>
  <c r="J11" i="97"/>
  <c r="D16" i="98" s="1" a="1"/>
  <c r="D16" i="98" s="1"/>
  <c r="D16" i="101" s="1"/>
  <c r="I10" i="97"/>
  <c r="D12" i="98" s="1" a="1"/>
  <c r="D12" i="98" s="1"/>
  <c r="D12" i="101" s="1"/>
  <c r="J10" i="97"/>
  <c r="D13" i="98" s="1" a="1"/>
  <c r="D13" i="98" s="1"/>
  <c r="D13" i="101" s="1"/>
  <c r="I17" i="97"/>
  <c r="D33" i="98" s="1" a="1"/>
  <c r="D33" i="98" s="1"/>
  <c r="D33" i="101" s="1"/>
  <c r="J17" i="97"/>
  <c r="D34" i="98" s="1" a="1"/>
  <c r="D34" i="98" s="1"/>
  <c r="D34" i="101" s="1"/>
  <c r="J9" i="97"/>
  <c r="D10" i="98" s="1" a="1"/>
  <c r="D10" i="98" s="1"/>
  <c r="D10" i="101" s="1"/>
  <c r="I9" i="97"/>
  <c r="D9" i="98" s="1" a="1"/>
  <c r="D9" i="98" s="1"/>
  <c r="D9" i="101" s="1"/>
  <c r="J7" i="92"/>
  <c r="H51" i="102" l="1"/>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D87" i="103" s="1" a="1"/>
  <c r="D87" i="103" s="1"/>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N33" i="102"/>
  <c r="N34" i="102"/>
  <c r="N35" i="102"/>
  <c r="N36" i="102"/>
  <c r="N37" i="102"/>
  <c r="N39" i="102"/>
  <c r="N40" i="102"/>
  <c r="N41" i="102"/>
  <c r="N9" i="102"/>
  <c r="N10" i="102"/>
  <c r="N11" i="102"/>
  <c r="N12" i="102"/>
  <c r="N13" i="102"/>
  <c r="N14" i="102"/>
  <c r="N15" i="102"/>
  <c r="N16" i="102"/>
  <c r="N17" i="102"/>
  <c r="N18" i="102"/>
  <c r="N19" i="102"/>
  <c r="N20" i="102"/>
  <c r="N21" i="102"/>
  <c r="N22" i="102"/>
  <c r="N23" i="102"/>
  <c r="N24" i="102"/>
  <c r="N25" i="102"/>
  <c r="N26" i="102"/>
  <c r="N27" i="102"/>
  <c r="N28" i="102"/>
  <c r="N29" i="102"/>
  <c r="N30" i="102"/>
  <c r="N31" i="102"/>
  <c r="N32" i="102"/>
  <c r="N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K39" i="102"/>
  <c r="N38" i="102"/>
  <c r="K38" i="102"/>
  <c r="D98" i="103" s="1" a="1"/>
  <c r="D98" i="103" s="1"/>
  <c r="K37" i="102"/>
  <c r="K36" i="102"/>
  <c r="K35" i="102"/>
  <c r="K34" i="102"/>
  <c r="K33" i="102"/>
  <c r="K32" i="102"/>
  <c r="D80" i="103" s="1" a="1"/>
  <c r="D80" i="103" s="1"/>
  <c r="K31" i="102"/>
  <c r="K30" i="102"/>
  <c r="K29" i="102"/>
  <c r="D71" i="103" s="1" a="1"/>
  <c r="D71" i="103" s="1"/>
  <c r="K28" i="102"/>
  <c r="D68" i="103" s="1" a="1"/>
  <c r="D68" i="103" s="1"/>
  <c r="K27" i="102"/>
  <c r="K26" i="102"/>
  <c r="K25" i="102"/>
  <c r="K24" i="102"/>
  <c r="K23" i="102"/>
  <c r="K22" i="102"/>
  <c r="K21" i="102"/>
  <c r="K20" i="102"/>
  <c r="K19" i="102"/>
  <c r="K18" i="102"/>
  <c r="K17" i="102"/>
  <c r="K16" i="102"/>
  <c r="K15" i="102"/>
  <c r="K14" i="102"/>
  <c r="K13" i="102"/>
  <c r="K12" i="102"/>
  <c r="K11" i="102"/>
  <c r="K10" i="102"/>
  <c r="K9" i="102"/>
  <c r="K8" i="102"/>
  <c r="K7" i="102"/>
  <c r="J7" i="102"/>
  <c r="I7" i="102"/>
  <c r="D3" i="103" s="1" a="1"/>
  <c r="D3" i="103" s="1"/>
  <c r="H7" i="102"/>
  <c r="N6" i="102"/>
  <c r="N4" i="102"/>
  <c r="C4" i="102"/>
  <c r="N3" i="102"/>
  <c r="C3" i="102"/>
  <c r="N2" i="102"/>
  <c r="C2" i="102"/>
  <c r="C1" i="102"/>
  <c r="I62" i="92"/>
  <c r="I67" i="92"/>
  <c r="G62" i="92"/>
  <c r="H62" i="92" s="1"/>
  <c r="G63" i="92"/>
  <c r="H63" i="92" s="1"/>
  <c r="D171" i="93" s="1" a="1"/>
  <c r="D171" i="93" s="1"/>
  <c r="G64" i="92"/>
  <c r="H64" i="92" s="1"/>
  <c r="D174" i="93" s="1" a="1"/>
  <c r="D174" i="93" s="1"/>
  <c r="G65" i="92"/>
  <c r="H65" i="92" s="1"/>
  <c r="D177" i="93" s="1" a="1"/>
  <c r="D177" i="93" s="1"/>
  <c r="G66" i="92"/>
  <c r="H66" i="92" s="1"/>
  <c r="G67" i="92"/>
  <c r="H67" i="92" s="1"/>
  <c r="G68" i="92"/>
  <c r="H68" i="92" s="1"/>
  <c r="D183" i="93" s="1" a="1"/>
  <c r="D183" i="93" s="1"/>
  <c r="G69" i="92"/>
  <c r="H69" i="92" s="1"/>
  <c r="I66" i="92" l="1"/>
  <c r="D181" i="93" s="1" a="1"/>
  <c r="D181" i="93" s="1"/>
  <c r="D186" i="93" a="1"/>
  <c r="D186" i="93" s="1"/>
  <c r="D189" i="93" a="1"/>
  <c r="D189" i="93" s="1"/>
  <c r="D180" i="93" a="1"/>
  <c r="D180" i="93" s="1"/>
  <c r="D168" i="93" a="1"/>
  <c r="D168" i="93" s="1"/>
  <c r="D165" i="93" a="1"/>
  <c r="D165" i="93" s="1"/>
  <c r="I69" i="92"/>
  <c r="I65" i="92"/>
  <c r="D178" i="93" s="1" a="1"/>
  <c r="D178" i="93" s="1"/>
  <c r="I68" i="92"/>
  <c r="D184" i="93" s="1" a="1"/>
  <c r="D184" i="93" s="1"/>
  <c r="I64" i="92"/>
  <c r="D175" i="93" s="1" a="1"/>
  <c r="D175" i="93" s="1"/>
  <c r="D166" i="93" a="1"/>
  <c r="D166" i="93" s="1"/>
  <c r="I63" i="92"/>
  <c r="D172" i="93" s="1" a="1"/>
  <c r="D172" i="93" s="1"/>
  <c r="D169" i="103" a="1"/>
  <c r="D169" i="103" s="1"/>
  <c r="D154" i="103" a="1"/>
  <c r="D154" i="103" s="1"/>
  <c r="D47" i="103" a="1"/>
  <c r="D47" i="103" s="1"/>
  <c r="D145" i="103" a="1"/>
  <c r="D145" i="103" s="1"/>
  <c r="N5" i="102"/>
  <c r="D61" i="103" a="1"/>
  <c r="D61" i="103" s="1"/>
  <c r="D35" i="103" a="1"/>
  <c r="D35" i="103" s="1"/>
  <c r="D14" i="103" a="1"/>
  <c r="D14" i="103" s="1"/>
  <c r="D26" i="103" a="1"/>
  <c r="D26" i="103" s="1"/>
  <c r="D165" i="103" a="1"/>
  <c r="D165" i="103" s="1"/>
  <c r="D38" i="103" a="1"/>
  <c r="D38" i="103" s="1"/>
  <c r="D131" i="103" a="1"/>
  <c r="D131" i="103"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28" i="103" s="1" a="1"/>
  <c r="D28" i="103" s="1"/>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D55" i="103" s="1" a="1"/>
  <c r="D55" i="103" s="1"/>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C8" i="92"/>
  <c r="G8" i="92" s="1"/>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J2" i="90"/>
  <c r="I2" i="90"/>
  <c r="H2" i="90"/>
  <c r="G2" i="90"/>
  <c r="F2" i="90"/>
  <c r="E2" i="90"/>
  <c r="D2" i="90"/>
  <c r="C2" i="90"/>
  <c r="D36" i="91" s="1" a="1"/>
  <c r="D36" i="91" s="1"/>
  <c r="B2" i="90"/>
  <c r="H2" i="75"/>
  <c r="G2" i="75"/>
  <c r="F2" i="75"/>
  <c r="E2" i="75"/>
  <c r="D2" i="75"/>
  <c r="C2" i="75"/>
  <c r="B2" i="75"/>
  <c r="D35" i="76" s="1" a="1"/>
  <c r="D35" i="76" s="1"/>
  <c r="H8" i="97"/>
  <c r="K8" i="97"/>
  <c r="D8" i="98" s="1" a="1"/>
  <c r="D8" i="98" s="1"/>
  <c r="D8" i="101" s="1"/>
  <c r="K9" i="97"/>
  <c r="D11" i="98" s="1" a="1"/>
  <c r="D11" i="98" s="1"/>
  <c r="D11" i="101" s="1"/>
  <c r="K10" i="97"/>
  <c r="D14" i="98" s="1" a="1"/>
  <c r="D14" i="98" s="1"/>
  <c r="D14" i="101" s="1"/>
  <c r="K11" i="97"/>
  <c r="D17" i="98" s="1" a="1"/>
  <c r="D17" i="98" s="1"/>
  <c r="D17" i="101" s="1"/>
  <c r="K12" i="97"/>
  <c r="D20" i="98" s="1" a="1"/>
  <c r="D20" i="98" s="1"/>
  <c r="D20" i="101" s="1"/>
  <c r="K13" i="97"/>
  <c r="D23" i="98" s="1" a="1"/>
  <c r="D23" i="98" s="1"/>
  <c r="D23" i="101" s="1"/>
  <c r="K14" i="97"/>
  <c r="D26" i="98" s="1" a="1"/>
  <c r="D26" i="98" s="1"/>
  <c r="D26" i="101" s="1"/>
  <c r="K15" i="97"/>
  <c r="D29" i="98" s="1" a="1"/>
  <c r="D29" i="98" s="1"/>
  <c r="D29" i="101" s="1"/>
  <c r="K16" i="97"/>
  <c r="D32" i="98" s="1" a="1"/>
  <c r="D32" i="98" s="1"/>
  <c r="D32" i="101" s="1"/>
  <c r="K17" i="97"/>
  <c r="D35" i="98" s="1" a="1"/>
  <c r="D35" i="98" s="1"/>
  <c r="D35" i="101" s="1"/>
  <c r="K18" i="97"/>
  <c r="D38" i="98" s="1" a="1"/>
  <c r="D38" i="98" s="1"/>
  <c r="D38" i="101" s="1"/>
  <c r="K19" i="97"/>
  <c r="D41" i="98" s="1" a="1"/>
  <c r="D41" i="98" s="1"/>
  <c r="D41" i="101" s="1"/>
  <c r="K21" i="97"/>
  <c r="D47" i="98" s="1" a="1"/>
  <c r="D47" i="98" s="1"/>
  <c r="D47" i="101" s="1"/>
  <c r="K23" i="97"/>
  <c r="D53" i="98" s="1" a="1"/>
  <c r="D53" i="98" s="1"/>
  <c r="D53" i="101" s="1"/>
  <c r="K24" i="97"/>
  <c r="D56" i="98" s="1" a="1"/>
  <c r="D56" i="98" s="1"/>
  <c r="D56" i="101" s="1"/>
  <c r="K25" i="97"/>
  <c r="D59" i="98" s="1" a="1"/>
  <c r="D59" i="98" s="1"/>
  <c r="D59" i="101" s="1"/>
  <c r="K26" i="97"/>
  <c r="D62" i="98" s="1" a="1"/>
  <c r="D62" i="98" s="1"/>
  <c r="D62" i="101" s="1"/>
  <c r="K27" i="97"/>
  <c r="D65" i="98" s="1" a="1"/>
  <c r="D65" i="98" s="1"/>
  <c r="D65" i="101" s="1"/>
  <c r="K28" i="97"/>
  <c r="D68" i="98" s="1" a="1"/>
  <c r="D68" i="98" s="1"/>
  <c r="D68" i="101" s="1"/>
  <c r="K29" i="97"/>
  <c r="D71" i="98" s="1" a="1"/>
  <c r="D71" i="98" s="1"/>
  <c r="D71" i="101" s="1"/>
  <c r="K30" i="97"/>
  <c r="D74" i="98" s="1" a="1"/>
  <c r="D74" i="98" s="1"/>
  <c r="D74" i="101" s="1"/>
  <c r="K31" i="97"/>
  <c r="D77" i="98" s="1" a="1"/>
  <c r="D77" i="98" s="1"/>
  <c r="D77" i="101" s="1"/>
  <c r="K32" i="97"/>
  <c r="D80" i="98" s="1" a="1"/>
  <c r="D80" i="98" s="1"/>
  <c r="D80" i="101" s="1"/>
  <c r="K33" i="97"/>
  <c r="D83" i="98" s="1" a="1"/>
  <c r="D83" i="98" s="1"/>
  <c r="D83" i="101" s="1"/>
  <c r="K34" i="97"/>
  <c r="D86" i="98" s="1" a="1"/>
  <c r="D86" i="98" s="1"/>
  <c r="D86" i="101" s="1"/>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D187" i="93" l="1" a="1"/>
  <c r="D187" i="93" s="1"/>
  <c r="D190" i="93" a="1"/>
  <c r="D190" i="93" s="1"/>
  <c r="D169" i="93" a="1"/>
  <c r="D169" i="93" s="1"/>
  <c r="H8" i="92"/>
  <c r="I8" i="92"/>
  <c r="D29" i="81"/>
  <c r="D26" i="81"/>
  <c r="D47" i="81"/>
  <c r="D23" i="81"/>
  <c r="D44" i="81"/>
  <c r="D20" i="81"/>
  <c r="D32" i="81"/>
  <c r="D35" i="81"/>
  <c r="D41" i="81"/>
  <c r="D17" i="81"/>
  <c r="D38" i="81"/>
  <c r="D11" i="81"/>
  <c r="D14" i="8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D5" i="98" s="1" a="1"/>
  <c r="D5" i="98" s="1"/>
  <c r="D5" i="101" s="1"/>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M37" i="92"/>
  <c r="M36" i="92"/>
  <c r="M35" i="92"/>
  <c r="M34" i="92"/>
  <c r="M33" i="92"/>
  <c r="M32" i="92"/>
  <c r="M31" i="92"/>
  <c r="M30" i="92"/>
  <c r="M29" i="92"/>
  <c r="M27" i="92"/>
  <c r="M25" i="92"/>
  <c r="M24" i="92"/>
  <c r="M23" i="92"/>
  <c r="M22" i="92"/>
  <c r="M21" i="92"/>
  <c r="M20" i="92"/>
  <c r="M19" i="92"/>
  <c r="M18" i="92"/>
  <c r="M17" i="92"/>
  <c r="M16" i="92"/>
  <c r="M15" i="92"/>
  <c r="M14" i="92"/>
  <c r="M12" i="92"/>
  <c r="M11" i="92"/>
  <c r="M10" i="92"/>
  <c r="M9" i="92"/>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N5" i="99" l="1"/>
  <c r="I7" i="92"/>
  <c r="H7" i="92"/>
  <c r="D3" i="93" s="1" a="1"/>
  <c r="D3" i="93" s="1"/>
  <c r="D3" i="104" s="1"/>
  <c r="I8" i="97"/>
  <c r="D6" i="98" s="1" a="1"/>
  <c r="D6" i="98" s="1"/>
  <c r="D6" i="101" s="1"/>
  <c r="J8" i="97"/>
  <c r="D7" i="98" s="1" a="1"/>
  <c r="D7" i="98" s="1"/>
  <c r="D7" i="101" s="1"/>
  <c r="I7" i="99"/>
  <c r="D3" i="100" s="1" a="1"/>
  <c r="D3" i="100" s="1"/>
  <c r="D110" i="101" s="1"/>
  <c r="J15" i="99"/>
  <c r="D28" i="100" s="1" a="1"/>
  <c r="D28" i="100" s="1"/>
  <c r="D135" i="101" s="1"/>
  <c r="I24" i="99"/>
  <c r="D54" i="100" s="1" a="1"/>
  <c r="D54" i="100" s="1"/>
  <c r="D161" i="101" s="1"/>
  <c r="I32" i="99"/>
  <c r="D78" i="100" s="1" a="1"/>
  <c r="D78" i="100" s="1"/>
  <c r="D185" i="101" s="1"/>
  <c r="J23" i="99"/>
  <c r="D52" i="100" s="1" a="1"/>
  <c r="D52" i="100" s="1"/>
  <c r="D159" i="101" s="1"/>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D24" i="100" s="1" a="1"/>
  <c r="D24" i="100" s="1"/>
  <c r="D131" i="101" s="1"/>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tc={0EF5DA47-5ED6-4666-A23E-86D19F97667B}</author>
  </authors>
  <commentList>
    <comment ref="D10" authorId="0" shapeId="0" xr:uid="{0EF5DA47-5ED6-4666-A23E-86D19F97667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<sst xmlns="http://schemas.openxmlformats.org/spreadsheetml/2006/main" count="2630" uniqueCount="1152">
  <si>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</si>
  <si>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</si>
  <si>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</si>
  <si>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</si>
  <si>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</si>
  <si>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</si>
  <si>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</si>
  <si>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</si>
  <si>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</si>
  <si>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</si>
  <si>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</si>
  <si>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</si>
  <si>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</si>
  <si>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</si>
  <si>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</si>
  <si>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</si>
  <si>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</si>
  <si>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</si>
  <si>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</si>
  <si>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</si>
  <si>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</si>
  <si>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</si>
  <si>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</si>
  <si>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</si>
  <si>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</si>
  <si>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</si>
  <si>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</si>
  <si>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</si>
  <si>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</si>
  <si>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</si>
  <si>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</si>
  <si>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</si>
  <si>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</si>
  <si>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</si>
  <si>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</si>
  <si>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</si>
  <si>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</si>
  <si>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</si>
  <si>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</si>
  <si>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</si>
  <si>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</si>
  <si>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</si>
  <si>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</si>
  <si>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</si>
  <si>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</si>
  <si>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</si>
  <si>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</si>
  <si>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</si>
  <si>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</si>
  <si>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</si>
  <si>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</si>
  <si>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</si>
  <si>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</si>
  <si>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</si>
  <si>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</si>
  <si>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</si>
  <si>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</si>
  <si>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</si>
  <si>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</si>
  <si>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</si>
  <si>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</si>
  <si>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</si>
  <si>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</si>
  <si>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</si>
  <si>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</si>
  <si>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</si>
  <si>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</si>
  <si>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</si>
  <si>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</si>
  <si>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</si>
  <si>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</si>
  <si>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</si>
  <si>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</si>
  <si>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</si>
  <si>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</si>
  <si>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</si>
  <si>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</si>
  <si>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</si>
  <si>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</si>
  <si>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</si>
  <si>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</si>
  <si>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</si>
  <si>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</si>
  <si>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</si>
  <si>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</si>
  <si>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</si>
  <si>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</si>
  <si>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</si>
  <si>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</si>
  <si>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</si>
  <si>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</si>
  <si>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</si>
  <si>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</si>
  <si>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</si>
  <si>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</si>
  <si>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</si>
  <si>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</si>
  <si>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</si>
  <si>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</si>
  <si>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</si>
  <si>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</si>
  <si>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</si>
  <si>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</si>
  <si>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</si>
  <si>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</si>
  <si>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</si>
  <si>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</si>
  <si>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</si>
  <si>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</si>
  <si>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</si>
  <si>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</si>
  <si>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</si>
  <si>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</si>
  <si>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</si>
  <si>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</si>
  <si>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</si>
  <si>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</si>
  <si>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</si>
  <si>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</si>
  <si>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</si>
  <si>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</si>
  <si>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</si>
  <si>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</si>
  <si>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</si>
  <si>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</si>
  <si>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</si>
  <si>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</si>
  <si>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</si>
  <si>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</si>
  <si>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</si>
  <si>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</si>
  <si>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</si>
  <si>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</si>
  <si>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</si>
  <si>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</si>
  <si>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</si>
  <si>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</si>
  <si>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</si>
  <si>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</si>
  <si>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</si>
  <si>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</si>
  <si>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</si>
  <si>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</si>
  <si>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</si>
  <si>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</si>
  <si>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</si>
  <si>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</si>
  <si>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</si>
  <si>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</si>
  <si>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</si>
  <si>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</si>
  <si>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</si>
  <si>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</si>
  <si>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</si>
  <si>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</si>
  <si>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</si>
  <si>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</si>
  <si>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</si>
  <si>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</si>
  <si>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</si>
  <si>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</si>
  <si>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</si>
  <si>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</si>
  <si>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</si>
  <si>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</si>
  <si>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</si>
  <si>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</si>
  <si>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</si>
  <si>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</si>
  <si>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</si>
  <si>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</si>
  <si>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</si>
  <si>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</si>
  <si>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</si>
  <si>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</si>
  <si>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</si>
  <si>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</si>
  <si>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</si>
  <si>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</si>
  <si>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</si>
  <si>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</si>
  <si>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</si>
  <si>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</si>
  <si>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</si>
  <si>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</si>
  <si>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</si>
  <si>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</si>
  <si>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</si>
  <si>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</si>
  <si>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</si>
  <si>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</si>
  <si>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</si>
  <si>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</si>
  <si>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</si>
  <si>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</si>
  <si>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</si>
  <si>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</si>
  <si>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</si>
  <si>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</si>
  <si>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</si>
  <si>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</si>
  <si>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</si>
  <si>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</si>
  <si>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</si>
  <si>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</si>
  <si>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</si>
  <si>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</si>
  <si>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</si>
  <si>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</si>
  <si>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</si>
  <si>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</si>
  <si>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</si>
  <si>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</si>
  <si>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</si>
  <si>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</si>
  <si>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</si>
  <si>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</si>
  <si>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</si>
  <si>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</si>
  <si>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</si>
  <si>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</si>
  <si>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</si>
  <si>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</si>
  <si>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</si>
  <si>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</si>
  <si>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</si>
  <si>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</si>
  <si>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</si>
  <si>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</si>
  <si>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</si>
  <si>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</si>
  <si>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</si>
  <si>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</si>
  <si>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</si>
  <si>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</si>
  <si>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</si>
  <si>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</si>
  <si>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</si>
  <si>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</si>
  <si>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</si>
  <si>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</si>
  <si>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</si>
  <si>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</si>
  <si>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</si>
  <si>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</si>
  <si>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</si>
  <si>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</si>
  <si>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</si>
  <si>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</si>
  <si>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</si>
  <si>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</si>
  <si>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</si>
  <si>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</si>
  <si>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</si>
  <si>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</si>
  <si>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</si>
  <si>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</si>
  <si>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</si>
  <si>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</si>
  <si>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</si>
  <si>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</si>
  <si>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</si>
  <si>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</si>
  <si>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</si>
  <si>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</si>
  <si>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</si>
  <si>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</si>
  <si>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</si>
  <si>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</si>
  <si>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</si>
  <si>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</si>
  <si>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</si>
  <si>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</si>
  <si>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</si>
  <si>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</si>
  <si>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</si>
  <si>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</si>
  <si>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</si>
  <si>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</si>
  <si>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</si>
  <si>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</si>
  <si>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</si>
  <si>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</si>
  <si>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</si>
  <si>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</si>
  <si>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</si>
  <si>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</si>
  <si>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</si>
  <si>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</si>
  <si>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</si>
  <si>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</si>
  <si>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</si>
  <si>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</si>
  <si>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</si>
  <si>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</si>
  <si>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</si>
  <si>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</si>
  <si>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</si>
  <si>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</si>
  <si>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</si>
  <si>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</si>
  <si>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</si>
  <si>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</si>
  <si>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</si>
  <si>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</si>
  <si>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</si>
  <si>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</si>
  <si>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</si>
  <si>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</si>
  <si>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</si>
  <si>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</si>
  <si>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</si>
  <si>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</si>
  <si>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</si>
  <si>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</si>
  <si>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</si>
  <si>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</si>
  <si>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</si>
  <si>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</si>
  <si>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</si>
  <si>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</si>
  <si>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</si>
  <si>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</si>
  <si>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</si>
  <si>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</si>
  <si>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</si>
  <si>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</si>
  <si>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</si>
  <si>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</si>
  <si>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</si>
  <si>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</si>
  <si>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</si>
  <si>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</si>
  <si>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</si>
  <si>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</si>
  <si>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</si>
  <si>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</si>
  <si>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</si>
  <si>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</si>
  <si>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</si>
  <si>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</si>
  <si>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</si>
  <si>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</si>
  <si>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</si>
  <si>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</si>
  <si>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</si>
  <si>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</si>
  <si>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</si>
  <si>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</si>
  <si>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</si>
  <si>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</si>
  <si>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</si>
  <si>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</si>
  <si>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</si>
  <si>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</si>
  <si>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</si>
  <si>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</si>
  <si>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</si>
  <si>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</si>
  <si>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</si>
  <si>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</si>
  <si>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</si>
  <si>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</si>
  <si>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</si>
  <si>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</si>
  <si>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</si>
  <si>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</si>
  <si>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</si>
  <si>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</si>
  <si>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</si>
  <si>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</si>
  <si>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</si>
  <si>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</si>
  <si>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</si>
  <si>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</si>
  <si>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</si>
  <si>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</si>
  <si>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</si>
  <si>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</si>
  <si>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</si>
  <si>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</si>
  <si>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</si>
  <si>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</si>
  <si>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</si>
  <si>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</si>
  <si>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</si>
  <si>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</si>
  <si>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</si>
  <si>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</si>
  <si>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</si>
  <si>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</si>
  <si>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</si>
  <si>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</si>
  <si>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</si>
  <si>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</si>
  <si>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</si>
  <si>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</si>
  <si>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</si>
  <si>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</si>
  <si>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</si>
  <si>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</si>
  <si>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</si>
  <si>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</si>
  <si>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</si>
  <si>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</si>
  <si>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</si>
  <si>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</si>
  <si>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</si>
  <si>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</si>
  <si>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</si>
  <si>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</si>
  <si>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</si>
  <si>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</si>
  <si>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</si>
  <si>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</si>
  <si>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</si>
  <si>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</si>
  <si>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</si>
  <si>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</si>
  <si>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</si>
  <si>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</si>
  <si>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</si>
  <si>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</si>
  <si>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</si>
  <si>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</si>
  <si>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</si>
  <si>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</si>
  <si>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</si>
  <si>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</si>
  <si>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</si>
  <si>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</si>
  <si>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</si>
  <si>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</si>
  <si>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</si>
  <si>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</si>
  <si>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</si>
  <si>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</si>
  <si>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</si>
  <si>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</si>
  <si>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</si>
  <si>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</si>
  <si>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</si>
  <si>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</si>
  <si>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</si>
  <si>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</si>
  <si>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</si>
  <si>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</si>
  <si>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</si>
  <si>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</si>
  <si>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</si>
  <si>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</si>
  <si>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</si>
  <si>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</si>
  <si>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</si>
  <si>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</si>
  <si>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</si>
  <si>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</si>
  <si>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</si>
  <si>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</si>
  <si>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</si>
  <si>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</si>
  <si>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</si>
  <si>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</si>
  <si>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</si>
  <si>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</si>
  <si>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</si>
  <si>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</si>
  <si>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</si>
  <si>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</si>
  <si>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</si>
  <si>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</si>
  <si>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</si>
  <si>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</si>
  <si>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</si>
  <si>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</si>
  <si>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</si>
  <si>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</si>
  <si>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</si>
  <si>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</si>
  <si>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</si>
  <si>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</si>
  <si>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</si>
  <si>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</si>
  <si>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</si>
  <si>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</si>
  <si>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</si>
  <si>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</si>
  <si>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</si>
  <si>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</si>
  <si>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</si>
  <si>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</si>
  <si>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</si>
  <si>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</si>
  <si>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</si>
  <si>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</si>
  <si>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</si>
  <si>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</si>
  <si>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</si>
  <si>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</si>
  <si>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</si>
  <si>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</si>
  <si>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</si>
  <si>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</si>
  <si>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</si>
  <si>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</si>
  <si>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</si>
  <si>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</si>
  <si>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</si>
  <si>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</si>
  <si>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</si>
  <si>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</si>
  <si>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</si>
  <si>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</si>
  <si>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</si>
  <si>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</si>
  <si>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</si>
  <si>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</si>
  <si>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</si>
  <si>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</si>
  <si>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</si>
  <si>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</si>
  <si>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</si>
  <si>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</si>
  <si>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</si>
  <si>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</si>
  <si>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</si>
  <si>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</si>
  <si>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</si>
  <si>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</si>
  <si>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</si>
  <si>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</si>
  <si>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</si>
  <si>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</si>
  <si>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</si>
  <si>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</si>
  <si>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</si>
  <si>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</si>
  <si>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</si>
  <si>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</si>
  <si>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</si>
  <si>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</si>
  <si>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</si>
  <si>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</si>
  <si>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</si>
  <si>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</si>
  <si>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</si>
  <si>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</si>
  <si>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</si>
  <si>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</si>
  <si>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</si>
  <si>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</si>
  <si>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</si>
  <si>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</si>
  <si>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</si>
  <si>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</si>
  <si>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</si>
  <si>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</si>
  <si>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</si>
  <si>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</si>
  <si>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</si>
  <si>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</si>
  <si>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</si>
  <si>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</si>
  <si>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</si>
  <si>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</si>
  <si>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</si>
  <si>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</si>
  <si>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</si>
  <si>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</si>
  <si>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</si>
  <si>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</si>
  <si>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</si>
  <si>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</si>
  <si>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</si>
  <si>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</si>
  <si>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</si>
  <si>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</si>
  <si>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</si>
  <si>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</si>
  <si>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</si>
  <si>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</si>
  <si>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</si>
  <si>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</si>
  <si>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</si>
  <si>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</si>
  <si>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</si>
  <si>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</si>
  <si>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</si>
  <si>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</si>
  <si>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</si>
  <si>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</si>
  <si>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</si>
  <si>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</si>
  <si>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</si>
  <si>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</si>
  <si>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</si>
  <si>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</si>
  <si>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</si>
  <si>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</si>
  <si>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</si>
  <si>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</si>
  <si>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</si>
  <si>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</si>
  <si>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</si>
  <si>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</si>
  <si>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</si>
  <si>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</si>
  <si>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</si>
  <si>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</si>
  <si>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</si>
  <si>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</si>
  <si>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</si>
  <si>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</si>
  <si>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</si>
  <si>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</si>
  <si>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</si>
  <si>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</si>
  <si>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</si>
  <si>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</si>
  <si>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</si>
  <si>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</si>
  <si>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</si>
  <si>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</si>
  <si>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</si>
  <si>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</si>
  <si>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</si>
  <si>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</si>
  <si>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</si>
  <si>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</si>
  <si>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</si>
  <si>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</si>
  <si>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</si>
  <si>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</si>
  <si>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</si>
  <si>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</si>
  <si>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</si>
  <si>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</si>
  <si>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</si>
  <si>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</si>
  <si>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</si>
  <si>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</si>
  <si>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</si>
  <si>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</si>
  <si>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</si>
  <si>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</si>
  <si>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</si>
  <si>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</si>
  <si>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</si>
  <si>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</si>
  <si>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</si>
  <si>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</si>
  <si>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</si>
  <si>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</si>
  <si>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</si>
  <si>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</si>
  <si>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</si>
  <si>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</si>
  <si>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</si>
  <si>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</si>
  <si>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</si>
  <si>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</si>
  <si>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</si>
  <si>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</si>
  <si>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</si>
  <si>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</si>
  <si>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</si>
  <si>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</si>
  <si>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</si>
  <si>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</si>
  <si>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</si>
  <si>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</si>
  <si>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</si>
  <si>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</si>
  <si>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</si>
  <si>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</si>
  <si>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</si>
  <si>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</si>
  <si>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</si>
  <si>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</si>
  <si>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</si>
  <si>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</si>
  <si>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</si>
  <si>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</si>
  <si>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</si>
  <si>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</si>
  <si>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</si>
  <si>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</si>
  <si>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</si>
  <si>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</si>
  <si>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</si>
  <si>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</si>
  <si>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</si>
  <si>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</si>
  <si>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</si>
  <si>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</si>
  <si>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</si>
  <si>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</si>
  <si>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</si>
  <si>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</si>
  <si>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</si>
  <si>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</si>
  <si>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</si>
  <si>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</si>
  <si>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</si>
  <si>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</si>
  <si>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</si>
  <si>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</si>
  <si>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</si>
  <si>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</si>
  <si>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</si>
  <si>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</si>
  <si>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</si>
  <si>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</si>
  <si>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</si>
  <si>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</si>
  <si>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</si>
  <si>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</si>
  <si>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</si>
  <si>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</si>
  <si>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</si>
  <si>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</si>
  <si>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</si>
  <si>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</si>
  <si>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</si>
  <si>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</si>
  <si>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</si>
  <si>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</si>
  <si>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</si>
  <si>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</si>
  <si>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</si>
  <si>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</si>
  <si>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</si>
  <si>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</si>
  <si>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</si>
  <si>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</si>
  <si>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</si>
  <si>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</si>
  <si>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</si>
  <si>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</si>
  <si>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</si>
  <si>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</si>
  <si>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</si>
  <si>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</si>
  <si>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</si>
  <si>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</si>
  <si>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</si>
  <si>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</si>
  <si>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</si>
  <si>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</si>
  <si>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</si>
  <si>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</si>
  <si>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</si>
  <si>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</si>
  <si>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</si>
  <si>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</si>
  <si>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</si>
  <si>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</si>
  <si>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</si>
  <si>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</si>
  <si>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</si>
  <si>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</si>
  <si>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</si>
  <si>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</si>
  <si>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</si>
  <si>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</si>
  <si>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</si>
  <si>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</si>
  <si>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</si>
  <si>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</si>
  <si>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</si>
  <si>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</si>
  <si>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</si>
  <si>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</si>
  <si>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</si>
  <si>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</si>
  <si>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</si>
  <si>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</si>
  <si>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</si>
  <si>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</si>
  <si>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</si>
  <si>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</si>
  <si>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</si>
  <si>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</si>
  <si>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</si>
  <si>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</si>
  <si>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</si>
  <si>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</si>
  <si>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</si>
  <si>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</si>
  <si>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</si>
  <si>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</si>
  <si>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</si>
  <si>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</si>
  <si>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</si>
  <si>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</si>
  <si>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</si>
  <si>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</si>
  <si>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</si>
  <si>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</si>
  <si>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</si>
  <si>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</si>
  <si>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</si>
  <si>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</si>
  <si>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</si>
  <si>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</si>
  <si>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</si>
  <si>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</si>
  <si>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</si>
  <si>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</si>
  <si>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</si>
  <si>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</si>
  <si>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</si>
  <si>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</si>
  <si>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</si>
  <si>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</si>
  <si>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</si>
  <si>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</si>
  <si>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</si>
  <si>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</si>
  <si>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</si>
  <si>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</si>
  <si>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</si>
  <si>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</si>
  <si>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</si>
  <si>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</si>
  <si>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</si>
  <si>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</si>
  <si>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</si>
  <si>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</si>
  <si>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</si>
  <si>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</si>
  <si>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</si>
  <si>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</si>
  <si>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</si>
  <si>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</si>
  <si>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</si>
  <si>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</si>
  <si>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</si>
  <si>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</si>
  <si>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</si>
  <si>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</si>
  <si>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</si>
  <si>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</si>
  <si>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</si>
  <si>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</si>
  <si>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</si>
  <si>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</si>
  <si>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</si>
  <si>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</si>
  <si>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</si>
  <si>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</si>
  <si>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</si>
  <si>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</si>
  <si>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</si>
  <si>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</si>
  <si>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</si>
  <si>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</si>
  <si>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</si>
  <si>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</si>
  <si>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</si>
  <si>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</si>
  <si>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</si>
  <si>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</si>
  <si>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</si>
  <si>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</si>
  <si>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</si>
  <si>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</si>
  <si>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</si>
  <si>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</si>
  <si>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</si>
  <si>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</si>
  <si>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</si>
  <si>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</si>
  <si>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</si>
  <si>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</si>
  <si>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</si>
  <si>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</si>
  <si>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</si>
  <si>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</si>
  <si>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</si>
  <si>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</si>
  <si>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</si>
  <si>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</si>
  <si>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</si>
  <si>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</si>
  <si>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</si>
  <si>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</si>
  <si>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</si>
  <si>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</si>
  <si>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</si>
  <si>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</si>
  <si>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ClinicalDocument.participant</t>
  </si>
  <si>
    <t>http://hl7.org/v3/cda</t>
  </si>
  <si>
    <t>CDA (R2)</t>
  </si>
  <si>
    <t>.associatedEntity.telecom</t>
  </si>
  <si>
    <t>relatedDiagnosis</t>
  </si>
  <si>
    <t>relatedRelapse</t>
  </si>
  <si>
    <t>.effectivePeriod.start</t>
  </si>
  <si>
    <t>.effectivePeriod.end</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</si>
  <si>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</si>
  <si>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</si>
  <si>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</si>
  <si>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</si>
  <si>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</si>
  <si>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</si>
  <si>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</si>
  <si>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</si>
  <si>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</si>
  <si>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</si>
  <si>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</si>
  <si>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</si>
  <si>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</si>
  <si>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</si>
  <si>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</si>
  <si>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</si>
  <si>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</si>
  <si>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</si>
  <si>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</si>
  <si>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</si>
  <si>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</si>
  <si>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</si>
  <si>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</si>
  <si>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</si>
  <si>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</si>
  <si>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</si>
  <si>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</si>
  <si>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</si>
  <si>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</si>
  <si>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</si>
  <si>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</si>
  <si>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</si>
  <si>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</si>
  <si>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</si>
  <si>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</si>
  <si>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</si>
  <si>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</si>
  <si>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</si>
  <si>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</si>
  <si>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</si>
  <si>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</si>
  <si>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</si>
  <si>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</si>
  <si>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</si>
  <si>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</si>
  <si>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</si>
  <si>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</si>
  <si>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</si>
  <si>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</si>
  <si>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</si>
  <si>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</si>
  <si>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</si>
  <si>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</si>
  <si>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</si>
  <si>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</si>
  <si>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</si>
  <si>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</si>
  <si>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</si>
  <si>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</si>
  <si>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</si>
  <si>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</si>
  <si>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</si>
  <si>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</si>
  <si>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</si>
  <si>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</si>
  <si>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</si>
  <si>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</si>
  <si>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</si>
  <si>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</si>
  <si>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</si>
  <si>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</si>
  <si>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</si>
  <si>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</si>
  <si>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</si>
  <si>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</si>
  <si>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</si>
  <si>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</si>
  <si>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</si>
  <si>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</si>
  <si>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</si>
  <si>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</si>
  <si>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</si>
  <si>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</si>
  <si>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</si>
  <si>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</si>
  <si>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</si>
  <si>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</si>
  <si>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</si>
  <si>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</si>
  <si>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</si>
  <si>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</si>
  <si>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</si>
  <si>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</si>
  <si>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</si>
  <si>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</si>
  <si>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</si>
  <si>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</si>
  <si>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</si>
  <si>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</si>
  <si>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</si>
  <si>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</si>
  <si>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</si>
  <si>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</si>
  <si>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</si>
  <si>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</si>
  <si>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</si>
  <si>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</si>
  <si>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</si>
  <si>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</si>
  <si>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</si>
  <si>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</si>
  <si>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</si>
  <si>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</si>
  <si>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</si>
  <si>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</si>
  <si>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</si>
  <si>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</si>
  <si>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</si>
  <si>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</si>
  <si>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</si>
  <si>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</si>
  <si>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</si>
  <si>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</si>
  <si>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local | distant | combined</t>
  </si>
  <si>
    <t>qualifier</t>
  </si>
  <si>
    <t>relapse | progression</t>
  </si>
  <si>
    <t>site</t>
  </si>
  <si>
    <t>.extension('http://hl7.org/fhir/StructureDefinition/condition-occurredFollowing')</t>
  </si>
  <si>
    <t>.extension('http://hl7.org/fhir/StructureDefinition/condition-assertedDate')</t>
  </si>
  <si>
    <t>HL7 FHIR</t>
  </si>
  <si>
    <t>MedicalSuggestion</t>
  </si>
  <si>
    <t>suggestion identifier</t>
  </si>
  <si>
    <t>prescribedMedication</t>
  </si>
  <si>
    <t>prescribedMedication.name</t>
  </si>
  <si>
    <t>prescribedMedication.schedule</t>
  </si>
  <si>
    <t xml:space="preserve">Name </t>
  </si>
  <si>
    <t>Dosage</t>
  </si>
  <si>
    <t>Schedule</t>
  </si>
  <si>
    <t>Drug name</t>
  </si>
  <si>
    <t>prescribedMedication.dose</t>
  </si>
  <si>
    <t>Dose</t>
  </si>
  <si>
    <t>Drug dose. Quanity per administration</t>
  </si>
  <si>
    <t>Drug Schedule. When it should be administered</t>
  </si>
  <si>
    <t>prescribedMedication.date</t>
  </si>
  <si>
    <t>notes</t>
  </si>
  <si>
    <t>Quantity</t>
  </si>
  <si>
    <t>RelapseAfterFLT</t>
  </si>
  <si>
    <t>Progression-Relapse after  FLT</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</si>
  <si>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</si>
  <si>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Progression-Relapse after FLT</t>
  </si>
  <si>
    <t>Medications prescribed</t>
  </si>
  <si>
    <t>Date of prescription</t>
  </si>
  <si>
    <t>Comments and suggestions</t>
  </si>
  <si>
    <t>Medical suggestion
Maturity Level: 0 - Draft</t>
  </si>
  <si>
    <t>FrontLineTreatment
Marturity Level: 1 - Profiles in progress</t>
  </si>
  <si>
    <t>Condition.conformsTo('http://hl7.eu/fhir/ig/pcsp/StructureDefinition/Condition-secondaryCancer-eu-pcsp').bodySite</t>
  </si>
  <si>
    <t>prescribedMedication.text</t>
  </si>
  <si>
    <t>Textual description</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</si>
  <si>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</si>
  <si>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date of relapse</t>
  </si>
  <si>
    <t>NOT USED</t>
  </si>
  <si>
    <t>Progression-Relapse after FLT - Maturity Level: 2 - Ready for Review</t>
  </si>
  <si>
    <t>.extension('http://hl7.eu/fhir/ig/pcsp/StructureDefinition/condition-previousStatus').valueCodeableConcept OR Condition.where( clinicalStatus = #relapse or clinicalStatus = #recurrence).clinicalStatus</t>
  </si>
  <si>
    <t>.bodySite..extension('http://hl7.eu/fhir/ig/pcsp/StructureDefinition/mcode-body-location-qualifier').valueCodeableConcept</t>
  </si>
  <si>
    <t>.notes</t>
  </si>
  <si>
    <t>Metadata FSE Italy</t>
  </si>
  <si>
    <t>Metadata FSE Italy.
Maturity Level: 0</t>
  </si>
  <si>
    <t>Id documento (dovrebbe essere sull'oid root di regione Liguria) oid root + extension che comincia per nostro standard con le ultime tre cifre del codice azienda (940 per Gaslini) più punto più id univoco all'interno dell'azienda)</t>
  </si>
  <si>
    <t>Codice fiscale paziente soggetto del documento</t>
  </si>
  <si>
    <t>Codice fiscale autore del documento</t>
  </si>
  <si>
    <t>Struttura dell'autore (codifica come sopra)</t>
  </si>
  <si>
    <t>Ruolo autore (codifica come sopra)</t>
  </si>
  <si>
    <t>Firmatario del documento (codice fiscale)</t>
  </si>
  <si>
    <t>Codice azienda custode del documento (070940)</t>
  </si>
  <si>
    <t>Data creazione del documento</t>
  </si>
  <si>
    <t>Eventuale documento sostituito (oid + extension)</t>
  </si>
  <si>
    <t>Tipo mime del documento</t>
  </si>
  <si>
    <t>Codice loinc del documento (parliamone)</t>
  </si>
  <si>
    <t>Tipo documento (REF)</t>
  </si>
  <si>
    <t>Formato documento (PDF)</t>
  </si>
  <si>
    <t>Id repository (Gaslini ne ha uno)</t>
  </si>
  <si>
    <t>Practice setting code (da stabilire con Gaslini)</t>
  </si>
  <si>
    <t>Confidentiality (propendo per V, sarebbe un default))</t>
  </si>
  <si>
    <t>Oscuramento (propendo per l'invio come oscurato, sarebbe un default)</t>
  </si>
  <si>
    <t>Data indicizzazione (la aggiunge chi indicizza)</t>
  </si>
  <si>
    <t>Content type code (da decidere se consulto o dimissione)</t>
  </si>
  <si>
    <t>Size del documento</t>
  </si>
  <si>
    <t>Hash del documento</t>
  </si>
  <si>
    <t>DocMetadataFSE</t>
  </si>
  <si>
    <t>mimeType</t>
  </si>
  <si>
    <t>size</t>
  </si>
  <si>
    <t>replace</t>
  </si>
  <si>
    <t>hash</t>
  </si>
  <si>
    <t>code</t>
  </si>
  <si>
    <t>creationDate</t>
  </si>
  <si>
    <t>confidentiality</t>
  </si>
  <si>
    <t>mask</t>
  </si>
  <si>
    <t>document ID</t>
  </si>
  <si>
    <t>MIME type</t>
  </si>
  <si>
    <t>document code</t>
  </si>
  <si>
    <t>classCode</t>
  </si>
  <si>
    <t>formatCode</t>
  </si>
  <si>
    <t>Type of document</t>
  </si>
  <si>
    <t>Format of document</t>
  </si>
  <si>
    <t>replaced document</t>
  </si>
  <si>
    <t>creation date</t>
  </si>
  <si>
    <t>mask (oscuramento)</t>
  </si>
  <si>
    <t>repositoryId</t>
  </si>
  <si>
    <t>Patient Fiscal Code</t>
  </si>
  <si>
    <t>Author Fiscal Code</t>
  </si>
  <si>
    <t>author</t>
  </si>
  <si>
    <t>author.fiscalCode</t>
  </si>
  <si>
    <t>author.role</t>
  </si>
  <si>
    <t>author.orgCode</t>
  </si>
  <si>
    <t>Author Organization (code)</t>
  </si>
  <si>
    <t>Author</t>
  </si>
  <si>
    <t>Repository Id</t>
  </si>
  <si>
    <t>Author Role (code)</t>
  </si>
  <si>
    <t>contentType</t>
  </si>
  <si>
    <t>Content Type</t>
  </si>
  <si>
    <t>indexDate</t>
  </si>
  <si>
    <t>Index Date</t>
  </si>
  <si>
    <t>practiceSettingCode</t>
  </si>
  <si>
    <t>Practice setting code</t>
  </si>
  <si>
    <t>patientFiscalCode</t>
  </si>
  <si>
    <t>Attester Fiscal Code</t>
  </si>
  <si>
    <t>Custodian</t>
  </si>
  <si>
    <t>attesterFiscalCode</t>
  </si>
  <si>
    <t>custiodian</t>
  </si>
  <si>
    <t>DocumentReference</t>
  </si>
  <si>
    <t>DocumentReference.type</t>
  </si>
  <si>
    <t>DocumentReference.content.attachment.contentType</t>
  </si>
  <si>
    <t>DocumentReference.content.attachment.size</t>
  </si>
  <si>
    <t>DocumentReference.content.attachment.hash</t>
  </si>
  <si>
    <t>DocumentReference.content.attachment.creation</t>
  </si>
  <si>
    <t>DocumentReference.securityLabel</t>
  </si>
  <si>
    <t>DocumentReference.content.format</t>
  </si>
  <si>
    <t>DocumentReference.context.practiceSetting</t>
  </si>
  <si>
    <t>base64Binary</t>
  </si>
  <si>
    <t>unsignedInt</t>
  </si>
  <si>
    <t>DocumentReference.author</t>
  </si>
  <si>
    <t>DocumentReference.custodian.resolve().identifier</t>
  </si>
  <si>
    <t>DocumentReference.category</t>
  </si>
  <si>
    <t>DocumentReference.category (TBC)</t>
  </si>
  <si>
    <t>DocumentReference.date (TBC)</t>
  </si>
  <si>
    <t>DocumentReference.content.attachment.url</t>
  </si>
  <si>
    <t> DocumentReference.masterIdentifier</t>
  </si>
  <si>
    <t>DocumentReference.subject.resolve().ofType(Patient).identifier</t>
  </si>
  <si>
    <t>DocumentReference.author.resolve().ofType(PractitionerRole).practitioner.resolve().ofType(Practitioner).identifier</t>
  </si>
  <si>
    <t>DocumentReference.author.resolve().ofType(PractitionerRole).organization.resolve().identifier</t>
  </si>
  <si>
    <t>DocumentReference.author.resolve().ofType(PractitionerRole).organization.resolve().code</t>
  </si>
  <si>
    <t>DocumentReference.author.resolve().ofType(Practitioner).identifier</t>
  </si>
  <si>
    <t>DocumentReference.relatesTo.where(code = 'replaces').target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</si>
</sst>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
      <b/>
      <sz val="18"/>
      <name val="Calibri"/>
      <family val="2"/>
      <scheme val="minor"/>
    </font>
    <font>
      <sz val="11"/>
      <color rgb="FF21212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9">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6" fillId="0" borderId="0" applyNumberFormat="0" applyFill="0" applyBorder="0" applyAlignment="0" applyProtection="0"/>
  </cellStyleXfs>
  <cellXfs count="179">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5" borderId="0" xfId="0" applyFill="1"/>
    <xf numFmtId="0" fontId="27" fillId="0" borderId="0" xfId="0" applyFont="1" applyAlignment="1">
      <alignment vertical="center"/>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26" fillId="3" borderId="22" xfId="0" applyFont="1" applyFill="1" applyBorder="1" applyAlignment="1">
      <alignment horizontal="center" vertical="center"/>
    </xf>
    <xf numFmtId="0" fontId="26" fillId="3" borderId="23" xfId="0" applyFont="1" applyFill="1" applyBorder="1" applyAlignment="1">
      <alignment horizontal="center" vertical="center"/>
    </xf>
    <xf numFmtId="0" fontId="26" fillId="3" borderId="24" xfId="0" applyFont="1" applyFill="1" applyBorder="1" applyAlignment="1">
      <alignment horizontal="center" vertical="center"/>
    </xf>
    <xf numFmtId="0" fontId="26" fillId="3" borderId="21" xfId="0" applyFont="1" applyFill="1" applyBorder="1" applyAlignment="1">
      <alignment horizontal="center" vertical="center"/>
    </xf>
    <xf numFmtId="0" fontId="26" fillId="3" borderId="0" xfId="0" applyFont="1" applyFill="1" applyBorder="1" applyAlignment="1">
      <alignment horizontal="center" vertical="center"/>
    </xf>
    <xf numFmtId="0" fontId="26" fillId="3" borderId="25" xfId="0" applyFont="1" applyFill="1" applyBorder="1" applyAlignment="1">
      <alignment horizontal="center" vertical="center"/>
    </xf>
    <xf numFmtId="0" fontId="26" fillId="3" borderId="26" xfId="0" applyFont="1" applyFill="1" applyBorder="1" applyAlignment="1">
      <alignment horizontal="center" vertical="center"/>
    </xf>
    <xf numFmtId="0" fontId="26" fillId="3" borderId="27" xfId="0" applyFont="1" applyFill="1" applyBorder="1" applyAlignment="1">
      <alignment horizontal="center" vertical="center"/>
    </xf>
    <xf numFmtId="0" fontId="26" fillId="3" borderId="28" xfId="0" applyFont="1" applyFill="1" applyBorder="1" applyAlignment="1">
      <alignment horizontal="center" vertical="center"/>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304800</xdr:colOff>
          <xdr:row>0</xdr:row>
          <xdr:rowOff>0</xdr:rowOff>
        </xdr:from>
        <xdr:to>
          <xdr:col>22</xdr:col>
          <xdr:colOff>368300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203200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Meta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Meta-map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RelapseAfter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514350</xdr:colOff>
          <xdr:row>0</xdr:row>
          <xdr:rowOff>0</xdr:rowOff>
        </xdr:from>
        <xdr:to>
          <xdr:col>20</xdr:col>
          <xdr:colOff>355600</xdr:colOff>
          <xdr:row>1</xdr:row>
          <xdr:rowOff>114300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RelapseAfter-map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33</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0</xdr:colOff>
      <xdr:row>20</xdr:row>
      <xdr:rowOff>0</xdr:rowOff>
    </xdr:from>
    <xdr:ext cx="15875" cy="397439"/>
    <xdr:pic>
      <xdr:nvPicPr>
        <xdr:cNvPr id="8" name="Picture 6" descr=".">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9" name="Picture 7" descr=".">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10" name="Picture 8" descr=".">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11" name="Picture 9" descr=".">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12" name="Picture 10" descr=".">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13" name="Picture 11" descr=".">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0" dT="2022-05-01T09:43:17.13" personId="{06D2D05F-EBEA-41C2-92A1-6EF89573BC28}" id="{0EF5DA47-5ED6-4666-A23E-86D19F97667B}">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B240" zoomScale="60" zoomScaleNormal="60" workbookViewId="0"/>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hidden="1" customWidth="1"/>
    <col min="5" max="5" width="21.1328125" style="58" hidden="1" customWidth="1"/>
    <col min="6" max="6" width="21.54296875" style="58" hidden="1" customWidth="1"/>
    <col min="7" max="7" width="17.1328125" style="78" hidden="1" customWidth="1"/>
    <col min="8" max="8" width="54.86328125" style="78" hidden="1" customWidth="1"/>
    <col min="9" max="9" width="23.7265625" style="91" hidden="1" customWidth="1"/>
    <col min="10" max="10" width="63.1328125" style="94" customWidth="1"/>
    <col min="11" max="11" width="54.86328125" style="58" customWidth="1"/>
    <col min="12" max="16384" width="23" style="58"/>
  </cols>
  <sheetData>
    <row r="1" spans="1:11" ht="60" customHeight="1" thickBot="1" x14ac:dyDescent="0.9">
      <c r="B1" s="59" t="s">
        <v>69</v>
      </c>
      <c r="C1" s="60" t="s">
        <v>70</v>
      </c>
      <c r="D1" s="60" t="s">
        <v>71</v>
      </c>
      <c r="E1" s="60" t="s">
        <v>72</v>
      </c>
      <c r="F1" s="60" t="s">
        <v>73</v>
      </c>
      <c r="G1" s="60" t="s">
        <v>74</v>
      </c>
      <c r="H1" s="60" t="s">
        <v>75</v>
      </c>
      <c r="I1" s="60" t="s">
        <v>76</v>
      </c>
      <c r="J1" s="60" t="s">
        <v>77</v>
      </c>
      <c r="K1" s="60" t="s">
        <v>78</v>
      </c>
    </row>
    <row r="2" spans="1:11" ht="40.5" customHeight="1" x14ac:dyDescent="0.75">
      <c r="A2" s="159" t="s">
        <v>79</v>
      </c>
      <c r="B2" s="61"/>
      <c r="C2" s="62" t="s">
        <v>80</v>
      </c>
      <c r="D2" s="63"/>
      <c r="E2" s="63"/>
      <c r="F2" s="63"/>
      <c r="G2" s="63"/>
      <c r="H2" s="63"/>
      <c r="I2" s="63"/>
      <c r="J2" s="64"/>
      <c r="K2" s="63"/>
    </row>
    <row r="3" spans="1:11" ht="40.5" customHeight="1" x14ac:dyDescent="0.75">
      <c r="A3" s="160"/>
      <c r="B3" s="65"/>
      <c r="C3" s="66" t="s">
        <v>22</v>
      </c>
      <c r="D3" s="67" t="s">
        <v>22</v>
      </c>
      <c r="E3" s="67" t="s">
        <v>81</v>
      </c>
      <c r="F3" s="67"/>
      <c r="G3" s="67" t="s">
        <v>82</v>
      </c>
      <c r="H3" s="67"/>
      <c r="I3" s="67" t="s">
        <v>83</v>
      </c>
      <c r="J3" s="67" t="s">
        <v>84</v>
      </c>
      <c r="K3" s="68" t="s">
        <v>83</v>
      </c>
    </row>
    <row r="4" spans="1:11" ht="40.5" customHeight="1" x14ac:dyDescent="0.75">
      <c r="A4" s="160"/>
      <c r="B4" s="65"/>
      <c r="C4" s="69" t="s">
        <v>53</v>
      </c>
      <c r="D4" s="70" t="s">
        <v>85</v>
      </c>
      <c r="E4" s="70" t="s">
        <v>81</v>
      </c>
      <c r="F4" s="70"/>
      <c r="G4" s="67" t="s">
        <v>86</v>
      </c>
      <c r="H4" s="67"/>
      <c r="I4" s="70" t="s">
        <v>87</v>
      </c>
      <c r="J4" s="67" t="s">
        <v>88</v>
      </c>
      <c r="K4" s="68" t="s">
        <v>89</v>
      </c>
    </row>
    <row r="5" spans="1:11" ht="40.5" customHeight="1" x14ac:dyDescent="0.75">
      <c r="A5" s="160"/>
      <c r="B5" s="65"/>
      <c r="C5" s="69" t="s">
        <v>56</v>
      </c>
      <c r="D5" s="70" t="s">
        <v>90</v>
      </c>
      <c r="E5" s="70" t="s">
        <v>81</v>
      </c>
      <c r="F5" s="70"/>
      <c r="G5" s="67" t="s">
        <v>86</v>
      </c>
      <c r="H5" s="67"/>
      <c r="I5" s="70" t="s">
        <v>91</v>
      </c>
      <c r="J5" s="67" t="s">
        <v>92</v>
      </c>
      <c r="K5" s="68" t="s">
        <v>89</v>
      </c>
    </row>
    <row r="6" spans="1:11" ht="40.5" customHeight="1" x14ac:dyDescent="0.75">
      <c r="A6" s="160"/>
      <c r="B6" s="65"/>
      <c r="C6" s="69" t="s">
        <v>54</v>
      </c>
      <c r="D6" s="70" t="s">
        <v>93</v>
      </c>
      <c r="E6" s="70" t="s">
        <v>81</v>
      </c>
      <c r="F6" s="70"/>
      <c r="G6" s="67" t="s">
        <v>86</v>
      </c>
      <c r="H6" s="67"/>
      <c r="I6" s="70" t="s">
        <v>91</v>
      </c>
      <c r="J6" s="67" t="s">
        <v>94</v>
      </c>
      <c r="K6" s="68" t="s">
        <v>89</v>
      </c>
    </row>
    <row r="7" spans="1:11" ht="40.5" customHeight="1" x14ac:dyDescent="0.75">
      <c r="A7" s="160"/>
      <c r="B7" s="65"/>
      <c r="C7" s="69" t="s">
        <v>55</v>
      </c>
      <c r="D7" s="70" t="s">
        <v>95</v>
      </c>
      <c r="E7" s="70" t="s">
        <v>81</v>
      </c>
      <c r="F7" s="70"/>
      <c r="G7" s="67" t="s">
        <v>86</v>
      </c>
      <c r="H7" s="67"/>
      <c r="I7" s="70" t="s">
        <v>87</v>
      </c>
      <c r="J7" s="67" t="s">
        <v>96</v>
      </c>
      <c r="K7" s="68" t="s">
        <v>89</v>
      </c>
    </row>
    <row r="8" spans="1:11" ht="55.5" x14ac:dyDescent="0.75">
      <c r="A8" s="160"/>
      <c r="B8" s="162" t="s">
        <v>97</v>
      </c>
      <c r="C8" s="69" t="s">
        <v>57</v>
      </c>
      <c r="D8" s="70" t="s">
        <v>98</v>
      </c>
      <c r="E8" s="70" t="s">
        <v>99</v>
      </c>
      <c r="F8" s="70"/>
      <c r="G8" s="71" t="s">
        <v>82</v>
      </c>
      <c r="H8" s="67" t="s">
        <v>100</v>
      </c>
      <c r="I8" s="70" t="s">
        <v>87</v>
      </c>
      <c r="J8" s="67" t="s">
        <v>101</v>
      </c>
      <c r="K8" s="68" t="s">
        <v>83</v>
      </c>
    </row>
    <row r="9" spans="1:11" ht="40.5" customHeight="1" x14ac:dyDescent="0.75">
      <c r="A9" s="160"/>
      <c r="B9" s="162"/>
      <c r="C9" s="66" t="s">
        <v>102</v>
      </c>
      <c r="D9" s="67" t="s">
        <v>103</v>
      </c>
      <c r="E9" s="70" t="s">
        <v>81</v>
      </c>
      <c r="F9" s="70"/>
      <c r="G9" s="71" t="s">
        <v>86</v>
      </c>
      <c r="H9" s="67"/>
      <c r="I9" s="67" t="s">
        <v>104</v>
      </c>
      <c r="J9" s="67" t="s">
        <v>105</v>
      </c>
      <c r="K9" s="68" t="s">
        <v>83</v>
      </c>
    </row>
    <row r="10" spans="1:11" ht="40.5" customHeight="1" x14ac:dyDescent="0.75">
      <c r="A10" s="160"/>
      <c r="B10" s="162" t="s">
        <v>106</v>
      </c>
      <c r="C10" s="69" t="s">
        <v>58</v>
      </c>
      <c r="D10" s="70" t="s">
        <v>107</v>
      </c>
      <c r="E10" s="70" t="s">
        <v>4</v>
      </c>
      <c r="F10" s="70"/>
      <c r="G10" s="67" t="s">
        <v>4</v>
      </c>
      <c r="H10" s="67" t="s">
        <v>108</v>
      </c>
      <c r="I10" s="70" t="s">
        <v>87</v>
      </c>
      <c r="J10" s="67" t="s">
        <v>109</v>
      </c>
      <c r="K10" s="68" t="s">
        <v>89</v>
      </c>
    </row>
    <row r="11" spans="1:11" ht="40.5" customHeight="1" x14ac:dyDescent="0.75">
      <c r="A11" s="160"/>
      <c r="B11" s="162"/>
      <c r="C11" s="69" t="s">
        <v>110</v>
      </c>
      <c r="D11" s="70" t="s">
        <v>111</v>
      </c>
      <c r="E11" s="70" t="s">
        <v>82</v>
      </c>
      <c r="F11" s="70" t="s">
        <v>83</v>
      </c>
      <c r="G11" s="67" t="s">
        <v>82</v>
      </c>
      <c r="H11" s="67"/>
      <c r="I11" s="70" t="s">
        <v>83</v>
      </c>
      <c r="J11" s="67" t="s">
        <v>112</v>
      </c>
      <c r="K11" s="68" t="s">
        <v>83</v>
      </c>
    </row>
    <row r="12" spans="1:11" ht="40.5" customHeight="1" x14ac:dyDescent="0.75">
      <c r="A12" s="160"/>
      <c r="B12" s="65"/>
      <c r="C12" s="69" t="s">
        <v>59</v>
      </c>
      <c r="D12" s="70" t="s">
        <v>113</v>
      </c>
      <c r="E12" s="70" t="s">
        <v>81</v>
      </c>
      <c r="F12" s="70"/>
      <c r="G12" s="67" t="s">
        <v>86</v>
      </c>
      <c r="H12" s="67"/>
      <c r="I12" s="70" t="s">
        <v>91</v>
      </c>
      <c r="J12" s="67" t="s">
        <v>114</v>
      </c>
      <c r="K12" s="68" t="s">
        <v>89</v>
      </c>
    </row>
    <row r="13" spans="1:11" ht="40.5" customHeight="1" x14ac:dyDescent="0.75">
      <c r="A13" s="160"/>
      <c r="B13" s="163" t="s">
        <v>115</v>
      </c>
      <c r="C13" s="69" t="s">
        <v>116</v>
      </c>
      <c r="D13" s="70" t="s">
        <v>117</v>
      </c>
      <c r="E13" s="70" t="s">
        <v>99</v>
      </c>
      <c r="F13" s="70"/>
      <c r="G13" s="67" t="s">
        <v>82</v>
      </c>
      <c r="H13" s="67" t="s">
        <v>118</v>
      </c>
      <c r="I13" s="70" t="s">
        <v>87</v>
      </c>
      <c r="J13" s="67" t="s">
        <v>119</v>
      </c>
      <c r="K13" s="68" t="s">
        <v>89</v>
      </c>
    </row>
    <row r="14" spans="1:11" ht="40.5" customHeight="1" x14ac:dyDescent="0.75">
      <c r="A14" s="160"/>
      <c r="B14" s="164"/>
      <c r="C14" s="69" t="s">
        <v>60</v>
      </c>
      <c r="D14" s="70" t="s">
        <v>120</v>
      </c>
      <c r="E14" s="70" t="s">
        <v>81</v>
      </c>
      <c r="F14" s="70"/>
      <c r="G14" s="67" t="s">
        <v>86</v>
      </c>
      <c r="H14" s="67"/>
      <c r="I14" s="70" t="s">
        <v>121</v>
      </c>
      <c r="J14" s="67" t="s">
        <v>122</v>
      </c>
      <c r="K14" s="70" t="s">
        <v>89</v>
      </c>
    </row>
    <row r="15" spans="1:11" ht="40.5" customHeight="1" thickBot="1" x14ac:dyDescent="0.9">
      <c r="A15" s="161"/>
      <c r="B15" s="165"/>
      <c r="C15" s="69" t="s">
        <v>61</v>
      </c>
      <c r="D15" s="70" t="s">
        <v>123</v>
      </c>
      <c r="E15" s="70" t="s">
        <v>81</v>
      </c>
      <c r="F15" s="70"/>
      <c r="G15" s="67" t="s">
        <v>86</v>
      </c>
      <c r="H15" s="67"/>
      <c r="I15" s="70" t="s">
        <v>124</v>
      </c>
      <c r="J15" s="67" t="s">
        <v>125</v>
      </c>
      <c r="K15" s="70" t="s">
        <v>89</v>
      </c>
    </row>
    <row r="16" spans="1:11" ht="40.5" customHeight="1" thickBot="1" x14ac:dyDescent="0.9">
      <c r="B16" s="59" t="s">
        <v>126</v>
      </c>
      <c r="C16" s="72" t="s">
        <v>62</v>
      </c>
      <c r="D16" s="72"/>
      <c r="E16" s="72"/>
      <c r="F16" s="72"/>
      <c r="G16" s="63"/>
      <c r="H16" s="63"/>
      <c r="I16" s="72"/>
      <c r="J16" s="64"/>
      <c r="K16" s="72"/>
    </row>
    <row r="17" spans="1:14" ht="40.5" customHeight="1" x14ac:dyDescent="0.75">
      <c r="A17" s="166" t="s">
        <v>127</v>
      </c>
      <c r="B17" s="61"/>
      <c r="C17" s="66" t="s">
        <v>128</v>
      </c>
      <c r="D17" s="67" t="s">
        <v>129</v>
      </c>
      <c r="E17" s="67" t="s">
        <v>82</v>
      </c>
      <c r="F17" s="67" t="s">
        <v>83</v>
      </c>
      <c r="G17" s="67" t="s">
        <v>82</v>
      </c>
      <c r="H17" s="67"/>
      <c r="I17" s="67" t="s">
        <v>83</v>
      </c>
      <c r="J17" s="67" t="s">
        <v>130</v>
      </c>
      <c r="K17" s="68" t="s">
        <v>83</v>
      </c>
    </row>
    <row r="18" spans="1:14" ht="40.5" customHeight="1" x14ac:dyDescent="0.75">
      <c r="A18" s="167"/>
      <c r="B18" s="65"/>
      <c r="C18" s="69" t="s">
        <v>131</v>
      </c>
      <c r="D18" s="70" t="s">
        <v>132</v>
      </c>
      <c r="E18" s="70" t="s">
        <v>4</v>
      </c>
      <c r="F18" s="70"/>
      <c r="G18" s="67" t="s">
        <v>4</v>
      </c>
      <c r="H18" s="67" t="s">
        <v>108</v>
      </c>
      <c r="I18" s="70" t="s">
        <v>87</v>
      </c>
      <c r="J18" s="67" t="s">
        <v>133</v>
      </c>
      <c r="K18" s="68" t="s">
        <v>83</v>
      </c>
    </row>
    <row r="19" spans="1:14" s="74" customFormat="1" ht="40.5" customHeight="1" x14ac:dyDescent="0.75">
      <c r="A19" s="167"/>
      <c r="B19" s="73"/>
      <c r="C19" s="66" t="s">
        <v>134</v>
      </c>
      <c r="D19" s="67" t="s">
        <v>135</v>
      </c>
      <c r="E19" s="70" t="s">
        <v>99</v>
      </c>
      <c r="F19" s="70" t="s">
        <v>83</v>
      </c>
      <c r="G19" s="67" t="s">
        <v>82</v>
      </c>
      <c r="H19" s="70" t="s">
        <v>136</v>
      </c>
      <c r="I19" s="67" t="s">
        <v>83</v>
      </c>
      <c r="J19" s="67" t="s">
        <v>137</v>
      </c>
      <c r="K19" s="68" t="s">
        <v>138</v>
      </c>
      <c r="L19" s="58"/>
      <c r="M19" s="58"/>
      <c r="N19" s="58"/>
    </row>
    <row r="20" spans="1:14" ht="40.5" customHeight="1" x14ac:dyDescent="0.75">
      <c r="A20" s="167"/>
      <c r="B20" s="65"/>
      <c r="C20" s="69" t="s">
        <v>139</v>
      </c>
      <c r="D20" s="70" t="s">
        <v>140</v>
      </c>
      <c r="E20" s="70" t="s">
        <v>81</v>
      </c>
      <c r="F20" s="70" t="s">
        <v>83</v>
      </c>
      <c r="G20" s="70" t="s">
        <v>86</v>
      </c>
      <c r="H20" s="70"/>
      <c r="I20" s="70" t="s">
        <v>83</v>
      </c>
      <c r="J20" s="67" t="s">
        <v>141</v>
      </c>
      <c r="K20" s="75" t="s">
        <v>83</v>
      </c>
    </row>
    <row r="21" spans="1:14" ht="40.5" customHeight="1" x14ac:dyDescent="0.75">
      <c r="A21" s="167"/>
      <c r="B21" s="65"/>
      <c r="C21" s="69" t="s">
        <v>142</v>
      </c>
      <c r="D21" s="70" t="s">
        <v>143</v>
      </c>
      <c r="E21" s="70" t="s">
        <v>99</v>
      </c>
      <c r="F21" s="70"/>
      <c r="G21" s="67" t="s">
        <v>82</v>
      </c>
      <c r="H21" s="67" t="s">
        <v>144</v>
      </c>
      <c r="I21" s="70" t="s">
        <v>87</v>
      </c>
      <c r="J21" s="67" t="s">
        <v>145</v>
      </c>
      <c r="K21" s="68" t="s">
        <v>83</v>
      </c>
    </row>
    <row r="22" spans="1:14" s="78" customFormat="1" ht="40.5" customHeight="1" x14ac:dyDescent="0.75">
      <c r="A22" s="167"/>
      <c r="B22" s="76"/>
      <c r="C22" s="66" t="s">
        <v>146</v>
      </c>
      <c r="D22" s="67" t="s">
        <v>147</v>
      </c>
      <c r="E22" s="70" t="s">
        <v>81</v>
      </c>
      <c r="F22" s="70"/>
      <c r="G22" s="67" t="s">
        <v>86</v>
      </c>
      <c r="H22" s="67"/>
      <c r="I22" s="67" t="s">
        <v>148</v>
      </c>
      <c r="J22" s="67" t="s">
        <v>149</v>
      </c>
      <c r="K22" s="77" t="s">
        <v>83</v>
      </c>
    </row>
    <row r="23" spans="1:14" ht="40.5" customHeight="1" x14ac:dyDescent="0.75">
      <c r="A23" s="167"/>
      <c r="B23" s="65"/>
      <c r="C23" s="69" t="s">
        <v>150</v>
      </c>
      <c r="D23" s="70" t="s">
        <v>151</v>
      </c>
      <c r="E23" s="70" t="s">
        <v>4</v>
      </c>
      <c r="F23" s="70"/>
      <c r="G23" s="67" t="s">
        <v>4</v>
      </c>
      <c r="H23" s="67" t="s">
        <v>108</v>
      </c>
      <c r="I23" s="70" t="s">
        <v>152</v>
      </c>
      <c r="J23" s="67" t="s">
        <v>153</v>
      </c>
      <c r="K23" s="70" t="s">
        <v>89</v>
      </c>
    </row>
    <row r="24" spans="1:14" ht="40.5" customHeight="1" x14ac:dyDescent="0.75">
      <c r="A24" s="167"/>
      <c r="B24" s="65"/>
      <c r="C24" s="69" t="s">
        <v>154</v>
      </c>
      <c r="D24" s="70" t="s">
        <v>155</v>
      </c>
      <c r="E24" s="70" t="s">
        <v>99</v>
      </c>
      <c r="F24" s="70" t="s">
        <v>83</v>
      </c>
      <c r="G24" s="67" t="s">
        <v>86</v>
      </c>
      <c r="H24" s="67" t="s">
        <v>156</v>
      </c>
      <c r="I24" s="70" t="s">
        <v>83</v>
      </c>
      <c r="J24" s="67" t="s">
        <v>157</v>
      </c>
      <c r="K24" s="68" t="s">
        <v>83</v>
      </c>
    </row>
    <row r="25" spans="1:14" ht="40.5" customHeight="1" x14ac:dyDescent="0.75">
      <c r="A25" s="167"/>
      <c r="B25" s="65"/>
      <c r="C25" s="69" t="s">
        <v>62</v>
      </c>
      <c r="D25" s="70" t="s">
        <v>158</v>
      </c>
      <c r="E25" s="70" t="s">
        <v>99</v>
      </c>
      <c r="F25" s="70"/>
      <c r="G25" s="67" t="s">
        <v>86</v>
      </c>
      <c r="H25" s="67" t="s">
        <v>159</v>
      </c>
      <c r="I25" s="70" t="s">
        <v>87</v>
      </c>
      <c r="J25" s="67" t="s">
        <v>160</v>
      </c>
      <c r="K25" s="68" t="s">
        <v>83</v>
      </c>
    </row>
    <row r="26" spans="1:14" ht="40.5" customHeight="1" x14ac:dyDescent="0.75">
      <c r="A26" s="167"/>
      <c r="B26" s="65"/>
      <c r="C26" s="69" t="s">
        <v>161</v>
      </c>
      <c r="D26" s="70" t="s">
        <v>162</v>
      </c>
      <c r="E26" s="70" t="s">
        <v>99</v>
      </c>
      <c r="F26" s="70" t="s">
        <v>83</v>
      </c>
      <c r="G26" s="67" t="s">
        <v>82</v>
      </c>
      <c r="H26" s="67"/>
      <c r="I26" s="70" t="s">
        <v>83</v>
      </c>
      <c r="J26" s="67" t="s">
        <v>163</v>
      </c>
      <c r="K26" s="68" t="s">
        <v>89</v>
      </c>
    </row>
    <row r="27" spans="1:14" ht="40.5" customHeight="1" x14ac:dyDescent="0.75">
      <c r="A27" s="167"/>
      <c r="B27" s="65"/>
      <c r="C27" s="69" t="s">
        <v>164</v>
      </c>
      <c r="D27" s="70" t="s">
        <v>165</v>
      </c>
      <c r="E27" s="70" t="s">
        <v>81</v>
      </c>
      <c r="F27" s="70"/>
      <c r="G27" s="67" t="s">
        <v>86</v>
      </c>
      <c r="H27" s="67"/>
      <c r="I27" s="70" t="s">
        <v>91</v>
      </c>
      <c r="J27" s="67" t="s">
        <v>166</v>
      </c>
      <c r="K27" s="68" t="s">
        <v>83</v>
      </c>
    </row>
    <row r="28" spans="1:14" ht="40.5" customHeight="1" x14ac:dyDescent="0.75">
      <c r="A28" s="167"/>
      <c r="B28" s="65"/>
      <c r="C28" s="69" t="s">
        <v>167</v>
      </c>
      <c r="D28" s="67" t="s">
        <v>168</v>
      </c>
      <c r="E28" s="70" t="s">
        <v>99</v>
      </c>
      <c r="F28" s="70"/>
      <c r="G28" s="67" t="s">
        <v>86</v>
      </c>
      <c r="H28" s="67" t="s">
        <v>169</v>
      </c>
      <c r="I28" s="70" t="s">
        <v>87</v>
      </c>
      <c r="J28" s="67" t="s">
        <v>170</v>
      </c>
      <c r="K28" s="68" t="s">
        <v>83</v>
      </c>
    </row>
    <row r="29" spans="1:14" ht="40.5" customHeight="1" x14ac:dyDescent="0.75">
      <c r="A29" s="167"/>
      <c r="B29" s="65"/>
      <c r="C29" s="69" t="s">
        <v>171</v>
      </c>
      <c r="D29" s="70" t="s">
        <v>172</v>
      </c>
      <c r="E29" s="70" t="s">
        <v>81</v>
      </c>
      <c r="F29" s="70"/>
      <c r="G29" s="67" t="s">
        <v>86</v>
      </c>
      <c r="H29" s="67"/>
      <c r="I29" s="70" t="s">
        <v>91</v>
      </c>
      <c r="J29" s="67" t="s">
        <v>173</v>
      </c>
      <c r="K29" s="68" t="s">
        <v>83</v>
      </c>
    </row>
    <row r="30" spans="1:14" ht="111" x14ac:dyDescent="0.75">
      <c r="A30" s="167"/>
      <c r="B30" s="65"/>
      <c r="C30" s="69" t="s">
        <v>174</v>
      </c>
      <c r="D30" s="70" t="s">
        <v>175</v>
      </c>
      <c r="E30" s="70" t="s">
        <v>99</v>
      </c>
      <c r="F30" s="70"/>
      <c r="G30" s="67" t="s">
        <v>82</v>
      </c>
      <c r="H30" s="67" t="s">
        <v>176</v>
      </c>
      <c r="I30" s="67" t="s">
        <v>83</v>
      </c>
      <c r="J30" s="67" t="s">
        <v>177</v>
      </c>
      <c r="K30" s="68" t="s">
        <v>83</v>
      </c>
    </row>
    <row r="31" spans="1:14" ht="40.5" customHeight="1" x14ac:dyDescent="0.75">
      <c r="A31" s="167"/>
      <c r="B31" s="65"/>
      <c r="C31" s="69" t="s">
        <v>178</v>
      </c>
      <c r="D31" s="70" t="s">
        <v>179</v>
      </c>
      <c r="E31" s="70" t="s">
        <v>99</v>
      </c>
      <c r="F31" s="70"/>
      <c r="G31" s="67" t="s">
        <v>82</v>
      </c>
      <c r="H31" s="67" t="s">
        <v>180</v>
      </c>
      <c r="I31" s="67" t="s">
        <v>83</v>
      </c>
      <c r="J31" s="67" t="s">
        <v>181</v>
      </c>
      <c r="K31" s="68" t="s">
        <v>83</v>
      </c>
    </row>
    <row r="32" spans="1:14" ht="40.5" customHeight="1" x14ac:dyDescent="0.75">
      <c r="A32" s="167"/>
      <c r="B32" s="65"/>
      <c r="C32" s="69" t="s">
        <v>182</v>
      </c>
      <c r="D32" s="70" t="s">
        <v>183</v>
      </c>
      <c r="E32" s="70" t="s">
        <v>99</v>
      </c>
      <c r="F32" s="70"/>
      <c r="G32" s="67" t="s">
        <v>82</v>
      </c>
      <c r="H32" s="67" t="s">
        <v>184</v>
      </c>
      <c r="I32" s="67" t="s">
        <v>185</v>
      </c>
      <c r="J32" s="67"/>
      <c r="K32" s="68" t="s">
        <v>89</v>
      </c>
    </row>
    <row r="33" spans="1:11" ht="40.5" customHeight="1" x14ac:dyDescent="0.75">
      <c r="A33" s="167"/>
      <c r="B33" s="65"/>
      <c r="C33" s="69" t="s">
        <v>186</v>
      </c>
      <c r="D33" s="70" t="s">
        <v>187</v>
      </c>
      <c r="E33" s="70" t="s">
        <v>99</v>
      </c>
      <c r="F33" s="70"/>
      <c r="G33" s="67" t="s">
        <v>86</v>
      </c>
      <c r="H33" s="67"/>
      <c r="I33" s="70" t="s">
        <v>188</v>
      </c>
      <c r="J33" s="67" t="s">
        <v>189</v>
      </c>
      <c r="K33" s="68" t="s">
        <v>83</v>
      </c>
    </row>
    <row r="34" spans="1:11" ht="40.5" customHeight="1" x14ac:dyDescent="0.75">
      <c r="A34" s="167"/>
      <c r="B34" s="65"/>
      <c r="C34" s="69" t="s">
        <v>190</v>
      </c>
      <c r="D34" s="70" t="s">
        <v>191</v>
      </c>
      <c r="E34" s="70" t="s">
        <v>81</v>
      </c>
      <c r="F34" s="70"/>
      <c r="G34" s="67" t="s">
        <v>86</v>
      </c>
      <c r="H34" s="67"/>
      <c r="I34" s="70" t="s">
        <v>192</v>
      </c>
      <c r="J34" s="67" t="s">
        <v>193</v>
      </c>
      <c r="K34" s="68" t="s">
        <v>83</v>
      </c>
    </row>
    <row r="35" spans="1:11" ht="40.5" customHeight="1" x14ac:dyDescent="0.75">
      <c r="A35" s="167"/>
      <c r="B35" s="65"/>
      <c r="C35" s="69" t="s">
        <v>194</v>
      </c>
      <c r="D35" s="70" t="s">
        <v>195</v>
      </c>
      <c r="E35" s="70" t="s">
        <v>81</v>
      </c>
      <c r="F35" s="70"/>
      <c r="G35" s="67" t="s">
        <v>86</v>
      </c>
      <c r="H35" s="67"/>
      <c r="I35" s="70" t="s">
        <v>91</v>
      </c>
      <c r="J35" s="67" t="s">
        <v>196</v>
      </c>
      <c r="K35" s="68" t="s">
        <v>83</v>
      </c>
    </row>
    <row r="36" spans="1:11" ht="40.5" customHeight="1" x14ac:dyDescent="0.75">
      <c r="A36" s="167"/>
      <c r="B36" s="65"/>
      <c r="C36" s="69" t="s">
        <v>197</v>
      </c>
      <c r="D36" s="70" t="s">
        <v>198</v>
      </c>
      <c r="E36" s="70" t="s">
        <v>81</v>
      </c>
      <c r="F36" s="70"/>
      <c r="G36" s="67" t="s">
        <v>86</v>
      </c>
      <c r="H36" s="67"/>
      <c r="I36" s="70" t="s">
        <v>91</v>
      </c>
      <c r="J36" s="67" t="s">
        <v>199</v>
      </c>
      <c r="K36" s="68" t="s">
        <v>83</v>
      </c>
    </row>
    <row r="37" spans="1:11" ht="40.5" customHeight="1" x14ac:dyDescent="0.75">
      <c r="A37" s="167"/>
      <c r="B37" s="65"/>
      <c r="C37" s="69" t="s">
        <v>200</v>
      </c>
      <c r="D37" s="70" t="s">
        <v>201</v>
      </c>
      <c r="E37" s="70" t="s">
        <v>81</v>
      </c>
      <c r="F37" s="70"/>
      <c r="G37" s="67" t="s">
        <v>86</v>
      </c>
      <c r="H37" s="67"/>
      <c r="I37" s="70" t="s">
        <v>91</v>
      </c>
      <c r="J37" s="67" t="s">
        <v>202</v>
      </c>
      <c r="K37" s="68" t="s">
        <v>83</v>
      </c>
    </row>
    <row r="38" spans="1:11" ht="40.5" customHeight="1" x14ac:dyDescent="0.75">
      <c r="A38" s="167"/>
      <c r="B38" s="65"/>
      <c r="C38" s="69" t="s">
        <v>203</v>
      </c>
      <c r="D38" s="70" t="s">
        <v>204</v>
      </c>
      <c r="E38" s="70" t="s">
        <v>99</v>
      </c>
      <c r="F38" s="70"/>
      <c r="G38" s="67" t="s">
        <v>82</v>
      </c>
      <c r="H38" s="79" t="s">
        <v>205</v>
      </c>
      <c r="I38" s="70" t="s">
        <v>87</v>
      </c>
      <c r="J38" s="67" t="s">
        <v>206</v>
      </c>
      <c r="K38" s="68" t="s">
        <v>83</v>
      </c>
    </row>
    <row r="39" spans="1:11" ht="40.5" customHeight="1" x14ac:dyDescent="0.75">
      <c r="A39" s="167"/>
      <c r="B39" s="65"/>
      <c r="C39" s="69" t="s">
        <v>207</v>
      </c>
      <c r="D39" s="67" t="s">
        <v>208</v>
      </c>
      <c r="E39" s="70" t="s">
        <v>99</v>
      </c>
      <c r="F39" s="70"/>
      <c r="G39" s="67" t="s">
        <v>86</v>
      </c>
      <c r="H39" s="67" t="s">
        <v>209</v>
      </c>
      <c r="I39" s="67" t="s">
        <v>210</v>
      </c>
      <c r="J39" s="67" t="s">
        <v>211</v>
      </c>
      <c r="K39" s="68" t="s">
        <v>83</v>
      </c>
    </row>
    <row r="40" spans="1:11" ht="40.5" customHeight="1" x14ac:dyDescent="0.75">
      <c r="A40" s="167"/>
      <c r="B40" s="65"/>
      <c r="C40" s="69" t="s">
        <v>212</v>
      </c>
      <c r="D40" s="67" t="s">
        <v>213</v>
      </c>
      <c r="E40" s="70" t="s">
        <v>81</v>
      </c>
      <c r="F40" s="70"/>
      <c r="G40" s="67" t="s">
        <v>86</v>
      </c>
      <c r="H40" s="67"/>
      <c r="I40" s="67" t="s">
        <v>214</v>
      </c>
      <c r="J40" s="67" t="s">
        <v>215</v>
      </c>
      <c r="K40" s="68" t="s">
        <v>83</v>
      </c>
    </row>
    <row r="41" spans="1:11" ht="40.5" customHeight="1" x14ac:dyDescent="0.75">
      <c r="A41" s="167"/>
      <c r="B41" s="80" t="s">
        <v>216</v>
      </c>
      <c r="C41" s="69" t="s">
        <v>217</v>
      </c>
      <c r="D41" s="70" t="s">
        <v>218</v>
      </c>
      <c r="E41" s="70" t="s">
        <v>99</v>
      </c>
      <c r="F41" s="70"/>
      <c r="G41" s="67" t="s">
        <v>82</v>
      </c>
      <c r="H41" s="67" t="s">
        <v>205</v>
      </c>
      <c r="I41" s="70" t="s">
        <v>87</v>
      </c>
      <c r="J41" s="67" t="s">
        <v>219</v>
      </c>
      <c r="K41" s="68" t="s">
        <v>83</v>
      </c>
    </row>
    <row r="42" spans="1:11" ht="40.5" customHeight="1" x14ac:dyDescent="0.75">
      <c r="A42" s="167"/>
      <c r="B42" s="80" t="s">
        <v>220</v>
      </c>
      <c r="C42" s="81" t="s">
        <v>221</v>
      </c>
      <c r="D42" s="79" t="s">
        <v>222</v>
      </c>
      <c r="E42" s="67" t="s">
        <v>223</v>
      </c>
      <c r="F42" s="67"/>
      <c r="G42" s="67" t="s">
        <v>86</v>
      </c>
      <c r="H42" s="77"/>
      <c r="I42" s="67" t="s">
        <v>224</v>
      </c>
      <c r="J42" s="79" t="s">
        <v>225</v>
      </c>
      <c r="K42" s="68" t="s">
        <v>83</v>
      </c>
    </row>
    <row r="43" spans="1:11" ht="40.5" customHeight="1" thickBot="1" x14ac:dyDescent="0.9">
      <c r="A43" s="168"/>
      <c r="B43" s="82"/>
      <c r="C43" s="69" t="s">
        <v>226</v>
      </c>
      <c r="D43" s="70" t="s">
        <v>227</v>
      </c>
      <c r="E43" s="67" t="s">
        <v>223</v>
      </c>
      <c r="F43" s="67"/>
      <c r="G43" s="67" t="s">
        <v>86</v>
      </c>
      <c r="H43" s="67" t="s">
        <v>228</v>
      </c>
      <c r="I43" s="70" t="s">
        <v>91</v>
      </c>
      <c r="J43" s="67" t="s">
        <v>229</v>
      </c>
      <c r="K43" s="70" t="s">
        <v>83</v>
      </c>
    </row>
    <row r="44" spans="1:11" ht="130.25" thickBot="1" x14ac:dyDescent="0.9">
      <c r="B44" s="59" t="s">
        <v>230</v>
      </c>
      <c r="C44" s="83" t="s">
        <v>63</v>
      </c>
      <c r="D44" s="84"/>
      <c r="E44" s="84"/>
      <c r="F44" s="84"/>
      <c r="G44" s="85"/>
      <c r="H44" s="85"/>
      <c r="I44" s="86"/>
      <c r="J44" s="64"/>
      <c r="K44" s="84"/>
    </row>
    <row r="45" spans="1:11" ht="40.5" customHeight="1" x14ac:dyDescent="0.75">
      <c r="A45" s="87"/>
      <c r="B45" s="88" t="s">
        <v>231</v>
      </c>
      <c r="C45" s="66" t="s">
        <v>128</v>
      </c>
      <c r="D45" s="67" t="s">
        <v>129</v>
      </c>
      <c r="E45" s="67" t="s">
        <v>82</v>
      </c>
      <c r="F45" s="67" t="s">
        <v>83</v>
      </c>
      <c r="G45" s="67" t="s">
        <v>82</v>
      </c>
      <c r="H45" s="67"/>
      <c r="I45" s="67" t="s">
        <v>83</v>
      </c>
      <c r="J45" s="67" t="s">
        <v>232</v>
      </c>
      <c r="K45" s="77" t="s">
        <v>89</v>
      </c>
    </row>
    <row r="46" spans="1:11" ht="40.5" customHeight="1" x14ac:dyDescent="0.75">
      <c r="A46" s="89"/>
      <c r="B46" s="163" t="s">
        <v>233</v>
      </c>
      <c r="C46" s="69" t="s">
        <v>234</v>
      </c>
      <c r="D46" s="70" t="s">
        <v>235</v>
      </c>
      <c r="E46" s="70" t="s">
        <v>99</v>
      </c>
      <c r="F46" s="70"/>
      <c r="G46" s="67" t="s">
        <v>82</v>
      </c>
      <c r="H46" s="67" t="s">
        <v>236</v>
      </c>
      <c r="I46" s="70" t="s">
        <v>87</v>
      </c>
      <c r="J46" s="67" t="s">
        <v>237</v>
      </c>
      <c r="K46" s="68" t="s">
        <v>83</v>
      </c>
    </row>
    <row r="47" spans="1:11" ht="40.5" customHeight="1" x14ac:dyDescent="0.75">
      <c r="A47" s="89"/>
      <c r="B47" s="164"/>
      <c r="C47" s="69" t="s">
        <v>238</v>
      </c>
      <c r="D47" s="70" t="s">
        <v>239</v>
      </c>
      <c r="E47" s="70" t="s">
        <v>81</v>
      </c>
      <c r="F47" s="70"/>
      <c r="G47" s="67" t="s">
        <v>86</v>
      </c>
      <c r="H47" s="67"/>
      <c r="I47" s="67" t="s">
        <v>240</v>
      </c>
      <c r="J47" s="67" t="s">
        <v>241</v>
      </c>
      <c r="K47" s="68" t="s">
        <v>83</v>
      </c>
    </row>
    <row r="48" spans="1:11" ht="40.5" customHeight="1" x14ac:dyDescent="0.75">
      <c r="A48" s="89"/>
      <c r="B48" s="165"/>
      <c r="C48" s="69" t="s">
        <v>242</v>
      </c>
      <c r="D48" s="70" t="s">
        <v>243</v>
      </c>
      <c r="E48" s="70" t="s">
        <v>81</v>
      </c>
      <c r="F48" s="70"/>
      <c r="G48" s="67" t="s">
        <v>86</v>
      </c>
      <c r="H48" s="67"/>
      <c r="I48" s="67" t="s">
        <v>244</v>
      </c>
      <c r="J48" s="67" t="s">
        <v>245</v>
      </c>
      <c r="K48" s="68" t="s">
        <v>83</v>
      </c>
    </row>
    <row r="49" spans="1:11" ht="40.5" customHeight="1" x14ac:dyDescent="0.75">
      <c r="A49" s="89"/>
      <c r="B49" s="65"/>
      <c r="C49" s="69" t="s">
        <v>246</v>
      </c>
      <c r="D49" s="70" t="s">
        <v>247</v>
      </c>
      <c r="E49" s="70" t="s">
        <v>81</v>
      </c>
      <c r="F49" s="70"/>
      <c r="G49" s="67" t="s">
        <v>86</v>
      </c>
      <c r="H49" s="67"/>
      <c r="I49" s="67" t="s">
        <v>248</v>
      </c>
      <c r="J49" s="67" t="s">
        <v>249</v>
      </c>
      <c r="K49" s="68" t="s">
        <v>83</v>
      </c>
    </row>
    <row r="50" spans="1:11" ht="40.5" customHeight="1" x14ac:dyDescent="0.75">
      <c r="A50" s="89"/>
      <c r="B50" s="80"/>
      <c r="C50" s="69" t="s">
        <v>250</v>
      </c>
      <c r="D50" s="70" t="s">
        <v>251</v>
      </c>
      <c r="E50" s="70" t="s">
        <v>99</v>
      </c>
      <c r="F50" s="70"/>
      <c r="G50" s="67" t="s">
        <v>82</v>
      </c>
      <c r="H50" s="67" t="s">
        <v>180</v>
      </c>
      <c r="I50" s="70" t="s">
        <v>87</v>
      </c>
      <c r="J50" s="67" t="s">
        <v>252</v>
      </c>
      <c r="K50" s="68" t="s">
        <v>83</v>
      </c>
    </row>
    <row r="51" spans="1:11" ht="40.5" customHeight="1" x14ac:dyDescent="0.75">
      <c r="A51" s="89"/>
      <c r="B51" s="80"/>
      <c r="C51" s="69" t="s">
        <v>253</v>
      </c>
      <c r="D51" s="70" t="s">
        <v>64</v>
      </c>
      <c r="E51" s="70" t="s">
        <v>99</v>
      </c>
      <c r="F51" s="70"/>
      <c r="G51" s="67" t="s">
        <v>82</v>
      </c>
      <c r="H51" s="67" t="s">
        <v>205</v>
      </c>
      <c r="I51" s="70" t="s">
        <v>87</v>
      </c>
      <c r="J51" s="67" t="s">
        <v>254</v>
      </c>
      <c r="K51" s="68" t="s">
        <v>83</v>
      </c>
    </row>
    <row r="52" spans="1:11" ht="40.5" customHeight="1" x14ac:dyDescent="0.75">
      <c r="A52" s="89"/>
      <c r="B52" s="80"/>
      <c r="C52" s="69" t="s">
        <v>255</v>
      </c>
      <c r="D52" s="70" t="s">
        <v>256</v>
      </c>
      <c r="E52" s="70" t="s">
        <v>99</v>
      </c>
      <c r="F52" s="70"/>
      <c r="G52" s="67" t="s">
        <v>82</v>
      </c>
      <c r="H52" s="67" t="s">
        <v>180</v>
      </c>
      <c r="I52" s="70" t="s">
        <v>87</v>
      </c>
      <c r="J52" s="67" t="s">
        <v>257</v>
      </c>
      <c r="K52" s="68" t="s">
        <v>83</v>
      </c>
    </row>
    <row r="53" spans="1:11" ht="40.5" customHeight="1" x14ac:dyDescent="0.75">
      <c r="A53" s="89"/>
      <c r="B53" s="80"/>
      <c r="C53" s="69" t="s">
        <v>258</v>
      </c>
      <c r="D53" s="70" t="s">
        <v>259</v>
      </c>
      <c r="E53" s="70" t="s">
        <v>99</v>
      </c>
      <c r="F53" s="70"/>
      <c r="G53" s="67" t="s">
        <v>82</v>
      </c>
      <c r="H53" s="67" t="s">
        <v>260</v>
      </c>
      <c r="I53" s="70" t="s">
        <v>87</v>
      </c>
      <c r="J53" s="67" t="s">
        <v>261</v>
      </c>
      <c r="K53" s="68" t="s">
        <v>83</v>
      </c>
    </row>
    <row r="54" spans="1:11" ht="55.5" x14ac:dyDescent="0.75">
      <c r="A54" s="89"/>
      <c r="B54" s="80"/>
      <c r="C54" s="69" t="s">
        <v>262</v>
      </c>
      <c r="D54" s="70" t="s">
        <v>263</v>
      </c>
      <c r="E54" s="70" t="s">
        <v>99</v>
      </c>
      <c r="F54" s="70"/>
      <c r="G54" s="67" t="s">
        <v>82</v>
      </c>
      <c r="H54" s="67" t="s">
        <v>260</v>
      </c>
      <c r="I54" s="70" t="s">
        <v>87</v>
      </c>
      <c r="J54" s="67" t="s">
        <v>264</v>
      </c>
      <c r="K54" s="68" t="s">
        <v>83</v>
      </c>
    </row>
    <row r="55" spans="1:11" ht="40.5" customHeight="1" x14ac:dyDescent="0.75">
      <c r="A55" s="89"/>
      <c r="B55" s="65"/>
      <c r="C55" s="69" t="s">
        <v>265</v>
      </c>
      <c r="D55" s="70" t="s">
        <v>266</v>
      </c>
      <c r="E55" s="70" t="s">
        <v>4</v>
      </c>
      <c r="F55" s="70"/>
      <c r="G55" s="67" t="s">
        <v>4</v>
      </c>
      <c r="H55" s="67" t="s">
        <v>108</v>
      </c>
      <c r="I55" s="70" t="s">
        <v>87</v>
      </c>
      <c r="J55" s="67" t="s">
        <v>267</v>
      </c>
      <c r="K55" s="68" t="s">
        <v>83</v>
      </c>
    </row>
    <row r="56" spans="1:11" ht="40.5" customHeight="1" x14ac:dyDescent="0.75">
      <c r="A56" s="89"/>
      <c r="B56" s="65"/>
      <c r="C56" s="66" t="s">
        <v>268</v>
      </c>
      <c r="D56" s="67" t="s">
        <v>269</v>
      </c>
      <c r="E56" s="70" t="s">
        <v>99</v>
      </c>
      <c r="F56" s="70"/>
      <c r="G56" s="67" t="s">
        <v>82</v>
      </c>
      <c r="H56" s="67" t="s">
        <v>270</v>
      </c>
      <c r="I56" s="67" t="s">
        <v>83</v>
      </c>
      <c r="J56" s="67" t="s">
        <v>271</v>
      </c>
      <c r="K56" s="68" t="s">
        <v>83</v>
      </c>
    </row>
    <row r="57" spans="1:11" ht="40.5" customHeight="1" x14ac:dyDescent="0.75">
      <c r="A57" s="89"/>
      <c r="B57" s="65"/>
      <c r="C57" s="66" t="s">
        <v>272</v>
      </c>
      <c r="D57" s="67" t="s">
        <v>273</v>
      </c>
      <c r="E57" s="70" t="s">
        <v>81</v>
      </c>
      <c r="F57" s="70"/>
      <c r="G57" s="67" t="s">
        <v>86</v>
      </c>
      <c r="H57" s="67"/>
      <c r="I57" s="67" t="s">
        <v>274</v>
      </c>
      <c r="J57" s="67" t="s">
        <v>275</v>
      </c>
      <c r="K57" s="68" t="s">
        <v>83</v>
      </c>
    </row>
    <row r="58" spans="1:11" ht="54.25" customHeight="1" thickBot="1" x14ac:dyDescent="0.9">
      <c r="A58" s="90"/>
      <c r="B58" s="82"/>
      <c r="C58" s="66" t="s">
        <v>276</v>
      </c>
      <c r="D58" s="67" t="s">
        <v>277</v>
      </c>
      <c r="E58" s="70" t="s">
        <v>99</v>
      </c>
      <c r="F58" s="70"/>
      <c r="G58" s="67" t="s">
        <v>82</v>
      </c>
      <c r="H58" s="67" t="s">
        <v>270</v>
      </c>
      <c r="I58" s="67" t="s">
        <v>83</v>
      </c>
      <c r="J58" s="67" t="s">
        <v>278</v>
      </c>
      <c r="K58" s="77" t="s">
        <v>83</v>
      </c>
    </row>
    <row r="59" spans="1:11" ht="40.5" customHeight="1" thickBot="1" x14ac:dyDescent="0.9">
      <c r="B59" s="91" t="s">
        <v>279</v>
      </c>
      <c r="C59" s="83" t="s">
        <v>250</v>
      </c>
      <c r="D59" s="84"/>
      <c r="E59" s="84"/>
      <c r="F59" s="84"/>
      <c r="G59" s="85"/>
      <c r="H59" s="85"/>
      <c r="I59" s="86"/>
      <c r="J59" s="64"/>
      <c r="K59" s="84"/>
    </row>
    <row r="60" spans="1:11" ht="40.5" customHeight="1" x14ac:dyDescent="0.75">
      <c r="A60" s="87"/>
      <c r="B60" s="88" t="s">
        <v>231</v>
      </c>
      <c r="C60" s="66" t="s">
        <v>128</v>
      </c>
      <c r="D60" s="67" t="s">
        <v>129</v>
      </c>
      <c r="E60" s="67" t="s">
        <v>82</v>
      </c>
      <c r="F60" s="67" t="s">
        <v>83</v>
      </c>
      <c r="G60" s="67" t="s">
        <v>82</v>
      </c>
      <c r="H60" s="67"/>
      <c r="I60" s="67" t="s">
        <v>83</v>
      </c>
      <c r="J60" s="67" t="s">
        <v>280</v>
      </c>
      <c r="K60" s="77" t="s">
        <v>89</v>
      </c>
    </row>
    <row r="61" spans="1:11" ht="40.5" customHeight="1" x14ac:dyDescent="0.75">
      <c r="A61" s="89"/>
      <c r="B61" s="65"/>
      <c r="C61" s="66" t="s">
        <v>281</v>
      </c>
      <c r="D61" s="67" t="s">
        <v>282</v>
      </c>
      <c r="E61" s="67" t="s">
        <v>82</v>
      </c>
      <c r="F61" s="67" t="s">
        <v>83</v>
      </c>
      <c r="G61" s="67" t="s">
        <v>82</v>
      </c>
      <c r="H61" s="67"/>
      <c r="I61" s="67" t="s">
        <v>83</v>
      </c>
      <c r="J61" s="67"/>
      <c r="K61" s="77" t="s">
        <v>89</v>
      </c>
    </row>
    <row r="62" spans="1:11" ht="40.5" customHeight="1" x14ac:dyDescent="0.75">
      <c r="A62" s="89"/>
      <c r="B62" s="65"/>
      <c r="C62" s="69" t="s">
        <v>283</v>
      </c>
      <c r="D62" s="70" t="s">
        <v>143</v>
      </c>
      <c r="E62" s="70" t="s">
        <v>99</v>
      </c>
      <c r="F62" s="70"/>
      <c r="G62" s="67" t="s">
        <v>82</v>
      </c>
      <c r="H62" s="67" t="s">
        <v>284</v>
      </c>
      <c r="I62" s="70" t="s">
        <v>87</v>
      </c>
      <c r="J62" s="67" t="s">
        <v>285</v>
      </c>
      <c r="K62" s="68" t="s">
        <v>83</v>
      </c>
    </row>
    <row r="63" spans="1:11" ht="40.5" customHeight="1" x14ac:dyDescent="0.75">
      <c r="A63" s="89"/>
      <c r="B63" s="65"/>
      <c r="C63" s="69" t="s">
        <v>146</v>
      </c>
      <c r="D63" s="70" t="s">
        <v>147</v>
      </c>
      <c r="E63" s="70" t="s">
        <v>81</v>
      </c>
      <c r="F63" s="70"/>
      <c r="G63" s="67" t="s">
        <v>86</v>
      </c>
      <c r="H63" s="67"/>
      <c r="I63" s="67" t="s">
        <v>286</v>
      </c>
      <c r="J63" s="67" t="s">
        <v>287</v>
      </c>
      <c r="K63" s="68" t="s">
        <v>83</v>
      </c>
    </row>
    <row r="64" spans="1:11" ht="40.5" customHeight="1" x14ac:dyDescent="0.75">
      <c r="A64" s="89"/>
      <c r="B64" s="65"/>
      <c r="C64" s="69" t="s">
        <v>288</v>
      </c>
      <c r="D64" s="70" t="s">
        <v>289</v>
      </c>
      <c r="E64" s="70" t="s">
        <v>4</v>
      </c>
      <c r="F64" s="70"/>
      <c r="G64" s="67" t="s">
        <v>4</v>
      </c>
      <c r="H64" s="67" t="s">
        <v>108</v>
      </c>
      <c r="I64" s="70" t="s">
        <v>87</v>
      </c>
      <c r="J64" s="67" t="s">
        <v>290</v>
      </c>
      <c r="K64" s="68" t="s">
        <v>83</v>
      </c>
    </row>
    <row r="65" spans="1:11" ht="40.5" customHeight="1" x14ac:dyDescent="0.75">
      <c r="A65" s="89"/>
      <c r="B65" s="65"/>
      <c r="C65" s="69" t="s">
        <v>291</v>
      </c>
      <c r="D65" s="70" t="s">
        <v>292</v>
      </c>
      <c r="E65" s="70" t="s">
        <v>4</v>
      </c>
      <c r="F65" s="70"/>
      <c r="G65" s="67" t="s">
        <v>4</v>
      </c>
      <c r="H65" s="67" t="s">
        <v>108</v>
      </c>
      <c r="I65" s="70" t="s">
        <v>87</v>
      </c>
      <c r="J65" s="67" t="s">
        <v>293</v>
      </c>
      <c r="K65" s="68" t="s">
        <v>83</v>
      </c>
    </row>
    <row r="66" spans="1:11" ht="40.5" customHeight="1" x14ac:dyDescent="0.75">
      <c r="A66" s="89"/>
      <c r="B66" s="65"/>
      <c r="C66" s="69" t="s">
        <v>294</v>
      </c>
      <c r="D66" s="70" t="s">
        <v>295</v>
      </c>
      <c r="E66" s="70" t="s">
        <v>99</v>
      </c>
      <c r="F66" s="70"/>
      <c r="G66" s="67" t="s">
        <v>86</v>
      </c>
      <c r="H66" s="67"/>
      <c r="I66" s="70" t="s">
        <v>87</v>
      </c>
      <c r="J66" s="67" t="s">
        <v>296</v>
      </c>
      <c r="K66" s="68" t="s">
        <v>83</v>
      </c>
    </row>
    <row r="67" spans="1:11" ht="40.5" customHeight="1" x14ac:dyDescent="0.75">
      <c r="A67" s="89"/>
      <c r="B67" s="65"/>
      <c r="C67" s="69" t="s">
        <v>297</v>
      </c>
      <c r="D67" s="70" t="s">
        <v>298</v>
      </c>
      <c r="E67" s="70" t="s">
        <v>81</v>
      </c>
      <c r="F67" s="70"/>
      <c r="G67" s="67" t="s">
        <v>86</v>
      </c>
      <c r="H67" s="67"/>
      <c r="I67" s="70" t="s">
        <v>87</v>
      </c>
      <c r="J67" s="67" t="s">
        <v>299</v>
      </c>
      <c r="K67" s="68" t="s">
        <v>83</v>
      </c>
    </row>
    <row r="68" spans="1:11" ht="40.5" customHeight="1" x14ac:dyDescent="0.75">
      <c r="A68" s="89"/>
      <c r="B68" s="65"/>
      <c r="C68" s="69" t="s">
        <v>300</v>
      </c>
      <c r="D68" s="70" t="s">
        <v>301</v>
      </c>
      <c r="E68" s="70" t="s">
        <v>99</v>
      </c>
      <c r="F68" s="70"/>
      <c r="G68" s="67" t="s">
        <v>82</v>
      </c>
      <c r="H68" s="67" t="s">
        <v>302</v>
      </c>
      <c r="I68" s="92" t="s">
        <v>87</v>
      </c>
      <c r="J68" s="67" t="s">
        <v>303</v>
      </c>
      <c r="K68" s="68" t="s">
        <v>83</v>
      </c>
    </row>
    <row r="69" spans="1:11" ht="40.5" customHeight="1" x14ac:dyDescent="0.75">
      <c r="A69" s="89"/>
      <c r="B69" s="65"/>
      <c r="C69" s="69" t="s">
        <v>304</v>
      </c>
      <c r="D69" s="70" t="s">
        <v>305</v>
      </c>
      <c r="E69" s="70" t="s">
        <v>99</v>
      </c>
      <c r="F69" s="70"/>
      <c r="G69" s="67" t="s">
        <v>82</v>
      </c>
      <c r="H69" s="67" t="s">
        <v>306</v>
      </c>
      <c r="I69" s="70" t="s">
        <v>87</v>
      </c>
      <c r="J69" s="67" t="s">
        <v>307</v>
      </c>
      <c r="K69" s="68" t="s">
        <v>83</v>
      </c>
    </row>
    <row r="70" spans="1:11" ht="40.5" customHeight="1" x14ac:dyDescent="0.75">
      <c r="A70" s="89"/>
      <c r="B70" s="80"/>
      <c r="C70" s="66" t="s">
        <v>308</v>
      </c>
      <c r="D70" s="67" t="s">
        <v>309</v>
      </c>
      <c r="E70" s="70" t="s">
        <v>99</v>
      </c>
      <c r="F70" s="70"/>
      <c r="G70" s="67" t="s">
        <v>82</v>
      </c>
      <c r="H70" s="67" t="s">
        <v>180</v>
      </c>
      <c r="I70" s="67" t="s">
        <v>83</v>
      </c>
      <c r="J70" s="67" t="s">
        <v>310</v>
      </c>
      <c r="K70" s="77" t="s">
        <v>83</v>
      </c>
    </row>
    <row r="71" spans="1:11" s="78" customFormat="1" ht="40.5" customHeight="1" x14ac:dyDescent="0.75">
      <c r="A71" s="93"/>
      <c r="B71" s="76"/>
      <c r="C71" s="66" t="s">
        <v>311</v>
      </c>
      <c r="D71" s="67" t="s">
        <v>312</v>
      </c>
      <c r="E71" s="67" t="s">
        <v>313</v>
      </c>
      <c r="F71" s="67"/>
      <c r="G71" s="67" t="s">
        <v>82</v>
      </c>
      <c r="H71" s="70" t="s">
        <v>314</v>
      </c>
      <c r="I71" s="67" t="s">
        <v>89</v>
      </c>
      <c r="J71" s="67" t="s">
        <v>315</v>
      </c>
      <c r="K71" s="77" t="s">
        <v>89</v>
      </c>
    </row>
    <row r="72" spans="1:11" s="78" customFormat="1" ht="40.5" customHeight="1" x14ac:dyDescent="0.75">
      <c r="A72" s="93"/>
      <c r="B72" s="76"/>
      <c r="C72" s="66" t="s">
        <v>316</v>
      </c>
      <c r="D72" s="67" t="s">
        <v>317</v>
      </c>
      <c r="E72" s="70" t="s">
        <v>81</v>
      </c>
      <c r="F72" s="70"/>
      <c r="G72" s="67" t="s">
        <v>86</v>
      </c>
      <c r="H72" s="67"/>
      <c r="I72" s="70" t="s">
        <v>318</v>
      </c>
      <c r="J72" s="67" t="s">
        <v>319</v>
      </c>
      <c r="K72" s="77" t="s">
        <v>89</v>
      </c>
    </row>
    <row r="73" spans="1:11" ht="40.5" customHeight="1" x14ac:dyDescent="0.75">
      <c r="A73" s="89"/>
      <c r="B73" s="65"/>
      <c r="C73" s="69" t="s">
        <v>320</v>
      </c>
      <c r="D73" s="70" t="s">
        <v>321</v>
      </c>
      <c r="E73" s="70" t="s">
        <v>99</v>
      </c>
      <c r="F73" s="70"/>
      <c r="G73" s="67" t="s">
        <v>82</v>
      </c>
      <c r="H73" s="67" t="s">
        <v>205</v>
      </c>
      <c r="I73" s="70" t="s">
        <v>87</v>
      </c>
      <c r="J73" s="67" t="s">
        <v>322</v>
      </c>
      <c r="K73" s="68" t="s">
        <v>83</v>
      </c>
    </row>
    <row r="74" spans="1:11" ht="40.5" customHeight="1" x14ac:dyDescent="0.75">
      <c r="A74" s="89"/>
      <c r="B74" s="65"/>
      <c r="C74" s="69" t="s">
        <v>323</v>
      </c>
      <c r="D74" s="70" t="s">
        <v>324</v>
      </c>
      <c r="E74" s="70" t="s">
        <v>81</v>
      </c>
      <c r="F74" s="70"/>
      <c r="G74" s="67" t="s">
        <v>86</v>
      </c>
      <c r="H74" s="67"/>
      <c r="I74" s="67" t="s">
        <v>325</v>
      </c>
      <c r="J74" s="67" t="s">
        <v>326</v>
      </c>
      <c r="K74" s="70" t="s">
        <v>327</v>
      </c>
    </row>
    <row r="75" spans="1:11" ht="40.5" customHeight="1" x14ac:dyDescent="0.75">
      <c r="A75" s="89"/>
      <c r="B75" s="65"/>
      <c r="C75" s="66" t="s">
        <v>328</v>
      </c>
      <c r="D75" s="67" t="s">
        <v>329</v>
      </c>
      <c r="E75" s="70" t="s">
        <v>81</v>
      </c>
      <c r="F75" s="70"/>
      <c r="G75" s="67" t="s">
        <v>86</v>
      </c>
      <c r="H75" s="67"/>
      <c r="I75" s="67" t="s">
        <v>325</v>
      </c>
      <c r="J75" s="67" t="s">
        <v>330</v>
      </c>
      <c r="K75" s="68" t="s">
        <v>83</v>
      </c>
    </row>
    <row r="76" spans="1:11" ht="40.5" customHeight="1" x14ac:dyDescent="0.75">
      <c r="A76" s="89"/>
      <c r="B76" s="65"/>
      <c r="C76" s="69" t="s">
        <v>331</v>
      </c>
      <c r="D76" s="70" t="s">
        <v>332</v>
      </c>
      <c r="E76" s="70" t="s">
        <v>99</v>
      </c>
      <c r="F76" s="70"/>
      <c r="G76" s="67" t="s">
        <v>82</v>
      </c>
      <c r="H76" s="67" t="s">
        <v>333</v>
      </c>
      <c r="I76" s="70" t="s">
        <v>87</v>
      </c>
      <c r="J76" s="67" t="s">
        <v>334</v>
      </c>
      <c r="K76" s="68" t="s">
        <v>83</v>
      </c>
    </row>
    <row r="77" spans="1:11" ht="40.5" customHeight="1" thickBot="1" x14ac:dyDescent="0.9">
      <c r="A77" s="90"/>
      <c r="B77" s="82"/>
      <c r="C77" s="69" t="s">
        <v>335</v>
      </c>
      <c r="D77" s="70" t="s">
        <v>336</v>
      </c>
      <c r="E77" s="67" t="s">
        <v>223</v>
      </c>
      <c r="F77" s="67"/>
      <c r="G77" s="67" t="s">
        <v>86</v>
      </c>
      <c r="H77" s="67"/>
      <c r="I77" s="67" t="s">
        <v>337</v>
      </c>
      <c r="J77" s="67" t="s">
        <v>338</v>
      </c>
      <c r="K77" s="68" t="s">
        <v>83</v>
      </c>
    </row>
    <row r="78" spans="1:11" ht="40.5" customHeight="1" x14ac:dyDescent="0.75">
      <c r="B78" s="59" t="s">
        <v>339</v>
      </c>
      <c r="C78" s="83" t="s">
        <v>64</v>
      </c>
      <c r="D78" s="84"/>
      <c r="E78" s="84"/>
      <c r="F78" s="84"/>
      <c r="G78" s="85"/>
      <c r="H78" s="85"/>
      <c r="I78" s="86"/>
      <c r="J78" s="64"/>
      <c r="K78" s="84"/>
    </row>
    <row r="79" spans="1:11" ht="40.5" customHeight="1" x14ac:dyDescent="0.75">
      <c r="B79" s="59" t="s">
        <v>340</v>
      </c>
      <c r="C79" s="67" t="s">
        <v>128</v>
      </c>
      <c r="D79" s="67" t="s">
        <v>129</v>
      </c>
      <c r="E79" s="67" t="s">
        <v>82</v>
      </c>
      <c r="F79" s="67" t="s">
        <v>83</v>
      </c>
      <c r="G79" s="67" t="s">
        <v>82</v>
      </c>
      <c r="H79" s="67"/>
      <c r="I79" s="67" t="s">
        <v>83</v>
      </c>
      <c r="J79" s="67" t="s">
        <v>341</v>
      </c>
      <c r="K79" s="77" t="s">
        <v>89</v>
      </c>
    </row>
    <row r="80" spans="1:11" ht="40.5" customHeight="1" x14ac:dyDescent="0.75">
      <c r="C80" s="67" t="s">
        <v>281</v>
      </c>
      <c r="D80" s="67" t="s">
        <v>282</v>
      </c>
      <c r="E80" s="67" t="s">
        <v>82</v>
      </c>
      <c r="F80" s="67" t="s">
        <v>83</v>
      </c>
      <c r="G80" s="67" t="s">
        <v>82</v>
      </c>
      <c r="H80" s="67"/>
      <c r="I80" s="67" t="s">
        <v>83</v>
      </c>
      <c r="J80" s="67"/>
      <c r="K80" s="77" t="s">
        <v>89</v>
      </c>
    </row>
    <row r="81" spans="2:11" ht="40.5" customHeight="1" x14ac:dyDescent="0.75">
      <c r="C81" s="67" t="s">
        <v>342</v>
      </c>
      <c r="D81" s="67" t="s">
        <v>343</v>
      </c>
      <c r="E81" s="67" t="s">
        <v>82</v>
      </c>
      <c r="F81" s="67" t="s">
        <v>83</v>
      </c>
      <c r="G81" s="67" t="s">
        <v>82</v>
      </c>
      <c r="H81" s="67"/>
      <c r="I81" s="67" t="s">
        <v>83</v>
      </c>
      <c r="J81" s="67" t="s">
        <v>344</v>
      </c>
      <c r="K81" s="77" t="s">
        <v>89</v>
      </c>
    </row>
    <row r="82" spans="2:11" ht="40.5" customHeight="1" x14ac:dyDescent="0.75">
      <c r="C82" s="70" t="s">
        <v>283</v>
      </c>
      <c r="D82" s="70" t="s">
        <v>143</v>
      </c>
      <c r="E82" s="70" t="s">
        <v>99</v>
      </c>
      <c r="F82" s="70"/>
      <c r="G82" s="67" t="s">
        <v>82</v>
      </c>
      <c r="H82" s="67" t="s">
        <v>345</v>
      </c>
      <c r="I82" s="70" t="s">
        <v>87</v>
      </c>
      <c r="J82" s="67" t="s">
        <v>346</v>
      </c>
      <c r="K82" s="68" t="s">
        <v>83</v>
      </c>
    </row>
    <row r="83" spans="2:11" ht="40.5" customHeight="1" x14ac:dyDescent="0.75">
      <c r="C83" s="70" t="s">
        <v>146</v>
      </c>
      <c r="D83" s="70" t="s">
        <v>147</v>
      </c>
      <c r="E83" s="70" t="s">
        <v>81</v>
      </c>
      <c r="F83" s="70"/>
      <c r="G83" s="67" t="s">
        <v>86</v>
      </c>
      <c r="H83" s="67"/>
      <c r="I83" s="67" t="s">
        <v>347</v>
      </c>
      <c r="J83" s="67" t="s">
        <v>287</v>
      </c>
      <c r="K83" s="68" t="s">
        <v>83</v>
      </c>
    </row>
    <row r="84" spans="2:11" ht="40.5" customHeight="1" x14ac:dyDescent="0.75">
      <c r="C84" s="70" t="s">
        <v>348</v>
      </c>
      <c r="D84" s="70" t="s">
        <v>349</v>
      </c>
      <c r="E84" s="70" t="s">
        <v>4</v>
      </c>
      <c r="F84" s="70"/>
      <c r="G84" s="67" t="s">
        <v>4</v>
      </c>
      <c r="H84" s="67" t="s">
        <v>108</v>
      </c>
      <c r="I84" s="70" t="s">
        <v>87</v>
      </c>
      <c r="J84" s="67" t="s">
        <v>350</v>
      </c>
      <c r="K84" s="68" t="s">
        <v>83</v>
      </c>
    </row>
    <row r="85" spans="2:11" s="78" customFormat="1" ht="40.5" customHeight="1" x14ac:dyDescent="0.75">
      <c r="B85" s="94"/>
      <c r="C85" s="67" t="s">
        <v>351</v>
      </c>
      <c r="D85" s="67" t="s">
        <v>352</v>
      </c>
      <c r="E85" s="70" t="s">
        <v>99</v>
      </c>
      <c r="F85" s="70"/>
      <c r="G85" s="67" t="s">
        <v>82</v>
      </c>
      <c r="H85" s="67" t="s">
        <v>353</v>
      </c>
      <c r="I85" s="70" t="s">
        <v>87</v>
      </c>
      <c r="J85" s="67" t="s">
        <v>354</v>
      </c>
      <c r="K85" s="77" t="s">
        <v>83</v>
      </c>
    </row>
    <row r="86" spans="2:11" ht="40.5" customHeight="1" x14ac:dyDescent="0.75">
      <c r="C86" s="95" t="s">
        <v>355</v>
      </c>
      <c r="D86" s="95" t="s">
        <v>356</v>
      </c>
      <c r="E86" s="67" t="s">
        <v>99</v>
      </c>
      <c r="F86" s="67"/>
      <c r="G86" s="67" t="s">
        <v>82</v>
      </c>
      <c r="H86" s="67" t="s">
        <v>357</v>
      </c>
      <c r="I86" s="95" t="s">
        <v>358</v>
      </c>
      <c r="J86" s="95" t="s">
        <v>359</v>
      </c>
      <c r="K86" s="96" t="s">
        <v>83</v>
      </c>
    </row>
    <row r="87" spans="2:11" ht="40.5" customHeight="1" x14ac:dyDescent="0.75">
      <c r="C87" s="95" t="s">
        <v>360</v>
      </c>
      <c r="D87" s="95" t="s">
        <v>361</v>
      </c>
      <c r="E87" s="67" t="s">
        <v>99</v>
      </c>
      <c r="F87" s="67"/>
      <c r="G87" s="67" t="s">
        <v>82</v>
      </c>
      <c r="H87" s="67" t="s">
        <v>362</v>
      </c>
      <c r="I87" s="95" t="s">
        <v>363</v>
      </c>
      <c r="J87" s="95" t="s">
        <v>364</v>
      </c>
      <c r="K87" s="96" t="s">
        <v>83</v>
      </c>
    </row>
    <row r="88" spans="2:11" ht="40.5" customHeight="1" x14ac:dyDescent="0.75">
      <c r="C88" s="67" t="s">
        <v>365</v>
      </c>
      <c r="D88" s="67" t="s">
        <v>366</v>
      </c>
      <c r="E88" s="70" t="s">
        <v>99</v>
      </c>
      <c r="F88" s="70"/>
      <c r="G88" s="67" t="s">
        <v>82</v>
      </c>
      <c r="H88" s="67" t="s">
        <v>367</v>
      </c>
      <c r="I88" s="67" t="s">
        <v>368</v>
      </c>
      <c r="J88" s="67" t="s">
        <v>369</v>
      </c>
      <c r="K88" s="68" t="s">
        <v>83</v>
      </c>
    </row>
    <row r="89" spans="2:11" ht="40.5" customHeight="1" x14ac:dyDescent="0.75">
      <c r="C89" s="70" t="s">
        <v>370</v>
      </c>
      <c r="D89" s="70" t="s">
        <v>371</v>
      </c>
      <c r="E89" s="70" t="s">
        <v>81</v>
      </c>
      <c r="F89" s="70"/>
      <c r="G89" s="67" t="s">
        <v>86</v>
      </c>
      <c r="H89" s="67"/>
      <c r="I89" s="70" t="s">
        <v>87</v>
      </c>
      <c r="J89" s="67" t="s">
        <v>372</v>
      </c>
      <c r="K89" s="68" t="s">
        <v>83</v>
      </c>
    </row>
    <row r="90" spans="2:11" ht="40.5" customHeight="1" x14ac:dyDescent="0.75">
      <c r="C90" s="92" t="s">
        <v>373</v>
      </c>
      <c r="D90" s="92" t="s">
        <v>374</v>
      </c>
      <c r="E90" s="70" t="s">
        <v>99</v>
      </c>
      <c r="F90" s="70"/>
      <c r="G90" s="67" t="s">
        <v>82</v>
      </c>
      <c r="H90" s="67" t="s">
        <v>375</v>
      </c>
      <c r="I90" s="95" t="s">
        <v>376</v>
      </c>
      <c r="J90" s="95" t="s">
        <v>377</v>
      </c>
      <c r="K90" s="75" t="s">
        <v>83</v>
      </c>
    </row>
    <row r="91" spans="2:11" ht="40.5" customHeight="1" x14ac:dyDescent="0.75">
      <c r="C91" s="70" t="s">
        <v>378</v>
      </c>
      <c r="D91" s="70" t="s">
        <v>379</v>
      </c>
      <c r="E91" s="70" t="s">
        <v>99</v>
      </c>
      <c r="F91" s="70"/>
      <c r="G91" s="67" t="s">
        <v>82</v>
      </c>
      <c r="H91" s="67" t="s">
        <v>260</v>
      </c>
      <c r="I91" s="67" t="s">
        <v>376</v>
      </c>
      <c r="J91" s="67" t="s">
        <v>380</v>
      </c>
      <c r="K91" s="68" t="s">
        <v>83</v>
      </c>
    </row>
    <row r="92" spans="2:11" ht="40.5" customHeight="1" x14ac:dyDescent="0.75">
      <c r="C92" s="70" t="s">
        <v>381</v>
      </c>
      <c r="D92" s="70" t="s">
        <v>382</v>
      </c>
      <c r="E92" s="70" t="s">
        <v>99</v>
      </c>
      <c r="F92" s="70"/>
      <c r="G92" s="67" t="s">
        <v>82</v>
      </c>
      <c r="H92" s="67" t="s">
        <v>383</v>
      </c>
      <c r="I92" s="67" t="s">
        <v>384</v>
      </c>
      <c r="J92" s="67" t="s">
        <v>385</v>
      </c>
      <c r="K92" s="68" t="s">
        <v>83</v>
      </c>
    </row>
    <row r="93" spans="2:11" ht="40.5" customHeight="1" x14ac:dyDescent="0.75">
      <c r="C93" s="70" t="s">
        <v>288</v>
      </c>
      <c r="D93" s="70" t="s">
        <v>386</v>
      </c>
      <c r="E93" s="70" t="s">
        <v>4</v>
      </c>
      <c r="F93" s="70"/>
      <c r="G93" s="67" t="s">
        <v>4</v>
      </c>
      <c r="H93" s="67" t="s">
        <v>108</v>
      </c>
      <c r="I93" s="70" t="s">
        <v>387</v>
      </c>
      <c r="J93" s="67" t="s">
        <v>388</v>
      </c>
      <c r="K93" s="70" t="s">
        <v>89</v>
      </c>
    </row>
    <row r="94" spans="2:11" ht="40.5" customHeight="1" x14ac:dyDescent="0.75">
      <c r="C94" s="70" t="s">
        <v>291</v>
      </c>
      <c r="D94" s="70" t="s">
        <v>389</v>
      </c>
      <c r="E94" s="70" t="s">
        <v>4</v>
      </c>
      <c r="F94" s="70"/>
      <c r="G94" s="67" t="s">
        <v>4</v>
      </c>
      <c r="H94" s="67" t="s">
        <v>108</v>
      </c>
      <c r="I94" s="70" t="s">
        <v>390</v>
      </c>
      <c r="J94" s="67" t="s">
        <v>391</v>
      </c>
      <c r="K94" s="70" t="s">
        <v>89</v>
      </c>
    </row>
    <row r="95" spans="2:11" ht="40.5" customHeight="1" x14ac:dyDescent="0.75">
      <c r="C95" s="92" t="s">
        <v>392</v>
      </c>
      <c r="D95" s="92" t="s">
        <v>393</v>
      </c>
      <c r="E95" s="70" t="s">
        <v>99</v>
      </c>
      <c r="F95" s="70"/>
      <c r="G95" s="67" t="s">
        <v>82</v>
      </c>
      <c r="H95" s="67" t="s">
        <v>260</v>
      </c>
      <c r="I95" s="95" t="s">
        <v>376</v>
      </c>
      <c r="J95" s="95" t="s">
        <v>394</v>
      </c>
      <c r="K95" s="75" t="s">
        <v>83</v>
      </c>
    </row>
    <row r="96" spans="2:11" ht="40.5" customHeight="1" x14ac:dyDescent="0.75">
      <c r="C96" s="70" t="s">
        <v>381</v>
      </c>
      <c r="D96" s="70" t="s">
        <v>395</v>
      </c>
      <c r="E96" s="70" t="s">
        <v>99</v>
      </c>
      <c r="F96" s="70"/>
      <c r="G96" s="67" t="s">
        <v>82</v>
      </c>
      <c r="H96" s="67" t="s">
        <v>396</v>
      </c>
      <c r="I96" s="67" t="s">
        <v>397</v>
      </c>
      <c r="J96" s="67" t="s">
        <v>398</v>
      </c>
      <c r="K96" s="68" t="s">
        <v>83</v>
      </c>
    </row>
    <row r="97" spans="1:11" ht="40.5" customHeight="1" x14ac:dyDescent="0.75">
      <c r="C97" s="70" t="s">
        <v>288</v>
      </c>
      <c r="D97" s="70" t="s">
        <v>399</v>
      </c>
      <c r="E97" s="70" t="s">
        <v>4</v>
      </c>
      <c r="F97" s="70"/>
      <c r="G97" s="67" t="s">
        <v>4</v>
      </c>
      <c r="H97" s="67" t="s">
        <v>108</v>
      </c>
      <c r="I97" s="67" t="s">
        <v>89</v>
      </c>
      <c r="J97" s="67" t="s">
        <v>400</v>
      </c>
      <c r="K97" s="68" t="s">
        <v>83</v>
      </c>
    </row>
    <row r="98" spans="1:11" ht="40.5" customHeight="1" x14ac:dyDescent="0.75">
      <c r="C98" s="70" t="s">
        <v>291</v>
      </c>
      <c r="D98" s="70" t="s">
        <v>401</v>
      </c>
      <c r="E98" s="70" t="s">
        <v>4</v>
      </c>
      <c r="F98" s="70"/>
      <c r="G98" s="67" t="s">
        <v>4</v>
      </c>
      <c r="H98" s="67" t="s">
        <v>108</v>
      </c>
      <c r="I98" s="70" t="s">
        <v>390</v>
      </c>
      <c r="J98" s="67" t="s">
        <v>402</v>
      </c>
      <c r="K98" s="70" t="s">
        <v>89</v>
      </c>
    </row>
    <row r="99" spans="1:11" ht="40.5" customHeight="1" x14ac:dyDescent="0.75">
      <c r="C99" s="70" t="s">
        <v>403</v>
      </c>
      <c r="D99" s="70" t="s">
        <v>404</v>
      </c>
      <c r="E99" s="70" t="s">
        <v>81</v>
      </c>
      <c r="F99" s="70"/>
      <c r="G99" s="67" t="s">
        <v>86</v>
      </c>
      <c r="H99" s="67"/>
      <c r="I99" s="67" t="s">
        <v>405</v>
      </c>
      <c r="J99" s="67" t="s">
        <v>406</v>
      </c>
      <c r="K99" s="68" t="s">
        <v>83</v>
      </c>
    </row>
    <row r="100" spans="1:11" ht="40.5" customHeight="1" x14ac:dyDescent="0.75">
      <c r="A100" s="68"/>
      <c r="B100" s="156" t="s">
        <v>407</v>
      </c>
      <c r="C100" s="70" t="s">
        <v>408</v>
      </c>
      <c r="D100" s="70" t="s">
        <v>409</v>
      </c>
      <c r="E100" s="70" t="s">
        <v>99</v>
      </c>
      <c r="F100" s="70"/>
      <c r="G100" s="67" t="s">
        <v>82</v>
      </c>
      <c r="H100" s="70" t="s">
        <v>410</v>
      </c>
      <c r="I100" s="70" t="s">
        <v>91</v>
      </c>
      <c r="J100" s="67" t="s">
        <v>408</v>
      </c>
      <c r="K100" s="68" t="s">
        <v>89</v>
      </c>
    </row>
    <row r="101" spans="1:11" ht="40.5" customHeight="1" x14ac:dyDescent="0.75">
      <c r="A101" s="68"/>
      <c r="B101" s="157"/>
      <c r="C101" s="67" t="s">
        <v>411</v>
      </c>
      <c r="D101" s="67" t="s">
        <v>412</v>
      </c>
      <c r="E101" s="70" t="s">
        <v>99</v>
      </c>
      <c r="F101" s="70"/>
      <c r="G101" s="67" t="s">
        <v>82</v>
      </c>
      <c r="H101" s="67" t="s">
        <v>413</v>
      </c>
      <c r="I101" s="70" t="s">
        <v>91</v>
      </c>
      <c r="J101" s="67" t="s">
        <v>414</v>
      </c>
      <c r="K101" s="68" t="s">
        <v>89</v>
      </c>
    </row>
    <row r="102" spans="1:11" ht="40.5" customHeight="1" x14ac:dyDescent="0.75">
      <c r="A102" s="68"/>
      <c r="B102" s="157"/>
      <c r="C102" s="70" t="s">
        <v>415</v>
      </c>
      <c r="D102" s="70" t="s">
        <v>416</v>
      </c>
      <c r="E102" s="70" t="s">
        <v>99</v>
      </c>
      <c r="F102" s="70"/>
      <c r="G102" s="67" t="s">
        <v>82</v>
      </c>
      <c r="H102" s="70" t="s">
        <v>417</v>
      </c>
      <c r="I102" s="70" t="s">
        <v>418</v>
      </c>
      <c r="J102" s="67" t="s">
        <v>415</v>
      </c>
      <c r="K102" s="68" t="s">
        <v>89</v>
      </c>
    </row>
    <row r="103" spans="1:11" ht="40.5" customHeight="1" x14ac:dyDescent="0.75">
      <c r="A103" s="68"/>
      <c r="B103" s="158"/>
      <c r="C103" s="95" t="s">
        <v>411</v>
      </c>
      <c r="D103" s="95" t="s">
        <v>419</v>
      </c>
      <c r="E103" s="70" t="s">
        <v>99</v>
      </c>
      <c r="F103" s="70"/>
      <c r="G103" s="67" t="s">
        <v>82</v>
      </c>
      <c r="H103" s="67" t="s">
        <v>413</v>
      </c>
      <c r="I103" s="92" t="s">
        <v>91</v>
      </c>
      <c r="J103" s="95" t="s">
        <v>420</v>
      </c>
      <c r="K103" s="75" t="s">
        <v>89</v>
      </c>
    </row>
    <row r="104" spans="1:11" ht="40.5" customHeight="1" x14ac:dyDescent="0.75">
      <c r="C104" s="70" t="s">
        <v>421</v>
      </c>
      <c r="D104" s="70" t="s">
        <v>422</v>
      </c>
      <c r="E104" s="70" t="s">
        <v>4</v>
      </c>
      <c r="F104" s="70"/>
      <c r="G104" s="67" t="s">
        <v>4</v>
      </c>
      <c r="H104" s="67" t="s">
        <v>108</v>
      </c>
      <c r="I104" s="67" t="s">
        <v>423</v>
      </c>
      <c r="J104" s="67" t="s">
        <v>424</v>
      </c>
      <c r="K104" s="68" t="s">
        <v>83</v>
      </c>
    </row>
    <row r="105" spans="1:11" ht="40.5" customHeight="1" x14ac:dyDescent="0.75">
      <c r="C105" s="83" t="s">
        <v>255</v>
      </c>
      <c r="D105" s="84"/>
      <c r="E105" s="84"/>
      <c r="F105" s="84"/>
      <c r="G105" s="85"/>
      <c r="H105" s="85"/>
      <c r="I105" s="86"/>
      <c r="J105" s="64"/>
      <c r="K105" s="84"/>
    </row>
    <row r="106" spans="1:11" ht="40.5" customHeight="1" x14ac:dyDescent="0.75">
      <c r="B106" s="59"/>
      <c r="C106" s="67" t="s">
        <v>128</v>
      </c>
      <c r="D106" s="67" t="s">
        <v>129</v>
      </c>
      <c r="E106" s="67" t="s">
        <v>82</v>
      </c>
      <c r="F106" s="67" t="s">
        <v>83</v>
      </c>
      <c r="G106" s="67" t="s">
        <v>82</v>
      </c>
      <c r="H106" s="67"/>
      <c r="I106" s="67" t="s">
        <v>83</v>
      </c>
      <c r="J106" s="67" t="s">
        <v>425</v>
      </c>
      <c r="K106" s="77" t="s">
        <v>89</v>
      </c>
    </row>
    <row r="107" spans="1:11" ht="40.5" customHeight="1" x14ac:dyDescent="0.75">
      <c r="C107" s="67" t="s">
        <v>281</v>
      </c>
      <c r="D107" s="67" t="s">
        <v>282</v>
      </c>
      <c r="E107" s="67" t="s">
        <v>82</v>
      </c>
      <c r="F107" s="67" t="s">
        <v>83</v>
      </c>
      <c r="G107" s="67" t="s">
        <v>82</v>
      </c>
      <c r="H107" s="67"/>
      <c r="I107" s="67" t="s">
        <v>83</v>
      </c>
      <c r="J107" s="67"/>
      <c r="K107" s="77" t="s">
        <v>89</v>
      </c>
    </row>
    <row r="108" spans="1:11" ht="40.5" customHeight="1" x14ac:dyDescent="0.75">
      <c r="C108" s="67" t="s">
        <v>426</v>
      </c>
      <c r="D108" s="67" t="s">
        <v>427</v>
      </c>
      <c r="E108" s="67" t="s">
        <v>82</v>
      </c>
      <c r="F108" s="67" t="s">
        <v>83</v>
      </c>
      <c r="G108" s="67" t="s">
        <v>82</v>
      </c>
      <c r="H108" s="67"/>
      <c r="I108" s="67" t="s">
        <v>83</v>
      </c>
      <c r="J108" s="67" t="s">
        <v>428</v>
      </c>
      <c r="K108" s="77" t="s">
        <v>89</v>
      </c>
    </row>
    <row r="109" spans="1:11" ht="40.5" customHeight="1" x14ac:dyDescent="0.75">
      <c r="C109" s="70" t="s">
        <v>283</v>
      </c>
      <c r="D109" s="70" t="s">
        <v>143</v>
      </c>
      <c r="E109" s="70" t="s">
        <v>99</v>
      </c>
      <c r="F109" s="70"/>
      <c r="G109" s="67" t="s">
        <v>82</v>
      </c>
      <c r="H109" s="67" t="s">
        <v>284</v>
      </c>
      <c r="I109" s="70" t="s">
        <v>83</v>
      </c>
      <c r="J109" s="67" t="s">
        <v>429</v>
      </c>
      <c r="K109" s="68" t="s">
        <v>83</v>
      </c>
    </row>
    <row r="110" spans="1:11" ht="40.5" customHeight="1" x14ac:dyDescent="0.75">
      <c r="C110" s="70" t="s">
        <v>146</v>
      </c>
      <c r="D110" s="70" t="s">
        <v>147</v>
      </c>
      <c r="E110" s="70" t="s">
        <v>81</v>
      </c>
      <c r="F110" s="70"/>
      <c r="G110" s="67" t="s">
        <v>86</v>
      </c>
      <c r="H110" s="67"/>
      <c r="I110" s="67" t="s">
        <v>430</v>
      </c>
      <c r="J110" s="67" t="s">
        <v>287</v>
      </c>
      <c r="K110" s="68" t="s">
        <v>83</v>
      </c>
    </row>
    <row r="111" spans="1:11" ht="40.5" customHeight="1" x14ac:dyDescent="0.75">
      <c r="C111" s="70" t="s">
        <v>431</v>
      </c>
      <c r="D111" s="70" t="s">
        <v>432</v>
      </c>
      <c r="E111" s="70" t="s">
        <v>99</v>
      </c>
      <c r="F111" s="70"/>
      <c r="G111" s="67" t="s">
        <v>82</v>
      </c>
      <c r="H111" s="67" t="s">
        <v>433</v>
      </c>
      <c r="I111" s="70" t="s">
        <v>83</v>
      </c>
      <c r="J111" s="67" t="s">
        <v>434</v>
      </c>
      <c r="K111" s="68" t="s">
        <v>83</v>
      </c>
    </row>
    <row r="112" spans="1:11" ht="40.5" customHeight="1" x14ac:dyDescent="0.75">
      <c r="C112" s="95" t="s">
        <v>435</v>
      </c>
      <c r="D112" s="92" t="s">
        <v>436</v>
      </c>
      <c r="E112" s="70" t="s">
        <v>99</v>
      </c>
      <c r="F112" s="70"/>
      <c r="G112" s="67" t="s">
        <v>82</v>
      </c>
      <c r="H112" s="67" t="s">
        <v>437</v>
      </c>
      <c r="I112" s="67" t="s">
        <v>438</v>
      </c>
      <c r="J112" s="95" t="s">
        <v>439</v>
      </c>
      <c r="K112" s="75" t="s">
        <v>83</v>
      </c>
    </row>
    <row r="113" spans="2:14" ht="40.5" customHeight="1" x14ac:dyDescent="0.75">
      <c r="C113" s="70" t="s">
        <v>440</v>
      </c>
      <c r="D113" s="70" t="s">
        <v>441</v>
      </c>
      <c r="E113" s="70" t="s">
        <v>81</v>
      </c>
      <c r="F113" s="70"/>
      <c r="G113" s="67" t="s">
        <v>86</v>
      </c>
      <c r="H113" s="67"/>
      <c r="I113" s="67" t="s">
        <v>442</v>
      </c>
      <c r="J113" s="67" t="s">
        <v>443</v>
      </c>
      <c r="K113" s="68" t="s">
        <v>83</v>
      </c>
    </row>
    <row r="114" spans="2:14" ht="40.5" customHeight="1" x14ac:dyDescent="0.75">
      <c r="C114" s="70" t="s">
        <v>444</v>
      </c>
      <c r="D114" s="70" t="s">
        <v>445</v>
      </c>
      <c r="E114" s="70" t="s">
        <v>99</v>
      </c>
      <c r="F114" s="70"/>
      <c r="G114" s="67" t="s">
        <v>82</v>
      </c>
      <c r="H114" s="67" t="s">
        <v>446</v>
      </c>
      <c r="I114" s="67" t="s">
        <v>447</v>
      </c>
      <c r="J114" s="97" t="s">
        <v>448</v>
      </c>
      <c r="K114" s="68" t="s">
        <v>83</v>
      </c>
    </row>
    <row r="115" spans="2:14" ht="40.5" customHeight="1" x14ac:dyDescent="0.75">
      <c r="C115" s="70" t="s">
        <v>449</v>
      </c>
      <c r="D115" s="70" t="s">
        <v>450</v>
      </c>
      <c r="E115" s="70" t="s">
        <v>99</v>
      </c>
      <c r="F115" s="70"/>
      <c r="G115" s="67" t="s">
        <v>82</v>
      </c>
      <c r="H115" s="67" t="s">
        <v>451</v>
      </c>
      <c r="I115" s="67" t="s">
        <v>452</v>
      </c>
      <c r="J115" s="67" t="s">
        <v>453</v>
      </c>
      <c r="K115" s="68" t="s">
        <v>83</v>
      </c>
    </row>
    <row r="116" spans="2:14" ht="40.5" customHeight="1" x14ac:dyDescent="0.75">
      <c r="C116" s="70" t="s">
        <v>440</v>
      </c>
      <c r="D116" s="70" t="s">
        <v>454</v>
      </c>
      <c r="E116" s="70" t="s">
        <v>81</v>
      </c>
      <c r="F116" s="70"/>
      <c r="G116" s="67" t="s">
        <v>86</v>
      </c>
      <c r="H116" s="67"/>
      <c r="I116" s="67" t="s">
        <v>455</v>
      </c>
      <c r="J116" s="67" t="s">
        <v>456</v>
      </c>
      <c r="K116" s="68" t="s">
        <v>83</v>
      </c>
    </row>
    <row r="117" spans="2:14" ht="40.5" customHeight="1" x14ac:dyDescent="0.75">
      <c r="C117" s="92" t="s">
        <v>457</v>
      </c>
      <c r="D117" s="92" t="s">
        <v>458</v>
      </c>
      <c r="E117" s="70" t="s">
        <v>99</v>
      </c>
      <c r="F117" s="70"/>
      <c r="G117" s="67" t="s">
        <v>82</v>
      </c>
      <c r="H117" s="67" t="s">
        <v>459</v>
      </c>
      <c r="I117" s="95" t="s">
        <v>460</v>
      </c>
      <c r="J117" s="95" t="s">
        <v>461</v>
      </c>
      <c r="K117" s="75" t="s">
        <v>83</v>
      </c>
    </row>
    <row r="118" spans="2:14" ht="40.5" customHeight="1" x14ac:dyDescent="0.75">
      <c r="C118" s="70" t="s">
        <v>440</v>
      </c>
      <c r="D118" s="70" t="s">
        <v>462</v>
      </c>
      <c r="E118" s="70" t="s">
        <v>81</v>
      </c>
      <c r="F118" s="70"/>
      <c r="G118" s="67" t="s">
        <v>86</v>
      </c>
      <c r="H118" s="67"/>
      <c r="I118" s="67" t="s">
        <v>463</v>
      </c>
      <c r="J118" s="67" t="s">
        <v>464</v>
      </c>
      <c r="K118" s="68" t="s">
        <v>83</v>
      </c>
    </row>
    <row r="119" spans="2:14" ht="40.5" customHeight="1" x14ac:dyDescent="0.75">
      <c r="C119" s="70" t="s">
        <v>465</v>
      </c>
      <c r="D119" s="70" t="s">
        <v>466</v>
      </c>
      <c r="E119" s="70" t="s">
        <v>82</v>
      </c>
      <c r="F119" s="70"/>
      <c r="G119" s="67" t="s">
        <v>82</v>
      </c>
      <c r="H119" s="67"/>
      <c r="I119" s="67" t="s">
        <v>467</v>
      </c>
      <c r="J119" s="67" t="s">
        <v>468</v>
      </c>
      <c r="K119" s="68" t="s">
        <v>83</v>
      </c>
    </row>
    <row r="120" spans="2:14" ht="40.5" customHeight="1" x14ac:dyDescent="0.75">
      <c r="C120" s="70" t="s">
        <v>288</v>
      </c>
      <c r="D120" s="70" t="s">
        <v>469</v>
      </c>
      <c r="E120" s="70" t="s">
        <v>4</v>
      </c>
      <c r="F120" s="70"/>
      <c r="G120" s="67" t="s">
        <v>4</v>
      </c>
      <c r="H120" s="67" t="s">
        <v>108</v>
      </c>
      <c r="I120" s="67" t="s">
        <v>83</v>
      </c>
      <c r="J120" s="67" t="s">
        <v>470</v>
      </c>
      <c r="K120" s="68" t="s">
        <v>83</v>
      </c>
    </row>
    <row r="121" spans="2:14" ht="40.5" customHeight="1" x14ac:dyDescent="0.75">
      <c r="C121" s="70" t="s">
        <v>291</v>
      </c>
      <c r="D121" s="70" t="s">
        <v>471</v>
      </c>
      <c r="E121" s="70" t="s">
        <v>4</v>
      </c>
      <c r="F121" s="70"/>
      <c r="G121" s="67" t="s">
        <v>4</v>
      </c>
      <c r="H121" s="67" t="s">
        <v>108</v>
      </c>
      <c r="I121" s="67" t="s">
        <v>83</v>
      </c>
      <c r="J121" s="67" t="s">
        <v>472</v>
      </c>
      <c r="K121" s="68" t="s">
        <v>83</v>
      </c>
    </row>
    <row r="122" spans="2:14" ht="40.5" customHeight="1" x14ac:dyDescent="0.75">
      <c r="C122" s="70" t="s">
        <v>473</v>
      </c>
      <c r="D122" s="70" t="s">
        <v>474</v>
      </c>
      <c r="E122" s="70" t="s">
        <v>99</v>
      </c>
      <c r="F122" s="70"/>
      <c r="G122" s="67" t="s">
        <v>86</v>
      </c>
      <c r="H122" s="67" t="s">
        <v>475</v>
      </c>
      <c r="I122" s="70" t="s">
        <v>476</v>
      </c>
      <c r="J122" s="67" t="s">
        <v>477</v>
      </c>
      <c r="K122" s="68" t="s">
        <v>83</v>
      </c>
    </row>
    <row r="123" spans="2:14" ht="40.5" customHeight="1" x14ac:dyDescent="0.75">
      <c r="C123" s="70" t="s">
        <v>478</v>
      </c>
      <c r="D123" s="70" t="s">
        <v>479</v>
      </c>
      <c r="E123" s="70" t="s">
        <v>82</v>
      </c>
      <c r="F123" s="70" t="s">
        <v>83</v>
      </c>
      <c r="G123" s="67" t="s">
        <v>82</v>
      </c>
      <c r="H123" s="67"/>
      <c r="I123" s="70" t="s">
        <v>476</v>
      </c>
      <c r="J123" s="67" t="s">
        <v>480</v>
      </c>
      <c r="K123" s="68" t="s">
        <v>89</v>
      </c>
    </row>
    <row r="124" spans="2:14" ht="40.5" customHeight="1" x14ac:dyDescent="0.75">
      <c r="C124" s="70" t="s">
        <v>481</v>
      </c>
      <c r="D124" s="70" t="s">
        <v>482</v>
      </c>
      <c r="E124" s="70" t="s">
        <v>82</v>
      </c>
      <c r="F124" s="70" t="s">
        <v>83</v>
      </c>
      <c r="G124" s="67" t="s">
        <v>82</v>
      </c>
      <c r="H124" s="67"/>
      <c r="I124" s="70" t="s">
        <v>476</v>
      </c>
      <c r="J124" s="67" t="s">
        <v>483</v>
      </c>
      <c r="K124" s="68" t="s">
        <v>89</v>
      </c>
    </row>
    <row r="125" spans="2:14" ht="40.5" customHeight="1" x14ac:dyDescent="0.75">
      <c r="C125" s="70" t="s">
        <v>484</v>
      </c>
      <c r="D125" s="70" t="s">
        <v>485</v>
      </c>
      <c r="E125" s="70" t="s">
        <v>82</v>
      </c>
      <c r="F125" s="70" t="s">
        <v>83</v>
      </c>
      <c r="G125" s="67" t="s">
        <v>82</v>
      </c>
      <c r="H125" s="67"/>
      <c r="I125" s="70" t="s">
        <v>476</v>
      </c>
      <c r="J125" s="67" t="s">
        <v>486</v>
      </c>
      <c r="K125" s="68" t="s">
        <v>89</v>
      </c>
    </row>
    <row r="126" spans="2:14" s="74" customFormat="1" ht="40.5" customHeight="1" x14ac:dyDescent="0.75">
      <c r="B126" s="98"/>
      <c r="C126" s="95" t="s">
        <v>487</v>
      </c>
      <c r="D126" s="95" t="s">
        <v>488</v>
      </c>
      <c r="E126" s="70" t="s">
        <v>99</v>
      </c>
      <c r="F126" s="70" t="s">
        <v>83</v>
      </c>
      <c r="G126" s="67" t="s">
        <v>86</v>
      </c>
      <c r="H126" s="67" t="s">
        <v>489</v>
      </c>
      <c r="I126" s="70" t="s">
        <v>89</v>
      </c>
      <c r="J126" s="95" t="s">
        <v>490</v>
      </c>
      <c r="K126" s="75" t="s">
        <v>83</v>
      </c>
      <c r="L126" s="58"/>
      <c r="M126" s="58"/>
      <c r="N126" s="58"/>
    </row>
    <row r="127" spans="2:14" s="74" customFormat="1" ht="40.5" customHeight="1" x14ac:dyDescent="0.75">
      <c r="B127" s="98"/>
      <c r="C127" s="67" t="s">
        <v>491</v>
      </c>
      <c r="D127" s="67" t="s">
        <v>492</v>
      </c>
      <c r="E127" s="70" t="s">
        <v>81</v>
      </c>
      <c r="F127" s="70"/>
      <c r="G127" s="67" t="s">
        <v>86</v>
      </c>
      <c r="H127" s="67"/>
      <c r="I127" s="67" t="s">
        <v>493</v>
      </c>
      <c r="J127" s="67" t="s">
        <v>494</v>
      </c>
      <c r="K127" s="68" t="s">
        <v>83</v>
      </c>
      <c r="L127" s="58"/>
      <c r="M127" s="58"/>
      <c r="N127" s="58"/>
    </row>
    <row r="128" spans="2:14" s="74" customFormat="1" ht="40.5" customHeight="1" x14ac:dyDescent="0.75">
      <c r="B128" s="98"/>
      <c r="C128" s="67" t="s">
        <v>495</v>
      </c>
      <c r="D128" s="67" t="s">
        <v>496</v>
      </c>
      <c r="E128" s="70" t="s">
        <v>81</v>
      </c>
      <c r="F128" s="70"/>
      <c r="G128" s="67" t="s">
        <v>86</v>
      </c>
      <c r="H128" s="67"/>
      <c r="I128" s="67" t="s">
        <v>89</v>
      </c>
      <c r="J128" s="67" t="s">
        <v>497</v>
      </c>
      <c r="K128" s="68" t="s">
        <v>89</v>
      </c>
      <c r="L128" s="58"/>
      <c r="M128" s="58"/>
      <c r="N128" s="58"/>
    </row>
    <row r="129" spans="2:14" ht="40.5" customHeight="1" x14ac:dyDescent="0.75">
      <c r="C129" s="70" t="s">
        <v>498</v>
      </c>
      <c r="D129" s="70" t="s">
        <v>499</v>
      </c>
      <c r="E129" s="70" t="s">
        <v>99</v>
      </c>
      <c r="F129" s="70"/>
      <c r="G129" s="67" t="s">
        <v>86</v>
      </c>
      <c r="H129" s="67"/>
      <c r="I129" s="67" t="s">
        <v>500</v>
      </c>
      <c r="J129" s="67" t="s">
        <v>501</v>
      </c>
      <c r="K129" s="68" t="s">
        <v>83</v>
      </c>
    </row>
    <row r="130" spans="2:14" ht="40.5" customHeight="1" x14ac:dyDescent="0.75">
      <c r="C130" s="70" t="s">
        <v>491</v>
      </c>
      <c r="D130" s="70" t="s">
        <v>502</v>
      </c>
      <c r="E130" s="70" t="s">
        <v>81</v>
      </c>
      <c r="F130" s="70"/>
      <c r="G130" s="67" t="s">
        <v>86</v>
      </c>
      <c r="H130" s="67"/>
      <c r="I130" s="70" t="s">
        <v>503</v>
      </c>
      <c r="J130" s="67"/>
      <c r="K130" s="68" t="s">
        <v>89</v>
      </c>
    </row>
    <row r="131" spans="2:14" ht="40.5" customHeight="1" x14ac:dyDescent="0.75">
      <c r="C131" s="70" t="s">
        <v>504</v>
      </c>
      <c r="D131" s="70" t="s">
        <v>505</v>
      </c>
      <c r="E131" s="70" t="s">
        <v>99</v>
      </c>
      <c r="F131" s="70"/>
      <c r="G131" s="67" t="s">
        <v>86</v>
      </c>
      <c r="H131" s="67"/>
      <c r="I131" s="67" t="s">
        <v>500</v>
      </c>
      <c r="J131" s="67" t="s">
        <v>506</v>
      </c>
      <c r="K131" s="68" t="s">
        <v>83</v>
      </c>
    </row>
    <row r="132" spans="2:14" ht="40.5" customHeight="1" x14ac:dyDescent="0.75">
      <c r="C132" s="70" t="s">
        <v>491</v>
      </c>
      <c r="D132" s="70" t="s">
        <v>507</v>
      </c>
      <c r="E132" s="70" t="s">
        <v>81</v>
      </c>
      <c r="F132" s="70"/>
      <c r="G132" s="67" t="s">
        <v>86</v>
      </c>
      <c r="H132" s="67"/>
      <c r="I132" s="70" t="s">
        <v>503</v>
      </c>
      <c r="J132" s="67"/>
      <c r="K132" s="68" t="s">
        <v>89</v>
      </c>
    </row>
    <row r="133" spans="2:14" ht="40.5" customHeight="1" x14ac:dyDescent="0.75">
      <c r="C133" s="70" t="s">
        <v>508</v>
      </c>
      <c r="D133" s="70" t="s">
        <v>509</v>
      </c>
      <c r="E133" s="70" t="s">
        <v>99</v>
      </c>
      <c r="F133" s="70"/>
      <c r="G133" s="67" t="s">
        <v>82</v>
      </c>
      <c r="H133" s="67" t="s">
        <v>510</v>
      </c>
      <c r="I133" s="70" t="s">
        <v>511</v>
      </c>
      <c r="J133" s="67" t="s">
        <v>512</v>
      </c>
      <c r="K133" s="68" t="s">
        <v>83</v>
      </c>
    </row>
    <row r="134" spans="2:14" ht="40.5" customHeight="1" x14ac:dyDescent="0.75">
      <c r="C134" s="70" t="s">
        <v>513</v>
      </c>
      <c r="D134" s="70" t="s">
        <v>514</v>
      </c>
      <c r="E134" s="70" t="s">
        <v>82</v>
      </c>
      <c r="F134" s="70"/>
      <c r="G134" s="67" t="s">
        <v>82</v>
      </c>
      <c r="H134" s="70" t="s">
        <v>515</v>
      </c>
      <c r="I134" s="70" t="s">
        <v>83</v>
      </c>
      <c r="J134" s="67" t="s">
        <v>516</v>
      </c>
      <c r="K134" s="68" t="s">
        <v>83</v>
      </c>
    </row>
    <row r="135" spans="2:14" ht="40.5" customHeight="1" x14ac:dyDescent="0.75">
      <c r="C135" s="70" t="s">
        <v>517</v>
      </c>
      <c r="D135" s="70" t="s">
        <v>518</v>
      </c>
      <c r="E135" s="70" t="s">
        <v>519</v>
      </c>
      <c r="F135" s="70"/>
      <c r="G135" s="67" t="s">
        <v>82</v>
      </c>
      <c r="H135" s="70" t="s">
        <v>520</v>
      </c>
      <c r="I135" s="70" t="s">
        <v>890</v>
      </c>
      <c r="J135" s="67" t="s">
        <v>521</v>
      </c>
      <c r="K135" s="68" t="s">
        <v>83</v>
      </c>
    </row>
    <row r="136" spans="2:14" ht="40.5" customHeight="1" x14ac:dyDescent="0.75">
      <c r="C136" s="70" t="s">
        <v>517</v>
      </c>
      <c r="D136" s="70" t="s">
        <v>522</v>
      </c>
      <c r="E136" s="70" t="s">
        <v>99</v>
      </c>
      <c r="F136" s="70"/>
      <c r="G136" s="67" t="s">
        <v>82</v>
      </c>
      <c r="H136" s="70" t="s">
        <v>523</v>
      </c>
      <c r="I136" s="67" t="s">
        <v>524</v>
      </c>
      <c r="J136" s="67" t="s">
        <v>525</v>
      </c>
      <c r="K136" s="68" t="s">
        <v>83</v>
      </c>
    </row>
    <row r="137" spans="2:14" ht="40.5" customHeight="1" x14ac:dyDescent="0.75">
      <c r="C137" s="70" t="s">
        <v>526</v>
      </c>
      <c r="D137" s="70" t="s">
        <v>527</v>
      </c>
      <c r="E137" s="70" t="s">
        <v>82</v>
      </c>
      <c r="F137" s="70"/>
      <c r="G137" s="67" t="s">
        <v>82</v>
      </c>
      <c r="H137" s="70" t="s">
        <v>515</v>
      </c>
      <c r="I137" s="67" t="s">
        <v>528</v>
      </c>
      <c r="J137" s="67" t="s">
        <v>529</v>
      </c>
      <c r="K137" s="68" t="s">
        <v>83</v>
      </c>
    </row>
    <row r="138" spans="2:14" ht="40.5" customHeight="1" x14ac:dyDescent="0.75">
      <c r="C138" s="70" t="s">
        <v>530</v>
      </c>
      <c r="D138" s="70" t="s">
        <v>531</v>
      </c>
      <c r="E138" s="70" t="s">
        <v>99</v>
      </c>
      <c r="F138" s="70"/>
      <c r="G138" s="67" t="s">
        <v>82</v>
      </c>
      <c r="H138" s="67" t="s">
        <v>532</v>
      </c>
      <c r="I138" s="67" t="s">
        <v>528</v>
      </c>
      <c r="J138" s="67" t="s">
        <v>533</v>
      </c>
      <c r="K138" s="68" t="s">
        <v>83</v>
      </c>
    </row>
    <row r="139" spans="2:14" ht="40.5" customHeight="1" x14ac:dyDescent="0.75">
      <c r="C139" s="70" t="s">
        <v>534</v>
      </c>
      <c r="D139" s="70" t="s">
        <v>535</v>
      </c>
      <c r="E139" s="70" t="s">
        <v>99</v>
      </c>
      <c r="F139" s="70"/>
      <c r="G139" s="67" t="s">
        <v>86</v>
      </c>
      <c r="H139" s="67"/>
      <c r="I139" s="70" t="s">
        <v>536</v>
      </c>
      <c r="J139" s="67" t="s">
        <v>537</v>
      </c>
      <c r="K139" s="68" t="s">
        <v>83</v>
      </c>
    </row>
    <row r="140" spans="2:14" ht="40.5" customHeight="1" x14ac:dyDescent="0.75">
      <c r="C140" s="70" t="s">
        <v>491</v>
      </c>
      <c r="D140" s="70" t="s">
        <v>538</v>
      </c>
      <c r="E140" s="70" t="s">
        <v>81</v>
      </c>
      <c r="F140" s="70"/>
      <c r="G140" s="67" t="s">
        <v>86</v>
      </c>
      <c r="H140" s="67"/>
      <c r="I140" s="70" t="s">
        <v>539</v>
      </c>
      <c r="J140" s="67"/>
      <c r="K140" s="68" t="s">
        <v>83</v>
      </c>
    </row>
    <row r="141" spans="2:14" s="74" customFormat="1" ht="40.5" customHeight="1" x14ac:dyDescent="0.75">
      <c r="B141" s="98"/>
      <c r="C141" s="67" t="s">
        <v>540</v>
      </c>
      <c r="D141" s="67" t="s">
        <v>541</v>
      </c>
      <c r="E141" s="70" t="s">
        <v>81</v>
      </c>
      <c r="F141" s="70"/>
      <c r="G141" s="67" t="s">
        <v>86</v>
      </c>
      <c r="H141" s="67"/>
      <c r="I141" s="67" t="s">
        <v>542</v>
      </c>
      <c r="J141" s="67"/>
      <c r="K141" s="68" t="s">
        <v>89</v>
      </c>
      <c r="L141" s="58"/>
      <c r="M141" s="58"/>
      <c r="N141" s="58"/>
    </row>
    <row r="142" spans="2:14" ht="40.5" customHeight="1" x14ac:dyDescent="0.75">
      <c r="C142" s="70" t="s">
        <v>498</v>
      </c>
      <c r="D142" s="70" t="s">
        <v>543</v>
      </c>
      <c r="E142" s="70" t="s">
        <v>99</v>
      </c>
      <c r="F142" s="70"/>
      <c r="G142" s="67" t="s">
        <v>86</v>
      </c>
      <c r="H142" s="67"/>
      <c r="I142" s="70" t="s">
        <v>544</v>
      </c>
      <c r="J142" s="67" t="s">
        <v>501</v>
      </c>
      <c r="K142" s="68" t="s">
        <v>89</v>
      </c>
    </row>
    <row r="143" spans="2:14" ht="40.5" customHeight="1" x14ac:dyDescent="0.75">
      <c r="C143" s="70" t="s">
        <v>491</v>
      </c>
      <c r="D143" s="70" t="s">
        <v>545</v>
      </c>
      <c r="E143" s="70" t="s">
        <v>81</v>
      </c>
      <c r="F143" s="70"/>
      <c r="G143" s="67" t="s">
        <v>86</v>
      </c>
      <c r="H143" s="67"/>
      <c r="I143" s="70" t="s">
        <v>539</v>
      </c>
      <c r="J143" s="67"/>
      <c r="K143" s="68" t="s">
        <v>89</v>
      </c>
    </row>
    <row r="144" spans="2:14" ht="40.5" customHeight="1" x14ac:dyDescent="0.75">
      <c r="C144" s="70" t="s">
        <v>504</v>
      </c>
      <c r="D144" s="70" t="s">
        <v>546</v>
      </c>
      <c r="E144" s="70" t="s">
        <v>99</v>
      </c>
      <c r="F144" s="70"/>
      <c r="G144" s="67" t="s">
        <v>86</v>
      </c>
      <c r="H144" s="67"/>
      <c r="I144" s="70" t="s">
        <v>544</v>
      </c>
      <c r="J144" s="67" t="s">
        <v>506</v>
      </c>
      <c r="K144" s="68" t="s">
        <v>89</v>
      </c>
    </row>
    <row r="145" spans="2:14" ht="40.5" customHeight="1" x14ac:dyDescent="0.75">
      <c r="C145" s="70" t="s">
        <v>491</v>
      </c>
      <c r="D145" s="70" t="s">
        <v>547</v>
      </c>
      <c r="E145" s="70" t="s">
        <v>81</v>
      </c>
      <c r="F145" s="70"/>
      <c r="G145" s="67" t="s">
        <v>86</v>
      </c>
      <c r="H145" s="67"/>
      <c r="I145" s="70" t="s">
        <v>539</v>
      </c>
      <c r="J145" s="67"/>
      <c r="K145" s="68" t="s">
        <v>89</v>
      </c>
    </row>
    <row r="146" spans="2:14" ht="40.5" customHeight="1" x14ac:dyDescent="0.75">
      <c r="C146" s="95" t="s">
        <v>508</v>
      </c>
      <c r="D146" s="95" t="s">
        <v>548</v>
      </c>
      <c r="E146" s="95" t="s">
        <v>99</v>
      </c>
      <c r="F146" s="95"/>
      <c r="G146" s="67" t="s">
        <v>82</v>
      </c>
      <c r="H146" s="67" t="s">
        <v>549</v>
      </c>
      <c r="I146" s="95" t="s">
        <v>550</v>
      </c>
      <c r="J146" s="95" t="s">
        <v>512</v>
      </c>
      <c r="K146" s="75" t="s">
        <v>83</v>
      </c>
    </row>
    <row r="147" spans="2:14" s="74" customFormat="1" ht="40.5" customHeight="1" x14ac:dyDescent="0.75">
      <c r="B147" s="98"/>
      <c r="C147" s="95" t="s">
        <v>551</v>
      </c>
      <c r="D147" s="95" t="s">
        <v>552</v>
      </c>
      <c r="E147" s="67" t="s">
        <v>99</v>
      </c>
      <c r="F147" s="67" t="s">
        <v>83</v>
      </c>
      <c r="G147" s="67" t="s">
        <v>82</v>
      </c>
      <c r="H147" s="67" t="s">
        <v>489</v>
      </c>
      <c r="I147" s="95" t="s">
        <v>89</v>
      </c>
      <c r="J147" s="95" t="s">
        <v>553</v>
      </c>
      <c r="K147" s="75" t="s">
        <v>83</v>
      </c>
      <c r="L147" s="58"/>
      <c r="M147" s="58"/>
      <c r="N147" s="58"/>
    </row>
    <row r="148" spans="2:14" ht="40.5" customHeight="1" x14ac:dyDescent="0.75">
      <c r="C148" s="70" t="s">
        <v>554</v>
      </c>
      <c r="D148" s="70" t="s">
        <v>555</v>
      </c>
      <c r="E148" s="70" t="s">
        <v>99</v>
      </c>
      <c r="F148" s="70"/>
      <c r="G148" s="67" t="s">
        <v>82</v>
      </c>
      <c r="H148" s="67" t="s">
        <v>556</v>
      </c>
      <c r="I148" s="70" t="s">
        <v>557</v>
      </c>
      <c r="J148" s="95" t="s">
        <v>558</v>
      </c>
      <c r="K148" s="68" t="s">
        <v>83</v>
      </c>
    </row>
    <row r="149" spans="2:14" ht="40.5" customHeight="1" x14ac:dyDescent="0.75">
      <c r="C149" s="70" t="s">
        <v>513</v>
      </c>
      <c r="D149" s="70" t="s">
        <v>559</v>
      </c>
      <c r="E149" s="70" t="s">
        <v>82</v>
      </c>
      <c r="F149" s="70"/>
      <c r="G149" s="67" t="s">
        <v>82</v>
      </c>
      <c r="H149" s="70" t="s">
        <v>515</v>
      </c>
      <c r="I149" s="70" t="s">
        <v>560</v>
      </c>
      <c r="J149" s="67" t="s">
        <v>561</v>
      </c>
      <c r="K149" s="68" t="s">
        <v>83</v>
      </c>
    </row>
    <row r="150" spans="2:14" ht="40.5" customHeight="1" x14ac:dyDescent="0.75">
      <c r="C150" s="67" t="s">
        <v>562</v>
      </c>
      <c r="D150" s="67" t="s">
        <v>563</v>
      </c>
      <c r="E150" s="67" t="s">
        <v>564</v>
      </c>
      <c r="F150" s="67"/>
      <c r="G150" s="67" t="s">
        <v>82</v>
      </c>
      <c r="H150" s="70" t="s">
        <v>565</v>
      </c>
      <c r="I150" s="70" t="s">
        <v>566</v>
      </c>
      <c r="J150" s="67" t="s">
        <v>567</v>
      </c>
      <c r="K150" s="68" t="s">
        <v>83</v>
      </c>
    </row>
    <row r="151" spans="2:14" ht="40.5" customHeight="1" x14ac:dyDescent="0.75">
      <c r="C151" s="67" t="s">
        <v>568</v>
      </c>
      <c r="D151" s="67" t="s">
        <v>569</v>
      </c>
      <c r="E151" s="67" t="s">
        <v>99</v>
      </c>
      <c r="F151" s="67"/>
      <c r="G151" s="67" t="s">
        <v>82</v>
      </c>
      <c r="H151" s="67" t="s">
        <v>570</v>
      </c>
      <c r="I151" s="70" t="s">
        <v>560</v>
      </c>
      <c r="J151" s="67"/>
      <c r="K151" s="68" t="s">
        <v>83</v>
      </c>
    </row>
    <row r="152" spans="2:14" ht="40.5" customHeight="1" x14ac:dyDescent="0.75">
      <c r="C152" s="70" t="s">
        <v>526</v>
      </c>
      <c r="D152" s="70" t="s">
        <v>571</v>
      </c>
      <c r="E152" s="70" t="s">
        <v>82</v>
      </c>
      <c r="F152" s="70"/>
      <c r="G152" s="67" t="s">
        <v>82</v>
      </c>
      <c r="H152" s="70" t="s">
        <v>515</v>
      </c>
      <c r="I152" s="67" t="s">
        <v>572</v>
      </c>
      <c r="J152" s="67" t="s">
        <v>573</v>
      </c>
      <c r="K152" s="68" t="s">
        <v>83</v>
      </c>
    </row>
    <row r="153" spans="2:14" ht="40.5" customHeight="1" x14ac:dyDescent="0.75">
      <c r="C153" s="70" t="s">
        <v>574</v>
      </c>
      <c r="D153" s="70" t="s">
        <v>575</v>
      </c>
      <c r="E153" s="70" t="s">
        <v>99</v>
      </c>
      <c r="F153" s="70"/>
      <c r="G153" s="67" t="s">
        <v>82</v>
      </c>
      <c r="H153" s="67" t="s">
        <v>260</v>
      </c>
      <c r="I153" s="67" t="s">
        <v>576</v>
      </c>
      <c r="J153" s="67" t="s">
        <v>577</v>
      </c>
      <c r="K153" s="68" t="s">
        <v>83</v>
      </c>
    </row>
    <row r="154" spans="2:14" ht="40.5" customHeight="1" x14ac:dyDescent="0.75">
      <c r="C154" s="70" t="s">
        <v>578</v>
      </c>
      <c r="D154" s="70" t="s">
        <v>579</v>
      </c>
      <c r="E154" s="70" t="s">
        <v>81</v>
      </c>
      <c r="F154" s="70"/>
      <c r="G154" s="67" t="s">
        <v>86</v>
      </c>
      <c r="H154" s="67"/>
      <c r="I154" s="67" t="s">
        <v>580</v>
      </c>
      <c r="J154" s="67" t="s">
        <v>581</v>
      </c>
      <c r="K154" s="68" t="s">
        <v>83</v>
      </c>
    </row>
    <row r="155" spans="2:14" ht="40.5" customHeight="1" x14ac:dyDescent="0.75">
      <c r="C155" s="70" t="s">
        <v>582</v>
      </c>
      <c r="D155" s="70" t="s">
        <v>583</v>
      </c>
      <c r="E155" s="70" t="s">
        <v>223</v>
      </c>
      <c r="F155" s="70"/>
      <c r="G155" s="67" t="s">
        <v>86</v>
      </c>
      <c r="H155" s="67"/>
      <c r="I155" s="70" t="s">
        <v>91</v>
      </c>
      <c r="J155" s="67" t="s">
        <v>584</v>
      </c>
      <c r="K155" s="68" t="s">
        <v>83</v>
      </c>
    </row>
    <row r="156" spans="2:14" ht="40.5" customHeight="1" x14ac:dyDescent="0.75">
      <c r="C156" s="70" t="s">
        <v>585</v>
      </c>
      <c r="D156" s="70" t="s">
        <v>586</v>
      </c>
      <c r="E156" s="70" t="s">
        <v>99</v>
      </c>
      <c r="F156" s="70"/>
      <c r="G156" s="67" t="s">
        <v>82</v>
      </c>
      <c r="H156" s="67" t="s">
        <v>260</v>
      </c>
      <c r="I156" s="70" t="s">
        <v>89</v>
      </c>
      <c r="J156" s="67" t="s">
        <v>587</v>
      </c>
      <c r="K156" s="68" t="s">
        <v>89</v>
      </c>
    </row>
    <row r="157" spans="2:14" ht="40.5" customHeight="1" x14ac:dyDescent="0.75">
      <c r="C157" s="70" t="s">
        <v>311</v>
      </c>
      <c r="D157" s="70" t="s">
        <v>312</v>
      </c>
      <c r="E157" s="70" t="s">
        <v>313</v>
      </c>
      <c r="F157" s="70"/>
      <c r="G157" s="67" t="s">
        <v>82</v>
      </c>
      <c r="H157" s="70" t="s">
        <v>588</v>
      </c>
      <c r="I157" s="67" t="s">
        <v>89</v>
      </c>
      <c r="J157" s="67"/>
      <c r="K157" s="68" t="s">
        <v>89</v>
      </c>
    </row>
    <row r="158" spans="2:14" ht="40.5" customHeight="1" x14ac:dyDescent="0.75">
      <c r="C158" s="70" t="s">
        <v>316</v>
      </c>
      <c r="D158" s="70" t="s">
        <v>317</v>
      </c>
      <c r="E158" s="70" t="s">
        <v>81</v>
      </c>
      <c r="F158" s="70"/>
      <c r="G158" s="67" t="s">
        <v>86</v>
      </c>
      <c r="H158" s="67"/>
      <c r="I158" s="67" t="s">
        <v>318</v>
      </c>
      <c r="J158" s="67"/>
      <c r="K158" s="68" t="s">
        <v>89</v>
      </c>
    </row>
    <row r="159" spans="2:14" ht="40.5" customHeight="1" x14ac:dyDescent="0.75">
      <c r="C159" s="70" t="s">
        <v>589</v>
      </c>
      <c r="D159" s="70" t="s">
        <v>590</v>
      </c>
      <c r="E159" s="70" t="s">
        <v>99</v>
      </c>
      <c r="F159" s="70"/>
      <c r="G159" s="67" t="s">
        <v>82</v>
      </c>
      <c r="H159" s="67" t="s">
        <v>591</v>
      </c>
      <c r="I159" s="70" t="s">
        <v>91</v>
      </c>
      <c r="J159" s="67" t="s">
        <v>592</v>
      </c>
      <c r="K159" s="68" t="s">
        <v>89</v>
      </c>
    </row>
    <row r="160" spans="2:14" ht="40.5" customHeight="1" x14ac:dyDescent="0.75">
      <c r="C160" s="70" t="s">
        <v>593</v>
      </c>
      <c r="D160" s="70" t="s">
        <v>594</v>
      </c>
      <c r="E160" s="70" t="s">
        <v>595</v>
      </c>
      <c r="F160" s="70"/>
      <c r="G160" s="67" t="s">
        <v>595</v>
      </c>
      <c r="H160" s="67"/>
      <c r="I160" s="70" t="s">
        <v>91</v>
      </c>
      <c r="J160" s="67" t="s">
        <v>596</v>
      </c>
      <c r="K160" s="68" t="s">
        <v>89</v>
      </c>
    </row>
    <row r="161" spans="3:11" ht="40.5" customHeight="1" x14ac:dyDescent="0.75">
      <c r="C161" s="70" t="s">
        <v>597</v>
      </c>
      <c r="D161" s="70" t="s">
        <v>598</v>
      </c>
      <c r="E161" s="70" t="s">
        <v>595</v>
      </c>
      <c r="F161" s="70"/>
      <c r="G161" s="67" t="s">
        <v>595</v>
      </c>
      <c r="H161" s="67"/>
      <c r="I161" s="70" t="s">
        <v>91</v>
      </c>
      <c r="J161" s="67" t="s">
        <v>596</v>
      </c>
      <c r="K161" s="68" t="s">
        <v>89</v>
      </c>
    </row>
    <row r="162" spans="3:11" ht="40.5" customHeight="1" x14ac:dyDescent="0.75">
      <c r="C162" s="70" t="s">
        <v>599</v>
      </c>
      <c r="D162" s="70" t="s">
        <v>600</v>
      </c>
      <c r="E162" s="70" t="s">
        <v>595</v>
      </c>
      <c r="F162" s="70"/>
      <c r="G162" s="67" t="s">
        <v>595</v>
      </c>
      <c r="H162" s="67"/>
      <c r="I162" s="70" t="s">
        <v>91</v>
      </c>
      <c r="J162" s="67" t="s">
        <v>601</v>
      </c>
      <c r="K162" s="68" t="s">
        <v>89</v>
      </c>
    </row>
    <row r="163" spans="3:11" ht="40.5" customHeight="1" x14ac:dyDescent="0.75">
      <c r="C163" s="70" t="s">
        <v>602</v>
      </c>
      <c r="D163" s="70" t="s">
        <v>603</v>
      </c>
      <c r="E163" s="70" t="s">
        <v>595</v>
      </c>
      <c r="F163" s="70"/>
      <c r="G163" s="67" t="s">
        <v>595</v>
      </c>
      <c r="H163" s="67"/>
      <c r="I163" s="70" t="s">
        <v>91</v>
      </c>
      <c r="J163" s="67" t="s">
        <v>601</v>
      </c>
      <c r="K163" s="68" t="s">
        <v>89</v>
      </c>
    </row>
    <row r="164" spans="3:11" ht="40.5" customHeight="1" x14ac:dyDescent="0.75">
      <c r="C164" s="70" t="s">
        <v>604</v>
      </c>
      <c r="D164" s="70" t="s">
        <v>605</v>
      </c>
      <c r="E164" s="70" t="s">
        <v>604</v>
      </c>
      <c r="F164" s="70" t="s">
        <v>83</v>
      </c>
      <c r="G164" s="70" t="s">
        <v>604</v>
      </c>
      <c r="H164" s="70" t="s">
        <v>604</v>
      </c>
      <c r="I164" s="70" t="s">
        <v>604</v>
      </c>
      <c r="J164" s="67" t="s">
        <v>606</v>
      </c>
      <c r="K164" s="77" t="s">
        <v>89</v>
      </c>
    </row>
    <row r="165" spans="3:11" ht="40.5" customHeight="1" x14ac:dyDescent="0.75">
      <c r="C165" s="70" t="s">
        <v>226</v>
      </c>
      <c r="D165" s="70" t="s">
        <v>227</v>
      </c>
      <c r="E165" s="70" t="s">
        <v>223</v>
      </c>
      <c r="F165" s="70"/>
      <c r="G165" s="67" t="s">
        <v>86</v>
      </c>
      <c r="H165" s="67"/>
      <c r="I165" s="70" t="s">
        <v>91</v>
      </c>
      <c r="J165" s="67" t="s">
        <v>229</v>
      </c>
      <c r="K165" s="68" t="s">
        <v>89</v>
      </c>
    </row>
    <row r="166" spans="3:11" ht="40.5" customHeight="1" x14ac:dyDescent="0.75">
      <c r="C166" s="83" t="s">
        <v>258</v>
      </c>
      <c r="D166" s="84"/>
      <c r="E166" s="84"/>
      <c r="F166" s="84"/>
      <c r="G166" s="85"/>
      <c r="H166" s="85"/>
      <c r="I166" s="86"/>
      <c r="J166" s="64"/>
      <c r="K166" s="84"/>
    </row>
    <row r="167" spans="3:11" ht="40.5" customHeight="1" x14ac:dyDescent="0.75">
      <c r="C167" s="67" t="s">
        <v>128</v>
      </c>
      <c r="D167" s="67" t="s">
        <v>129</v>
      </c>
      <c r="E167" s="67" t="s">
        <v>82</v>
      </c>
      <c r="F167" s="67" t="s">
        <v>83</v>
      </c>
      <c r="G167" s="67" t="s">
        <v>82</v>
      </c>
      <c r="H167" s="67"/>
      <c r="I167" s="67" t="s">
        <v>83</v>
      </c>
      <c r="J167" s="67" t="s">
        <v>607</v>
      </c>
      <c r="K167" s="77" t="s">
        <v>89</v>
      </c>
    </row>
    <row r="168" spans="3:11" ht="40.5" customHeight="1" x14ac:dyDescent="0.75">
      <c r="C168" s="67" t="s">
        <v>281</v>
      </c>
      <c r="D168" s="67" t="s">
        <v>282</v>
      </c>
      <c r="E168" s="67" t="s">
        <v>82</v>
      </c>
      <c r="F168" s="67" t="s">
        <v>83</v>
      </c>
      <c r="G168" s="67" t="s">
        <v>82</v>
      </c>
      <c r="H168" s="67"/>
      <c r="I168" s="67" t="s">
        <v>83</v>
      </c>
      <c r="J168" s="67"/>
      <c r="K168" s="77" t="s">
        <v>89</v>
      </c>
    </row>
    <row r="169" spans="3:11" ht="40.5" customHeight="1" x14ac:dyDescent="0.75">
      <c r="C169" s="67" t="s">
        <v>608</v>
      </c>
      <c r="D169" s="67" t="s">
        <v>609</v>
      </c>
      <c r="E169" s="67" t="s">
        <v>82</v>
      </c>
      <c r="F169" s="67" t="s">
        <v>83</v>
      </c>
      <c r="G169" s="67" t="s">
        <v>82</v>
      </c>
      <c r="H169" s="67"/>
      <c r="I169" s="67" t="s">
        <v>83</v>
      </c>
      <c r="J169" s="67" t="s">
        <v>610</v>
      </c>
      <c r="K169" s="77" t="s">
        <v>89</v>
      </c>
    </row>
    <row r="170" spans="3:11" ht="40.5" customHeight="1" x14ac:dyDescent="0.75">
      <c r="C170" s="70" t="s">
        <v>283</v>
      </c>
      <c r="D170" s="70" t="s">
        <v>143</v>
      </c>
      <c r="E170" s="70" t="s">
        <v>99</v>
      </c>
      <c r="F170" s="70"/>
      <c r="G170" s="67" t="s">
        <v>82</v>
      </c>
      <c r="H170" s="67" t="s">
        <v>144</v>
      </c>
      <c r="I170" s="70" t="s">
        <v>611</v>
      </c>
      <c r="J170" s="67" t="s">
        <v>612</v>
      </c>
      <c r="K170" s="68" t="s">
        <v>83</v>
      </c>
    </row>
    <row r="171" spans="3:11" ht="40.5" customHeight="1" x14ac:dyDescent="0.75">
      <c r="C171" s="70" t="s">
        <v>146</v>
      </c>
      <c r="D171" s="70" t="s">
        <v>147</v>
      </c>
      <c r="E171" s="70" t="s">
        <v>81</v>
      </c>
      <c r="F171" s="70"/>
      <c r="G171" s="67" t="s">
        <v>86</v>
      </c>
      <c r="H171" s="67"/>
      <c r="I171" s="70" t="s">
        <v>613</v>
      </c>
      <c r="J171" s="67" t="s">
        <v>287</v>
      </c>
      <c r="K171" s="68" t="s">
        <v>83</v>
      </c>
    </row>
    <row r="172" spans="3:11" ht="40.5" customHeight="1" x14ac:dyDescent="0.75">
      <c r="C172" s="70" t="s">
        <v>614</v>
      </c>
      <c r="D172" s="70" t="s">
        <v>615</v>
      </c>
      <c r="E172" s="70" t="s">
        <v>4</v>
      </c>
      <c r="F172" s="70"/>
      <c r="G172" s="67" t="s">
        <v>4</v>
      </c>
      <c r="H172" s="67" t="s">
        <v>108</v>
      </c>
      <c r="I172" s="70" t="s">
        <v>611</v>
      </c>
      <c r="J172" s="67" t="s">
        <v>616</v>
      </c>
      <c r="K172" s="68" t="s">
        <v>83</v>
      </c>
    </row>
    <row r="173" spans="3:11" ht="40.5" customHeight="1" x14ac:dyDescent="0.75">
      <c r="C173" s="70" t="s">
        <v>617</v>
      </c>
      <c r="D173" s="70" t="s">
        <v>618</v>
      </c>
      <c r="E173" s="70" t="s">
        <v>223</v>
      </c>
      <c r="F173" s="70"/>
      <c r="G173" s="67" t="s">
        <v>86</v>
      </c>
      <c r="H173" s="67"/>
      <c r="I173" s="70" t="s">
        <v>611</v>
      </c>
      <c r="J173" s="67" t="s">
        <v>619</v>
      </c>
      <c r="K173" s="77" t="s">
        <v>83</v>
      </c>
    </row>
    <row r="174" spans="3:11" ht="40.5" customHeight="1" x14ac:dyDescent="0.75">
      <c r="C174" s="67" t="s">
        <v>620</v>
      </c>
      <c r="D174" s="67" t="s">
        <v>621</v>
      </c>
      <c r="E174" s="70" t="s">
        <v>99</v>
      </c>
      <c r="F174" s="70"/>
      <c r="G174" s="67" t="s">
        <v>82</v>
      </c>
      <c r="H174" s="67" t="s">
        <v>270</v>
      </c>
      <c r="I174" s="70" t="s">
        <v>611</v>
      </c>
      <c r="J174" s="67" t="s">
        <v>622</v>
      </c>
      <c r="K174" s="77" t="s">
        <v>83</v>
      </c>
    </row>
    <row r="175" spans="3:11" ht="40.5" customHeight="1" x14ac:dyDescent="0.75">
      <c r="C175" s="95" t="s">
        <v>623</v>
      </c>
      <c r="D175" s="95" t="s">
        <v>624</v>
      </c>
      <c r="E175" s="70" t="s">
        <v>99</v>
      </c>
      <c r="F175" s="70"/>
      <c r="G175" s="67" t="s">
        <v>82</v>
      </c>
      <c r="H175" s="67" t="s">
        <v>270</v>
      </c>
      <c r="I175" s="70" t="s">
        <v>611</v>
      </c>
      <c r="J175" s="95" t="s">
        <v>625</v>
      </c>
      <c r="K175" s="77" t="s">
        <v>83</v>
      </c>
    </row>
    <row r="176" spans="3:11" ht="40.5" customHeight="1" x14ac:dyDescent="0.75">
      <c r="C176" s="67" t="s">
        <v>626</v>
      </c>
      <c r="D176" s="67" t="s">
        <v>627</v>
      </c>
      <c r="E176" s="70" t="s">
        <v>99</v>
      </c>
      <c r="F176" s="70"/>
      <c r="G176" s="67" t="s">
        <v>82</v>
      </c>
      <c r="H176" s="67" t="s">
        <v>270</v>
      </c>
      <c r="I176" s="70" t="s">
        <v>611</v>
      </c>
      <c r="J176" s="67" t="s">
        <v>628</v>
      </c>
      <c r="K176" s="77" t="s">
        <v>83</v>
      </c>
    </row>
    <row r="177" spans="2:14" ht="40.5" customHeight="1" x14ac:dyDescent="0.75">
      <c r="C177" s="95" t="s">
        <v>629</v>
      </c>
      <c r="D177" s="95" t="s">
        <v>630</v>
      </c>
      <c r="E177" s="70" t="s">
        <v>99</v>
      </c>
      <c r="F177" s="70"/>
      <c r="G177" s="67" t="s">
        <v>82</v>
      </c>
      <c r="H177" s="67" t="s">
        <v>270</v>
      </c>
      <c r="I177" s="70" t="s">
        <v>611</v>
      </c>
      <c r="J177" s="95" t="s">
        <v>631</v>
      </c>
      <c r="K177" s="77" t="s">
        <v>83</v>
      </c>
    </row>
    <row r="178" spans="2:14" ht="40.5" customHeight="1" x14ac:dyDescent="0.75">
      <c r="C178" s="95" t="s">
        <v>632</v>
      </c>
      <c r="D178" s="95" t="s">
        <v>633</v>
      </c>
      <c r="E178" s="70" t="s">
        <v>99</v>
      </c>
      <c r="F178" s="70"/>
      <c r="G178" s="67" t="s">
        <v>82</v>
      </c>
      <c r="H178" s="67" t="s">
        <v>270</v>
      </c>
      <c r="I178" s="70" t="s">
        <v>611</v>
      </c>
      <c r="J178" s="95" t="s">
        <v>634</v>
      </c>
      <c r="K178" s="77" t="s">
        <v>83</v>
      </c>
    </row>
    <row r="179" spans="2:14" ht="40.5" customHeight="1" x14ac:dyDescent="0.75">
      <c r="C179" s="95" t="s">
        <v>635</v>
      </c>
      <c r="D179" s="95" t="s">
        <v>636</v>
      </c>
      <c r="E179" s="70" t="s">
        <v>99</v>
      </c>
      <c r="F179" s="70"/>
      <c r="G179" s="67" t="s">
        <v>82</v>
      </c>
      <c r="H179" s="67" t="s">
        <v>270</v>
      </c>
      <c r="I179" s="70" t="s">
        <v>611</v>
      </c>
      <c r="J179" s="95" t="s">
        <v>637</v>
      </c>
      <c r="K179" s="77" t="s">
        <v>83</v>
      </c>
    </row>
    <row r="180" spans="2:14" ht="40.5" customHeight="1" x14ac:dyDescent="0.75">
      <c r="C180" s="92" t="s">
        <v>638</v>
      </c>
      <c r="D180" s="92" t="s">
        <v>639</v>
      </c>
      <c r="E180" s="92" t="s">
        <v>99</v>
      </c>
      <c r="F180" s="92"/>
      <c r="G180" s="67" t="s">
        <v>82</v>
      </c>
      <c r="H180" s="67" t="s">
        <v>270</v>
      </c>
      <c r="I180" s="70" t="s">
        <v>611</v>
      </c>
      <c r="J180" s="95" t="s">
        <v>640</v>
      </c>
      <c r="K180" s="77" t="s">
        <v>83</v>
      </c>
    </row>
    <row r="181" spans="2:14" ht="40.5" customHeight="1" x14ac:dyDescent="0.75">
      <c r="C181" s="92" t="s">
        <v>641</v>
      </c>
      <c r="D181" s="92" t="s">
        <v>642</v>
      </c>
      <c r="E181" s="92" t="s">
        <v>99</v>
      </c>
      <c r="F181" s="92"/>
      <c r="G181" s="67" t="s">
        <v>82</v>
      </c>
      <c r="H181" s="67" t="s">
        <v>270</v>
      </c>
      <c r="I181" s="70" t="s">
        <v>611</v>
      </c>
      <c r="J181" s="95" t="s">
        <v>643</v>
      </c>
      <c r="K181" s="77" t="s">
        <v>83</v>
      </c>
    </row>
    <row r="182" spans="2:14" ht="40.5" customHeight="1" x14ac:dyDescent="0.75">
      <c r="C182" s="95" t="s">
        <v>644</v>
      </c>
      <c r="D182" s="95" t="s">
        <v>645</v>
      </c>
      <c r="E182" s="70" t="s">
        <v>99</v>
      </c>
      <c r="F182" s="70"/>
      <c r="G182" s="67" t="s">
        <v>82</v>
      </c>
      <c r="H182" s="67" t="s">
        <v>270</v>
      </c>
      <c r="I182" s="70" t="s">
        <v>611</v>
      </c>
      <c r="J182" s="95" t="s">
        <v>646</v>
      </c>
      <c r="K182" s="77" t="s">
        <v>83</v>
      </c>
    </row>
    <row r="183" spans="2:14" ht="40.5" customHeight="1" x14ac:dyDescent="0.75">
      <c r="C183" s="92" t="s">
        <v>647</v>
      </c>
      <c r="D183" s="92" t="s">
        <v>648</v>
      </c>
      <c r="E183" s="92" t="s">
        <v>99</v>
      </c>
      <c r="F183" s="92"/>
      <c r="G183" s="67" t="s">
        <v>82</v>
      </c>
      <c r="H183" s="67" t="s">
        <v>270</v>
      </c>
      <c r="I183" s="70" t="s">
        <v>611</v>
      </c>
      <c r="J183" s="95" t="s">
        <v>649</v>
      </c>
      <c r="K183" s="77" t="s">
        <v>83</v>
      </c>
    </row>
    <row r="184" spans="2:14" ht="40.5" customHeight="1" x14ac:dyDescent="0.75">
      <c r="C184" s="92" t="s">
        <v>650</v>
      </c>
      <c r="D184" s="92" t="s">
        <v>651</v>
      </c>
      <c r="E184" s="92" t="s">
        <v>99</v>
      </c>
      <c r="F184" s="92"/>
      <c r="G184" s="67" t="s">
        <v>82</v>
      </c>
      <c r="H184" s="67" t="s">
        <v>270</v>
      </c>
      <c r="I184" s="70" t="s">
        <v>611</v>
      </c>
      <c r="J184" s="67" t="s">
        <v>652</v>
      </c>
      <c r="K184" s="77" t="s">
        <v>83</v>
      </c>
    </row>
    <row r="185" spans="2:14" ht="40.5" customHeight="1" x14ac:dyDescent="0.75">
      <c r="C185" s="92" t="s">
        <v>653</v>
      </c>
      <c r="D185" s="92" t="s">
        <v>654</v>
      </c>
      <c r="E185" s="92" t="s">
        <v>99</v>
      </c>
      <c r="F185" s="92"/>
      <c r="G185" s="67" t="s">
        <v>82</v>
      </c>
      <c r="H185" s="67" t="s">
        <v>655</v>
      </c>
      <c r="I185" s="70" t="s">
        <v>656</v>
      </c>
      <c r="J185" s="67" t="s">
        <v>657</v>
      </c>
      <c r="K185" s="68" t="s">
        <v>83</v>
      </c>
    </row>
    <row r="186" spans="2:14" ht="40.5" customHeight="1" x14ac:dyDescent="0.75">
      <c r="C186" s="70" t="s">
        <v>658</v>
      </c>
      <c r="D186" s="70" t="s">
        <v>659</v>
      </c>
      <c r="E186" s="70" t="s">
        <v>81</v>
      </c>
      <c r="F186" s="70"/>
      <c r="G186" s="67" t="s">
        <v>86</v>
      </c>
      <c r="H186" s="67"/>
      <c r="I186" s="70" t="s">
        <v>660</v>
      </c>
      <c r="J186" s="67" t="s">
        <v>661</v>
      </c>
      <c r="K186" s="68" t="s">
        <v>83</v>
      </c>
    </row>
    <row r="187" spans="2:14" s="74" customFormat="1" ht="40.5" customHeight="1" x14ac:dyDescent="0.75">
      <c r="B187" s="98"/>
      <c r="C187" s="67" t="s">
        <v>662</v>
      </c>
      <c r="D187" s="67" t="s">
        <v>663</v>
      </c>
      <c r="E187" s="67" t="s">
        <v>519</v>
      </c>
      <c r="F187" s="67"/>
      <c r="G187" s="67" t="s">
        <v>82</v>
      </c>
      <c r="H187" s="67" t="s">
        <v>664</v>
      </c>
      <c r="I187" s="67" t="s">
        <v>83</v>
      </c>
      <c r="J187" s="67" t="s">
        <v>665</v>
      </c>
      <c r="K187" s="68" t="s">
        <v>83</v>
      </c>
      <c r="L187" s="58"/>
      <c r="M187" s="58"/>
      <c r="N187" s="58"/>
    </row>
    <row r="188" spans="2:14" ht="40.5" customHeight="1" x14ac:dyDescent="0.75">
      <c r="C188" s="99" t="s">
        <v>666</v>
      </c>
      <c r="D188" s="99" t="s">
        <v>667</v>
      </c>
      <c r="E188" s="70" t="s">
        <v>99</v>
      </c>
      <c r="F188" s="92"/>
      <c r="G188" s="95" t="s">
        <v>82</v>
      </c>
      <c r="H188" s="67" t="s">
        <v>668</v>
      </c>
      <c r="I188" s="95" t="s">
        <v>669</v>
      </c>
      <c r="J188" s="95" t="s">
        <v>670</v>
      </c>
      <c r="K188" s="75" t="s">
        <v>83</v>
      </c>
    </row>
    <row r="189" spans="2:14" ht="40.5" customHeight="1" x14ac:dyDescent="0.75">
      <c r="C189" s="95" t="s">
        <v>671</v>
      </c>
      <c r="D189" s="95" t="s">
        <v>672</v>
      </c>
      <c r="E189" s="95" t="s">
        <v>564</v>
      </c>
      <c r="F189" s="95"/>
      <c r="G189" s="67" t="s">
        <v>82</v>
      </c>
      <c r="H189" s="67" t="s">
        <v>673</v>
      </c>
      <c r="I189" s="95" t="s">
        <v>669</v>
      </c>
      <c r="J189" s="67" t="s">
        <v>674</v>
      </c>
      <c r="K189" s="68" t="s">
        <v>83</v>
      </c>
    </row>
    <row r="190" spans="2:14" ht="40.5" customHeight="1" x14ac:dyDescent="0.75">
      <c r="C190" s="99" t="s">
        <v>675</v>
      </c>
      <c r="D190" s="99" t="s">
        <v>676</v>
      </c>
      <c r="E190" s="99" t="s">
        <v>519</v>
      </c>
      <c r="F190" s="99"/>
      <c r="G190" s="67" t="s">
        <v>82</v>
      </c>
      <c r="H190" s="67" t="s">
        <v>677</v>
      </c>
      <c r="I190" s="95" t="s">
        <v>669</v>
      </c>
      <c r="J190" s="67" t="s">
        <v>678</v>
      </c>
      <c r="K190" s="68" t="s">
        <v>83</v>
      </c>
    </row>
    <row r="191" spans="2:14" ht="40.5" customHeight="1" x14ac:dyDescent="0.75">
      <c r="C191" s="99" t="s">
        <v>679</v>
      </c>
      <c r="D191" s="99" t="s">
        <v>680</v>
      </c>
      <c r="E191" s="99" t="s">
        <v>519</v>
      </c>
      <c r="F191" s="99"/>
      <c r="G191" s="67" t="s">
        <v>82</v>
      </c>
      <c r="H191" s="67" t="s">
        <v>681</v>
      </c>
      <c r="I191" s="67" t="s">
        <v>83</v>
      </c>
      <c r="J191" s="67" t="s">
        <v>682</v>
      </c>
      <c r="K191" s="68" t="s">
        <v>83</v>
      </c>
    </row>
    <row r="192" spans="2:14" ht="40.5" customHeight="1" x14ac:dyDescent="0.75">
      <c r="C192" s="99" t="s">
        <v>683</v>
      </c>
      <c r="D192" s="99" t="s">
        <v>684</v>
      </c>
      <c r="E192" s="99" t="s">
        <v>519</v>
      </c>
      <c r="F192" s="99"/>
      <c r="G192" s="67" t="s">
        <v>82</v>
      </c>
      <c r="H192" s="67" t="s">
        <v>685</v>
      </c>
      <c r="I192" s="70" t="s">
        <v>686</v>
      </c>
      <c r="J192" s="67" t="s">
        <v>687</v>
      </c>
      <c r="K192" s="68" t="s">
        <v>83</v>
      </c>
    </row>
    <row r="193" spans="2:14" ht="40.5" customHeight="1" x14ac:dyDescent="0.75">
      <c r="C193" s="99" t="s">
        <v>688</v>
      </c>
      <c r="D193" s="99" t="s">
        <v>689</v>
      </c>
      <c r="E193" s="99" t="s">
        <v>519</v>
      </c>
      <c r="F193" s="99"/>
      <c r="G193" s="67" t="s">
        <v>82</v>
      </c>
      <c r="H193" s="67" t="s">
        <v>690</v>
      </c>
      <c r="I193" s="67" t="s">
        <v>691</v>
      </c>
      <c r="J193" s="67" t="s">
        <v>692</v>
      </c>
      <c r="K193" s="68" t="s">
        <v>83</v>
      </c>
    </row>
    <row r="194" spans="2:14" ht="40.5" customHeight="1" x14ac:dyDescent="0.75">
      <c r="C194" s="99" t="s">
        <v>693</v>
      </c>
      <c r="D194" s="99" t="s">
        <v>694</v>
      </c>
      <c r="E194" s="99" t="s">
        <v>519</v>
      </c>
      <c r="F194" s="99"/>
      <c r="G194" s="67" t="s">
        <v>82</v>
      </c>
      <c r="H194" s="67" t="s">
        <v>695</v>
      </c>
      <c r="I194" s="67" t="s">
        <v>83</v>
      </c>
      <c r="J194" s="67" t="s">
        <v>696</v>
      </c>
      <c r="K194" s="68" t="s">
        <v>83</v>
      </c>
    </row>
    <row r="195" spans="2:14" ht="40.5" customHeight="1" x14ac:dyDescent="0.75">
      <c r="C195" s="99" t="s">
        <v>688</v>
      </c>
      <c r="D195" s="99" t="s">
        <v>697</v>
      </c>
      <c r="E195" s="99" t="s">
        <v>519</v>
      </c>
      <c r="F195" s="99"/>
      <c r="G195" s="67" t="s">
        <v>82</v>
      </c>
      <c r="H195" s="67" t="s">
        <v>698</v>
      </c>
      <c r="I195" s="100" t="s">
        <v>699</v>
      </c>
      <c r="J195" s="67" t="s">
        <v>700</v>
      </c>
      <c r="K195" s="68" t="s">
        <v>83</v>
      </c>
    </row>
    <row r="196" spans="2:14" ht="40.5" customHeight="1" x14ac:dyDescent="0.75">
      <c r="C196" s="99" t="s">
        <v>701</v>
      </c>
      <c r="D196" s="99" t="s">
        <v>702</v>
      </c>
      <c r="E196" s="99" t="s">
        <v>519</v>
      </c>
      <c r="F196" s="99"/>
      <c r="G196" s="67" t="s">
        <v>82</v>
      </c>
      <c r="H196" s="67" t="s">
        <v>703</v>
      </c>
      <c r="I196" s="67" t="s">
        <v>83</v>
      </c>
      <c r="J196" s="67" t="s">
        <v>704</v>
      </c>
      <c r="K196" s="68" t="s">
        <v>83</v>
      </c>
    </row>
    <row r="197" spans="2:14" ht="40.5" customHeight="1" x14ac:dyDescent="0.75">
      <c r="C197" s="83" t="s">
        <v>65</v>
      </c>
      <c r="D197" s="84"/>
      <c r="E197" s="84"/>
      <c r="F197" s="84"/>
      <c r="G197" s="85"/>
      <c r="H197" s="85"/>
      <c r="I197" s="86"/>
      <c r="J197" s="64"/>
      <c r="K197" s="84"/>
    </row>
    <row r="198" spans="2:14" ht="40.5" customHeight="1" x14ac:dyDescent="0.75">
      <c r="C198" s="67" t="s">
        <v>128</v>
      </c>
      <c r="D198" s="67" t="s">
        <v>129</v>
      </c>
      <c r="E198" s="67" t="s">
        <v>82</v>
      </c>
      <c r="F198" s="67" t="s">
        <v>83</v>
      </c>
      <c r="G198" s="67" t="s">
        <v>82</v>
      </c>
      <c r="H198" s="67"/>
      <c r="I198" s="67" t="s">
        <v>83</v>
      </c>
      <c r="J198" s="67" t="s">
        <v>705</v>
      </c>
      <c r="K198" s="77" t="s">
        <v>89</v>
      </c>
    </row>
    <row r="199" spans="2:14" ht="40.5" customHeight="1" x14ac:dyDescent="0.75">
      <c r="C199" s="67" t="s">
        <v>706</v>
      </c>
      <c r="D199" s="67" t="s">
        <v>707</v>
      </c>
      <c r="E199" s="67" t="s">
        <v>82</v>
      </c>
      <c r="F199" s="67" t="s">
        <v>83</v>
      </c>
      <c r="G199" s="67" t="s">
        <v>82</v>
      </c>
      <c r="H199" s="67"/>
      <c r="I199" s="67" t="s">
        <v>83</v>
      </c>
      <c r="J199" s="67" t="s">
        <v>708</v>
      </c>
      <c r="K199" s="77" t="s">
        <v>83</v>
      </c>
    </row>
    <row r="200" spans="2:14" ht="40.5" customHeight="1" x14ac:dyDescent="0.75">
      <c r="C200" s="92" t="s">
        <v>709</v>
      </c>
      <c r="D200" s="92" t="s">
        <v>23</v>
      </c>
      <c r="E200" s="92" t="s">
        <v>99</v>
      </c>
      <c r="F200" s="92"/>
      <c r="G200" s="67" t="s">
        <v>82</v>
      </c>
      <c r="H200" s="67" t="s">
        <v>710</v>
      </c>
      <c r="I200" s="70" t="s">
        <v>83</v>
      </c>
      <c r="J200" s="67" t="s">
        <v>711</v>
      </c>
      <c r="K200" s="68" t="s">
        <v>83</v>
      </c>
    </row>
    <row r="201" spans="2:14" ht="40.5" customHeight="1" x14ac:dyDescent="0.75">
      <c r="C201" s="70" t="s">
        <v>712</v>
      </c>
      <c r="D201" s="70" t="s">
        <v>713</v>
      </c>
      <c r="E201" s="70" t="s">
        <v>4</v>
      </c>
      <c r="F201" s="70"/>
      <c r="G201" s="67" t="s">
        <v>4</v>
      </c>
      <c r="H201" s="67" t="s">
        <v>108</v>
      </c>
      <c r="I201" s="70" t="s">
        <v>83</v>
      </c>
      <c r="J201" s="67" t="s">
        <v>714</v>
      </c>
      <c r="K201" s="68" t="s">
        <v>83</v>
      </c>
    </row>
    <row r="202" spans="2:14" ht="40.5" customHeight="1" x14ac:dyDescent="0.75">
      <c r="C202" s="92" t="s">
        <v>715</v>
      </c>
      <c r="D202" s="92" t="s">
        <v>716</v>
      </c>
      <c r="E202" s="92" t="s">
        <v>99</v>
      </c>
      <c r="F202" s="92"/>
      <c r="G202" s="67" t="s">
        <v>82</v>
      </c>
      <c r="H202" s="67" t="s">
        <v>717</v>
      </c>
      <c r="I202" s="70" t="s">
        <v>718</v>
      </c>
      <c r="J202" s="67" t="s">
        <v>719</v>
      </c>
      <c r="K202" s="68" t="s">
        <v>83</v>
      </c>
    </row>
    <row r="203" spans="2:14" ht="40.5" customHeight="1" x14ac:dyDescent="0.75">
      <c r="C203" s="70" t="s">
        <v>720</v>
      </c>
      <c r="D203" s="70" t="s">
        <v>721</v>
      </c>
      <c r="E203" s="70" t="s">
        <v>81</v>
      </c>
      <c r="F203" s="70"/>
      <c r="G203" s="67" t="s">
        <v>86</v>
      </c>
      <c r="H203" s="67"/>
      <c r="I203" s="70" t="s">
        <v>722</v>
      </c>
      <c r="J203" s="67" t="s">
        <v>723</v>
      </c>
      <c r="K203" s="68" t="s">
        <v>83</v>
      </c>
    </row>
    <row r="204" spans="2:14" ht="40.5" customHeight="1" x14ac:dyDescent="0.75">
      <c r="C204" s="83" t="s">
        <v>66</v>
      </c>
      <c r="D204" s="84"/>
      <c r="E204" s="84"/>
      <c r="F204" s="84"/>
      <c r="G204" s="85"/>
      <c r="H204" s="85"/>
      <c r="I204" s="86"/>
      <c r="J204" s="64"/>
      <c r="K204" s="84"/>
    </row>
    <row r="205" spans="2:14" ht="40.5" customHeight="1" x14ac:dyDescent="0.75">
      <c r="C205" s="67" t="s">
        <v>128</v>
      </c>
      <c r="D205" s="67" t="s">
        <v>129</v>
      </c>
      <c r="E205" s="67" t="s">
        <v>82</v>
      </c>
      <c r="F205" s="67" t="s">
        <v>83</v>
      </c>
      <c r="G205" s="67" t="s">
        <v>82</v>
      </c>
      <c r="H205" s="67"/>
      <c r="I205" s="67" t="s">
        <v>83</v>
      </c>
      <c r="J205" s="67" t="s">
        <v>724</v>
      </c>
      <c r="K205" s="77" t="s">
        <v>89</v>
      </c>
    </row>
    <row r="206" spans="2:14" s="102" customFormat="1" ht="40.5" customHeight="1" x14ac:dyDescent="0.75">
      <c r="B206" s="101"/>
      <c r="C206" s="67" t="s">
        <v>281</v>
      </c>
      <c r="D206" s="67" t="s">
        <v>282</v>
      </c>
      <c r="E206" s="67" t="s">
        <v>82</v>
      </c>
      <c r="F206" s="67" t="s">
        <v>83</v>
      </c>
      <c r="G206" s="67" t="s">
        <v>82</v>
      </c>
      <c r="H206" s="67"/>
      <c r="I206" s="67" t="s">
        <v>83</v>
      </c>
      <c r="J206" s="67"/>
      <c r="K206" s="77" t="s">
        <v>89</v>
      </c>
      <c r="L206" s="58"/>
      <c r="M206" s="58"/>
      <c r="N206" s="58"/>
    </row>
    <row r="207" spans="2:14" ht="40.5" customHeight="1" x14ac:dyDescent="0.75">
      <c r="C207" s="67" t="s">
        <v>725</v>
      </c>
      <c r="D207" s="67" t="s">
        <v>726</v>
      </c>
      <c r="E207" s="67" t="s">
        <v>82</v>
      </c>
      <c r="F207" s="67" t="s">
        <v>83</v>
      </c>
      <c r="G207" s="67" t="s">
        <v>82</v>
      </c>
      <c r="H207" s="67"/>
      <c r="I207" s="67" t="s">
        <v>83</v>
      </c>
      <c r="J207" s="67" t="s">
        <v>727</v>
      </c>
      <c r="K207" s="77" t="s">
        <v>83</v>
      </c>
    </row>
    <row r="208" spans="2:14" ht="40.5" customHeight="1" x14ac:dyDescent="0.75">
      <c r="B208" s="103"/>
      <c r="C208" s="92" t="s">
        <v>728</v>
      </c>
      <c r="D208" s="92" t="s">
        <v>729</v>
      </c>
      <c r="E208" s="92" t="s">
        <v>99</v>
      </c>
      <c r="F208" s="92"/>
      <c r="G208" s="67" t="s">
        <v>82</v>
      </c>
      <c r="H208" s="67" t="s">
        <v>205</v>
      </c>
      <c r="I208" s="70" t="s">
        <v>87</v>
      </c>
      <c r="J208" s="67" t="s">
        <v>730</v>
      </c>
      <c r="K208" s="68" t="s">
        <v>83</v>
      </c>
    </row>
    <row r="209" spans="2:11" ht="40.5" customHeight="1" x14ac:dyDescent="0.75">
      <c r="B209" s="103"/>
      <c r="C209" s="92" t="s">
        <v>731</v>
      </c>
      <c r="D209" s="92" t="s">
        <v>732</v>
      </c>
      <c r="E209" s="92" t="s">
        <v>99</v>
      </c>
      <c r="F209" s="92"/>
      <c r="G209" s="67" t="s">
        <v>82</v>
      </c>
      <c r="H209" s="67" t="s">
        <v>733</v>
      </c>
      <c r="I209" s="67" t="s">
        <v>734</v>
      </c>
      <c r="J209" s="67"/>
      <c r="K209" s="68" t="s">
        <v>89</v>
      </c>
    </row>
    <row r="210" spans="2:11" ht="40.5" customHeight="1" x14ac:dyDescent="0.75">
      <c r="B210" s="103"/>
      <c r="C210" s="70" t="s">
        <v>735</v>
      </c>
      <c r="D210" s="70" t="s">
        <v>736</v>
      </c>
      <c r="E210" s="70" t="s">
        <v>4</v>
      </c>
      <c r="F210" s="70"/>
      <c r="G210" s="67" t="s">
        <v>4</v>
      </c>
      <c r="H210" s="67" t="s">
        <v>108</v>
      </c>
      <c r="I210" s="67" t="s">
        <v>737</v>
      </c>
      <c r="J210" s="67" t="s">
        <v>738</v>
      </c>
      <c r="K210" s="68" t="s">
        <v>83</v>
      </c>
    </row>
    <row r="211" spans="2:11" ht="40.5" customHeight="1" x14ac:dyDescent="0.75">
      <c r="B211" s="103"/>
      <c r="C211" s="70" t="s">
        <v>739</v>
      </c>
      <c r="D211" s="70" t="s">
        <v>740</v>
      </c>
      <c r="E211" s="70" t="s">
        <v>223</v>
      </c>
      <c r="F211" s="70"/>
      <c r="G211" s="67" t="s">
        <v>86</v>
      </c>
      <c r="H211" s="67"/>
      <c r="I211" s="67" t="s">
        <v>737</v>
      </c>
      <c r="J211" s="67" t="s">
        <v>741</v>
      </c>
      <c r="K211" s="68" t="s">
        <v>83</v>
      </c>
    </row>
    <row r="212" spans="2:11" ht="40.5" customHeight="1" x14ac:dyDescent="0.75">
      <c r="B212" s="103"/>
      <c r="C212" s="92" t="s">
        <v>742</v>
      </c>
      <c r="D212" s="92" t="s">
        <v>743</v>
      </c>
      <c r="E212" s="92" t="s">
        <v>99</v>
      </c>
      <c r="F212" s="92"/>
      <c r="G212" s="67" t="s">
        <v>82</v>
      </c>
      <c r="H212" s="67" t="s">
        <v>744</v>
      </c>
      <c r="I212" s="67" t="s">
        <v>737</v>
      </c>
      <c r="J212" s="67" t="s">
        <v>745</v>
      </c>
      <c r="K212" s="68" t="s">
        <v>83</v>
      </c>
    </row>
    <row r="213" spans="2:11" ht="40.5" customHeight="1" x14ac:dyDescent="0.75">
      <c r="B213" s="103"/>
      <c r="C213" s="67" t="s">
        <v>746</v>
      </c>
      <c r="D213" s="92" t="s">
        <v>747</v>
      </c>
      <c r="E213" s="67" t="s">
        <v>99</v>
      </c>
      <c r="F213" s="67"/>
      <c r="G213" s="67" t="s">
        <v>82</v>
      </c>
      <c r="H213" s="67" t="s">
        <v>260</v>
      </c>
      <c r="I213" s="67" t="s">
        <v>83</v>
      </c>
      <c r="J213" s="67" t="s">
        <v>748</v>
      </c>
      <c r="K213" s="77" t="s">
        <v>89</v>
      </c>
    </row>
    <row r="214" spans="2:11" ht="40.5" customHeight="1" x14ac:dyDescent="0.75">
      <c r="B214" s="103"/>
      <c r="C214" s="67" t="s">
        <v>749</v>
      </c>
      <c r="D214" s="92" t="s">
        <v>750</v>
      </c>
      <c r="E214" s="67" t="s">
        <v>99</v>
      </c>
      <c r="F214" s="67"/>
      <c r="G214" s="67" t="s">
        <v>82</v>
      </c>
      <c r="H214" s="67" t="s">
        <v>260</v>
      </c>
      <c r="I214" s="67" t="s">
        <v>83</v>
      </c>
      <c r="J214" s="67" t="s">
        <v>751</v>
      </c>
      <c r="K214" s="77" t="s">
        <v>89</v>
      </c>
    </row>
    <row r="215" spans="2:11" ht="40.5" customHeight="1" x14ac:dyDescent="0.75">
      <c r="B215" s="103"/>
      <c r="C215" s="67" t="s">
        <v>752</v>
      </c>
      <c r="D215" s="67" t="s">
        <v>753</v>
      </c>
      <c r="E215" s="67" t="s">
        <v>99</v>
      </c>
      <c r="F215" s="67"/>
      <c r="G215" s="67" t="s">
        <v>82</v>
      </c>
      <c r="H215" s="67" t="s">
        <v>260</v>
      </c>
      <c r="I215" s="67" t="s">
        <v>83</v>
      </c>
      <c r="J215" s="67" t="s">
        <v>754</v>
      </c>
      <c r="K215" s="77" t="s">
        <v>89</v>
      </c>
    </row>
    <row r="216" spans="2:11" ht="40.5" customHeight="1" x14ac:dyDescent="0.75">
      <c r="B216" s="103"/>
      <c r="C216" s="67" t="s">
        <v>755</v>
      </c>
      <c r="D216" s="67" t="s">
        <v>756</v>
      </c>
      <c r="E216" s="67" t="s">
        <v>99</v>
      </c>
      <c r="F216" s="67"/>
      <c r="G216" s="67" t="s">
        <v>82</v>
      </c>
      <c r="H216" s="67" t="s">
        <v>260</v>
      </c>
      <c r="I216" s="67" t="s">
        <v>83</v>
      </c>
      <c r="J216" s="67" t="s">
        <v>757</v>
      </c>
      <c r="K216" s="77" t="s">
        <v>89</v>
      </c>
    </row>
    <row r="217" spans="2:11" ht="40.5" customHeight="1" x14ac:dyDescent="0.75">
      <c r="B217" s="103"/>
      <c r="C217" s="67" t="s">
        <v>758</v>
      </c>
      <c r="D217" s="67" t="s">
        <v>759</v>
      </c>
      <c r="E217" s="67" t="s">
        <v>99</v>
      </c>
      <c r="F217" s="67"/>
      <c r="G217" s="67" t="s">
        <v>82</v>
      </c>
      <c r="H217" s="67" t="s">
        <v>260</v>
      </c>
      <c r="I217" s="67" t="s">
        <v>83</v>
      </c>
      <c r="J217" s="67" t="s">
        <v>760</v>
      </c>
      <c r="K217" s="77" t="s">
        <v>89</v>
      </c>
    </row>
    <row r="218" spans="2:11" ht="40.5" customHeight="1" x14ac:dyDescent="0.75">
      <c r="B218" s="103"/>
      <c r="C218" s="92" t="s">
        <v>761</v>
      </c>
      <c r="D218" s="92" t="s">
        <v>762</v>
      </c>
      <c r="E218" s="92" t="s">
        <v>99</v>
      </c>
      <c r="F218" s="92"/>
      <c r="G218" s="67" t="s">
        <v>82</v>
      </c>
      <c r="H218" s="67" t="s">
        <v>763</v>
      </c>
      <c r="I218" s="67" t="s">
        <v>83</v>
      </c>
      <c r="J218" s="67" t="s">
        <v>764</v>
      </c>
      <c r="K218" s="68" t="s">
        <v>83</v>
      </c>
    </row>
    <row r="219" spans="2:11" ht="40.5" customHeight="1" x14ac:dyDescent="0.75">
      <c r="B219" s="103"/>
      <c r="C219" s="92" t="s">
        <v>765</v>
      </c>
      <c r="D219" s="92" t="s">
        <v>766</v>
      </c>
      <c r="E219" s="92" t="s">
        <v>99</v>
      </c>
      <c r="F219" s="92"/>
      <c r="G219" s="67" t="s">
        <v>82</v>
      </c>
      <c r="H219" s="67" t="s">
        <v>767</v>
      </c>
      <c r="I219" s="70" t="s">
        <v>768</v>
      </c>
      <c r="J219" s="67" t="s">
        <v>769</v>
      </c>
      <c r="K219" s="68" t="s">
        <v>89</v>
      </c>
    </row>
    <row r="220" spans="2:11" ht="40.5" customHeight="1" x14ac:dyDescent="0.75">
      <c r="B220" s="103"/>
      <c r="C220" s="70" t="s">
        <v>770</v>
      </c>
      <c r="D220" s="70" t="s">
        <v>771</v>
      </c>
      <c r="E220" s="70" t="s">
        <v>81</v>
      </c>
      <c r="F220" s="70"/>
      <c r="G220" s="67" t="s">
        <v>86</v>
      </c>
      <c r="H220" s="67"/>
      <c r="I220" s="70" t="s">
        <v>768</v>
      </c>
      <c r="J220" s="67" t="s">
        <v>772</v>
      </c>
      <c r="K220" s="68" t="s">
        <v>83</v>
      </c>
    </row>
    <row r="221" spans="2:11" ht="40.5" customHeight="1" x14ac:dyDescent="0.75">
      <c r="B221" s="103"/>
      <c r="C221" s="95" t="s">
        <v>773</v>
      </c>
      <c r="D221" s="95" t="s">
        <v>774</v>
      </c>
      <c r="E221" s="95" t="s">
        <v>564</v>
      </c>
      <c r="F221" s="95"/>
      <c r="G221" s="67" t="s">
        <v>82</v>
      </c>
      <c r="H221" s="67" t="s">
        <v>270</v>
      </c>
      <c r="I221" s="70" t="s">
        <v>768</v>
      </c>
      <c r="J221" s="67" t="s">
        <v>775</v>
      </c>
      <c r="K221" s="68" t="s">
        <v>83</v>
      </c>
    </row>
    <row r="222" spans="2:11" ht="40.5" customHeight="1" x14ac:dyDescent="0.75">
      <c r="B222" s="103"/>
      <c r="C222" s="67" t="s">
        <v>776</v>
      </c>
      <c r="D222" s="67" t="s">
        <v>777</v>
      </c>
      <c r="E222" s="70" t="s">
        <v>81</v>
      </c>
      <c r="F222" s="70"/>
      <c r="G222" s="67" t="s">
        <v>86</v>
      </c>
      <c r="H222" s="67"/>
      <c r="I222" s="67" t="s">
        <v>778</v>
      </c>
      <c r="J222" s="67" t="s">
        <v>779</v>
      </c>
      <c r="K222" s="68" t="s">
        <v>83</v>
      </c>
    </row>
    <row r="223" spans="2:11" ht="40.5" customHeight="1" x14ac:dyDescent="0.75">
      <c r="B223" s="103"/>
      <c r="C223" s="92" t="s">
        <v>780</v>
      </c>
      <c r="D223" s="92" t="s">
        <v>781</v>
      </c>
      <c r="E223" s="92" t="s">
        <v>99</v>
      </c>
      <c r="F223" s="92"/>
      <c r="G223" s="67" t="s">
        <v>82</v>
      </c>
      <c r="H223" s="67" t="s">
        <v>782</v>
      </c>
      <c r="I223" s="67" t="s">
        <v>83</v>
      </c>
      <c r="J223" s="67" t="s">
        <v>783</v>
      </c>
      <c r="K223" s="68" t="s">
        <v>89</v>
      </c>
    </row>
    <row r="224" spans="2:11" ht="40.5" customHeight="1" x14ac:dyDescent="0.75">
      <c r="B224" s="103"/>
      <c r="C224" s="70" t="s">
        <v>784</v>
      </c>
      <c r="D224" s="70" t="s">
        <v>785</v>
      </c>
      <c r="E224" s="70" t="s">
        <v>4</v>
      </c>
      <c r="F224" s="70"/>
      <c r="G224" s="67" t="s">
        <v>4</v>
      </c>
      <c r="H224" s="67" t="s">
        <v>108</v>
      </c>
      <c r="I224" s="70" t="s">
        <v>786</v>
      </c>
      <c r="J224" s="67" t="s">
        <v>787</v>
      </c>
      <c r="K224" s="68" t="s">
        <v>89</v>
      </c>
    </row>
    <row r="225" spans="2:11" ht="40.5" customHeight="1" x14ac:dyDescent="0.75">
      <c r="B225" s="103"/>
      <c r="C225" s="95" t="s">
        <v>788</v>
      </c>
      <c r="D225" s="95" t="s">
        <v>789</v>
      </c>
      <c r="E225" s="95" t="s">
        <v>99</v>
      </c>
      <c r="F225" s="95"/>
      <c r="G225" s="67" t="s">
        <v>82</v>
      </c>
      <c r="H225" s="67" t="s">
        <v>270</v>
      </c>
      <c r="I225" s="67" t="s">
        <v>786</v>
      </c>
      <c r="J225" s="67" t="s">
        <v>790</v>
      </c>
      <c r="K225" s="77" t="s">
        <v>89</v>
      </c>
    </row>
    <row r="226" spans="2:11" ht="40.5" customHeight="1" x14ac:dyDescent="0.75">
      <c r="B226" s="103"/>
      <c r="C226" s="92" t="s">
        <v>791</v>
      </c>
      <c r="D226" s="92" t="s">
        <v>792</v>
      </c>
      <c r="E226" s="92" t="s">
        <v>99</v>
      </c>
      <c r="F226" s="92"/>
      <c r="G226" s="67" t="s">
        <v>82</v>
      </c>
      <c r="H226" s="67" t="s">
        <v>270</v>
      </c>
      <c r="I226" s="70" t="s">
        <v>87</v>
      </c>
      <c r="J226" s="67" t="s">
        <v>793</v>
      </c>
      <c r="K226" s="68" t="s">
        <v>83</v>
      </c>
    </row>
    <row r="227" spans="2:11" ht="40.5" customHeight="1" x14ac:dyDescent="0.75">
      <c r="B227" s="103"/>
      <c r="C227" s="70" t="s">
        <v>794</v>
      </c>
      <c r="D227" s="70" t="s">
        <v>795</v>
      </c>
      <c r="E227" s="70" t="s">
        <v>223</v>
      </c>
      <c r="F227" s="70"/>
      <c r="G227" s="67" t="s">
        <v>86</v>
      </c>
      <c r="H227" s="67"/>
      <c r="I227" s="67" t="s">
        <v>796</v>
      </c>
      <c r="J227" s="67" t="s">
        <v>797</v>
      </c>
      <c r="K227" s="68" t="s">
        <v>83</v>
      </c>
    </row>
    <row r="228" spans="2:11" ht="40.5" customHeight="1" x14ac:dyDescent="0.75">
      <c r="B228" s="103"/>
      <c r="C228" s="70" t="s">
        <v>798</v>
      </c>
      <c r="D228" s="70" t="s">
        <v>799</v>
      </c>
      <c r="E228" s="70" t="s">
        <v>223</v>
      </c>
      <c r="F228" s="70"/>
      <c r="G228" s="67" t="s">
        <v>86</v>
      </c>
      <c r="H228" s="67"/>
      <c r="I228" s="70" t="s">
        <v>91</v>
      </c>
      <c r="J228" s="67" t="s">
        <v>800</v>
      </c>
      <c r="K228" s="68" t="s">
        <v>89</v>
      </c>
    </row>
    <row r="229" spans="2:11" ht="40.5" customHeight="1" x14ac:dyDescent="0.75">
      <c r="B229" s="103"/>
      <c r="C229" s="70" t="s">
        <v>801</v>
      </c>
      <c r="D229" s="70" t="s">
        <v>802</v>
      </c>
      <c r="E229" s="70" t="s">
        <v>223</v>
      </c>
      <c r="F229" s="70"/>
      <c r="G229" s="67" t="s">
        <v>86</v>
      </c>
      <c r="H229" s="67"/>
      <c r="I229" s="70" t="s">
        <v>91</v>
      </c>
      <c r="J229" s="67" t="s">
        <v>803</v>
      </c>
      <c r="K229" s="68" t="s">
        <v>83</v>
      </c>
    </row>
    <row r="230" spans="2:11" ht="40.5" customHeight="1" x14ac:dyDescent="0.75">
      <c r="B230" s="103"/>
      <c r="C230" s="70" t="s">
        <v>804</v>
      </c>
      <c r="D230" s="70" t="s">
        <v>805</v>
      </c>
      <c r="E230" s="70" t="s">
        <v>595</v>
      </c>
      <c r="F230" s="70"/>
      <c r="G230" s="67" t="s">
        <v>806</v>
      </c>
      <c r="H230" s="67"/>
      <c r="I230" s="70" t="s">
        <v>89</v>
      </c>
      <c r="J230" s="67"/>
      <c r="K230" s="68" t="s">
        <v>89</v>
      </c>
    </row>
    <row r="231" spans="2:11" ht="40.5" customHeight="1" x14ac:dyDescent="0.75">
      <c r="C231" s="83" t="s">
        <v>67</v>
      </c>
      <c r="D231" s="84"/>
      <c r="E231" s="84"/>
      <c r="F231" s="84"/>
      <c r="G231" s="85"/>
      <c r="H231" s="85"/>
      <c r="I231" s="86"/>
      <c r="J231" s="64"/>
      <c r="K231" s="84"/>
    </row>
    <row r="232" spans="2:11" s="78" customFormat="1" ht="40.5" customHeight="1" x14ac:dyDescent="0.75">
      <c r="B232" s="94"/>
      <c r="C232" s="67" t="s">
        <v>128</v>
      </c>
      <c r="D232" s="67" t="s">
        <v>129</v>
      </c>
      <c r="E232" s="67" t="s">
        <v>82</v>
      </c>
      <c r="F232" s="67" t="s">
        <v>83</v>
      </c>
      <c r="G232" s="67" t="s">
        <v>82</v>
      </c>
      <c r="H232" s="67"/>
      <c r="I232" s="67" t="s">
        <v>83</v>
      </c>
      <c r="J232" s="67" t="s">
        <v>724</v>
      </c>
      <c r="K232" s="77" t="s">
        <v>89</v>
      </c>
    </row>
    <row r="233" spans="2:11" ht="40.5" customHeight="1" x14ac:dyDescent="0.75">
      <c r="C233" s="67" t="s">
        <v>281</v>
      </c>
      <c r="D233" s="67" t="s">
        <v>282</v>
      </c>
      <c r="E233" s="67" t="s">
        <v>82</v>
      </c>
      <c r="F233" s="67" t="s">
        <v>83</v>
      </c>
      <c r="G233" s="67" t="s">
        <v>82</v>
      </c>
      <c r="H233" s="67"/>
      <c r="I233" s="67" t="s">
        <v>83</v>
      </c>
      <c r="J233" s="67"/>
      <c r="K233" s="77" t="s">
        <v>89</v>
      </c>
    </row>
    <row r="234" spans="2:11" ht="40.5" customHeight="1" x14ac:dyDescent="0.75">
      <c r="C234" s="67" t="s">
        <v>807</v>
      </c>
      <c r="D234" s="67" t="s">
        <v>808</v>
      </c>
      <c r="E234" s="67" t="s">
        <v>82</v>
      </c>
      <c r="F234" s="67" t="s">
        <v>83</v>
      </c>
      <c r="G234" s="67" t="s">
        <v>82</v>
      </c>
      <c r="H234" s="67"/>
      <c r="I234" s="67" t="s">
        <v>83</v>
      </c>
      <c r="J234" s="67" t="s">
        <v>809</v>
      </c>
      <c r="K234" s="77" t="s">
        <v>89</v>
      </c>
    </row>
    <row r="235" spans="2:11" ht="40.5" customHeight="1" x14ac:dyDescent="0.75">
      <c r="C235" s="70" t="s">
        <v>810</v>
      </c>
      <c r="D235" s="70" t="s">
        <v>811</v>
      </c>
      <c r="E235" s="70" t="s">
        <v>223</v>
      </c>
      <c r="F235" s="70"/>
      <c r="G235" s="67" t="s">
        <v>86</v>
      </c>
      <c r="H235" s="67"/>
      <c r="I235" s="70" t="s">
        <v>91</v>
      </c>
      <c r="J235" s="67" t="s">
        <v>812</v>
      </c>
      <c r="K235" s="68" t="s">
        <v>89</v>
      </c>
    </row>
    <row r="236" spans="2:11" ht="40.5" customHeight="1" x14ac:dyDescent="0.75">
      <c r="C236" s="70" t="s">
        <v>813</v>
      </c>
      <c r="D236" s="70" t="s">
        <v>814</v>
      </c>
      <c r="E236" s="70" t="s">
        <v>4</v>
      </c>
      <c r="F236" s="70"/>
      <c r="G236" s="67" t="s">
        <v>4</v>
      </c>
      <c r="H236" s="67" t="s">
        <v>108</v>
      </c>
      <c r="I236" s="70" t="s">
        <v>91</v>
      </c>
      <c r="J236" s="67" t="s">
        <v>815</v>
      </c>
      <c r="K236" s="68" t="s">
        <v>89</v>
      </c>
    </row>
    <row r="237" spans="2:11" ht="40.5" customHeight="1" x14ac:dyDescent="0.75">
      <c r="C237" s="70" t="s">
        <v>816</v>
      </c>
      <c r="D237" s="70" t="s">
        <v>817</v>
      </c>
      <c r="E237" s="70" t="s">
        <v>223</v>
      </c>
      <c r="F237" s="70"/>
      <c r="G237" s="67" t="s">
        <v>86</v>
      </c>
      <c r="H237" s="67"/>
      <c r="I237" s="70" t="s">
        <v>91</v>
      </c>
      <c r="J237" s="67" t="s">
        <v>818</v>
      </c>
      <c r="K237" s="68" t="s">
        <v>89</v>
      </c>
    </row>
    <row r="238" spans="2:11" ht="40.5" customHeight="1" x14ac:dyDescent="0.75">
      <c r="C238" s="83" t="s">
        <v>68</v>
      </c>
      <c r="D238" s="84"/>
      <c r="E238" s="84"/>
      <c r="F238" s="84"/>
      <c r="G238" s="85"/>
      <c r="H238" s="85"/>
      <c r="I238" s="86"/>
      <c r="J238" s="64"/>
      <c r="K238" s="84"/>
    </row>
    <row r="239" spans="2:11" ht="40.5" customHeight="1" x14ac:dyDescent="0.75">
      <c r="C239" s="67" t="s">
        <v>128</v>
      </c>
      <c r="D239" s="67" t="s">
        <v>129</v>
      </c>
      <c r="E239" s="67" t="s">
        <v>82</v>
      </c>
      <c r="F239" s="67" t="s">
        <v>83</v>
      </c>
      <c r="G239" s="67" t="s">
        <v>82</v>
      </c>
      <c r="H239" s="67"/>
      <c r="I239" s="67" t="s">
        <v>83</v>
      </c>
      <c r="J239" s="67" t="s">
        <v>705</v>
      </c>
      <c r="K239" s="77" t="s">
        <v>89</v>
      </c>
    </row>
    <row r="240" spans="2:11" ht="40.5" customHeight="1" x14ac:dyDescent="0.75">
      <c r="C240" s="67" t="s">
        <v>819</v>
      </c>
      <c r="D240" s="67" t="s">
        <v>820</v>
      </c>
      <c r="E240" s="67" t="s">
        <v>82</v>
      </c>
      <c r="F240" s="67" t="s">
        <v>83</v>
      </c>
      <c r="G240" s="67" t="s">
        <v>82</v>
      </c>
      <c r="H240" s="67"/>
      <c r="I240" s="67" t="s">
        <v>83</v>
      </c>
      <c r="J240" s="67" t="s">
        <v>821</v>
      </c>
      <c r="K240" s="77" t="s">
        <v>83</v>
      </c>
    </row>
    <row r="241" spans="3:11" ht="40.5" customHeight="1" x14ac:dyDescent="0.75">
      <c r="C241" s="70" t="s">
        <v>709</v>
      </c>
      <c r="D241" s="70" t="s">
        <v>23</v>
      </c>
      <c r="E241" s="92" t="s">
        <v>99</v>
      </c>
      <c r="F241" s="92"/>
      <c r="G241" s="67" t="s">
        <v>82</v>
      </c>
      <c r="H241" s="67" t="s">
        <v>822</v>
      </c>
      <c r="I241" s="70" t="s">
        <v>87</v>
      </c>
      <c r="J241" s="67" t="s">
        <v>823</v>
      </c>
      <c r="K241" s="68" t="s">
        <v>83</v>
      </c>
    </row>
    <row r="242" spans="3:11" ht="40.5" customHeight="1" x14ac:dyDescent="0.75">
      <c r="C242" s="70" t="s">
        <v>712</v>
      </c>
      <c r="D242" s="70" t="s">
        <v>713</v>
      </c>
      <c r="E242" s="70" t="s">
        <v>4</v>
      </c>
      <c r="F242" s="70"/>
      <c r="G242" s="67" t="s">
        <v>4</v>
      </c>
      <c r="H242" s="67" t="s">
        <v>108</v>
      </c>
      <c r="I242" s="70" t="s">
        <v>87</v>
      </c>
      <c r="J242" s="67" t="s">
        <v>824</v>
      </c>
      <c r="K242" s="68" t="s">
        <v>83</v>
      </c>
    </row>
    <row r="243" spans="3:11" ht="40.5" customHeight="1" x14ac:dyDescent="0.75">
      <c r="C243" s="92" t="s">
        <v>715</v>
      </c>
      <c r="D243" s="92" t="s">
        <v>716</v>
      </c>
      <c r="E243" s="92" t="s">
        <v>99</v>
      </c>
      <c r="F243" s="92"/>
      <c r="G243" s="67" t="s">
        <v>82</v>
      </c>
      <c r="H243" s="67" t="s">
        <v>825</v>
      </c>
      <c r="I243" s="70" t="s">
        <v>87</v>
      </c>
      <c r="J243" s="67" t="s">
        <v>826</v>
      </c>
      <c r="K243" s="68" t="s">
        <v>83</v>
      </c>
    </row>
    <row r="244" spans="3:11" ht="40.5" customHeight="1" x14ac:dyDescent="0.75">
      <c r="C244" s="70" t="s">
        <v>720</v>
      </c>
      <c r="D244" s="70" t="s">
        <v>721</v>
      </c>
      <c r="E244" s="70" t="s">
        <v>81</v>
      </c>
      <c r="F244" s="70"/>
      <c r="G244" s="67" t="s">
        <v>86</v>
      </c>
      <c r="H244" s="67"/>
      <c r="I244" s="67" t="s">
        <v>722</v>
      </c>
      <c r="J244" s="67" t="s">
        <v>827</v>
      </c>
      <c r="K244" s="68" t="s">
        <v>83</v>
      </c>
    </row>
    <row r="245" spans="3:11" ht="40.5" customHeight="1" x14ac:dyDescent="0.75">
      <c r="C245" s="92" t="s">
        <v>828</v>
      </c>
      <c r="D245" s="92" t="s">
        <v>829</v>
      </c>
      <c r="E245" s="92" t="s">
        <v>99</v>
      </c>
      <c r="F245" s="92"/>
      <c r="G245" s="67" t="s">
        <v>82</v>
      </c>
      <c r="H245" s="67" t="s">
        <v>830</v>
      </c>
      <c r="I245" s="70" t="s">
        <v>87</v>
      </c>
      <c r="J245" s="67" t="s">
        <v>831</v>
      </c>
      <c r="K245" s="68" t="s">
        <v>83</v>
      </c>
    </row>
    <row r="246" spans="3:11" ht="40.5" customHeight="1" x14ac:dyDescent="0.75">
      <c r="C246" s="70" t="s">
        <v>832</v>
      </c>
      <c r="D246" s="70" t="s">
        <v>833</v>
      </c>
      <c r="E246" s="70" t="s">
        <v>81</v>
      </c>
      <c r="F246" s="70"/>
      <c r="G246" s="67" t="s">
        <v>86</v>
      </c>
      <c r="H246" s="67"/>
      <c r="I246" s="70" t="s">
        <v>327</v>
      </c>
      <c r="J246" s="67" t="s">
        <v>834</v>
      </c>
      <c r="K246" s="68" t="s">
        <v>327</v>
      </c>
    </row>
    <row r="247" spans="3:11" ht="40.5" customHeight="1" x14ac:dyDescent="0.75">
      <c r="C247" s="70" t="s">
        <v>238</v>
      </c>
      <c r="D247" s="70" t="s">
        <v>239</v>
      </c>
      <c r="E247" s="70" t="s">
        <v>81</v>
      </c>
      <c r="F247" s="70"/>
      <c r="G247" s="67" t="s">
        <v>86</v>
      </c>
      <c r="H247" s="67"/>
      <c r="I247" s="67" t="s">
        <v>835</v>
      </c>
      <c r="J247" s="67" t="s">
        <v>836</v>
      </c>
      <c r="K247" s="68" t="s">
        <v>83</v>
      </c>
    </row>
    <row r="248" spans="3:11" ht="40.5" customHeight="1" x14ac:dyDescent="0.75">
      <c r="C248" s="70" t="s">
        <v>246</v>
      </c>
      <c r="D248" s="70" t="s">
        <v>247</v>
      </c>
      <c r="E248" s="70" t="s">
        <v>81</v>
      </c>
      <c r="F248" s="70"/>
      <c r="G248" s="67" t="s">
        <v>86</v>
      </c>
      <c r="H248" s="67"/>
      <c r="I248" s="67" t="s">
        <v>835</v>
      </c>
      <c r="J248" s="67" t="s">
        <v>249</v>
      </c>
      <c r="K248" s="68" t="s">
        <v>83</v>
      </c>
    </row>
    <row r="249" spans="3:11" ht="40.5" customHeight="1" x14ac:dyDescent="0.75">
      <c r="C249" s="67" t="s">
        <v>837</v>
      </c>
      <c r="D249" s="67" t="s">
        <v>243</v>
      </c>
      <c r="E249" s="70" t="s">
        <v>81</v>
      </c>
      <c r="F249" s="70"/>
      <c r="G249" s="67" t="s">
        <v>86</v>
      </c>
      <c r="H249" s="67"/>
      <c r="I249" s="67" t="s">
        <v>838</v>
      </c>
      <c r="J249" s="67" t="s">
        <v>839</v>
      </c>
      <c r="K249" s="68" t="s">
        <v>83</v>
      </c>
    </row>
    <row r="250" spans="3:11" ht="40.5" customHeight="1" x14ac:dyDescent="0.75">
      <c r="C250" s="92" t="s">
        <v>250</v>
      </c>
      <c r="D250" s="92" t="s">
        <v>251</v>
      </c>
      <c r="E250" s="92" t="s">
        <v>99</v>
      </c>
      <c r="F250" s="92"/>
      <c r="G250" s="67" t="s">
        <v>82</v>
      </c>
      <c r="H250" s="67" t="s">
        <v>260</v>
      </c>
      <c r="I250" s="70" t="s">
        <v>87</v>
      </c>
      <c r="J250" s="67" t="s">
        <v>840</v>
      </c>
      <c r="K250" s="68" t="s">
        <v>83</v>
      </c>
    </row>
    <row r="251" spans="3:11" ht="40.5" customHeight="1" x14ac:dyDescent="0.75">
      <c r="C251" s="70" t="s">
        <v>253</v>
      </c>
      <c r="D251" s="70" t="s">
        <v>64</v>
      </c>
      <c r="E251" s="70" t="s">
        <v>99</v>
      </c>
      <c r="F251" s="70"/>
      <c r="G251" s="67" t="s">
        <v>82</v>
      </c>
      <c r="H251" s="67" t="s">
        <v>205</v>
      </c>
      <c r="I251" s="70" t="s">
        <v>87</v>
      </c>
      <c r="J251" s="67" t="s">
        <v>841</v>
      </c>
      <c r="K251" s="68" t="s">
        <v>83</v>
      </c>
    </row>
    <row r="252" spans="3:11" ht="40.5" customHeight="1" x14ac:dyDescent="0.75">
      <c r="C252" s="70" t="s">
        <v>842</v>
      </c>
      <c r="D252" s="70" t="s">
        <v>256</v>
      </c>
      <c r="E252" s="70" t="s">
        <v>99</v>
      </c>
      <c r="F252" s="70"/>
      <c r="G252" s="67" t="s">
        <v>82</v>
      </c>
      <c r="H252" s="67" t="s">
        <v>205</v>
      </c>
      <c r="I252" s="70" t="s">
        <v>87</v>
      </c>
      <c r="J252" s="67" t="s">
        <v>843</v>
      </c>
      <c r="K252" s="68" t="s">
        <v>83</v>
      </c>
    </row>
    <row r="253" spans="3:11" ht="40.5" customHeight="1" x14ac:dyDescent="0.75">
      <c r="C253" s="70" t="s">
        <v>258</v>
      </c>
      <c r="D253" s="70" t="s">
        <v>259</v>
      </c>
      <c r="E253" s="70" t="s">
        <v>99</v>
      </c>
      <c r="F253" s="70"/>
      <c r="G253" s="67" t="s">
        <v>82</v>
      </c>
      <c r="H253" s="67" t="s">
        <v>205</v>
      </c>
      <c r="I253" s="70" t="s">
        <v>87</v>
      </c>
      <c r="J253" s="67" t="s">
        <v>261</v>
      </c>
      <c r="K253" s="68" t="s">
        <v>83</v>
      </c>
    </row>
    <row r="254" spans="3:11" ht="40.5" customHeight="1" x14ac:dyDescent="0.75">
      <c r="C254" s="70" t="s">
        <v>844</v>
      </c>
      <c r="D254" s="70" t="s">
        <v>266</v>
      </c>
      <c r="E254" s="70" t="s">
        <v>4</v>
      </c>
      <c r="F254" s="70"/>
      <c r="G254" s="67" t="s">
        <v>4</v>
      </c>
      <c r="H254" s="67" t="s">
        <v>108</v>
      </c>
      <c r="I254" s="70" t="s">
        <v>87</v>
      </c>
      <c r="J254" s="67" t="s">
        <v>845</v>
      </c>
      <c r="K254" s="68" t="s">
        <v>83</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tabSelected="1" workbookViewId="0">
      <selection activeCell="E1" sqref="E1:E599"/>
    </sheetView>
  </sheetViews>
  <sheetFormatPr defaultRowHeight="14.75" x14ac:dyDescent="0.75"/>
  <cols>
    <col min="5" max="5" width="100.6796875" customWidth="1"/>
  </cols>
  <sheetData>
    <row r="1" spans="5:5" x14ac:dyDescent="0.75">
      <c r="E1" s="109" t="str">
        <f>'Meta-Map-all'!D3</f>
        <v>* differential.element[0].mapping[0].identity = "fhir"</v>
      </c>
    </row>
    <row r="2" spans="5:5" x14ac:dyDescent="0.75">
      <c r="E2" s="109" t="str">
        <f>'Meta-Map-all'!D4</f>
        <v>* differential.element[0].mapping[0].map = "DocumentReference"</v>
      </c>
    </row>
    <row r="3" spans="5:5" x14ac:dyDescent="0.75">
      <c r="E3" s="109" t="str">
        <f>'Meta-Map-all'!D5</f>
        <v/>
      </c>
    </row>
    <row r="4" spans="5:5" x14ac:dyDescent="0.75">
      <c r="E4" s="109" t="str">
        <f>'Meta-Map-all'!D6</f>
        <v>* differential.element[1].mapping[0].identity = "fhir"</v>
      </c>
    </row>
    <row r="5" spans="5:5" x14ac:dyDescent="0.75">
      <c r="E5" s="109" t="str">
        <f>'Meta-Map-all'!D7</f>
        <v>* differential.element[1].mapping[0].map = " DocumentReference.masterIdentifier"</v>
      </c>
    </row>
    <row r="6" spans="5:5" x14ac:dyDescent="0.75">
      <c r="E6" s="109" t="str">
        <f>'Meta-Map-all'!D8</f>
        <v/>
      </c>
    </row>
    <row r="7" spans="5:5" x14ac:dyDescent="0.75">
      <c r="E7" s="109" t="str">
        <f>'Meta-Map-all'!D9</f>
        <v>* differential.element[2].mapping[0].identity = "fhir"</v>
      </c>
    </row>
    <row r="8" spans="5:5" x14ac:dyDescent="0.75">
      <c r="E8" s="109" t="str">
        <f>'Meta-Map-all'!D10</f>
        <v>* differential.element[2].mapping[0].map = "DocumentReference.content.attachment.contentType"</v>
      </c>
    </row>
    <row r="9" spans="5:5" x14ac:dyDescent="0.75">
      <c r="E9" s="109" t="str">
        <f>'Meta-Map-all'!D11</f>
        <v/>
      </c>
    </row>
    <row r="10" spans="5:5" x14ac:dyDescent="0.75">
      <c r="E10" s="109" t="str">
        <f>'Meta-Map-all'!D12</f>
        <v>* differential.element[3].mapping[0].identity = "fhir"</v>
      </c>
    </row>
    <row r="11" spans="5:5" x14ac:dyDescent="0.75">
      <c r="E11" s="109" t="str">
        <f>'Meta-Map-all'!D13</f>
        <v>* differential.element[3].mapping[0].map = "DocumentReference.content.attachment.size"</v>
      </c>
    </row>
    <row r="12" spans="5:5" x14ac:dyDescent="0.75">
      <c r="E12" s="109" t="str">
        <f>'Meta-Map-all'!D14</f>
        <v/>
      </c>
    </row>
    <row r="13" spans="5:5" x14ac:dyDescent="0.75">
      <c r="E13" s="109" t="str">
        <f>'Meta-Map-all'!D15</f>
        <v>* differential.element[4].mapping[0].identity = "fhir"</v>
      </c>
    </row>
    <row r="14" spans="5:5" x14ac:dyDescent="0.75">
      <c r="E14" s="109" t="str">
        <f>'Meta-Map-all'!D16</f>
        <v>* differential.element[4].mapping[0].map = "DocumentReference.content.attachment.hash"</v>
      </c>
    </row>
    <row r="15" spans="5:5" x14ac:dyDescent="0.75">
      <c r="E15" s="109" t="str">
        <f>'Meta-Map-all'!D17</f>
        <v/>
      </c>
    </row>
    <row r="16" spans="5:5" x14ac:dyDescent="0.75">
      <c r="E16" s="109" t="str">
        <f>'Meta-Map-all'!D18</f>
        <v>* differential.element[5].mapping[0].identity = "fhir"</v>
      </c>
    </row>
    <row r="17" spans="5:5" x14ac:dyDescent="0.75">
      <c r="E17" s="109" t="str">
        <f>'Meta-Map-all'!D19</f>
        <v>* differential.element[5].mapping[0].map = "DocumentReference.type"</v>
      </c>
    </row>
    <row r="18" spans="5:5" x14ac:dyDescent="0.75">
      <c r="E18" s="109" t="str">
        <f>'Meta-Map-all'!D20</f>
        <v/>
      </c>
    </row>
    <row r="19" spans="5:5" x14ac:dyDescent="0.75">
      <c r="E19" s="109" t="str">
        <f>'Meta-Map-all'!D21</f>
        <v>* differential.element[6].mapping[0].identity = "fhir"</v>
      </c>
    </row>
    <row r="20" spans="5:5" x14ac:dyDescent="0.75">
      <c r="E20" s="109" t="str">
        <f>'Meta-Map-all'!D22</f>
        <v>* differential.element[6].mapping[0].map = "DocumentReference.category"</v>
      </c>
    </row>
    <row r="21" spans="5:5" x14ac:dyDescent="0.75">
      <c r="E21" s="109" t="str">
        <f>'Meta-Map-all'!D23</f>
        <v/>
      </c>
    </row>
    <row r="22" spans="5:5" x14ac:dyDescent="0.75">
      <c r="E22" s="109" t="str">
        <f>'Meta-Map-all'!D24</f>
        <v>* differential.element[7].mapping[0].identity = "fhir"</v>
      </c>
    </row>
    <row r="23" spans="5:5" x14ac:dyDescent="0.75">
      <c r="E23" s="109" t="str">
        <f>'Meta-Map-all'!D25</f>
        <v>* differential.element[7].mapping[0].map = "DocumentReference.category (TBC)"</v>
      </c>
    </row>
    <row r="24" spans="5:5" x14ac:dyDescent="0.75">
      <c r="E24" s="109" t="str">
        <f>'Meta-Map-all'!D26</f>
        <v/>
      </c>
    </row>
    <row r="25" spans="5:5" x14ac:dyDescent="0.75">
      <c r="E25" s="109" t="str">
        <f>'Meta-Map-all'!D27</f>
        <v>* differential.element[8].mapping[0].identity = "fhir"</v>
      </c>
    </row>
    <row r="26" spans="5:5" x14ac:dyDescent="0.75">
      <c r="E26" s="109" t="str">
        <f>'Meta-Map-all'!D28</f>
        <v>* differential.element[8].mapping[0].map = "DocumentReference.content.attachment.creation"</v>
      </c>
    </row>
    <row r="27" spans="5:5" x14ac:dyDescent="0.75">
      <c r="E27" s="109" t="str">
        <f>'Meta-Map-all'!D29</f>
        <v/>
      </c>
    </row>
    <row r="28" spans="5:5" x14ac:dyDescent="0.75">
      <c r="E28" s="109" t="str">
        <f>'Meta-Map-all'!D30</f>
        <v>* differential.element[9].mapping[0].identity = "fhir"</v>
      </c>
    </row>
    <row r="29" spans="5:5" x14ac:dyDescent="0.75">
      <c r="E29" s="109" t="str">
        <f>'Meta-Map-all'!D31</f>
        <v>* differential.element[9].mapping[0].map = "DocumentReference.securityLabel"</v>
      </c>
    </row>
    <row r="30" spans="5:5" x14ac:dyDescent="0.75">
      <c r="E30" s="109" t="str">
        <f>'Meta-Map-all'!D32</f>
        <v/>
      </c>
    </row>
    <row r="31" spans="5:5" x14ac:dyDescent="0.75">
      <c r="E31" s="109" t="str">
        <f>'Meta-Map-all'!D33</f>
        <v>* differential.element[10].mapping[0].identity = "fhir"</v>
      </c>
    </row>
    <row r="32" spans="5:5" x14ac:dyDescent="0.75">
      <c r="E32" s="109" t="str">
        <f>'Meta-Map-all'!D34</f>
        <v>* differential.element[10].mapping[0].map = "DocumentReference.securityLabel"</v>
      </c>
    </row>
    <row r="33" spans="5:5" x14ac:dyDescent="0.75">
      <c r="E33" s="109" t="str">
        <f>'Meta-Map-all'!D35</f>
        <v/>
      </c>
    </row>
    <row r="34" spans="5:5" x14ac:dyDescent="0.75">
      <c r="E34" s="109" t="str">
        <f>'Meta-Map-all'!D36</f>
        <v>* differential.element[11].mapping[0].identity = "fhir"</v>
      </c>
    </row>
    <row r="35" spans="5:5" x14ac:dyDescent="0.75">
      <c r="E35" s="109" t="str">
        <f>'Meta-Map-all'!D37</f>
        <v>* differential.element[11].mapping[0].map = "DocumentReference.relatesTo.where(code = 'replaces').target"</v>
      </c>
    </row>
    <row r="36" spans="5:5" x14ac:dyDescent="0.75">
      <c r="E36" s="109" t="str">
        <f>'Meta-Map-all'!D38</f>
        <v/>
      </c>
    </row>
    <row r="37" spans="5:5" x14ac:dyDescent="0.75">
      <c r="E37" s="109" t="str">
        <f>'Meta-Map-all'!D39</f>
        <v>* differential.element[12].mapping[0].identity = "fhir"</v>
      </c>
    </row>
    <row r="38" spans="5:5" x14ac:dyDescent="0.75">
      <c r="E38" s="109" t="str">
        <f>'Meta-Map-all'!D40</f>
        <v>* differential.element[12].mapping[0].map = "DocumentReference.content.format"</v>
      </c>
    </row>
    <row r="39" spans="5:5" x14ac:dyDescent="0.75">
      <c r="E39" s="109" t="str">
        <f>'Meta-Map-all'!D41</f>
        <v/>
      </c>
    </row>
    <row r="40" spans="5:5" x14ac:dyDescent="0.75">
      <c r="E40" s="109" t="str">
        <f>'Meta-Map-all'!D42</f>
        <v>* differential.element[13].mapping[0].identity = "fhir"</v>
      </c>
    </row>
    <row r="41" spans="5:5" x14ac:dyDescent="0.75">
      <c r="E41" s="109" t="str">
        <f>'Meta-Map-all'!D43</f>
        <v>* differential.element[13].mapping[0].map = "DocumentReference.content.attachment.url"</v>
      </c>
    </row>
    <row r="42" spans="5:5" x14ac:dyDescent="0.75">
      <c r="E42" s="109" t="str">
        <f>'Meta-Map-all'!D44</f>
        <v/>
      </c>
    </row>
    <row r="43" spans="5:5" x14ac:dyDescent="0.75">
      <c r="E43" s="109" t="str">
        <f>'Meta-Map-all'!D45</f>
        <v>* differential.element[14].mapping[0].identity = "fhir"</v>
      </c>
    </row>
    <row r="44" spans="5:5" x14ac:dyDescent="0.75">
      <c r="E44" s="109" t="str">
        <f>'Meta-Map-all'!D46</f>
        <v>* differential.element[14].mapping[0].map = "DocumentReference.date (TBC)"</v>
      </c>
    </row>
    <row r="45" spans="5:5" x14ac:dyDescent="0.75">
      <c r="E45" s="109" t="str">
        <f>'Meta-Map-all'!D47</f>
        <v/>
      </c>
    </row>
    <row r="46" spans="5:5" x14ac:dyDescent="0.75">
      <c r="E46" s="109" t="str">
        <f>'Meta-Map-all'!D48</f>
        <v>* differential.element[15].mapping[0].identity = "fhir"</v>
      </c>
    </row>
    <row r="47" spans="5:5" x14ac:dyDescent="0.75">
      <c r="E47" s="109" t="str">
        <f>'Meta-Map-all'!D49</f>
        <v>* differential.element[15].mapping[0].map = "DocumentReference.context.practiceSetting"</v>
      </c>
    </row>
    <row r="48" spans="5:5" x14ac:dyDescent="0.75">
      <c r="E48" s="109" t="str">
        <f>'Meta-Map-all'!D50</f>
        <v/>
      </c>
    </row>
    <row r="49" spans="5:5" x14ac:dyDescent="0.75">
      <c r="E49" s="109" t="str">
        <f>'Meta-Map-all'!D51</f>
        <v>* differential.element[16].mapping[0].identity = "fhir"</v>
      </c>
    </row>
    <row r="50" spans="5:5" x14ac:dyDescent="0.75">
      <c r="E50" s="109" t="str">
        <f>'Meta-Map-all'!D52</f>
        <v>* differential.element[16].mapping[0].map = "DocumentReference.subject.resolve().ofType(Patient).identifier"</v>
      </c>
    </row>
    <row r="51" spans="5:5" x14ac:dyDescent="0.75">
      <c r="E51" s="109" t="str">
        <f>'Meta-Map-all'!D53</f>
        <v/>
      </c>
    </row>
    <row r="52" spans="5:5" x14ac:dyDescent="0.75">
      <c r="E52" s="109" t="str">
        <f>'Meta-Map-all'!D54</f>
        <v>* differential.element[17].mapping[0].identity = "fhir"</v>
      </c>
    </row>
    <row r="53" spans="5:5" x14ac:dyDescent="0.75">
      <c r="E53" s="109" t="str">
        <f>'Meta-Map-all'!D55</f>
        <v>* differential.element[17].mapping[0].map = "DocumentReference.author"</v>
      </c>
    </row>
    <row r="54" spans="5:5" x14ac:dyDescent="0.75">
      <c r="E54" s="109" t="str">
        <f>'Meta-Map-all'!D56</f>
        <v/>
      </c>
    </row>
    <row r="55" spans="5:5" x14ac:dyDescent="0.75">
      <c r="E55" s="109" t="str">
        <f>'Meta-Map-all'!D57</f>
        <v>* differential.element[18].mapping[0].identity = "fhir"</v>
      </c>
    </row>
    <row r="56" spans="5:5" x14ac:dyDescent="0.75">
      <c r="E56" s="109" t="str">
        <f>'Meta-Map-all'!D58</f>
        <v>* differential.element[18].mapping[0].map = "DocumentReference.author.resolve().ofType(PractitionerRole).organization.resolve().identifier"</v>
      </c>
    </row>
    <row r="57" spans="5:5" x14ac:dyDescent="0.75">
      <c r="E57" s="109" t="str">
        <f>'Meta-Map-all'!D59</f>
        <v/>
      </c>
    </row>
    <row r="58" spans="5:5" x14ac:dyDescent="0.75">
      <c r="E58" s="109" t="str">
        <f>'Meta-Map-all'!D60</f>
        <v>* differential.element[19].mapping[0].identity = "fhir"</v>
      </c>
    </row>
    <row r="59" spans="5:5" x14ac:dyDescent="0.75">
      <c r="E59" s="109" t="str">
        <f>'Meta-Map-all'!D61</f>
        <v>* differential.element[19].mapping[0].map = "DocumentReference.author.resolve().ofType(PractitionerRole).practitioner.resolve().ofType(Practitioner).identifier"</v>
      </c>
    </row>
    <row r="60" spans="5:5" x14ac:dyDescent="0.75">
      <c r="E60" s="109" t="str">
        <f>'Meta-Map-all'!D62</f>
        <v/>
      </c>
    </row>
    <row r="61" spans="5:5" x14ac:dyDescent="0.75">
      <c r="E61" s="109" t="str">
        <f>'Meta-Map-all'!D63</f>
        <v>* differential.element[20].mapping[0].identity = "fhir"</v>
      </c>
    </row>
    <row r="62" spans="5:5" x14ac:dyDescent="0.75">
      <c r="E62" s="109" t="str">
        <f>'Meta-Map-all'!D64</f>
        <v>* differential.element[20].mapping[0].map = "DocumentReference.author.resolve().ofType(PractitionerRole).organization.resolve().code"</v>
      </c>
    </row>
    <row r="63" spans="5:5" x14ac:dyDescent="0.75">
      <c r="E63" s="109" t="str">
        <f>'Meta-Map-all'!D65</f>
        <v/>
      </c>
    </row>
    <row r="64" spans="5:5" x14ac:dyDescent="0.75">
      <c r="E64" s="109" t="str">
        <f>'Meta-Map-all'!D66</f>
        <v>* differential.element[21].mapping[0].identity = "fhir"</v>
      </c>
    </row>
    <row r="65" spans="5:5" x14ac:dyDescent="0.75">
      <c r="E65" s="109" t="str">
        <f>'Meta-Map-all'!D67</f>
        <v>* differential.element[21].mapping[0].map = "DocumentReference.author.resolve().ofType(Practitioner).identifier"</v>
      </c>
    </row>
    <row r="66" spans="5:5" x14ac:dyDescent="0.75">
      <c r="E66" s="109" t="str">
        <f>'Meta-Map-all'!D68</f>
        <v/>
      </c>
    </row>
    <row r="67" spans="5:5" x14ac:dyDescent="0.75">
      <c r="E67" s="109" t="str">
        <f>'Meta-Map-all'!D69</f>
        <v>* differential.element[22].mapping[0].identity = "fhir"</v>
      </c>
    </row>
    <row r="68" spans="5:5" x14ac:dyDescent="0.75">
      <c r="E68" s="109" t="str">
        <f>'Meta-Map-all'!D70</f>
        <v>* differential.element[22].mapping[0].map = "DocumentReference.custodian.resolve().identifier"</v>
      </c>
    </row>
    <row r="69" spans="5:5" x14ac:dyDescent="0.75">
      <c r="E69" s="109" t="str">
        <f>'Meta-Map-all'!D71</f>
        <v/>
      </c>
    </row>
    <row r="70" spans="5:5" x14ac:dyDescent="0.75">
      <c r="E70" s="109" t="str">
        <f>'Meta-Map-all'!D72</f>
        <v/>
      </c>
    </row>
    <row r="71" spans="5:5" x14ac:dyDescent="0.75">
      <c r="E71" s="109" t="str">
        <f>'Meta-Map-all'!D73</f>
        <v/>
      </c>
    </row>
    <row r="72" spans="5:5" x14ac:dyDescent="0.75">
      <c r="E72" s="109" t="str">
        <f>'Meta-Map-all'!D74</f>
        <v/>
      </c>
    </row>
    <row r="73" spans="5:5" x14ac:dyDescent="0.75">
      <c r="E73" s="109" t="str">
        <f>'Meta-Map-all'!D75</f>
        <v/>
      </c>
    </row>
    <row r="74" spans="5:5" x14ac:dyDescent="0.75">
      <c r="E74" s="109" t="str">
        <f>'Meta-Map-all'!D76</f>
        <v/>
      </c>
    </row>
    <row r="75" spans="5:5" x14ac:dyDescent="0.75">
      <c r="E75" s="109" t="str">
        <f>'Meta-Map-all'!D77</f>
        <v/>
      </c>
    </row>
    <row r="76" spans="5:5" x14ac:dyDescent="0.75">
      <c r="E76" s="109" t="str">
        <f>'Meta-Map-all'!D78</f>
        <v/>
      </c>
    </row>
    <row r="77" spans="5:5" x14ac:dyDescent="0.75">
      <c r="E77" s="109" t="str">
        <f>'Meta-Map-all'!D79</f>
        <v/>
      </c>
    </row>
    <row r="78" spans="5:5" x14ac:dyDescent="0.75">
      <c r="E78" s="109" t="str">
        <f>'Meta-Map-all'!D80</f>
        <v/>
      </c>
    </row>
    <row r="79" spans="5:5" x14ac:dyDescent="0.75">
      <c r="E79" s="109" t="str">
        <f>'Meta-Map-all'!D81</f>
        <v/>
      </c>
    </row>
    <row r="80" spans="5:5" x14ac:dyDescent="0.75">
      <c r="E80" s="109" t="str">
        <f>'Meta-Map-all'!D82</f>
        <v/>
      </c>
    </row>
    <row r="81" spans="5:5" x14ac:dyDescent="0.75">
      <c r="E81" s="109" t="str">
        <f>'Meta-Map-all'!D83</f>
        <v/>
      </c>
    </row>
    <row r="82" spans="5:5" x14ac:dyDescent="0.75">
      <c r="E82" s="109" t="str">
        <f>'Meta-Map-all'!D84</f>
        <v/>
      </c>
    </row>
    <row r="83" spans="5:5" x14ac:dyDescent="0.75">
      <c r="E83" s="109" t="str">
        <f>'Meta-Map-all'!D85</f>
        <v/>
      </c>
    </row>
    <row r="84" spans="5:5" x14ac:dyDescent="0.75">
      <c r="E84" s="109" t="str">
        <f>'Meta-Map-all'!D86</f>
        <v/>
      </c>
    </row>
    <row r="85" spans="5:5" x14ac:dyDescent="0.75">
      <c r="E85" s="109" t="str">
        <f>'Meta-Map-all'!D87</f>
        <v/>
      </c>
    </row>
    <row r="86" spans="5:5" x14ac:dyDescent="0.75">
      <c r="E86" s="109" t="str">
        <f>'Meta-Map-all'!D88</f>
        <v/>
      </c>
    </row>
    <row r="87" spans="5:5" x14ac:dyDescent="0.75">
      <c r="E87" s="109" t="str">
        <f>'Meta-Map-all'!D89</f>
        <v/>
      </c>
    </row>
    <row r="88" spans="5:5" x14ac:dyDescent="0.75">
      <c r="E88" s="109" t="str">
        <f>'Meta-Map-all'!D90</f>
        <v/>
      </c>
    </row>
    <row r="89" spans="5:5" x14ac:dyDescent="0.75">
      <c r="E89" s="109" t="str">
        <f>'Meta-Map-all'!D91</f>
        <v/>
      </c>
    </row>
    <row r="90" spans="5:5" x14ac:dyDescent="0.75">
      <c r="E90" s="109" t="str">
        <f>'Meta-Map-all'!D92</f>
        <v/>
      </c>
    </row>
    <row r="91" spans="5:5" x14ac:dyDescent="0.75">
      <c r="E91" s="109" t="str">
        <f>'Meta-Map-all'!D93</f>
        <v/>
      </c>
    </row>
    <row r="92" spans="5:5" x14ac:dyDescent="0.75">
      <c r="E92" s="109" t="str">
        <f>'Meta-Map-all'!D94</f>
        <v/>
      </c>
    </row>
    <row r="93" spans="5:5" x14ac:dyDescent="0.75">
      <c r="E93" s="109" t="str">
        <f>'Meta-Map-all'!D95</f>
        <v/>
      </c>
    </row>
    <row r="94" spans="5:5" x14ac:dyDescent="0.75">
      <c r="E94" s="109" t="str">
        <f>'Meta-Map-all'!D96</f>
        <v/>
      </c>
    </row>
    <row r="95" spans="5:5" x14ac:dyDescent="0.75">
      <c r="E95" s="109" t="str">
        <f>'Meta-Map-all'!D97</f>
        <v/>
      </c>
    </row>
    <row r="96" spans="5:5" x14ac:dyDescent="0.75">
      <c r="E96" s="109" t="str">
        <f>'Meta-Map-all'!D98</f>
        <v/>
      </c>
    </row>
    <row r="97" spans="5:5" x14ac:dyDescent="0.75">
      <c r="E97" s="109" t="str">
        <f>'Meta-Map-all'!D99</f>
        <v/>
      </c>
    </row>
    <row r="98" spans="5:5" x14ac:dyDescent="0.75">
      <c r="E98" s="109" t="str">
        <f>'Meta-Map-all'!D100</f>
        <v/>
      </c>
    </row>
    <row r="99" spans="5:5" x14ac:dyDescent="0.75">
      <c r="E99" s="109" t="str">
        <f>'Meta-Map-all'!D101</f>
        <v/>
      </c>
    </row>
    <row r="100" spans="5:5" x14ac:dyDescent="0.75">
      <c r="E100" s="109" t="str">
        <f>'Meta-Map-all'!D102</f>
        <v/>
      </c>
    </row>
    <row r="101" spans="5:5" x14ac:dyDescent="0.75">
      <c r="E101" s="109" t="str">
        <f>'Meta-Map-all'!D103</f>
        <v/>
      </c>
    </row>
    <row r="102" spans="5:5" x14ac:dyDescent="0.75">
      <c r="E102" s="109" t="str">
        <f>'Meta-Map-all'!D104</f>
        <v/>
      </c>
    </row>
    <row r="103" spans="5:5" x14ac:dyDescent="0.75">
      <c r="E103" s="109" t="str">
        <f>'Meta-Map-all'!D105</f>
        <v/>
      </c>
    </row>
    <row r="104" spans="5:5" x14ac:dyDescent="0.75">
      <c r="E104" s="109" t="str">
        <f>'Meta-Map-all'!D106</f>
        <v/>
      </c>
    </row>
    <row r="105" spans="5:5" x14ac:dyDescent="0.75">
      <c r="E105" s="109" t="str">
        <f>'Meta-Map-all'!D107</f>
        <v/>
      </c>
    </row>
    <row r="106" spans="5:5" x14ac:dyDescent="0.75">
      <c r="E106" s="109" t="str">
        <f>'Meta-Map-all'!D110</f>
        <v/>
      </c>
    </row>
    <row r="107" spans="5:5" x14ac:dyDescent="0.75">
      <c r="E107" s="109" t="str">
        <f>'Meta-Map-all'!D111</f>
        <v/>
      </c>
    </row>
    <row r="108" spans="5:5" x14ac:dyDescent="0.75">
      <c r="E108" s="109" t="str">
        <f>'Meta-Map-all'!D112</f>
        <v/>
      </c>
    </row>
    <row r="109" spans="5:5" x14ac:dyDescent="0.75">
      <c r="E109" s="109" t="str">
        <f>'Meta-Map-all'!D113</f>
        <v/>
      </c>
    </row>
    <row r="110" spans="5:5" x14ac:dyDescent="0.75">
      <c r="E110" s="109" t="str">
        <f>'Meta-Map-all'!D114</f>
        <v/>
      </c>
    </row>
    <row r="111" spans="5:5" x14ac:dyDescent="0.75">
      <c r="E111" s="109" t="str">
        <f>'Meta-Map-all'!D115</f>
        <v/>
      </c>
    </row>
    <row r="112" spans="5:5" x14ac:dyDescent="0.75">
      <c r="E112" s="109" t="str">
        <f>'Meta-Map-all'!D116</f>
        <v/>
      </c>
    </row>
    <row r="113" spans="5:5" x14ac:dyDescent="0.75">
      <c r="E113" s="109" t="str">
        <f>'Meta-Map-all'!D117</f>
        <v/>
      </c>
    </row>
    <row r="114" spans="5:5" x14ac:dyDescent="0.75">
      <c r="E114" s="109" t="str">
        <f>'Meta-Map-all'!D118</f>
        <v/>
      </c>
    </row>
    <row r="115" spans="5:5" x14ac:dyDescent="0.75">
      <c r="E115" s="109" t="str">
        <f>'Meta-Map-all'!D119</f>
        <v/>
      </c>
    </row>
    <row r="116" spans="5:5" x14ac:dyDescent="0.75">
      <c r="E116" s="109" t="str">
        <f>'Meta-Map-all'!D120</f>
        <v/>
      </c>
    </row>
    <row r="117" spans="5:5" x14ac:dyDescent="0.75">
      <c r="E117" s="109" t="str">
        <f>'Meta-Map-all'!D121</f>
        <v/>
      </c>
    </row>
    <row r="118" spans="5:5" x14ac:dyDescent="0.75">
      <c r="E118" s="109" t="str">
        <f>'Meta-Map-all'!D122</f>
        <v/>
      </c>
    </row>
    <row r="119" spans="5:5" x14ac:dyDescent="0.75">
      <c r="E119" s="109" t="str">
        <f>'Meta-Map-all'!D123</f>
        <v/>
      </c>
    </row>
    <row r="120" spans="5:5" x14ac:dyDescent="0.75">
      <c r="E120" s="109" t="str">
        <f>'Meta-Map-all'!D124</f>
        <v/>
      </c>
    </row>
    <row r="121" spans="5:5" x14ac:dyDescent="0.75">
      <c r="E121" s="109" t="str">
        <f>'Meta-Map-all'!D125</f>
        <v/>
      </c>
    </row>
    <row r="122" spans="5:5" x14ac:dyDescent="0.75">
      <c r="E122" s="109" t="str">
        <f>'Meta-Map-all'!D126</f>
        <v/>
      </c>
    </row>
    <row r="123" spans="5:5" x14ac:dyDescent="0.75">
      <c r="E123" s="109" t="str">
        <f>'Meta-Map-all'!D127</f>
        <v/>
      </c>
    </row>
    <row r="124" spans="5:5" x14ac:dyDescent="0.75">
      <c r="E124" s="109" t="str">
        <f>'Meta-Map-all'!D128</f>
        <v/>
      </c>
    </row>
    <row r="125" spans="5:5" x14ac:dyDescent="0.75">
      <c r="E125" s="109" t="str">
        <f>'Meta-Map-all'!D129</f>
        <v/>
      </c>
    </row>
    <row r="126" spans="5:5" x14ac:dyDescent="0.75">
      <c r="E126" s="109" t="str">
        <f>'Meta-Map-all'!D130</f>
        <v/>
      </c>
    </row>
    <row r="127" spans="5:5" x14ac:dyDescent="0.75">
      <c r="E127" s="109" t="str">
        <f>'Meta-Map-all'!D131</f>
        <v/>
      </c>
    </row>
    <row r="128" spans="5:5" x14ac:dyDescent="0.75">
      <c r="E128" s="109" t="str">
        <f>'Meta-Map-all'!D132</f>
        <v/>
      </c>
    </row>
    <row r="129" spans="5:5" x14ac:dyDescent="0.75">
      <c r="E129" s="109" t="str">
        <f>'Meta-Map-all'!D133</f>
        <v/>
      </c>
    </row>
    <row r="130" spans="5:5" x14ac:dyDescent="0.75">
      <c r="E130" s="109" t="str">
        <f>'Meta-Map-all'!D134</f>
        <v/>
      </c>
    </row>
    <row r="131" spans="5:5" x14ac:dyDescent="0.75">
      <c r="E131" s="109" t="str">
        <f>'Meta-Map-all'!D135</f>
        <v/>
      </c>
    </row>
    <row r="132" spans="5:5" x14ac:dyDescent="0.75">
      <c r="E132" s="109" t="str">
        <f>'Meta-Map-all'!D136</f>
        <v/>
      </c>
    </row>
    <row r="133" spans="5:5" x14ac:dyDescent="0.75">
      <c r="E133" s="109" t="str">
        <f>'Meta-Map-all'!D137</f>
        <v/>
      </c>
    </row>
    <row r="134" spans="5:5" x14ac:dyDescent="0.75">
      <c r="E134" s="109" t="str">
        <f>'Meta-Map-all'!D138</f>
        <v/>
      </c>
    </row>
    <row r="135" spans="5:5" x14ac:dyDescent="0.75">
      <c r="E135" s="109" t="str">
        <f>'Meta-Map-all'!D139</f>
        <v/>
      </c>
    </row>
    <row r="136" spans="5:5" x14ac:dyDescent="0.75">
      <c r="E136" s="109" t="str">
        <f>'Meta-Map-all'!D140</f>
        <v/>
      </c>
    </row>
    <row r="137" spans="5:5" x14ac:dyDescent="0.75">
      <c r="E137" s="109" t="str">
        <f>'Meta-Map-all'!D141</f>
        <v/>
      </c>
    </row>
    <row r="138" spans="5:5" x14ac:dyDescent="0.75">
      <c r="E138" s="109" t="str">
        <f>'Meta-Map-all'!D142</f>
        <v/>
      </c>
    </row>
    <row r="139" spans="5:5" x14ac:dyDescent="0.75">
      <c r="E139" s="109" t="str">
        <f>'Meta-Map-all'!D143</f>
        <v/>
      </c>
    </row>
    <row r="140" spans="5:5" x14ac:dyDescent="0.75">
      <c r="E140" s="109" t="str">
        <f>'Meta-Map-all'!D144</f>
        <v/>
      </c>
    </row>
    <row r="141" spans="5:5" x14ac:dyDescent="0.75">
      <c r="E141" s="109" t="str">
        <f>'Meta-Map-all'!D145</f>
        <v/>
      </c>
    </row>
    <row r="142" spans="5:5" x14ac:dyDescent="0.75">
      <c r="E142" s="109" t="str">
        <f>'Meta-Map-all'!D146</f>
        <v/>
      </c>
    </row>
    <row r="143" spans="5:5" x14ac:dyDescent="0.75">
      <c r="E143" s="109" t="str">
        <f>'Meta-Map-all'!D147</f>
        <v/>
      </c>
    </row>
    <row r="144" spans="5:5" x14ac:dyDescent="0.75">
      <c r="E144" s="109" t="str">
        <f>'Meta-Map-all'!D148</f>
        <v/>
      </c>
    </row>
    <row r="145" spans="5:5" x14ac:dyDescent="0.75">
      <c r="E145" s="109" t="str">
        <f>'Meta-Map-all'!D149</f>
        <v/>
      </c>
    </row>
    <row r="146" spans="5:5" x14ac:dyDescent="0.75">
      <c r="E146" s="109" t="str">
        <f>'Meta-Map-all'!D150</f>
        <v/>
      </c>
    </row>
    <row r="147" spans="5:5" x14ac:dyDescent="0.75">
      <c r="E147" s="109" t="str">
        <f>'Meta-Map-all'!D151</f>
        <v/>
      </c>
    </row>
    <row r="148" spans="5:5" x14ac:dyDescent="0.75">
      <c r="E148" s="109" t="str">
        <f>'Meta-Map-all'!D152</f>
        <v/>
      </c>
    </row>
    <row r="149" spans="5:5" x14ac:dyDescent="0.75">
      <c r="E149" s="109" t="str">
        <f>'Meta-Map-all'!D153</f>
        <v/>
      </c>
    </row>
    <row r="150" spans="5:5" x14ac:dyDescent="0.75">
      <c r="E150" s="109" t="str">
        <f>'Meta-Map-all'!D154</f>
        <v/>
      </c>
    </row>
    <row r="151" spans="5:5" x14ac:dyDescent="0.75">
      <c r="E151" s="109" t="str">
        <f>'Meta-Map-all'!D155</f>
        <v/>
      </c>
    </row>
    <row r="152" spans="5:5" x14ac:dyDescent="0.75">
      <c r="E152" s="109" t="str">
        <f>'Meta-Map-all'!D156</f>
        <v/>
      </c>
    </row>
    <row r="153" spans="5:5" x14ac:dyDescent="0.75">
      <c r="E153" s="109" t="str">
        <f>'Meta-Map-all'!D157</f>
        <v/>
      </c>
    </row>
    <row r="154" spans="5:5" x14ac:dyDescent="0.75">
      <c r="E154" s="109" t="str">
        <f>'Meta-Map-all'!D158</f>
        <v/>
      </c>
    </row>
    <row r="155" spans="5:5" x14ac:dyDescent="0.75">
      <c r="E155" s="109" t="str">
        <f>'Meta-Map-all'!D159</f>
        <v/>
      </c>
    </row>
    <row r="156" spans="5:5" x14ac:dyDescent="0.75">
      <c r="E156" s="109" t="str">
        <f>'Meta-Map-all'!D160</f>
        <v/>
      </c>
    </row>
    <row r="157" spans="5:5" x14ac:dyDescent="0.75">
      <c r="E157" s="109" t="str">
        <f>'Meta-Map-all'!D161</f>
        <v/>
      </c>
    </row>
    <row r="158" spans="5:5" x14ac:dyDescent="0.75">
      <c r="E158" s="109" t="str">
        <f>'Meta-Map-all'!D162</f>
        <v/>
      </c>
    </row>
    <row r="159" spans="5:5" x14ac:dyDescent="0.75">
      <c r="E159" s="109" t="str">
        <f>'Meta-Map-all'!D163</f>
        <v/>
      </c>
    </row>
    <row r="160" spans="5:5" x14ac:dyDescent="0.75">
      <c r="E160" s="109" t="str">
        <f>'Meta-Map-all'!D164</f>
        <v/>
      </c>
    </row>
    <row r="161" spans="5:5" x14ac:dyDescent="0.75">
      <c r="E161" s="109" t="str">
        <f>'Meta-Map-all'!D165</f>
        <v/>
      </c>
    </row>
    <row r="162" spans="5:5" x14ac:dyDescent="0.75">
      <c r="E162" s="109" t="str">
        <f>'Meta-Map-all'!D166</f>
        <v/>
      </c>
    </row>
    <row r="163" spans="5:5" x14ac:dyDescent="0.75">
      <c r="E163" s="109" t="str">
        <f>'Meta-Map-all'!D167</f>
        <v/>
      </c>
    </row>
    <row r="164" spans="5:5" x14ac:dyDescent="0.75">
      <c r="E164" s="109" t="str">
        <f>'Meta-Map-all'!D168</f>
        <v/>
      </c>
    </row>
    <row r="165" spans="5:5" x14ac:dyDescent="0.75">
      <c r="E165" s="109" t="str">
        <f>'Meta-Map-all'!D169</f>
        <v/>
      </c>
    </row>
    <row r="166" spans="5:5" x14ac:dyDescent="0.75">
      <c r="E166" s="109" t="str">
        <f>'Meta-Map-all'!D170</f>
        <v/>
      </c>
    </row>
    <row r="167" spans="5:5" x14ac:dyDescent="0.75">
      <c r="E167" s="109" t="str">
        <f>'Meta-Map-all'!D171</f>
        <v/>
      </c>
    </row>
    <row r="168" spans="5:5" x14ac:dyDescent="0.75">
      <c r="E168" s="109" t="str">
        <f>'Meta-Map-all'!D172</f>
        <v/>
      </c>
    </row>
    <row r="169" spans="5:5" x14ac:dyDescent="0.75">
      <c r="E169" s="109" t="str">
        <f>'Meta-Map-all'!D173</f>
        <v/>
      </c>
    </row>
    <row r="170" spans="5:5" x14ac:dyDescent="0.75">
      <c r="E170" s="109" t="str">
        <f>'Meta-Map-all'!D174</f>
        <v/>
      </c>
    </row>
    <row r="171" spans="5:5" x14ac:dyDescent="0.75">
      <c r="E171" s="109" t="str">
        <f>'Meta-Map-all'!D175</f>
        <v/>
      </c>
    </row>
    <row r="172" spans="5:5" x14ac:dyDescent="0.75">
      <c r="E172" s="109" t="str">
        <f>'Meta-Map-all'!D176</f>
        <v/>
      </c>
    </row>
    <row r="173" spans="5:5" x14ac:dyDescent="0.75">
      <c r="E173" s="109" t="str">
        <f>'Meta-Map-all'!D177</f>
        <v/>
      </c>
    </row>
    <row r="174" spans="5:5" x14ac:dyDescent="0.75">
      <c r="E174" s="109" t="str">
        <f>'Meta-Map-all'!D178</f>
        <v/>
      </c>
    </row>
    <row r="175" spans="5:5" x14ac:dyDescent="0.75">
      <c r="E175" s="109" t="str">
        <f>'Meta-Map-all'!D179</f>
        <v/>
      </c>
    </row>
    <row r="176" spans="5:5" x14ac:dyDescent="0.75">
      <c r="E176" s="109" t="str">
        <f>'Meta-Map-all'!D180</f>
        <v/>
      </c>
    </row>
    <row r="177" spans="5:5" x14ac:dyDescent="0.75">
      <c r="E177" s="109" t="str">
        <f>'Meta-Map-all'!D181</f>
        <v/>
      </c>
    </row>
    <row r="178" spans="5:5" x14ac:dyDescent="0.75">
      <c r="E178" s="109" t="str">
        <f>'Meta-Map-all'!D182</f>
        <v/>
      </c>
    </row>
    <row r="179" spans="5:5" x14ac:dyDescent="0.75">
      <c r="E179" s="109" t="str">
        <f>'Meta-Map-all'!D183</f>
        <v/>
      </c>
    </row>
    <row r="180" spans="5:5" x14ac:dyDescent="0.75">
      <c r="E180" s="109" t="str">
        <f>'Meta-Map-all'!D184</f>
        <v/>
      </c>
    </row>
    <row r="181" spans="5:5" x14ac:dyDescent="0.75">
      <c r="E181" s="109" t="str">
        <f>'Meta-Map-all'!D185</f>
        <v/>
      </c>
    </row>
    <row r="182" spans="5:5" x14ac:dyDescent="0.75">
      <c r="E182" s="109" t="str">
        <f>'Meta-Map-all'!D186</f>
        <v/>
      </c>
    </row>
    <row r="183" spans="5:5" x14ac:dyDescent="0.75">
      <c r="E183" s="109" t="str">
        <f>'Meta-Map-all'!D187</f>
        <v/>
      </c>
    </row>
    <row r="184" spans="5:5" x14ac:dyDescent="0.75">
      <c r="E184" s="109" t="str">
        <f>'Meta-Map-all'!D188</f>
        <v/>
      </c>
    </row>
    <row r="185" spans="5:5" x14ac:dyDescent="0.75">
      <c r="E185" s="109" t="str">
        <f>'Meta-Map-all'!D189</f>
        <v/>
      </c>
    </row>
    <row r="186" spans="5:5" x14ac:dyDescent="0.75">
      <c r="E186" s="109" t="str">
        <f>'Meta-Map-all'!D190</f>
        <v/>
      </c>
    </row>
    <row r="187" spans="5:5" x14ac:dyDescent="0.75">
      <c r="E187" s="109" t="str">
        <f>'Meta-Map-all'!D191</f>
        <v/>
      </c>
    </row>
    <row r="188" spans="5:5" x14ac:dyDescent="0.75">
      <c r="E188" s="109" t="str">
        <f>'Meta-Map-all'!D192</f>
        <v/>
      </c>
    </row>
    <row r="189" spans="5:5" x14ac:dyDescent="0.75">
      <c r="E189" s="109" t="str">
        <f>'Meta-Map-all'!D193</f>
        <v/>
      </c>
    </row>
    <row r="190" spans="5:5" x14ac:dyDescent="0.75">
      <c r="E190" s="109" t="str">
        <f>'Meta-Map-all'!D194</f>
        <v/>
      </c>
    </row>
    <row r="191" spans="5:5" x14ac:dyDescent="0.75">
      <c r="E191" s="109" t="str">
        <f>'Meta-Map-all'!D195</f>
        <v/>
      </c>
    </row>
    <row r="192" spans="5:5" x14ac:dyDescent="0.75">
      <c r="E192" s="109" t="str">
        <f>'Meta-Map-all'!D196</f>
        <v/>
      </c>
    </row>
    <row r="193" spans="5:5" x14ac:dyDescent="0.75">
      <c r="E193" s="109" t="str">
        <f>'Meta-Map-all'!D197</f>
        <v/>
      </c>
    </row>
    <row r="194" spans="5:5" x14ac:dyDescent="0.75">
      <c r="E194" s="109" t="str">
        <f>'Meta-Map-all'!D198</f>
        <v/>
      </c>
    </row>
    <row r="195" spans="5:5" x14ac:dyDescent="0.75">
      <c r="E195" s="109" t="str">
        <f>'Meta-Map-all'!D199</f>
        <v/>
      </c>
    </row>
    <row r="196" spans="5:5" x14ac:dyDescent="0.75">
      <c r="E196" s="109" t="str">
        <f>'Meta-Map-all'!D200</f>
        <v/>
      </c>
    </row>
    <row r="197" spans="5:5" x14ac:dyDescent="0.75">
      <c r="E197" s="109" t="str">
        <f>'Meta-Map-all'!D201</f>
        <v/>
      </c>
    </row>
    <row r="198" spans="5:5" x14ac:dyDescent="0.75">
      <c r="E198" s="109" t="str">
        <f>'Meta-Map-all'!D202</f>
        <v/>
      </c>
    </row>
    <row r="199" spans="5:5" x14ac:dyDescent="0.75">
      <c r="E199" s="109" t="str">
        <f>'Meta-Map-all'!D203</f>
        <v/>
      </c>
    </row>
    <row r="200" spans="5:5" x14ac:dyDescent="0.75">
      <c r="E200" s="109" t="str">
        <f>'Meta-Map-all'!D204</f>
        <v/>
      </c>
    </row>
    <row r="201" spans="5:5" x14ac:dyDescent="0.75">
      <c r="E201" s="109" t="str">
        <f>'Meta-Map-all'!D205</f>
        <v/>
      </c>
    </row>
    <row r="202" spans="5:5" x14ac:dyDescent="0.75">
      <c r="E202" s="109" t="str">
        <f>'Meta-Map-all'!D206</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Sugg">
                <anchor moveWithCells="1">
                  <from>
                    <xdr:col>21</xdr:col>
                    <xdr:colOff>304800</xdr:colOff>
                    <xdr:row>0</xdr:row>
                    <xdr:rowOff>0</xdr:rowOff>
                  </from>
                  <to>
                    <xdr:col>22</xdr:col>
                    <xdr:colOff>368300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Meta">
                <anchor moveWithCells="1">
                  <from>
                    <xdr:col>0</xdr:col>
                    <xdr:colOff>0</xdr:colOff>
                    <xdr:row>0</xdr:row>
                    <xdr:rowOff>0</xdr:rowOff>
                  </from>
                  <to>
                    <xdr:col>1</xdr:col>
                    <xdr:colOff>203200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Meta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After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AfterFltMap">
                <anchor moveWithCells="1">
                  <from>
                    <xdr:col>17</xdr:col>
                    <xdr:colOff>514350</xdr:colOff>
                    <xdr:row>0</xdr:row>
                    <xdr:rowOff>0</xdr:rowOff>
                  </from>
                  <to>
                    <xdr:col>20</xdr:col>
                    <xdr:colOff>355600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40"/>
  <sheetViews>
    <sheetView workbookViewId="0">
      <selection activeCell="D41" sqref="D41"/>
    </sheetView>
  </sheetViews>
  <sheetFormatPr defaultRowHeight="14.75" x14ac:dyDescent="0.75"/>
  <cols>
    <col min="2" max="2" width="47.7265625" style="110" customWidth="1"/>
    <col min="3" max="3" width="46.40625" bestFit="1"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1052</v>
      </c>
      <c r="E2" s="25"/>
      <c r="F2" s="25"/>
      <c r="G2" s="25"/>
    </row>
    <row r="3" spans="1:9" x14ac:dyDescent="0.75">
      <c r="B3" s="118" t="s">
        <v>34</v>
      </c>
      <c r="C3" s="107" t="s">
        <v>36</v>
      </c>
      <c r="D3" s="56"/>
      <c r="E3" s="25"/>
      <c r="F3" s="25"/>
      <c r="G3" s="25"/>
    </row>
    <row r="4" spans="1:9" ht="15.5" thickBot="1" x14ac:dyDescent="0.9">
      <c r="B4" s="119" t="s">
        <v>52</v>
      </c>
      <c r="C4" s="16" t="s">
        <v>1029</v>
      </c>
      <c r="D4" s="57"/>
      <c r="E4" s="25"/>
      <c r="F4" s="25"/>
      <c r="G4" s="25"/>
    </row>
    <row r="5" spans="1:9" x14ac:dyDescent="0.75">
      <c r="C5" s="3" t="s">
        <v>7</v>
      </c>
      <c r="D5" s="4" t="s">
        <v>8</v>
      </c>
      <c r="E5" s="11" t="s">
        <v>17</v>
      </c>
      <c r="F5" s="11" t="s">
        <v>18</v>
      </c>
      <c r="G5" s="11" t="s">
        <v>19</v>
      </c>
    </row>
    <row r="6" spans="1:9" x14ac:dyDescent="0.75">
      <c r="A6">
        <v>0</v>
      </c>
      <c r="B6" s="16" t="s">
        <v>1029</v>
      </c>
      <c r="C6" s="16"/>
      <c r="D6" s="122"/>
      <c r="E6" s="34">
        <v>1</v>
      </c>
      <c r="F6" s="34">
        <v>1</v>
      </c>
      <c r="G6" s="34" t="s">
        <v>21</v>
      </c>
      <c r="I6" s="25"/>
    </row>
    <row r="7" spans="1:9" x14ac:dyDescent="0.75">
      <c r="A7" s="109">
        <v>1</v>
      </c>
      <c r="B7" s="111" t="s">
        <v>35</v>
      </c>
      <c r="C7" s="154" t="s">
        <v>1030</v>
      </c>
      <c r="D7" s="111" t="s">
        <v>807</v>
      </c>
      <c r="E7" s="111">
        <v>0</v>
      </c>
      <c r="F7" s="111">
        <v>1</v>
      </c>
      <c r="G7" s="111" t="s">
        <v>0</v>
      </c>
    </row>
    <row r="8" spans="1:9" x14ac:dyDescent="0.75">
      <c r="A8" s="109">
        <v>2</v>
      </c>
      <c r="B8" s="111" t="s">
        <v>895</v>
      </c>
      <c r="C8" s="111" t="s">
        <v>128</v>
      </c>
      <c r="D8" s="111" t="s">
        <v>128</v>
      </c>
      <c r="E8" s="111">
        <v>0</v>
      </c>
      <c r="F8" s="111">
        <v>1</v>
      </c>
      <c r="G8" s="111" t="s">
        <v>0</v>
      </c>
    </row>
    <row r="9" spans="1:9" s="109" customFormat="1" x14ac:dyDescent="0.75">
      <c r="A9" s="109">
        <v>3</v>
      </c>
      <c r="B9" s="111" t="s">
        <v>896</v>
      </c>
      <c r="C9" s="111" t="s">
        <v>281</v>
      </c>
      <c r="D9" s="111" t="s">
        <v>281</v>
      </c>
      <c r="E9" s="111">
        <v>0</v>
      </c>
      <c r="F9" s="111">
        <v>1</v>
      </c>
      <c r="G9" s="111" t="s">
        <v>0</v>
      </c>
    </row>
    <row r="10" spans="1:9" s="109" customFormat="1" ht="59" x14ac:dyDescent="0.75">
      <c r="A10" s="109">
        <v>4</v>
      </c>
      <c r="B10" s="112" t="s">
        <v>1031</v>
      </c>
      <c r="C10" s="111" t="s">
        <v>1049</v>
      </c>
      <c r="D10" s="112" t="s">
        <v>812</v>
      </c>
      <c r="E10" s="111">
        <v>0</v>
      </c>
      <c r="F10" s="111" t="s">
        <v>20</v>
      </c>
      <c r="G10" s="111" t="s">
        <v>5</v>
      </c>
    </row>
    <row r="11" spans="1:9" s="109" customFormat="1" x14ac:dyDescent="0.75">
      <c r="A11" s="109">
        <v>5</v>
      </c>
      <c r="B11" s="112" t="s">
        <v>1055</v>
      </c>
      <c r="C11" s="111" t="s">
        <v>1056</v>
      </c>
      <c r="D11" s="111" t="s">
        <v>1056</v>
      </c>
      <c r="E11" s="111">
        <v>0</v>
      </c>
      <c r="F11" s="111">
        <v>1</v>
      </c>
      <c r="G11" s="111" t="s">
        <v>3</v>
      </c>
    </row>
    <row r="12" spans="1:9" x14ac:dyDescent="0.75">
      <c r="A12" s="109">
        <v>6</v>
      </c>
      <c r="B12" s="112" t="s">
        <v>1032</v>
      </c>
      <c r="C12" s="111" t="s">
        <v>1034</v>
      </c>
      <c r="D12" s="112" t="s">
        <v>1037</v>
      </c>
      <c r="E12" s="111">
        <v>0</v>
      </c>
      <c r="F12" s="111">
        <v>1</v>
      </c>
      <c r="G12" s="111" t="s">
        <v>3</v>
      </c>
      <c r="H12" s="2"/>
      <c r="I12" s="25"/>
    </row>
    <row r="13" spans="1:9" s="25" customFormat="1" x14ac:dyDescent="0.75">
      <c r="A13" s="109">
        <v>7</v>
      </c>
      <c r="B13" s="112" t="s">
        <v>1038</v>
      </c>
      <c r="C13" s="111" t="s">
        <v>1039</v>
      </c>
      <c r="D13" s="111" t="s">
        <v>1040</v>
      </c>
      <c r="E13" s="111">
        <v>0</v>
      </c>
      <c r="F13" s="111">
        <v>1</v>
      </c>
      <c r="G13" s="111" t="s">
        <v>1044</v>
      </c>
      <c r="H13" s="21"/>
    </row>
    <row r="14" spans="1:9" s="109" customFormat="1" x14ac:dyDescent="0.75">
      <c r="A14" s="109">
        <v>8</v>
      </c>
      <c r="B14" s="112" t="s">
        <v>1033</v>
      </c>
      <c r="C14" s="111" t="s">
        <v>1036</v>
      </c>
      <c r="D14" s="111" t="s">
        <v>1041</v>
      </c>
      <c r="E14" s="111">
        <v>0</v>
      </c>
      <c r="F14" s="111">
        <v>1</v>
      </c>
      <c r="G14" s="111" t="s">
        <v>1035</v>
      </c>
      <c r="H14" s="114"/>
    </row>
    <row r="15" spans="1:9" s="25" customFormat="1" ht="29.5" x14ac:dyDescent="0.75">
      <c r="A15" s="109">
        <v>9</v>
      </c>
      <c r="B15" s="112" t="s">
        <v>1042</v>
      </c>
      <c r="C15" s="111" t="s">
        <v>1050</v>
      </c>
      <c r="D15" s="112" t="s">
        <v>815</v>
      </c>
      <c r="E15" s="111">
        <v>0</v>
      </c>
      <c r="F15" s="111">
        <v>1</v>
      </c>
      <c r="G15" s="111" t="s">
        <v>2</v>
      </c>
      <c r="H15" s="21"/>
    </row>
    <row r="16" spans="1:9" s="109" customFormat="1" x14ac:dyDescent="0.75">
      <c r="B16" s="112" t="s">
        <v>1043</v>
      </c>
      <c r="C16" s="111" t="s">
        <v>1051</v>
      </c>
      <c r="D16" s="112" t="s">
        <v>818</v>
      </c>
      <c r="E16" s="111">
        <v>0</v>
      </c>
      <c r="F16" s="111">
        <v>1</v>
      </c>
      <c r="G16" s="111" t="s">
        <v>3</v>
      </c>
      <c r="H16" s="114"/>
    </row>
    <row r="17" spans="1:8" s="109" customFormat="1" x14ac:dyDescent="0.75">
      <c r="B17" s="112"/>
      <c r="C17" s="111"/>
      <c r="D17" s="125"/>
      <c r="E17" s="111"/>
      <c r="F17" s="111"/>
      <c r="G17" s="113"/>
      <c r="H17" s="114"/>
    </row>
    <row r="18" spans="1:8" s="109" customFormat="1" x14ac:dyDescent="0.75">
      <c r="B18" s="112"/>
      <c r="C18" s="111"/>
      <c r="D18" s="112"/>
      <c r="E18" s="111"/>
      <c r="F18" s="111"/>
      <c r="G18" s="113"/>
      <c r="H18" s="114"/>
    </row>
    <row r="19" spans="1:8" s="109" customFormat="1" x14ac:dyDescent="0.75">
      <c r="B19" s="112"/>
      <c r="C19" s="111"/>
      <c r="D19" s="112"/>
      <c r="E19" s="111"/>
      <c r="F19" s="111"/>
      <c r="G19" s="113"/>
      <c r="H19" s="114"/>
    </row>
    <row r="20" spans="1:8" s="109" customFormat="1" x14ac:dyDescent="0.75">
      <c r="B20" s="112"/>
      <c r="C20" s="111"/>
      <c r="D20" s="112"/>
      <c r="E20" s="111"/>
      <c r="F20" s="111"/>
      <c r="G20" s="113"/>
      <c r="H20" s="114"/>
    </row>
    <row r="21" spans="1:8" s="109" customFormat="1" x14ac:dyDescent="0.75">
      <c r="B21" s="115"/>
      <c r="C21" s="115"/>
      <c r="D21" s="108"/>
      <c r="E21" s="111"/>
      <c r="F21" s="111"/>
      <c r="G21" s="113"/>
      <c r="H21" s="114"/>
    </row>
    <row r="22" spans="1:8" s="109" customFormat="1" x14ac:dyDescent="0.75">
      <c r="B22" s="115"/>
      <c r="C22" s="115"/>
      <c r="D22" s="108"/>
      <c r="E22" s="111"/>
      <c r="F22" s="111"/>
      <c r="G22" s="113"/>
      <c r="H22" s="114"/>
    </row>
    <row r="23" spans="1:8" s="109" customFormat="1" x14ac:dyDescent="0.75">
      <c r="B23" s="115"/>
      <c r="C23" s="115"/>
      <c r="D23" s="108"/>
      <c r="E23" s="111"/>
      <c r="F23" s="111"/>
      <c r="G23" s="113"/>
      <c r="H23" s="114"/>
    </row>
    <row r="24" spans="1:8" s="109" customFormat="1" x14ac:dyDescent="0.75">
      <c r="B24" s="169" t="s">
        <v>1059</v>
      </c>
      <c r="C24" s="170"/>
      <c r="D24" s="171"/>
      <c r="E24" s="111"/>
      <c r="F24" s="111"/>
      <c r="G24" s="113"/>
      <c r="H24" s="114"/>
    </row>
    <row r="25" spans="1:8" s="109" customFormat="1" x14ac:dyDescent="0.75">
      <c r="B25" s="172"/>
      <c r="C25" s="173"/>
      <c r="D25" s="174"/>
      <c r="E25" s="111"/>
      <c r="F25" s="111"/>
      <c r="G25" s="113"/>
      <c r="H25" s="114"/>
    </row>
    <row r="26" spans="1:8" s="109" customFormat="1" x14ac:dyDescent="0.75">
      <c r="B26" s="172"/>
      <c r="C26" s="173"/>
      <c r="D26" s="174"/>
      <c r="E26" s="111"/>
      <c r="F26" s="111"/>
      <c r="G26" s="113"/>
      <c r="H26" s="114"/>
    </row>
    <row r="27" spans="1:8" s="109" customFormat="1" x14ac:dyDescent="0.75">
      <c r="B27" s="172"/>
      <c r="C27" s="173"/>
      <c r="D27" s="174"/>
      <c r="E27" s="111"/>
      <c r="F27" s="111"/>
      <c r="G27" s="113"/>
      <c r="H27" s="114"/>
    </row>
    <row r="28" spans="1:8" x14ac:dyDescent="0.75">
      <c r="A28" s="109"/>
      <c r="B28" s="175"/>
      <c r="C28" s="176"/>
      <c r="D28" s="177"/>
      <c r="E28" s="111"/>
      <c r="F28" s="111"/>
      <c r="G28" s="113"/>
    </row>
    <row r="29" spans="1:8" s="109" customFormat="1" x14ac:dyDescent="0.75">
      <c r="B29" s="111"/>
      <c r="C29" s="111"/>
      <c r="D29" s="112"/>
      <c r="E29" s="111"/>
      <c r="F29" s="111"/>
      <c r="G29" s="113"/>
    </row>
    <row r="30" spans="1:8" s="25" customFormat="1" x14ac:dyDescent="0.75">
      <c r="A30" s="109"/>
      <c r="B30" s="111"/>
      <c r="C30" s="112"/>
      <c r="D30" s="112"/>
      <c r="E30" s="111"/>
      <c r="F30" s="111"/>
      <c r="G30" s="113"/>
    </row>
    <row r="31" spans="1:8" x14ac:dyDescent="0.75">
      <c r="A31" s="109"/>
      <c r="B31" s="111"/>
      <c r="C31" s="111"/>
      <c r="D31" s="112"/>
      <c r="E31" s="111"/>
      <c r="F31" s="111"/>
      <c r="G31" s="113"/>
      <c r="H31" s="136"/>
    </row>
    <row r="32" spans="1:8" x14ac:dyDescent="0.75">
      <c r="A32" s="109"/>
      <c r="B32" s="112"/>
      <c r="C32" s="111"/>
      <c r="D32" s="112"/>
      <c r="E32" s="111"/>
      <c r="F32" s="111"/>
      <c r="G32" s="113"/>
    </row>
    <row r="33" spans="1:9" x14ac:dyDescent="0.75">
      <c r="A33" s="109"/>
      <c r="B33" s="112"/>
      <c r="C33" s="111"/>
      <c r="D33" s="112"/>
      <c r="E33" s="111"/>
      <c r="F33" s="111"/>
      <c r="G33" s="113"/>
    </row>
    <row r="34" spans="1:9" x14ac:dyDescent="0.75">
      <c r="A34" s="109"/>
      <c r="B34" s="112"/>
      <c r="C34" s="111"/>
      <c r="D34" s="112"/>
      <c r="E34" s="111"/>
      <c r="F34" s="111"/>
      <c r="G34" s="113"/>
    </row>
    <row r="35" spans="1:9" s="25" customFormat="1" x14ac:dyDescent="0.75">
      <c r="A35" s="109"/>
      <c r="B35" s="112"/>
      <c r="C35" s="111"/>
      <c r="D35" s="112"/>
      <c r="E35" s="111"/>
      <c r="F35" s="111"/>
      <c r="G35" s="113"/>
    </row>
    <row r="36" spans="1:9" s="25" customFormat="1" x14ac:dyDescent="0.75">
      <c r="A36" s="109"/>
      <c r="B36" s="112"/>
      <c r="C36" s="111"/>
      <c r="D36" s="111"/>
      <c r="E36" s="111"/>
      <c r="F36" s="111"/>
      <c r="G36" s="111"/>
    </row>
    <row r="37" spans="1:9" s="25" customFormat="1" x14ac:dyDescent="0.75">
      <c r="A37" s="109"/>
      <c r="B37" s="108"/>
      <c r="C37" s="111"/>
      <c r="D37" s="49"/>
      <c r="E37" s="111"/>
      <c r="F37" s="111"/>
      <c r="G37" s="111"/>
    </row>
    <row r="38" spans="1:9" s="25" customFormat="1" x14ac:dyDescent="0.75">
      <c r="A38" s="109"/>
      <c r="B38" s="108"/>
      <c r="C38" s="120"/>
      <c r="D38" s="120"/>
      <c r="E38" s="111"/>
      <c r="F38" s="111"/>
      <c r="G38" s="111"/>
    </row>
    <row r="39" spans="1:9" s="25" customFormat="1" x14ac:dyDescent="0.75">
      <c r="A39" s="109"/>
      <c r="B39" s="108"/>
      <c r="C39" s="30"/>
      <c r="D39" s="30"/>
      <c r="E39" s="26"/>
      <c r="F39" s="26"/>
      <c r="G39" s="26"/>
    </row>
    <row r="40" spans="1:9" x14ac:dyDescent="0.75">
      <c r="A40" s="109"/>
      <c r="B40" s="108"/>
      <c r="C40" s="50"/>
      <c r="D40" s="50"/>
      <c r="E40" s="26"/>
      <c r="F40" s="26"/>
      <c r="G40" s="26"/>
      <c r="H40" s="2"/>
      <c r="I40" s="25"/>
    </row>
  </sheetData>
  <mergeCells count="1">
    <mergeCell ref="B24:D28"/>
  </mergeCells>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workbookViewId="0"/>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differential.element[",'Sug-1'!A6,"].id = """,'Sug-1'!B6,"""")</f>
        <v>* differential.element[0].id = "MedicalSuggestion"</v>
      </c>
      <c r="C1" s="13" t="str">
        <f>CONCATENATE("* differential.element[",'Sug-1'!A6,"].path = """,'Sug-1'!$B$6,"""")</f>
        <v>* differential.element[0].path = "MedicalSuggestion"</v>
      </c>
      <c r="D1" s="13" t="str">
        <f>CONCATENATE("* differential.element[",'Sug-1'!A6,"].short = """,'Sug-1'!C6,"""")</f>
        <v>* differential.element[0].short = ""</v>
      </c>
      <c r="E1" s="13" t="str">
        <f>CONCATENATE("* differential.element[",'Sug-1'!A6,"].definition = """,'Sug-1'!D6,"""")</f>
        <v>* differential.element[0].definition = ""</v>
      </c>
      <c r="F1" s="13" t="str">
        <f>CONCATENATE("* differential.element[",'Sug-1'!A6,"].min = ",'Sug-1'!E6,"")</f>
        <v>* differential.element[0].min = 1</v>
      </c>
      <c r="G1" s="13" t="str">
        <f>CONCATENATE("* differential.element[",'Sug-1'!A6,"].max = """,'Sug-1'!F6,"""")</f>
        <v>* differential.element[0].max = "1"</v>
      </c>
      <c r="H1" s="13"/>
    </row>
    <row r="2" spans="2:10" ht="88.5" x14ac:dyDescent="0.75">
      <c r="B2" s="112" t="str">
        <f>CONCATENATE("* differential.element[",'Sug-1'!$A7,"].id = """,'Sug-1'!$B$6,".",'Sug-1'!B7,"""")</f>
        <v>* differential.element[1].id = "MedicalSuggestion.identifier"</v>
      </c>
      <c r="C2" s="112" t="str">
        <f>CONCATENATE("* differential.element[",'Sug-1'!$A7,"].path = """,'Sug-1'!$B$6,".",'Sug-1'!B7,"""")</f>
        <v>* differential.element[1].path = "MedicalSuggestion.identifier"</v>
      </c>
      <c r="D2" s="112" t="str">
        <f>CONCATENATE("* differential.element[",'Sug-1'!A7,"].short = """,'Sug-1'!C7,"""")</f>
        <v>* differential.element[1].short = "suggestion identifier"</v>
      </c>
      <c r="E2" s="112" t="str">
        <f>CONCATENATE("* differential.element[",'Sug-1'!A7,"].definition = """,'Sug-1'!D7,"""")</f>
        <v>* differential.element[1].definition = "Progressive number of medical suggestion"</v>
      </c>
      <c r="F2" s="112" t="str">
        <f>CONCATENATE("* differential.element[",'Sug-1'!A7,"].min = ",'Sug-1'!E7,"")</f>
        <v>* differential.element[1].min = 0</v>
      </c>
      <c r="G2" s="112" t="str">
        <f>CONCATENATE("* differential.element[",'Sug-1'!A7,"].max = """,'Sug-1'!F7,"""")</f>
        <v>* differential.element[1].max = "1"</v>
      </c>
      <c r="H2" s="112" t="str">
        <f>CONCATENATE("* differential.element[",'Sug-1'!A7,"].type.code = #",'Sug-1'!G7,"")</f>
        <v>* differential.element[1].type.code = #Identifier</v>
      </c>
      <c r="I2" s="9"/>
      <c r="J2" t="s">
        <v>10</v>
      </c>
    </row>
    <row r="3" spans="2:10" ht="59" x14ac:dyDescent="0.75">
      <c r="B3" s="112" t="str">
        <f>CONCATENATE("* differential.element[",'Sug-1'!$A8,"].id = """,'Sug-1'!$B$6,".",'Sug-1'!B8,"""")</f>
        <v>* differential.element[2].id = "MedicalSuggestion.relatedDiagnosis"</v>
      </c>
      <c r="C3" s="112" t="str">
        <f>CONCATENATE("* differential.element[",'Sug-1'!$A8,"].path = """,'Sug-1'!$B$6,".",'Sug-1'!B8,"""")</f>
        <v>* differential.element[2].path = "MedicalSuggestion.relatedDiagnosis"</v>
      </c>
      <c r="D3" s="112" t="str">
        <f>CONCATENATE("* differential.element[",'Sug-1'!A8,"].short = """,'Sug-1'!C8,"""")</f>
        <v>* differential.element[2].short = "Progressive number of diagnosis"</v>
      </c>
      <c r="E3" s="112" t="str">
        <f>CONCATENATE("* differential.element[",'Sug-1'!A8,"].definition = """,'Sug-1'!D8,"""")</f>
        <v>* differential.element[2].definition = "Progressive number of diagnosis"</v>
      </c>
      <c r="F3" s="112" t="str">
        <f>CONCATENATE("* differential.element[",'Sug-1'!A8,"].min = ",'Sug-1'!E8,"")</f>
        <v>* differential.element[2].min = 0</v>
      </c>
      <c r="G3" s="112" t="str">
        <f>CONCATENATE("* differential.element[",'Sug-1'!A8,"].max = """,'Sug-1'!F8,"""")</f>
        <v>* differential.element[2].max = "1"</v>
      </c>
      <c r="H3" s="112" t="str">
        <f>CONCATENATE("* differential.element[",'Sug-1'!A8,"].type.code = #",'Sug-1'!G8,"")</f>
        <v>* differential.element[2].type.code = #Identifier</v>
      </c>
      <c r="I3" s="9"/>
      <c r="J3" t="s">
        <v>11</v>
      </c>
    </row>
    <row r="4" spans="2:10" ht="59" x14ac:dyDescent="0.75">
      <c r="B4" s="112" t="str">
        <f>CONCATENATE("* differential.element[",'Sug-1'!$A9,"].id = """,'Sug-1'!$B$6,".",'Sug-1'!B9,"""")</f>
        <v>* differential.element[3].id = "MedicalSuggestion.relatedRelapse"</v>
      </c>
      <c r="C4" s="112" t="str">
        <f>CONCATENATE("* differential.element[",'Sug-1'!$A9,"].path = """,'Sug-1'!$B$6,".",'Sug-1'!B9,"""")</f>
        <v>* differential.element[3].path = "MedicalSuggestion.relatedRelapse"</v>
      </c>
      <c r="D4" s="112" t="str">
        <f>CONCATENATE("* differential.element[",'Sug-1'!A9,"].short = """,'Sug-1'!C9,"""")</f>
        <v>* differential.element[3].short = "Progressive number of relapse/progression (after FLT)"</v>
      </c>
      <c r="E4" s="112" t="str">
        <f>CONCATENATE("* differential.element[",'Sug-1'!A9,"].definition = """,'Sug-1'!D9,"""")</f>
        <v>* differential.element[3].definition = "Progressive number of relapse/progression (after FLT)"</v>
      </c>
      <c r="F4" s="112" t="str">
        <f>CONCATENATE("* differential.element[",'Sug-1'!A9,"].min = ",'Sug-1'!E9,"")</f>
        <v>* differential.element[3].min = 0</v>
      </c>
      <c r="G4" s="112" t="str">
        <f>CONCATENATE("* differential.element[",'Sug-1'!A9,"].max = """,'Sug-1'!F9,"""")</f>
        <v>* differential.element[3].max = "1"</v>
      </c>
      <c r="H4" s="112" t="str">
        <f>CONCATENATE("* differential.element[",'Sug-1'!A9,"].type.code = #",'Sug-1'!G9,"")</f>
        <v>* differential.element[3].type.code = #Identifier</v>
      </c>
      <c r="I4" s="9"/>
      <c r="J4" t="s">
        <v>12</v>
      </c>
    </row>
    <row r="5" spans="2:10" ht="88.5" x14ac:dyDescent="0.75">
      <c r="B5" s="112" t="str">
        <f>CONCATENATE("* differential.element[",'Sug-1'!$A10,"].id = """,'Sug-1'!$B$6,".",'Sug-1'!B10,"""")</f>
        <v>* differential.element[4].id = "MedicalSuggestion.prescribedMedication"</v>
      </c>
      <c r="C5" s="112" t="str">
        <f>CONCATENATE("* differential.element[",'Sug-1'!$A10,"].path = """,'Sug-1'!$B$6,".",'Sug-1'!B10,"""")</f>
        <v>* differential.element[4].path = "MedicalSuggestion.prescribedMedication"</v>
      </c>
      <c r="D5" s="112" t="str">
        <f>CONCATENATE("* differential.element[",'Sug-1'!A10,"].short = """,'Sug-1'!C10,"""")</f>
        <v>* differential.element[4].short = "Medications prescribed"</v>
      </c>
      <c r="E5" s="112" t="str">
        <f>CONCATENATE("* differential.element[",'Sug-1'!A10,"].definition = """,'Sug-1'!D10,"""")</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c r="F5" s="112" t="str">
        <f>CONCATENATE("* differential.element[",'Sug-1'!A10,"].min = ",'Sug-1'!E10,"")</f>
        <v>* differential.element[4].min = 0</v>
      </c>
      <c r="G5" s="112" t="str">
        <f>CONCATENATE("* differential.element[",'Sug-1'!A10,"].max = """,'Sug-1'!F10,"""")</f>
        <v>* differential.element[4].max = "*"</v>
      </c>
      <c r="H5" s="112" t="str">
        <f>CONCATENATE("* differential.element[",'Sug-1'!A10,"].type.code = #",'Sug-1'!G10,"")</f>
        <v>* differential.element[4].type.code = #BackboneElement</v>
      </c>
      <c r="I5" s="9"/>
      <c r="J5" t="s">
        <v>13</v>
      </c>
    </row>
    <row r="6" spans="2:10" ht="59" x14ac:dyDescent="0.75">
      <c r="B6" s="112" t="str">
        <f>CONCATENATE("* differential.element[",'Sug-1'!$A11,"].id = """,'Sug-1'!$B$6,".",'Sug-1'!B11,"""")</f>
        <v>* differential.element[5].id = "MedicalSuggestion.prescribedMedication.text"</v>
      </c>
      <c r="C6" s="112" t="str">
        <f>CONCATENATE("* differential.element[",'Sug-1'!$A11,"].path = """,'Sug-1'!$B$6,".",'Sug-1'!B11,"""")</f>
        <v>* differential.element[5].path = "MedicalSuggestion.prescribedMedication.text"</v>
      </c>
      <c r="D6" s="112" t="str">
        <f>CONCATENATE("* differential.element[",'Sug-1'!A11,"].short = """,'Sug-1'!C11,"""")</f>
        <v>* differential.element[5].short = "Textual description"</v>
      </c>
      <c r="E6" s="112" t="str">
        <f>CONCATENATE("* differential.element[",'Sug-1'!A11,"].definition = """,'Sug-1'!D11,"""")</f>
        <v>* differential.element[5].definition = "Textual description"</v>
      </c>
      <c r="F6" s="112" t="str">
        <f>CONCATENATE("* differential.element[",'Sug-1'!A11,"].min = ",'Sug-1'!E11,"")</f>
        <v>* differential.element[5].min = 0</v>
      </c>
      <c r="G6" s="112" t="str">
        <f>CONCATENATE("* differential.element[",'Sug-1'!A11,"].max = """,'Sug-1'!F11,"""")</f>
        <v>* differential.element[5].max = "1"</v>
      </c>
      <c r="H6" s="112" t="str">
        <f>CONCATENATE("* differential.element[",'Sug-1'!A11,"].type.code = #",'Sug-1'!G11,"")</f>
        <v>* differential.element[5].type.code = #string</v>
      </c>
      <c r="I6" s="9"/>
      <c r="J6" t="s">
        <v>14</v>
      </c>
    </row>
    <row r="7" spans="2:10" ht="59" x14ac:dyDescent="0.75">
      <c r="B7" s="112" t="str">
        <f>CONCATENATE("* differential.element[",'Sug-1'!$A12,"].id = """,'Sug-1'!$B$6,".",'Sug-1'!B12,"""")</f>
        <v>* differential.element[6].id = "MedicalSuggestion.prescribedMedication.name"</v>
      </c>
      <c r="C7" s="112" t="str">
        <f>CONCATENATE("* differential.element[",'Sug-1'!$A12,"].path = """,'Sug-1'!$B$6,".",'Sug-1'!B12,"""")</f>
        <v>* differential.element[6].path = "MedicalSuggestion.prescribedMedication.name"</v>
      </c>
      <c r="D7" s="112" t="str">
        <f>CONCATENATE("* differential.element[",'Sug-1'!A12,"].short = """,'Sug-1'!C12,"""")</f>
        <v>* differential.element[6].short = "Name "</v>
      </c>
      <c r="E7" s="112" t="str">
        <f>CONCATENATE("* differential.element[",'Sug-1'!A12,"].definition = """,'Sug-1'!D12,"""")</f>
        <v>* differential.element[6].definition = "Drug name"</v>
      </c>
      <c r="F7" s="112" t="str">
        <f>CONCATENATE("* differential.element[",'Sug-1'!A12,"].min = ",'Sug-1'!E12,"")</f>
        <v>* differential.element[6].min = 0</v>
      </c>
      <c r="G7" s="112" t="str">
        <f>CONCATENATE("* differential.element[",'Sug-1'!A12,"].max = """,'Sug-1'!F12,"""")</f>
        <v>* differential.element[6].max = "1"</v>
      </c>
      <c r="H7" s="112" t="str">
        <f>CONCATENATE("* differential.element[",'Sug-1'!A12,"].type.code = #",'Sug-1'!G12,"")</f>
        <v>* differential.element[6].type.code = #string</v>
      </c>
      <c r="I7" s="9"/>
      <c r="J7" t="s">
        <v>15</v>
      </c>
    </row>
    <row r="8" spans="2:10" ht="59" x14ac:dyDescent="0.75">
      <c r="B8" s="112" t="str">
        <f>CONCATENATE("* differential.element[",'Sug-1'!$A13,"].id = """,'Sug-1'!$B$6,".",'Sug-1'!B13,"""")</f>
        <v>* differential.element[7].id = "MedicalSuggestion.prescribedMedication.dose"</v>
      </c>
      <c r="C8" s="112" t="str">
        <f>CONCATENATE("* differential.element[",'Sug-1'!$A13,"].path = """,'Sug-1'!$B$6,".",'Sug-1'!B13,"""")</f>
        <v>* differential.element[7].path = "MedicalSuggestion.prescribedMedication.dose"</v>
      </c>
      <c r="D8" s="112" t="str">
        <f>CONCATENATE("* differential.element[",'Sug-1'!A13,"].short = """,'Sug-1'!C13,"""")</f>
        <v>* differential.element[7].short = "Dose"</v>
      </c>
      <c r="E8" s="112" t="str">
        <f>CONCATENATE("* differential.element[",'Sug-1'!A13,"].definition = """,'Sug-1'!D13,"""")</f>
        <v>* differential.element[7].definition = "Drug dose. Quanity per administration"</v>
      </c>
      <c r="F8" s="112" t="str">
        <f>CONCATENATE("* differential.element[",'Sug-1'!A13,"].min = ",'Sug-1'!E13,"")</f>
        <v>* differential.element[7].min = 0</v>
      </c>
      <c r="G8" s="112" t="str">
        <f>CONCATENATE("* differential.element[",'Sug-1'!A13,"].max = """,'Sug-1'!F13,"""")</f>
        <v>* differential.element[7].max = "1"</v>
      </c>
      <c r="H8" s="112" t="str">
        <f>CONCATENATE("* differential.element[",'Sug-1'!A13,"].type.code = #",'Sug-1'!G13,"")</f>
        <v>* differential.element[7].type.code = #Quantity</v>
      </c>
      <c r="I8" s="9"/>
      <c r="J8" t="s">
        <v>16</v>
      </c>
    </row>
    <row r="9" spans="2:10" ht="44.25" x14ac:dyDescent="0.75">
      <c r="B9" s="112" t="str">
        <f>CONCATENATE("* differential.element[",'Sug-1'!$A14,"].id = """,'Sug-1'!$B$6,".",'Sug-1'!B14,"""")</f>
        <v>* differential.element[8].id = "MedicalSuggestion.prescribedMedication.schedule"</v>
      </c>
      <c r="C9" s="112" t="str">
        <f>CONCATENATE("* differential.element[",'Sug-1'!$A14,"].path = """,'Sug-1'!$B$6,".",'Sug-1'!B14,"""")</f>
        <v>* differential.element[8].path = "MedicalSuggestion.prescribedMedication.schedule"</v>
      </c>
      <c r="D9" s="112" t="str">
        <f>CONCATENATE("* differential.element[",'Sug-1'!A14,"].short = """,'Sug-1'!C14,"""")</f>
        <v>* differential.element[8].short = "Schedule"</v>
      </c>
      <c r="E9" s="112" t="str">
        <f>CONCATENATE("* differential.element[",'Sug-1'!A14,"].definition = """,'Sug-1'!D14,"""")</f>
        <v>* differential.element[8].definition = "Drug Schedule. When it should be administered"</v>
      </c>
      <c r="F9" s="112" t="str">
        <f>CONCATENATE("* differential.element[",'Sug-1'!A14,"].min = ",'Sug-1'!E14,"")</f>
        <v>* differential.element[8].min = 0</v>
      </c>
      <c r="G9" s="112" t="str">
        <f>CONCATENATE("* differential.element[",'Sug-1'!A14,"].max = """,'Sug-1'!F14,"""")</f>
        <v>* differential.element[8].max = "1"</v>
      </c>
      <c r="H9" s="112" t="str">
        <f>CONCATENATE("* differential.element[",'Sug-1'!A14,"].type.code = #",'Sug-1'!G14,"")</f>
        <v>* differential.element[8].type.code = #Dosage</v>
      </c>
      <c r="I9" s="9"/>
    </row>
    <row r="10" spans="2:10" ht="59" x14ac:dyDescent="0.75">
      <c r="B10" s="112" t="str">
        <f>CONCATENATE("* differential.element[",'Sug-1'!$A15,"].id = """,'Sug-1'!$B$6,".",'Sug-1'!B15,"""")</f>
        <v>* differential.element[9].id = "MedicalSuggestion.prescribedMedication.date"</v>
      </c>
      <c r="C10" s="112" t="str">
        <f>CONCATENATE("* differential.element[",'Sug-1'!$A15,"].path = """,'Sug-1'!$B$6,".",'Sug-1'!B15,"""")</f>
        <v>* differential.element[9].path = "MedicalSuggestion.prescribedMedication.date"</v>
      </c>
      <c r="D10" s="112" t="str">
        <f>CONCATENATE("* differential.element[",'Sug-1'!A15,"].short = """,'Sug-1'!C15,"""")</f>
        <v>* differential.element[9].short = "Date of prescription"</v>
      </c>
      <c r="E10" s="112" t="str">
        <f>CONCATENATE("* differential.element[",'Sug-1'!A15,"].definition = """,'Sug-1'!D15,"""")</f>
        <v>* differential.element[9].definition = "Date (DD/MM/YYYY) in which the specific prescription was first given. If the date is unkown or partially missed insert the year at the best of your knowledge."</v>
      </c>
      <c r="F10" s="112" t="str">
        <f>CONCATENATE("* differential.element[",'Sug-1'!A15,"].min = ",'Sug-1'!E15,"")</f>
        <v>* differential.element[9].min = 0</v>
      </c>
      <c r="G10" s="112" t="str">
        <f>CONCATENATE("* differential.element[",'Sug-1'!A15,"].max = """,'Sug-1'!F15,"""")</f>
        <v>* differential.element[9].max = "1"</v>
      </c>
      <c r="H10" s="112" t="str">
        <f>CONCATENATE("* differential.element[",'Sug-1'!A15,"].type.code = #",'Sug-1'!G15,"")</f>
        <v>* differential.element[9].type.code = #dateTime</v>
      </c>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",'Sug-1'!B6)</f>
        <v>Instance: MedicalSuggestion</v>
      </c>
    </row>
    <row r="3" spans="4:7" x14ac:dyDescent="0.75">
      <c r="D3" s="15" t="s">
        <v>24</v>
      </c>
    </row>
    <row r="4" spans="4:7" x14ac:dyDescent="0.75">
      <c r="D4" s="15" t="str">
        <f>CONCATENATE("Description: """,'Sug-1'!D2,"""")</f>
        <v>Description: "Medical suggestion
Maturity Level: 0 - Draft"</v>
      </c>
      <c r="E4" s="15"/>
    </row>
    <row r="5" spans="4:7" x14ac:dyDescent="0.75">
      <c r="D5" s="15" t="str">
        <f>CONCATENATE("Title: """,'Sug-1'!C2,"""")</f>
        <v>Title: "Medical suggestion"</v>
      </c>
      <c r="E5" s="15"/>
    </row>
    <row r="6" spans="4:7" x14ac:dyDescent="0.75">
      <c r="D6" s="15" t="s">
        <v>25</v>
      </c>
      <c r="E6" s="15"/>
    </row>
    <row r="7" spans="4:7" x14ac:dyDescent="0.75">
      <c r="D7" s="15"/>
      <c r="E7" s="15"/>
    </row>
    <row r="8" spans="4:7" x14ac:dyDescent="0.75">
      <c r="D8" s="15" t="str">
        <f>CONCATENATE("* publisher = """,'Sug-1'!B4,"""")</f>
        <v>* publisher = "PanCareSurPass project"</v>
      </c>
      <c r="E8" s="15"/>
    </row>
    <row r="9" spans="4:7" x14ac:dyDescent="0.75">
      <c r="D9" s="15" t="s">
        <v>26</v>
      </c>
      <c r="E9" s="15"/>
    </row>
    <row r="10" spans="4:7" x14ac:dyDescent="0.75">
      <c r="D10" s="15" t="str">
        <f>CONCATENATE("* url = """,'Sug-1'!B2,"/StructureDefinition/",'Sug-1'!B6,"""")</f>
        <v>* url = "http://hl7.eu/fhir/ig/pcsp/StructureDefinition/MedicalSuggestion"</v>
      </c>
      <c r="E10" s="15"/>
      <c r="G10" s="52" t="s">
        <v>48</v>
      </c>
    </row>
    <row r="11" spans="4:7" x14ac:dyDescent="0.75">
      <c r="D11" s="15" t="str">
        <f>CONCATENATE("* name = """,'Sug-1'!C4,"""")</f>
        <v>* name = "MedicalSuggestion"</v>
      </c>
      <c r="E11" s="15"/>
    </row>
    <row r="12" spans="4:7" x14ac:dyDescent="0.75">
      <c r="D12" s="15" t="str">
        <f>CONCATENATE("* title = """,'Sug-1'!C2,"""")</f>
        <v>* title = "Medical suggestion"</v>
      </c>
      <c r="E12" s="15"/>
    </row>
    <row r="13" spans="4:7" x14ac:dyDescent="0.75">
      <c r="D13" s="15" t="s">
        <v>26</v>
      </c>
      <c r="E13" s="15"/>
    </row>
    <row r="14" spans="4:7" x14ac:dyDescent="0.75">
      <c r="D14" s="15" t="s">
        <v>27</v>
      </c>
      <c r="E14" s="15"/>
    </row>
    <row r="15" spans="4:7" x14ac:dyDescent="0.75">
      <c r="D15" s="15" t="str">
        <f>CONCATENATE("* description = """,'Sug-1'!D2,"""")</f>
        <v>* description = "Medical suggestion
Maturity Level: 0 - Draft"</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""",'Sug-1'!B6,"""")</f>
        <v>* type = "MedicalSuggestion"</v>
      </c>
      <c r="E24" s="15"/>
    </row>
    <row r="25" spans="2:7" x14ac:dyDescent="0.75">
      <c r="D25" s="15" t="s">
        <v>30</v>
      </c>
    </row>
    <row r="26" spans="2:7" x14ac:dyDescent="0.75">
      <c r="D26" s="15" t="s">
        <v>31</v>
      </c>
    </row>
    <row r="28" spans="2:7" x14ac:dyDescent="0.75">
      <c r="D28" s="12" t="str">
        <f>'Sug-2'!B1</f>
        <v>* differential.element[0].id = "MedicalSuggestion"</v>
      </c>
    </row>
    <row r="29" spans="2:7" x14ac:dyDescent="0.75">
      <c r="D29" s="12" t="str">
        <f>'Sug-2'!C1</f>
        <v>* differential.element[0].path = "MedicalSuggestion"</v>
      </c>
      <c r="G29" t="s">
        <v>50</v>
      </c>
    </row>
    <row r="30" spans="2:7" x14ac:dyDescent="0.75">
      <c r="D30" s="38" t="str">
        <f>'Sug-2'!D1</f>
        <v>* differential.element[0].short = ""</v>
      </c>
    </row>
    <row r="31" spans="2:7" x14ac:dyDescent="0.75">
      <c r="D31" s="12" t="str">
        <f>'Sug-2'!E1</f>
        <v>* differential.element[0].definition = ""</v>
      </c>
    </row>
    <row r="32" spans="2:7" x14ac:dyDescent="0.75">
      <c r="D32" s="12" t="str">
        <f>'Sug-2'!F1</f>
        <v>* differential.element[0].min = 1</v>
      </c>
    </row>
    <row r="33" spans="1:4" x14ac:dyDescent="0.75">
      <c r="D33" s="12" t="str">
        <f>'Sug-2'!G1</f>
        <v>* differential.element[0].max = "1"</v>
      </c>
    </row>
    <row r="34" spans="1:4" x14ac:dyDescent="0.75">
      <c r="D34" s="7"/>
    </row>
    <row r="35" spans="1:4" x14ac:dyDescent="0.75">
      <c r="A35" s="2">
        <v>1</v>
      </c>
      <c r="B35" s="2">
        <f>IF(MOD(A35,7)=0,A35/7-1,INT(A35/7))</f>
        <v>0</v>
      </c>
      <c r="C35" s="2">
        <f>IF(MOD(A35,7)=0,7,MOD(A35,7))</f>
        <v>1</v>
      </c>
      <c r="D35" s="8" t="str" cm="1">
        <f t="array" ref="D35">INDEX('Sug-2'!$B$2:$H$88,1+B35,C35)</f>
        <v>* differential.element[1].id = "MedicalSuggestion.identifier"</v>
      </c>
    </row>
    <row r="36" spans="1:4" x14ac:dyDescent="0.75">
      <c r="A36" s="2">
        <v>2</v>
      </c>
      <c r="B36" s="2">
        <f t="shared" ref="B36:B41" si="0">IF(MOD(A36,7)=0,A36/7-1,INT(A36/7))</f>
        <v>0</v>
      </c>
      <c r="C36" s="2">
        <f t="shared" ref="C36:C41" si="1">IF(MOD(A36,7)=0,7,MOD(A36,7))</f>
        <v>2</v>
      </c>
      <c r="D36" s="112" t="str" cm="1">
        <f t="array" ref="D36">INDEX('Sug-2'!$B$2:$H$88,1+B36,C36)</f>
        <v>* differential.element[1].path = "MedicalSuggestion.identifier"</v>
      </c>
    </row>
    <row r="37" spans="1:4" x14ac:dyDescent="0.75">
      <c r="A37" s="2">
        <v>3</v>
      </c>
      <c r="B37" s="2">
        <f t="shared" si="0"/>
        <v>0</v>
      </c>
      <c r="C37" s="2">
        <f t="shared" si="1"/>
        <v>3</v>
      </c>
      <c r="D37" s="112" t="str" cm="1">
        <f t="array" ref="D37">INDEX('Sug-2'!$B$2:$H$88,1+B37,C37)</f>
        <v>* differential.element[1].short = "suggestion identifier"</v>
      </c>
    </row>
    <row r="38" spans="1:4" x14ac:dyDescent="0.75">
      <c r="A38" s="2">
        <v>4</v>
      </c>
      <c r="B38" s="2">
        <f t="shared" si="0"/>
        <v>0</v>
      </c>
      <c r="C38" s="2">
        <f t="shared" si="1"/>
        <v>4</v>
      </c>
      <c r="D38" s="112" t="str" cm="1">
        <f t="array" ref="D38">INDEX('Sug-2'!$B$2:$H$88,1+B38,C38)</f>
        <v>* differential.element[1].definition = "Progressive number of medical suggestion"</v>
      </c>
    </row>
    <row r="39" spans="1:4" x14ac:dyDescent="0.75">
      <c r="A39" s="2">
        <v>5</v>
      </c>
      <c r="B39" s="2">
        <f t="shared" si="0"/>
        <v>0</v>
      </c>
      <c r="C39" s="2">
        <f t="shared" si="1"/>
        <v>5</v>
      </c>
      <c r="D39" s="112" t="str" cm="1">
        <f t="array" ref="D39">INDEX('Sug-2'!$B$2:$H$88,1+B39,C39)</f>
        <v>* differential.element[1].min = 0</v>
      </c>
    </row>
    <row r="40" spans="1:4" x14ac:dyDescent="0.75">
      <c r="A40" s="2">
        <v>6</v>
      </c>
      <c r="B40" s="2">
        <f t="shared" si="0"/>
        <v>0</v>
      </c>
      <c r="C40" s="2">
        <f t="shared" si="1"/>
        <v>6</v>
      </c>
      <c r="D40" s="112" t="str" cm="1">
        <f t="array" ref="D40">INDEX('Sug-2'!$B$2:$H$88,1+B40,C40)</f>
        <v>* differential.element[1].max = "1"</v>
      </c>
    </row>
    <row r="41" spans="1:4" x14ac:dyDescent="0.75">
      <c r="A41" s="26">
        <v>7</v>
      </c>
      <c r="B41" s="26">
        <f t="shared" si="0"/>
        <v>0</v>
      </c>
      <c r="C41" s="26">
        <f t="shared" si="1"/>
        <v>7</v>
      </c>
      <c r="D41" s="112" t="str" cm="1">
        <f t="array" ref="D41">INDEX('Sug-2'!$B$2:$H$88,1+B41,C41)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INDEX('Sug-2'!$B$2:$H$88,1+B42,C42)</f>
        <v>* differential.element[2].id = "MedicalSuggestion.relatedDiagnosis"</v>
      </c>
    </row>
    <row r="43" spans="1:4" x14ac:dyDescent="0.75">
      <c r="A43" s="26">
        <v>9</v>
      </c>
      <c r="B43" s="26">
        <f t="shared" si="2"/>
        <v>1</v>
      </c>
      <c r="C43" s="26">
        <f t="shared" si="3"/>
        <v>2</v>
      </c>
      <c r="D43" s="112" t="str" cm="1">
        <f t="array" ref="D43">INDEX('Sug-2'!$B$2:$H$88,1+B43,C43)</f>
        <v>* differential.element[2].path = "MedicalSuggestion.relatedDiagnosis"</v>
      </c>
    </row>
    <row r="44" spans="1:4" x14ac:dyDescent="0.75">
      <c r="A44" s="26">
        <v>10</v>
      </c>
      <c r="B44" s="26">
        <f t="shared" si="2"/>
        <v>1</v>
      </c>
      <c r="C44" s="26">
        <f t="shared" si="3"/>
        <v>3</v>
      </c>
      <c r="D44" s="112" t="str" cm="1">
        <f t="array" ref="D44">INDEX('Sug-2'!$B$2:$H$88,1+B44,C44)</f>
        <v>* differential.element[2].short = "Progressive number of diagnosis"</v>
      </c>
    </row>
    <row r="45" spans="1:4" x14ac:dyDescent="0.75">
      <c r="A45" s="26">
        <v>11</v>
      </c>
      <c r="B45" s="26">
        <f t="shared" si="2"/>
        <v>1</v>
      </c>
      <c r="C45" s="26">
        <f t="shared" si="3"/>
        <v>4</v>
      </c>
      <c r="D45" s="112" t="str" cm="1">
        <f t="array" ref="D45">INDEX('Sug-2'!$B$2:$H$88,1+B45,C45)</f>
        <v>* differential.element[2].definition = "Progressive number of diagnosis"</v>
      </c>
    </row>
    <row r="46" spans="1:4" x14ac:dyDescent="0.75">
      <c r="A46" s="26">
        <v>12</v>
      </c>
      <c r="B46" s="26">
        <f t="shared" si="2"/>
        <v>1</v>
      </c>
      <c r="C46" s="26">
        <f t="shared" si="3"/>
        <v>5</v>
      </c>
      <c r="D46" s="112" t="str" cm="1">
        <f t="array" ref="D46">INDEX('Sug-2'!$B$2:$H$88,1+B46,C46)</f>
        <v>* differential.element[2].min = 0</v>
      </c>
    </row>
    <row r="47" spans="1:4" x14ac:dyDescent="0.75">
      <c r="A47" s="26">
        <v>13</v>
      </c>
      <c r="B47" s="26">
        <f t="shared" si="2"/>
        <v>1</v>
      </c>
      <c r="C47" s="26">
        <f t="shared" si="3"/>
        <v>6</v>
      </c>
      <c r="D47" s="112" t="str" cm="1">
        <f t="array" ref="D47">INDEX('Sug-2'!$B$2:$H$88,1+B47,C47)</f>
        <v>* differential.element[2].max = "1"</v>
      </c>
    </row>
    <row r="48" spans="1:4" x14ac:dyDescent="0.75">
      <c r="A48" s="26">
        <v>14</v>
      </c>
      <c r="B48" s="26">
        <f t="shared" si="2"/>
        <v>1</v>
      </c>
      <c r="C48" s="26">
        <f t="shared" si="3"/>
        <v>7</v>
      </c>
      <c r="D48" s="112" t="str" cm="1">
        <f t="array" ref="D48">INDEX('Sug-2'!$B$2:$H$88,1+B48,C48)</f>
        <v>* differential.element[2].type.code = #Identifier</v>
      </c>
    </row>
    <row r="49" spans="1:4" x14ac:dyDescent="0.75">
      <c r="A49" s="26">
        <v>15</v>
      </c>
      <c r="B49" s="26">
        <f t="shared" si="2"/>
        <v>2</v>
      </c>
      <c r="C49" s="26">
        <f t="shared" si="3"/>
        <v>1</v>
      </c>
      <c r="D49" s="112" t="str" cm="1">
        <f t="array" ref="D49">INDEX('Sug-2'!$B$2:$H$88,1+B49,C49)</f>
        <v>* differential.element[3].id = "MedicalSuggestion.relatedRelapse"</v>
      </c>
    </row>
    <row r="50" spans="1:4" x14ac:dyDescent="0.75">
      <c r="A50" s="26">
        <v>16</v>
      </c>
      <c r="B50" s="26">
        <f t="shared" si="2"/>
        <v>2</v>
      </c>
      <c r="C50" s="26">
        <f t="shared" si="3"/>
        <v>2</v>
      </c>
      <c r="D50" s="112" t="str" cm="1">
        <f t="array" ref="D50">INDEX('Sug-2'!$B$2:$H$88,1+B50,C50)</f>
        <v>* differential.element[3].path = "MedicalSuggestion.relatedRelapse"</v>
      </c>
    </row>
    <row r="51" spans="1:4" x14ac:dyDescent="0.75">
      <c r="A51" s="26">
        <v>17</v>
      </c>
      <c r="B51" s="26">
        <f t="shared" si="2"/>
        <v>2</v>
      </c>
      <c r="C51" s="26">
        <f t="shared" si="3"/>
        <v>3</v>
      </c>
      <c r="D51" s="112" t="str" cm="1">
        <f t="array" ref="D51">INDEX('Sug-2'!$B$2:$H$88,1+B51,C51)</f>
        <v>* differential.element[3].short = "Progressive number of relapse/progression (after FLT)"</v>
      </c>
    </row>
    <row r="52" spans="1:4" x14ac:dyDescent="0.75">
      <c r="A52" s="26">
        <v>18</v>
      </c>
      <c r="B52" s="26">
        <f t="shared" si="2"/>
        <v>2</v>
      </c>
      <c r="C52" s="26">
        <f t="shared" si="3"/>
        <v>4</v>
      </c>
      <c r="D52" s="112" t="str" cm="1">
        <f t="array" ref="D52">INDEX('Sug-2'!$B$2:$H$88,1+B52,C52)</f>
        <v>* differential.element[3].definition = "Progressive number of relapse/progression (after FLT)"</v>
      </c>
    </row>
    <row r="53" spans="1:4" x14ac:dyDescent="0.75">
      <c r="A53" s="26">
        <v>19</v>
      </c>
      <c r="B53" s="26">
        <f t="shared" si="2"/>
        <v>2</v>
      </c>
      <c r="C53" s="26">
        <f t="shared" si="3"/>
        <v>5</v>
      </c>
      <c r="D53" s="112" t="str" cm="1">
        <f t="array" ref="D53">INDEX('Sug-2'!$B$2:$H$88,1+B53,C53)</f>
        <v>* differential.element[3].min = 0</v>
      </c>
    </row>
    <row r="54" spans="1:4" x14ac:dyDescent="0.75">
      <c r="A54" s="26">
        <v>20</v>
      </c>
      <c r="B54" s="26">
        <f t="shared" si="2"/>
        <v>2</v>
      </c>
      <c r="C54" s="26">
        <f t="shared" si="3"/>
        <v>6</v>
      </c>
      <c r="D54" s="112" t="str" cm="1">
        <f t="array" ref="D54">INDEX('Sug-2'!$B$2:$H$88,1+B54,C54)</f>
        <v>* differential.element[3].max = "1"</v>
      </c>
    </row>
    <row r="55" spans="1:4" x14ac:dyDescent="0.75">
      <c r="A55" s="26">
        <v>21</v>
      </c>
      <c r="B55" s="26">
        <f t="shared" si="2"/>
        <v>2</v>
      </c>
      <c r="C55" s="26">
        <f t="shared" si="3"/>
        <v>7</v>
      </c>
      <c r="D55" s="112" t="str" cm="1">
        <f t="array" ref="D55">INDEX('Sug-2'!$B$2:$H$88,1+B55,C55)</f>
        <v>* differential.element[3].type.code = #Identifier</v>
      </c>
    </row>
    <row r="56" spans="1:4" x14ac:dyDescent="0.75">
      <c r="A56" s="26">
        <v>22</v>
      </c>
      <c r="B56" s="26">
        <f t="shared" si="2"/>
        <v>3</v>
      </c>
      <c r="C56" s="26">
        <f t="shared" si="3"/>
        <v>1</v>
      </c>
      <c r="D56" s="112" t="str" cm="1">
        <f t="array" ref="D56">INDEX('Sug-2'!$B$2:$H$88,1+B56,C56)</f>
        <v>* differential.element[4].id = "MedicalSuggestion.prescribedMedication"</v>
      </c>
    </row>
    <row r="57" spans="1:4" x14ac:dyDescent="0.75">
      <c r="A57" s="26">
        <v>23</v>
      </c>
      <c r="B57" s="26">
        <f t="shared" si="2"/>
        <v>3</v>
      </c>
      <c r="C57" s="26">
        <f t="shared" si="3"/>
        <v>2</v>
      </c>
      <c r="D57" s="112" t="str" cm="1">
        <f t="array" ref="D57">INDEX('Sug-2'!$B$2:$H$88,1+B57,C57)</f>
        <v>* differential.element[4].path = "MedicalSuggestion.prescribedMedication"</v>
      </c>
    </row>
    <row r="58" spans="1:4" x14ac:dyDescent="0.75">
      <c r="A58" s="26">
        <v>24</v>
      </c>
      <c r="B58" s="26">
        <f t="shared" si="2"/>
        <v>3</v>
      </c>
      <c r="C58" s="26">
        <f t="shared" si="3"/>
        <v>3</v>
      </c>
      <c r="D58" s="112" t="str" cm="1">
        <f t="array" ref="D58">INDEX('Sug-2'!$B$2:$H$88,1+B58,C58)</f>
        <v>* differential.element[4].short = "Medications prescribed"</v>
      </c>
    </row>
    <row r="59" spans="1:4" ht="29.5" x14ac:dyDescent="0.75">
      <c r="A59" s="26">
        <v>25</v>
      </c>
      <c r="B59" s="26">
        <f t="shared" si="2"/>
        <v>3</v>
      </c>
      <c r="C59" s="26">
        <f t="shared" si="3"/>
        <v>4</v>
      </c>
      <c r="D59" s="112" t="str" cm="1">
        <f t="array" ref="D59">INDEX('Sug-2'!$B$2:$H$88,1+B59,C59)</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row>
    <row r="60" spans="1:4" x14ac:dyDescent="0.75">
      <c r="A60" s="26">
        <v>26</v>
      </c>
      <c r="B60" s="26">
        <f t="shared" si="2"/>
        <v>3</v>
      </c>
      <c r="C60" s="26">
        <f t="shared" si="3"/>
        <v>5</v>
      </c>
      <c r="D60" s="112" t="str" cm="1">
        <f t="array" ref="D60">INDEX('Sug-2'!$B$2:$H$88,1+B60,C60)</f>
        <v>* differential.element[4].min = 0</v>
      </c>
    </row>
    <row r="61" spans="1:4" x14ac:dyDescent="0.75">
      <c r="A61" s="26">
        <v>27</v>
      </c>
      <c r="B61" s="26">
        <f t="shared" si="2"/>
        <v>3</v>
      </c>
      <c r="C61" s="26">
        <f t="shared" si="3"/>
        <v>6</v>
      </c>
      <c r="D61" s="112" t="str" cm="1">
        <f t="array" ref="D61">INDEX('Sug-2'!$B$2:$H$88,1+B61,C61)</f>
        <v>* differential.element[4].max = "*"</v>
      </c>
    </row>
    <row r="62" spans="1:4" x14ac:dyDescent="0.75">
      <c r="A62" s="26">
        <v>28</v>
      </c>
      <c r="B62" s="26">
        <f t="shared" si="2"/>
        <v>3</v>
      </c>
      <c r="C62" s="26">
        <f t="shared" si="3"/>
        <v>7</v>
      </c>
      <c r="D62" s="112" t="str" cm="1">
        <f t="array" ref="D62">INDEX('Sug-2'!$B$2:$H$88,1+B62,C62)</f>
        <v>* differential.element[4].type.code = #BackboneElement</v>
      </c>
    </row>
    <row r="63" spans="1:4" x14ac:dyDescent="0.75">
      <c r="A63" s="26">
        <v>29</v>
      </c>
      <c r="B63" s="26">
        <f t="shared" si="2"/>
        <v>4</v>
      </c>
      <c r="C63" s="26">
        <f t="shared" si="3"/>
        <v>1</v>
      </c>
      <c r="D63" s="112" t="str" cm="1">
        <f t="array" ref="D63">INDEX('Sug-2'!$B$2:$H$88,1+B63,C63)</f>
        <v>* differential.element[5].id = "MedicalSuggestion.prescribedMedication.text"</v>
      </c>
    </row>
    <row r="64" spans="1:4" x14ac:dyDescent="0.75">
      <c r="A64" s="26">
        <v>30</v>
      </c>
      <c r="B64" s="26">
        <f t="shared" si="2"/>
        <v>4</v>
      </c>
      <c r="C64" s="26">
        <f t="shared" si="3"/>
        <v>2</v>
      </c>
      <c r="D64" s="112" t="str" cm="1">
        <f t="array" ref="D64">INDEX('Sug-2'!$B$2:$H$88,1+B64,C64)</f>
        <v>* differential.element[5].path = "MedicalSuggestion.prescribedMedication.text"</v>
      </c>
    </row>
    <row r="65" spans="1:4" x14ac:dyDescent="0.75">
      <c r="A65" s="26">
        <v>31</v>
      </c>
      <c r="B65" s="26">
        <f t="shared" si="2"/>
        <v>4</v>
      </c>
      <c r="C65" s="26">
        <f t="shared" si="3"/>
        <v>3</v>
      </c>
      <c r="D65" s="112" t="str" cm="1">
        <f t="array" ref="D65">INDEX('Sug-2'!$B$2:$H$88,1+B65,C65)</f>
        <v>* differential.element[5].short = "Textual description"</v>
      </c>
    </row>
    <row r="66" spans="1:4" x14ac:dyDescent="0.75">
      <c r="A66" s="26">
        <v>32</v>
      </c>
      <c r="B66" s="26">
        <f t="shared" si="2"/>
        <v>4</v>
      </c>
      <c r="C66" s="26">
        <f t="shared" si="3"/>
        <v>4</v>
      </c>
      <c r="D66" s="112" t="str" cm="1">
        <f t="array" ref="D66">INDEX('Sug-2'!$B$2:$H$88,1+B66,C66)</f>
        <v>* differential.element[5].definition = "Textual description"</v>
      </c>
    </row>
    <row r="67" spans="1:4" x14ac:dyDescent="0.75">
      <c r="A67" s="26">
        <v>33</v>
      </c>
      <c r="B67" s="26">
        <f t="shared" si="2"/>
        <v>4</v>
      </c>
      <c r="C67" s="26">
        <f t="shared" si="3"/>
        <v>5</v>
      </c>
      <c r="D67" s="112" t="str" cm="1">
        <f t="array" ref="D67">INDEX('Sug-2'!$B$2:$H$88,1+B67,C67)</f>
        <v>* differential.element[5].min = 0</v>
      </c>
    </row>
    <row r="68" spans="1:4" x14ac:dyDescent="0.75">
      <c r="A68" s="26">
        <v>34</v>
      </c>
      <c r="B68" s="26">
        <f t="shared" si="2"/>
        <v>4</v>
      </c>
      <c r="C68" s="26">
        <f t="shared" si="3"/>
        <v>6</v>
      </c>
      <c r="D68" s="112" t="str" cm="1">
        <f t="array" ref="D68">INDEX('Sug-2'!$B$2:$H$88,1+B68,C68)</f>
        <v>* differential.element[5].max = "1"</v>
      </c>
    </row>
    <row r="69" spans="1:4" x14ac:dyDescent="0.75">
      <c r="A69" s="26">
        <v>35</v>
      </c>
      <c r="B69" s="26">
        <f t="shared" si="2"/>
        <v>4</v>
      </c>
      <c r="C69" s="26">
        <f t="shared" si="3"/>
        <v>7</v>
      </c>
      <c r="D69" s="112" t="str" cm="1">
        <f t="array" ref="D69">INDEX('Sug-2'!$B$2:$H$88,1+B69,C69)</f>
        <v>* differential.element[5].type.code = #string</v>
      </c>
    </row>
    <row r="70" spans="1:4" x14ac:dyDescent="0.75">
      <c r="A70" s="26">
        <v>36</v>
      </c>
      <c r="B70" s="26">
        <f t="shared" si="2"/>
        <v>5</v>
      </c>
      <c r="C70" s="26">
        <f t="shared" si="3"/>
        <v>1</v>
      </c>
      <c r="D70" s="112" t="str" cm="1">
        <f t="array" ref="D70">INDEX('Sug-2'!$B$2:$H$88,1+B70,C70)</f>
        <v>* differential.element[6].id = "MedicalSuggestion.prescribedMedication.name"</v>
      </c>
    </row>
    <row r="71" spans="1:4" x14ac:dyDescent="0.75">
      <c r="A71" s="26">
        <v>37</v>
      </c>
      <c r="B71" s="26">
        <f t="shared" si="2"/>
        <v>5</v>
      </c>
      <c r="C71" s="26">
        <f t="shared" si="3"/>
        <v>2</v>
      </c>
      <c r="D71" s="112" t="str" cm="1">
        <f t="array" ref="D71">INDEX('Sug-2'!$B$2:$H$88,1+B71,C71)</f>
        <v>* differential.element[6].path = "MedicalSuggestion.prescribedMedication.name"</v>
      </c>
    </row>
    <row r="72" spans="1:4" x14ac:dyDescent="0.75">
      <c r="A72" s="26">
        <v>38</v>
      </c>
      <c r="B72" s="26">
        <f t="shared" si="2"/>
        <v>5</v>
      </c>
      <c r="C72" s="26">
        <f t="shared" si="3"/>
        <v>3</v>
      </c>
      <c r="D72" s="112" t="str" cm="1">
        <f t="array" ref="D72">INDEX('Sug-2'!$B$2:$H$88,1+B72,C72)</f>
        <v>* differential.element[6].short = "Name "</v>
      </c>
    </row>
    <row r="73" spans="1:4" x14ac:dyDescent="0.75">
      <c r="A73" s="26">
        <v>39</v>
      </c>
      <c r="B73" s="26">
        <f t="shared" si="2"/>
        <v>5</v>
      </c>
      <c r="C73" s="26">
        <f t="shared" si="3"/>
        <v>4</v>
      </c>
      <c r="D73" s="112" t="str" cm="1">
        <f t="array" ref="D73">INDEX('Sug-2'!$B$2:$H$88,1+B73,C73)</f>
        <v>* differential.element[6].definition = "Drug name"</v>
      </c>
    </row>
    <row r="74" spans="1:4" x14ac:dyDescent="0.75">
      <c r="A74" s="26">
        <v>40</v>
      </c>
      <c r="B74" s="26">
        <f t="shared" si="2"/>
        <v>5</v>
      </c>
      <c r="C74" s="26">
        <f t="shared" si="3"/>
        <v>5</v>
      </c>
      <c r="D74" s="112" t="str" cm="1">
        <f t="array" ref="D74">INDEX('Sug-2'!$B$2:$H$88,1+B74,C74)</f>
        <v>* differential.element[6].min = 0</v>
      </c>
    </row>
    <row r="75" spans="1:4" x14ac:dyDescent="0.75">
      <c r="A75" s="26">
        <v>41</v>
      </c>
      <c r="B75" s="26">
        <f t="shared" si="2"/>
        <v>5</v>
      </c>
      <c r="C75" s="26">
        <f t="shared" si="3"/>
        <v>6</v>
      </c>
      <c r="D75" s="112" t="str" cm="1">
        <f t="array" ref="D75">INDEX('Sug-2'!$B$2:$H$88,1+B75,C75)</f>
        <v>* differential.element[6].max = "1"</v>
      </c>
    </row>
    <row r="76" spans="1:4" x14ac:dyDescent="0.75">
      <c r="A76" s="26">
        <v>42</v>
      </c>
      <c r="B76" s="26">
        <f t="shared" si="2"/>
        <v>5</v>
      </c>
      <c r="C76" s="26">
        <f t="shared" si="3"/>
        <v>7</v>
      </c>
      <c r="D76" s="112" t="str" cm="1">
        <f t="array" ref="D76">INDEX('Sug-2'!$B$2:$H$88,1+B76,C76)</f>
        <v>* differential.element[6].type.code = #string</v>
      </c>
    </row>
    <row r="77" spans="1:4" x14ac:dyDescent="0.75">
      <c r="A77" s="26">
        <v>43</v>
      </c>
      <c r="B77" s="26">
        <f t="shared" si="2"/>
        <v>6</v>
      </c>
      <c r="C77" s="26">
        <f t="shared" si="3"/>
        <v>1</v>
      </c>
      <c r="D77" s="112" t="str" cm="1">
        <f t="array" ref="D77">INDEX('Sug-2'!$B$2:$H$88,1+B77,C77)</f>
        <v>* differential.element[7].id = "MedicalSuggestion.prescribedMedication.dose"</v>
      </c>
    </row>
    <row r="78" spans="1:4" x14ac:dyDescent="0.75">
      <c r="A78" s="26">
        <v>44</v>
      </c>
      <c r="B78" s="26">
        <f t="shared" si="2"/>
        <v>6</v>
      </c>
      <c r="C78" s="26">
        <f t="shared" si="3"/>
        <v>2</v>
      </c>
      <c r="D78" s="112" t="str" cm="1">
        <f t="array" ref="D78">INDEX('Sug-2'!$B$2:$H$88,1+B78,C78)</f>
        <v>* differential.element[7].path = "MedicalSuggestion.prescribedMedication.dose"</v>
      </c>
    </row>
    <row r="79" spans="1:4" x14ac:dyDescent="0.75">
      <c r="A79" s="26">
        <v>45</v>
      </c>
      <c r="B79" s="26">
        <f t="shared" si="2"/>
        <v>6</v>
      </c>
      <c r="C79" s="26">
        <f t="shared" si="3"/>
        <v>3</v>
      </c>
      <c r="D79" s="112" t="str" cm="1">
        <f t="array" ref="D79">INDEX('Sug-2'!$B$2:$H$88,1+B79,C79)</f>
        <v>* differential.element[7].short = "Dose"</v>
      </c>
    </row>
    <row r="80" spans="1:4" x14ac:dyDescent="0.75">
      <c r="A80" s="26">
        <v>46</v>
      </c>
      <c r="B80" s="26">
        <f t="shared" si="2"/>
        <v>6</v>
      </c>
      <c r="C80" s="26">
        <f t="shared" si="3"/>
        <v>4</v>
      </c>
      <c r="D80" s="112" t="str" cm="1">
        <f t="array" ref="D80">INDEX('Sug-2'!$B$2:$H$88,1+B80,C80)</f>
        <v>* differential.element[7].definition = "Drug dose. Quanity per administration"</v>
      </c>
    </row>
    <row r="81" spans="1:7" x14ac:dyDescent="0.75">
      <c r="A81" s="26">
        <v>47</v>
      </c>
      <c r="B81" s="26">
        <f t="shared" si="2"/>
        <v>6</v>
      </c>
      <c r="C81" s="26">
        <f t="shared" si="3"/>
        <v>5</v>
      </c>
      <c r="D81" s="112" t="str" cm="1">
        <f t="array" ref="D81">INDEX('Sug-2'!$B$2:$H$88,1+B81,C81)</f>
        <v>* differential.element[7].min = 0</v>
      </c>
    </row>
    <row r="82" spans="1:7" x14ac:dyDescent="0.75">
      <c r="A82" s="26">
        <v>48</v>
      </c>
      <c r="B82" s="26">
        <f t="shared" si="2"/>
        <v>6</v>
      </c>
      <c r="C82" s="26">
        <f t="shared" si="3"/>
        <v>6</v>
      </c>
      <c r="D82" s="112" t="str" cm="1">
        <f t="array" ref="D82">INDEX('Sug-2'!$B$2:$H$88,1+B82,C82)</f>
        <v>* differential.element[7].max = "1"</v>
      </c>
    </row>
    <row r="83" spans="1:7" x14ac:dyDescent="0.75">
      <c r="A83" s="26">
        <v>49</v>
      </c>
      <c r="B83" s="26">
        <f t="shared" si="2"/>
        <v>6</v>
      </c>
      <c r="C83" s="26">
        <f t="shared" si="3"/>
        <v>7</v>
      </c>
      <c r="D83" s="112" t="str" cm="1">
        <f t="array" ref="D83">INDEX('Sug-2'!$B$2:$H$88,1+B83,C83)</f>
        <v>* differential.element[7].type.code = #Quantity</v>
      </c>
    </row>
    <row r="84" spans="1:7" x14ac:dyDescent="0.75">
      <c r="A84" s="26">
        <v>50</v>
      </c>
      <c r="B84" s="26">
        <f t="shared" si="2"/>
        <v>7</v>
      </c>
      <c r="C84" s="26">
        <f t="shared" si="3"/>
        <v>1</v>
      </c>
      <c r="D84" s="112" t="str" cm="1">
        <f t="array" ref="D84">INDEX('Sug-2'!$B$2:$H$88,1+B84,C84)</f>
        <v>* differential.element[8].id = "MedicalSuggestion.prescribedMedication.schedule"</v>
      </c>
    </row>
    <row r="85" spans="1:7" x14ac:dyDescent="0.75">
      <c r="A85" s="26">
        <v>51</v>
      </c>
      <c r="B85" s="26">
        <f t="shared" si="2"/>
        <v>7</v>
      </c>
      <c r="C85" s="26">
        <f t="shared" si="3"/>
        <v>2</v>
      </c>
      <c r="D85" s="112" t="str" cm="1">
        <f t="array" ref="D85">INDEX('Sug-2'!$B$2:$H$88,1+B85,C85)</f>
        <v>* differential.element[8].path = "MedicalSuggestion.prescribedMedication.schedule"</v>
      </c>
    </row>
    <row r="86" spans="1:7" x14ac:dyDescent="0.75">
      <c r="A86" s="26">
        <v>52</v>
      </c>
      <c r="B86" s="26">
        <f t="shared" si="2"/>
        <v>7</v>
      </c>
      <c r="C86" s="26">
        <f t="shared" si="3"/>
        <v>3</v>
      </c>
      <c r="D86" s="112" t="str" cm="1">
        <f t="array" ref="D86">INDEX('Sug-2'!$B$2:$H$88,1+B86,C86)</f>
        <v>* differential.element[8].short = "Schedule"</v>
      </c>
    </row>
    <row r="87" spans="1:7" x14ac:dyDescent="0.75">
      <c r="A87" s="26">
        <v>53</v>
      </c>
      <c r="B87" s="26">
        <f t="shared" si="2"/>
        <v>7</v>
      </c>
      <c r="C87" s="26">
        <f t="shared" si="3"/>
        <v>4</v>
      </c>
      <c r="D87" s="112" t="str" cm="1">
        <f t="array" ref="D87">INDEX('Sug-2'!$B$2:$H$88,1+B87,C87)</f>
        <v>* differential.element[8].definition = "Drug Schedule. When it should be administered"</v>
      </c>
      <c r="G87" s="14"/>
    </row>
    <row r="88" spans="1:7" x14ac:dyDescent="0.75">
      <c r="A88" s="26">
        <v>54</v>
      </c>
      <c r="B88" s="26">
        <f t="shared" si="2"/>
        <v>7</v>
      </c>
      <c r="C88" s="26">
        <f t="shared" si="3"/>
        <v>5</v>
      </c>
      <c r="D88" s="112" t="str" cm="1">
        <f t="array" ref="D88">INDEX('Sug-2'!$B$2:$H$88,1+B88,C88)</f>
        <v>* differential.element[8].min = 0</v>
      </c>
    </row>
    <row r="89" spans="1:7" x14ac:dyDescent="0.75">
      <c r="A89" s="26">
        <v>55</v>
      </c>
      <c r="B89" s="26">
        <f t="shared" si="2"/>
        <v>7</v>
      </c>
      <c r="C89" s="26">
        <f t="shared" si="3"/>
        <v>6</v>
      </c>
      <c r="D89" s="112" t="str" cm="1">
        <f t="array" ref="D89">INDEX('Sug-2'!$B$2:$H$88,1+B89,C89)</f>
        <v>* differential.element[8].max = "1"</v>
      </c>
    </row>
    <row r="90" spans="1:7" x14ac:dyDescent="0.75">
      <c r="A90" s="26">
        <v>56</v>
      </c>
      <c r="B90" s="26">
        <f t="shared" si="2"/>
        <v>7</v>
      </c>
      <c r="C90" s="26">
        <f t="shared" si="3"/>
        <v>7</v>
      </c>
      <c r="D90" s="112" t="str" cm="1">
        <f t="array" ref="D90">INDEX('Sug-2'!$B$2:$H$88,1+B90,C90)</f>
        <v>* differential.element[8].type.code = #Dosage</v>
      </c>
    </row>
    <row r="91" spans="1:7" x14ac:dyDescent="0.75">
      <c r="A91" s="26">
        <v>57</v>
      </c>
      <c r="B91" s="26">
        <f t="shared" si="2"/>
        <v>8</v>
      </c>
      <c r="C91" s="26">
        <f t="shared" si="3"/>
        <v>1</v>
      </c>
      <c r="D91" s="112" t="str" cm="1">
        <f t="array" ref="D91">INDEX('Sug-2'!$B$2:$H$88,1+B91,C91)</f>
        <v>* differential.element[9].id = "MedicalSuggestion.prescribedMedication.date"</v>
      </c>
    </row>
    <row r="92" spans="1:7" x14ac:dyDescent="0.75">
      <c r="A92" s="26">
        <v>58</v>
      </c>
      <c r="B92" s="26">
        <f t="shared" si="2"/>
        <v>8</v>
      </c>
      <c r="C92" s="26">
        <f t="shared" si="3"/>
        <v>2</v>
      </c>
      <c r="D92" s="112" t="str" cm="1">
        <f t="array" ref="D92">INDEX('Sug-2'!$B$2:$H$88,1+B92,C92)</f>
        <v>* differential.element[9].path = "MedicalSuggestion.prescribedMedication.date"</v>
      </c>
    </row>
    <row r="93" spans="1:7" x14ac:dyDescent="0.75">
      <c r="A93" s="26">
        <v>59</v>
      </c>
      <c r="B93" s="26">
        <f t="shared" si="2"/>
        <v>8</v>
      </c>
      <c r="C93" s="26">
        <f t="shared" si="3"/>
        <v>3</v>
      </c>
      <c r="D93" s="112" t="str" cm="1">
        <f t="array" ref="D93">INDEX('Sug-2'!$B$2:$H$88,1+B93,C93)</f>
        <v>* differential.element[9].short = "Date of prescription"</v>
      </c>
    </row>
    <row r="94" spans="1:7" ht="29.5" x14ac:dyDescent="0.75">
      <c r="A94" s="26">
        <v>60</v>
      </c>
      <c r="B94" s="26">
        <f t="shared" si="2"/>
        <v>8</v>
      </c>
      <c r="C94" s="26">
        <f t="shared" si="3"/>
        <v>4</v>
      </c>
      <c r="D94" s="112" t="str" cm="1">
        <f t="array" ref="D94">INDEX('Sug-2'!$B$2:$H$88,1+B94,C94)</f>
        <v>* differential.element[9].definition = "Date (DD/MM/YYYY) in which the specific prescription was first given. If the date is unkown or partially missed insert the year at the best of your knowledge."</v>
      </c>
    </row>
    <row r="95" spans="1:7" x14ac:dyDescent="0.75">
      <c r="A95" s="26">
        <v>61</v>
      </c>
      <c r="B95" s="26">
        <f t="shared" si="2"/>
        <v>8</v>
      </c>
      <c r="C95" s="26">
        <f t="shared" si="3"/>
        <v>5</v>
      </c>
      <c r="D95" s="112" t="str" cm="1">
        <f t="array" ref="D95">INDEX('Sug-2'!$B$2:$H$88,1+B95,C95)</f>
        <v>* differential.element[9].min = 0</v>
      </c>
    </row>
    <row r="96" spans="1:7" x14ac:dyDescent="0.75">
      <c r="A96" s="26">
        <v>62</v>
      </c>
      <c r="B96" s="26">
        <f t="shared" si="2"/>
        <v>8</v>
      </c>
      <c r="C96" s="26">
        <f t="shared" si="3"/>
        <v>6</v>
      </c>
      <c r="D96" s="112" t="str" cm="1">
        <f t="array" ref="D96">INDEX('Sug-2'!$B$2:$H$88,1+B96,C96)</f>
        <v>* differential.element[9].max = "1"</v>
      </c>
    </row>
    <row r="97" spans="1:4" x14ac:dyDescent="0.75">
      <c r="A97" s="26">
        <v>63</v>
      </c>
      <c r="B97" s="26">
        <f t="shared" si="2"/>
        <v>8</v>
      </c>
      <c r="C97" s="26">
        <f t="shared" si="3"/>
        <v>7</v>
      </c>
      <c r="D97" s="112" t="str" cm="1">
        <f t="array" ref="D97">INDEX('Sug-2'!$B$2:$H$88,1+B97,C97)</f>
        <v>* differential.element[9].type.code = #dateTime</v>
      </c>
    </row>
    <row r="98" spans="1:4" x14ac:dyDescent="0.75">
      <c r="A98" s="26">
        <v>64</v>
      </c>
      <c r="B98" s="26">
        <f t="shared" si="2"/>
        <v>9</v>
      </c>
      <c r="C98" s="26">
        <f t="shared" si="3"/>
        <v>1</v>
      </c>
      <c r="D98" s="112"/>
    </row>
    <row r="99" spans="1:4" x14ac:dyDescent="0.75">
      <c r="A99" s="26">
        <v>65</v>
      </c>
      <c r="B99" s="26">
        <f t="shared" si="2"/>
        <v>9</v>
      </c>
      <c r="C99" s="26">
        <f t="shared" si="3"/>
        <v>2</v>
      </c>
      <c r="D99" s="112"/>
    </row>
    <row r="100" spans="1:4" x14ac:dyDescent="0.75">
      <c r="A100" s="26">
        <v>66</v>
      </c>
      <c r="B100" s="26">
        <f t="shared" si="2"/>
        <v>9</v>
      </c>
      <c r="C100" s="26">
        <f t="shared" si="3"/>
        <v>3</v>
      </c>
      <c r="D100" s="112"/>
    </row>
    <row r="101" spans="1:4" x14ac:dyDescent="0.75">
      <c r="A101" s="26">
        <v>67</v>
      </c>
      <c r="B101" s="26">
        <f t="shared" si="2"/>
        <v>9</v>
      </c>
      <c r="C101" s="26">
        <f t="shared" si="3"/>
        <v>4</v>
      </c>
      <c r="D101" s="112"/>
    </row>
    <row r="102" spans="1:4" x14ac:dyDescent="0.75">
      <c r="A102" s="26">
        <v>68</v>
      </c>
      <c r="B102" s="26">
        <f t="shared" si="2"/>
        <v>9</v>
      </c>
      <c r="C102" s="26">
        <f t="shared" si="3"/>
        <v>5</v>
      </c>
      <c r="D102" s="112"/>
    </row>
    <row r="103" spans="1:4" x14ac:dyDescent="0.75">
      <c r="A103" s="26">
        <v>69</v>
      </c>
      <c r="B103" s="26">
        <f t="shared" si="2"/>
        <v>9</v>
      </c>
      <c r="C103" s="26">
        <f t="shared" si="3"/>
        <v>6</v>
      </c>
      <c r="D103" s="112"/>
    </row>
    <row r="104" spans="1:4" x14ac:dyDescent="0.75">
      <c r="A104" s="26">
        <v>70</v>
      </c>
      <c r="B104" s="26">
        <f t="shared" si="2"/>
        <v>9</v>
      </c>
      <c r="C104" s="26">
        <f t="shared" si="3"/>
        <v>7</v>
      </c>
      <c r="D104" s="112"/>
    </row>
    <row r="105" spans="1:4" x14ac:dyDescent="0.75">
      <c r="A105" s="26">
        <v>71</v>
      </c>
      <c r="B105" s="26">
        <f t="shared" si="2"/>
        <v>10</v>
      </c>
      <c r="C105" s="26">
        <f t="shared" si="3"/>
        <v>1</v>
      </c>
      <c r="D105" s="112"/>
    </row>
    <row r="106" spans="1:4" x14ac:dyDescent="0.75">
      <c r="A106" s="26">
        <v>72</v>
      </c>
      <c r="B106" s="26">
        <f t="shared" ref="B106:B169" si="4">IF(MOD(A106,7)=0,A106/7-1,INT(A106/7))</f>
        <v>10</v>
      </c>
      <c r="C106" s="26">
        <f t="shared" ref="C106:C169" si="5">IF(MOD(A106,7)=0,7,MOD(A106,7))</f>
        <v>2</v>
      </c>
      <c r="D106" s="112"/>
    </row>
    <row r="107" spans="1:4" x14ac:dyDescent="0.75">
      <c r="A107" s="26">
        <v>73</v>
      </c>
      <c r="B107" s="26">
        <f t="shared" si="4"/>
        <v>10</v>
      </c>
      <c r="C107" s="26">
        <f t="shared" si="5"/>
        <v>3</v>
      </c>
      <c r="D107" s="112"/>
    </row>
    <row r="108" spans="1:4" x14ac:dyDescent="0.75">
      <c r="A108" s="26">
        <v>74</v>
      </c>
      <c r="B108" s="26">
        <f t="shared" si="4"/>
        <v>10</v>
      </c>
      <c r="C108" s="26">
        <f t="shared" si="5"/>
        <v>4</v>
      </c>
      <c r="D108" s="112"/>
    </row>
    <row r="109" spans="1:4" x14ac:dyDescent="0.75">
      <c r="A109" s="26">
        <v>75</v>
      </c>
      <c r="B109" s="26">
        <f t="shared" si="4"/>
        <v>10</v>
      </c>
      <c r="C109" s="26">
        <f t="shared" si="5"/>
        <v>5</v>
      </c>
      <c r="D109" s="112"/>
    </row>
    <row r="110" spans="1:4" x14ac:dyDescent="0.75">
      <c r="A110" s="26">
        <v>76</v>
      </c>
      <c r="B110" s="26">
        <f t="shared" si="4"/>
        <v>10</v>
      </c>
      <c r="C110" s="26">
        <f t="shared" si="5"/>
        <v>6</v>
      </c>
      <c r="D110" s="112"/>
    </row>
    <row r="111" spans="1:4" x14ac:dyDescent="0.75">
      <c r="A111" s="26">
        <v>77</v>
      </c>
      <c r="B111" s="26">
        <f t="shared" si="4"/>
        <v>10</v>
      </c>
      <c r="C111" s="26">
        <f t="shared" si="5"/>
        <v>7</v>
      </c>
      <c r="D111" s="112" cm="1">
        <f t="array" ref="D111">INDEX('Sug-2'!$B$2:$H$88,1+B111,C111)</f>
        <v>0</v>
      </c>
    </row>
    <row r="112" spans="1:4" x14ac:dyDescent="0.75">
      <c r="A112" s="26">
        <v>78</v>
      </c>
      <c r="B112" s="26">
        <f t="shared" si="4"/>
        <v>11</v>
      </c>
      <c r="C112" s="26">
        <f t="shared" si="5"/>
        <v>1</v>
      </c>
      <c r="D112" s="112" cm="1">
        <f t="array" ref="D112">INDEX('Sug-2'!$B$2:$H$88,1+B112,C112)</f>
        <v>0</v>
      </c>
    </row>
    <row r="113" spans="1:4" x14ac:dyDescent="0.75">
      <c r="A113" s="26">
        <v>79</v>
      </c>
      <c r="B113" s="26">
        <f t="shared" si="4"/>
        <v>11</v>
      </c>
      <c r="C113" s="26">
        <f t="shared" si="5"/>
        <v>2</v>
      </c>
      <c r="D113" s="112" cm="1">
        <f t="array" ref="D113">INDEX('Sug-2'!$B$2:$H$88,1+B113,C113)</f>
        <v>0</v>
      </c>
    </row>
    <row r="114" spans="1:4" x14ac:dyDescent="0.75">
      <c r="A114" s="26">
        <v>80</v>
      </c>
      <c r="B114" s="26">
        <f t="shared" si="4"/>
        <v>11</v>
      </c>
      <c r="C114" s="26">
        <f t="shared" si="5"/>
        <v>3</v>
      </c>
      <c r="D114" s="112" cm="1">
        <f t="array" ref="D114">INDEX('Sug-2'!$B$2:$H$88,1+B114,C114)</f>
        <v>0</v>
      </c>
    </row>
    <row r="115" spans="1:4" x14ac:dyDescent="0.75">
      <c r="A115" s="26">
        <v>81</v>
      </c>
      <c r="B115" s="26">
        <f t="shared" si="4"/>
        <v>11</v>
      </c>
      <c r="C115" s="26">
        <f t="shared" si="5"/>
        <v>4</v>
      </c>
      <c r="D115" s="112" cm="1">
        <f t="array" ref="D115">INDEX('Sug-2'!$B$2:$H$88,1+B115,C115)</f>
        <v>0</v>
      </c>
    </row>
    <row r="116" spans="1:4" x14ac:dyDescent="0.75">
      <c r="A116" s="26">
        <v>82</v>
      </c>
      <c r="B116" s="26">
        <f t="shared" si="4"/>
        <v>11</v>
      </c>
      <c r="C116" s="26">
        <f t="shared" si="5"/>
        <v>5</v>
      </c>
      <c r="D116" s="112" cm="1">
        <f t="array" ref="D116">INDEX('Sug-2'!$B$2:$H$88,1+B116,C116)</f>
        <v>0</v>
      </c>
    </row>
    <row r="117" spans="1:4" x14ac:dyDescent="0.75">
      <c r="A117" s="26">
        <v>83</v>
      </c>
      <c r="B117" s="26">
        <f t="shared" si="4"/>
        <v>11</v>
      </c>
      <c r="C117" s="26">
        <f t="shared" si="5"/>
        <v>6</v>
      </c>
      <c r="D117" s="112" cm="1">
        <f t="array" ref="D117">INDEX('Sug-2'!$B$2:$H$88,1+B117,C117)</f>
        <v>0</v>
      </c>
    </row>
    <row r="118" spans="1:4" x14ac:dyDescent="0.75">
      <c r="A118" s="26">
        <v>84</v>
      </c>
      <c r="B118" s="26">
        <f t="shared" si="4"/>
        <v>11</v>
      </c>
      <c r="C118" s="26">
        <f t="shared" si="5"/>
        <v>7</v>
      </c>
      <c r="D118" s="112" cm="1">
        <f t="array" ref="D118">INDEX('Sug-2'!$B$2:$H$88,1+B118,C118)</f>
        <v>0</v>
      </c>
    </row>
    <row r="119" spans="1:4" x14ac:dyDescent="0.75">
      <c r="A119" s="26">
        <v>85</v>
      </c>
      <c r="B119" s="26">
        <f t="shared" si="4"/>
        <v>12</v>
      </c>
      <c r="C119" s="26">
        <f t="shared" si="5"/>
        <v>1</v>
      </c>
      <c r="D119" s="112" cm="1">
        <f t="array" ref="D119">INDEX('Sug-2'!$B$2:$H$88,1+B119,C119)</f>
        <v>0</v>
      </c>
    </row>
    <row r="120" spans="1:4" x14ac:dyDescent="0.75">
      <c r="A120" s="26">
        <v>86</v>
      </c>
      <c r="B120" s="26">
        <f t="shared" si="4"/>
        <v>12</v>
      </c>
      <c r="C120" s="26">
        <f t="shared" si="5"/>
        <v>2</v>
      </c>
      <c r="D120" s="112" cm="1">
        <f t="array" ref="D120">INDEX('Sug-2'!$B$2:$H$88,1+B120,C120)</f>
        <v>0</v>
      </c>
    </row>
    <row r="121" spans="1:4" x14ac:dyDescent="0.75">
      <c r="A121" s="26">
        <v>87</v>
      </c>
      <c r="B121" s="26">
        <f t="shared" si="4"/>
        <v>12</v>
      </c>
      <c r="C121" s="26">
        <f t="shared" si="5"/>
        <v>3</v>
      </c>
      <c r="D121" s="112" cm="1">
        <f t="array" ref="D121">INDEX('Sug-2'!$B$2:$H$88,1+B121,C121)</f>
        <v>0</v>
      </c>
    </row>
    <row r="122" spans="1:4" x14ac:dyDescent="0.75">
      <c r="A122" s="26">
        <v>88</v>
      </c>
      <c r="B122" s="26">
        <f t="shared" si="4"/>
        <v>12</v>
      </c>
      <c r="C122" s="26">
        <f t="shared" si="5"/>
        <v>4</v>
      </c>
      <c r="D122" s="112" cm="1">
        <f t="array" ref="D122">INDEX('Sug-2'!$B$2:$H$88,1+B122,C122)</f>
        <v>0</v>
      </c>
    </row>
    <row r="123" spans="1:4" x14ac:dyDescent="0.75">
      <c r="A123" s="26">
        <v>89</v>
      </c>
      <c r="B123" s="26">
        <f t="shared" si="4"/>
        <v>12</v>
      </c>
      <c r="C123" s="26">
        <f t="shared" si="5"/>
        <v>5</v>
      </c>
      <c r="D123" s="112" cm="1">
        <f t="array" ref="D123">INDEX('Sug-2'!$B$2:$H$88,1+B123,C123)</f>
        <v>0</v>
      </c>
    </row>
    <row r="124" spans="1:4" x14ac:dyDescent="0.75">
      <c r="A124" s="26">
        <v>90</v>
      </c>
      <c r="B124" s="26">
        <f t="shared" si="4"/>
        <v>12</v>
      </c>
      <c r="C124" s="26">
        <f t="shared" si="5"/>
        <v>6</v>
      </c>
      <c r="D124" s="112" cm="1">
        <f t="array" ref="D124">INDEX('Sug-2'!$B$2:$H$88,1+B124,C124)</f>
        <v>0</v>
      </c>
    </row>
    <row r="125" spans="1:4" x14ac:dyDescent="0.75">
      <c r="A125" s="26">
        <v>91</v>
      </c>
      <c r="B125" s="26">
        <f t="shared" si="4"/>
        <v>12</v>
      </c>
      <c r="C125" s="26">
        <f t="shared" si="5"/>
        <v>7</v>
      </c>
      <c r="D125" s="112" cm="1">
        <f t="array" ref="D125">INDEX('Sug-2'!$B$2:$H$88,1+B125,C125)</f>
        <v>0</v>
      </c>
    </row>
    <row r="126" spans="1:4" x14ac:dyDescent="0.75">
      <c r="A126" s="26">
        <v>92</v>
      </c>
      <c r="B126" s="26">
        <f t="shared" si="4"/>
        <v>13</v>
      </c>
      <c r="C126" s="26">
        <f t="shared" si="5"/>
        <v>1</v>
      </c>
      <c r="D126" s="112" cm="1">
        <f t="array" ref="D126">INDEX('Sug-2'!$B$2:$H$88,1+B126,C126)</f>
        <v>0</v>
      </c>
    </row>
    <row r="127" spans="1:4" x14ac:dyDescent="0.75">
      <c r="A127" s="26">
        <v>93</v>
      </c>
      <c r="B127" s="26">
        <f t="shared" si="4"/>
        <v>13</v>
      </c>
      <c r="C127" s="26">
        <f t="shared" si="5"/>
        <v>2</v>
      </c>
      <c r="D127" s="112" cm="1">
        <f t="array" ref="D127">INDEX('Sug-2'!$B$2:$H$88,1+B127,C127)</f>
        <v>0</v>
      </c>
    </row>
    <row r="128" spans="1:4" x14ac:dyDescent="0.75">
      <c r="A128" s="26">
        <v>94</v>
      </c>
      <c r="B128" s="26">
        <f t="shared" si="4"/>
        <v>13</v>
      </c>
      <c r="C128" s="26">
        <f t="shared" si="5"/>
        <v>3</v>
      </c>
      <c r="D128" s="112" cm="1">
        <f t="array" ref="D128">INDEX('Sug-2'!$B$2:$H$88,1+B128,C128)</f>
        <v>0</v>
      </c>
    </row>
    <row r="129" spans="1:4" x14ac:dyDescent="0.75">
      <c r="A129" s="26">
        <v>95</v>
      </c>
      <c r="B129" s="26">
        <f t="shared" si="4"/>
        <v>13</v>
      </c>
      <c r="C129" s="26">
        <f t="shared" si="5"/>
        <v>4</v>
      </c>
      <c r="D129" s="112" cm="1">
        <f t="array" ref="D129">INDEX('Sug-2'!$B$2:$H$88,1+B129,C129)</f>
        <v>0</v>
      </c>
    </row>
    <row r="130" spans="1:4" x14ac:dyDescent="0.75">
      <c r="A130" s="26">
        <v>96</v>
      </c>
      <c r="B130" s="26">
        <f t="shared" si="4"/>
        <v>13</v>
      </c>
      <c r="C130" s="26">
        <f t="shared" si="5"/>
        <v>5</v>
      </c>
      <c r="D130" s="112" cm="1">
        <f t="array" ref="D130">INDEX('Sug-2'!$B$2:$H$88,1+B130,C130)</f>
        <v>0</v>
      </c>
    </row>
    <row r="131" spans="1:4" x14ac:dyDescent="0.75">
      <c r="A131" s="26">
        <v>97</v>
      </c>
      <c r="B131" s="26">
        <f t="shared" si="4"/>
        <v>13</v>
      </c>
      <c r="C131" s="26">
        <f t="shared" si="5"/>
        <v>6</v>
      </c>
      <c r="D131" s="112" cm="1">
        <f t="array" ref="D131">INDEX('Sug-2'!$B$2:$H$88,1+B131,C131)</f>
        <v>0</v>
      </c>
    </row>
    <row r="132" spans="1:4" x14ac:dyDescent="0.75">
      <c r="A132" s="26">
        <v>98</v>
      </c>
      <c r="B132" s="26">
        <f t="shared" si="4"/>
        <v>13</v>
      </c>
      <c r="C132" s="26">
        <f t="shared" si="5"/>
        <v>7</v>
      </c>
      <c r="D132" s="112" cm="1">
        <f t="array" ref="D132">INDEX('Sug-2'!$B$2:$H$88,1+B132,C132)</f>
        <v>0</v>
      </c>
    </row>
    <row r="133" spans="1:4" x14ac:dyDescent="0.75">
      <c r="A133" s="26">
        <v>99</v>
      </c>
      <c r="B133" s="26">
        <f t="shared" si="4"/>
        <v>14</v>
      </c>
      <c r="C133" s="26">
        <f t="shared" si="5"/>
        <v>1</v>
      </c>
      <c r="D133" s="112" cm="1">
        <f t="array" ref="D133">INDEX('Sug-2'!$B$2:$H$88,1+B133,C133)</f>
        <v>0</v>
      </c>
    </row>
    <row r="134" spans="1:4" x14ac:dyDescent="0.75">
      <c r="A134" s="26">
        <v>100</v>
      </c>
      <c r="B134" s="26">
        <f t="shared" si="4"/>
        <v>14</v>
      </c>
      <c r="C134" s="26">
        <f t="shared" si="5"/>
        <v>2</v>
      </c>
      <c r="D134" s="112" cm="1">
        <f t="array" ref="D134">INDEX('Sug-2'!$B$2:$H$88,1+B134,C134)</f>
        <v>0</v>
      </c>
    </row>
    <row r="135" spans="1:4" x14ac:dyDescent="0.75">
      <c r="A135" s="26">
        <v>101</v>
      </c>
      <c r="B135" s="26">
        <f t="shared" si="4"/>
        <v>14</v>
      </c>
      <c r="C135" s="26">
        <f t="shared" si="5"/>
        <v>3</v>
      </c>
      <c r="D135" s="112" cm="1">
        <f t="array" ref="D135">INDEX('Sug-2'!$B$2:$H$88,1+B135,C135)</f>
        <v>0</v>
      </c>
    </row>
    <row r="136" spans="1:4" x14ac:dyDescent="0.75">
      <c r="A136" s="26">
        <v>102</v>
      </c>
      <c r="B136" s="26">
        <f t="shared" si="4"/>
        <v>14</v>
      </c>
      <c r="C136" s="26">
        <f t="shared" si="5"/>
        <v>4</v>
      </c>
      <c r="D136" s="112" cm="1">
        <f t="array" ref="D136">INDEX('Sug-2'!$B$2:$H$88,1+B136,C136)</f>
        <v>0</v>
      </c>
    </row>
    <row r="137" spans="1:4" x14ac:dyDescent="0.75">
      <c r="A137" s="26">
        <v>103</v>
      </c>
      <c r="B137" s="26">
        <f t="shared" si="4"/>
        <v>14</v>
      </c>
      <c r="C137" s="26">
        <f t="shared" si="5"/>
        <v>5</v>
      </c>
      <c r="D137" s="112" cm="1">
        <f t="array" ref="D137">INDEX('Sug-2'!$B$2:$H$88,1+B137,C137)</f>
        <v>0</v>
      </c>
    </row>
    <row r="138" spans="1:4" x14ac:dyDescent="0.75">
      <c r="A138" s="26">
        <v>104</v>
      </c>
      <c r="B138" s="26">
        <f t="shared" si="4"/>
        <v>14</v>
      </c>
      <c r="C138" s="26">
        <f t="shared" si="5"/>
        <v>6</v>
      </c>
      <c r="D138" s="112" cm="1">
        <f t="array" ref="D138">INDEX('Sug-2'!$B$2:$H$88,1+B138,C138)</f>
        <v>0</v>
      </c>
    </row>
    <row r="139" spans="1:4" x14ac:dyDescent="0.75">
      <c r="A139" s="26">
        <v>105</v>
      </c>
      <c r="B139" s="26">
        <f t="shared" si="4"/>
        <v>14</v>
      </c>
      <c r="C139" s="26">
        <f t="shared" si="5"/>
        <v>7</v>
      </c>
      <c r="D139" s="112" cm="1">
        <f t="array" ref="D139">INDEX('Sug-2'!$B$2:$H$88,1+B139,C139)</f>
        <v>0</v>
      </c>
    </row>
    <row r="140" spans="1:4" x14ac:dyDescent="0.75">
      <c r="A140" s="26">
        <v>106</v>
      </c>
      <c r="B140" s="26">
        <f t="shared" si="4"/>
        <v>15</v>
      </c>
      <c r="C140" s="26">
        <f t="shared" si="5"/>
        <v>1</v>
      </c>
      <c r="D140" s="112" cm="1">
        <f t="array" ref="D140">INDEX('Sug-2'!$B$2:$H$88,1+B140,C140)</f>
        <v>0</v>
      </c>
    </row>
    <row r="141" spans="1:4" x14ac:dyDescent="0.75">
      <c r="A141" s="26">
        <v>107</v>
      </c>
      <c r="B141" s="26">
        <f t="shared" si="4"/>
        <v>15</v>
      </c>
      <c r="C141" s="26">
        <f t="shared" si="5"/>
        <v>2</v>
      </c>
      <c r="D141" s="112" cm="1">
        <f t="array" ref="D141">INDEX('Sug-2'!$B$2:$H$88,1+B141,C141)</f>
        <v>0</v>
      </c>
    </row>
    <row r="142" spans="1:4" x14ac:dyDescent="0.75">
      <c r="A142" s="26">
        <v>108</v>
      </c>
      <c r="B142" s="26">
        <f t="shared" si="4"/>
        <v>15</v>
      </c>
      <c r="C142" s="26">
        <f t="shared" si="5"/>
        <v>3</v>
      </c>
      <c r="D142" s="112" cm="1">
        <f t="array" ref="D142">INDEX('Sug-2'!$B$2:$H$88,1+B142,C142)</f>
        <v>0</v>
      </c>
    </row>
    <row r="143" spans="1:4" x14ac:dyDescent="0.75">
      <c r="A143" s="26">
        <v>109</v>
      </c>
      <c r="B143" s="26">
        <f t="shared" si="4"/>
        <v>15</v>
      </c>
      <c r="C143" s="26">
        <f t="shared" si="5"/>
        <v>4</v>
      </c>
      <c r="D143" s="112" cm="1">
        <f t="array" ref="D143">INDEX('Sug-2'!$B$2:$H$88,1+B143,C143)</f>
        <v>0</v>
      </c>
    </row>
    <row r="144" spans="1:4" x14ac:dyDescent="0.75">
      <c r="A144" s="26">
        <v>110</v>
      </c>
      <c r="B144" s="26">
        <f t="shared" si="4"/>
        <v>15</v>
      </c>
      <c r="C144" s="26">
        <f t="shared" si="5"/>
        <v>5</v>
      </c>
      <c r="D144" s="112" cm="1">
        <f t="array" ref="D144">INDEX('Sug-2'!$B$2:$H$88,1+B144,C144)</f>
        <v>0</v>
      </c>
    </row>
    <row r="145" spans="1:4" x14ac:dyDescent="0.75">
      <c r="A145" s="26">
        <v>111</v>
      </c>
      <c r="B145" s="26">
        <f t="shared" si="4"/>
        <v>15</v>
      </c>
      <c r="C145" s="26">
        <f t="shared" si="5"/>
        <v>6</v>
      </c>
      <c r="D145" s="112" cm="1">
        <f t="array" ref="D145">INDEX('Sug-2'!$B$2:$H$88,1+B145,C145)</f>
        <v>0</v>
      </c>
    </row>
    <row r="146" spans="1:4" x14ac:dyDescent="0.75">
      <c r="A146" s="26">
        <v>112</v>
      </c>
      <c r="B146" s="26">
        <f t="shared" si="4"/>
        <v>15</v>
      </c>
      <c r="C146" s="26">
        <f t="shared" si="5"/>
        <v>7</v>
      </c>
      <c r="D146" s="112" cm="1">
        <f t="array" ref="D146">INDEX('Sug-2'!$B$2:$H$88,1+B146,C146)</f>
        <v>0</v>
      </c>
    </row>
    <row r="147" spans="1:4" x14ac:dyDescent="0.75">
      <c r="A147" s="26">
        <v>113</v>
      </c>
      <c r="B147" s="26">
        <f t="shared" si="4"/>
        <v>16</v>
      </c>
      <c r="C147" s="26">
        <f t="shared" si="5"/>
        <v>1</v>
      </c>
      <c r="D147" s="112" cm="1">
        <f t="array" ref="D147">INDEX('Sug-2'!$B$2:$H$88,1+B147,C147)</f>
        <v>0</v>
      </c>
    </row>
    <row r="148" spans="1:4" x14ac:dyDescent="0.75">
      <c r="A148" s="26">
        <v>114</v>
      </c>
      <c r="B148" s="26">
        <f t="shared" si="4"/>
        <v>16</v>
      </c>
      <c r="C148" s="26">
        <f t="shared" si="5"/>
        <v>2</v>
      </c>
      <c r="D148" s="112" cm="1">
        <f t="array" ref="D148">INDEX('Sug-2'!$B$2:$H$88,1+B148,C148)</f>
        <v>0</v>
      </c>
    </row>
    <row r="149" spans="1:4" x14ac:dyDescent="0.75">
      <c r="A149" s="26">
        <v>115</v>
      </c>
      <c r="B149" s="26">
        <f t="shared" si="4"/>
        <v>16</v>
      </c>
      <c r="C149" s="26">
        <f t="shared" si="5"/>
        <v>3</v>
      </c>
      <c r="D149" s="112" cm="1">
        <f t="array" ref="D149">INDEX('Sug-2'!$B$2:$H$88,1+B149,C149)</f>
        <v>0</v>
      </c>
    </row>
    <row r="150" spans="1:4" x14ac:dyDescent="0.75">
      <c r="A150" s="26">
        <v>116</v>
      </c>
      <c r="B150" s="26">
        <f t="shared" si="4"/>
        <v>16</v>
      </c>
      <c r="C150" s="26">
        <f t="shared" si="5"/>
        <v>4</v>
      </c>
      <c r="D150" s="112" cm="1">
        <f t="array" ref="D150">INDEX('Sug-2'!$B$2:$H$88,1+B150,C150)</f>
        <v>0</v>
      </c>
    </row>
    <row r="151" spans="1:4" x14ac:dyDescent="0.75">
      <c r="A151" s="26">
        <v>117</v>
      </c>
      <c r="B151" s="26">
        <f t="shared" si="4"/>
        <v>16</v>
      </c>
      <c r="C151" s="26">
        <f t="shared" si="5"/>
        <v>5</v>
      </c>
      <c r="D151" s="112" cm="1">
        <f t="array" ref="D151">INDEX('Sug-2'!$B$2:$H$88,1+B151,C151)</f>
        <v>0</v>
      </c>
    </row>
    <row r="152" spans="1:4" x14ac:dyDescent="0.75">
      <c r="A152" s="26">
        <v>118</v>
      </c>
      <c r="B152" s="26">
        <f t="shared" si="4"/>
        <v>16</v>
      </c>
      <c r="C152" s="26">
        <f t="shared" si="5"/>
        <v>6</v>
      </c>
      <c r="D152" s="112" cm="1">
        <f t="array" ref="D152">INDEX('Sug-2'!$B$2:$H$88,1+B152,C152)</f>
        <v>0</v>
      </c>
    </row>
    <row r="153" spans="1:4" x14ac:dyDescent="0.75">
      <c r="A153" s="26">
        <v>119</v>
      </c>
      <c r="B153" s="26">
        <f t="shared" si="4"/>
        <v>16</v>
      </c>
      <c r="C153" s="26">
        <f t="shared" si="5"/>
        <v>7</v>
      </c>
      <c r="D153" s="112" cm="1">
        <f t="array" ref="D153">INDEX('Sug-2'!$B$2:$H$88,1+B153,C153)</f>
        <v>0</v>
      </c>
    </row>
    <row r="154" spans="1:4" x14ac:dyDescent="0.75">
      <c r="A154" s="26">
        <v>120</v>
      </c>
      <c r="B154" s="26">
        <f t="shared" si="4"/>
        <v>17</v>
      </c>
      <c r="C154" s="26">
        <f t="shared" si="5"/>
        <v>1</v>
      </c>
      <c r="D154" s="112" cm="1">
        <f t="array" ref="D154">INDEX('Sug-2'!$B$2:$H$88,1+B154,C154)</f>
        <v>0</v>
      </c>
    </row>
    <row r="155" spans="1:4" x14ac:dyDescent="0.75">
      <c r="A155" s="26">
        <v>121</v>
      </c>
      <c r="B155" s="26">
        <f t="shared" si="4"/>
        <v>17</v>
      </c>
      <c r="C155" s="26">
        <f t="shared" si="5"/>
        <v>2</v>
      </c>
      <c r="D155" s="112" cm="1">
        <f t="array" ref="D155">INDEX('Sug-2'!$B$2:$H$88,1+B155,C155)</f>
        <v>0</v>
      </c>
    </row>
    <row r="156" spans="1:4" x14ac:dyDescent="0.75">
      <c r="A156" s="26">
        <v>122</v>
      </c>
      <c r="B156" s="26">
        <f t="shared" si="4"/>
        <v>17</v>
      </c>
      <c r="C156" s="26">
        <f t="shared" si="5"/>
        <v>3</v>
      </c>
      <c r="D156" s="112" cm="1">
        <f t="array" ref="D156">INDEX('Sug-2'!$B$2:$H$88,1+B156,C156)</f>
        <v>0</v>
      </c>
    </row>
    <row r="157" spans="1:4" x14ac:dyDescent="0.75">
      <c r="A157" s="26">
        <v>123</v>
      </c>
      <c r="B157" s="26">
        <f t="shared" si="4"/>
        <v>17</v>
      </c>
      <c r="C157" s="26">
        <f t="shared" si="5"/>
        <v>4</v>
      </c>
      <c r="D157" s="112" cm="1">
        <f t="array" ref="D157">INDEX('Sug-2'!$B$2:$H$88,1+B157,C157)</f>
        <v>0</v>
      </c>
    </row>
    <row r="158" spans="1:4" x14ac:dyDescent="0.75">
      <c r="A158" s="26">
        <v>124</v>
      </c>
      <c r="B158" s="26">
        <f t="shared" si="4"/>
        <v>17</v>
      </c>
      <c r="C158" s="26">
        <f t="shared" si="5"/>
        <v>5</v>
      </c>
      <c r="D158" s="112" cm="1">
        <f t="array" ref="D158">INDEX('Sug-2'!$B$2:$H$88,1+B158,C158)</f>
        <v>0</v>
      </c>
    </row>
    <row r="159" spans="1:4" x14ac:dyDescent="0.75">
      <c r="A159" s="26">
        <v>125</v>
      </c>
      <c r="B159" s="26">
        <f t="shared" si="4"/>
        <v>17</v>
      </c>
      <c r="C159" s="26">
        <f t="shared" si="5"/>
        <v>6</v>
      </c>
      <c r="D159" s="112" cm="1">
        <f t="array" ref="D159">INDEX('Sug-2'!$B$2:$H$88,1+B159,C159)</f>
        <v>0</v>
      </c>
    </row>
    <row r="160" spans="1:4" x14ac:dyDescent="0.75">
      <c r="A160" s="26">
        <v>126</v>
      </c>
      <c r="B160" s="26">
        <f t="shared" si="4"/>
        <v>17</v>
      </c>
      <c r="C160" s="26">
        <f t="shared" si="5"/>
        <v>7</v>
      </c>
      <c r="D160" s="112" cm="1">
        <f t="array" ref="D160">INDEX('Sug-2'!$B$2:$H$88,1+B160,C160)</f>
        <v>0</v>
      </c>
    </row>
    <row r="161" spans="1:4" x14ac:dyDescent="0.75">
      <c r="A161" s="26">
        <v>127</v>
      </c>
      <c r="B161" s="26">
        <f t="shared" si="4"/>
        <v>18</v>
      </c>
      <c r="C161" s="26">
        <f t="shared" si="5"/>
        <v>1</v>
      </c>
      <c r="D161" s="112" cm="1">
        <f t="array" ref="D161">INDEX('Sug-2'!$B$2:$H$88,1+B161,C161)</f>
        <v>0</v>
      </c>
    </row>
    <row r="162" spans="1:4" x14ac:dyDescent="0.75">
      <c r="A162" s="26">
        <v>128</v>
      </c>
      <c r="B162" s="26">
        <f t="shared" si="4"/>
        <v>18</v>
      </c>
      <c r="C162" s="26">
        <f t="shared" si="5"/>
        <v>2</v>
      </c>
      <c r="D162" s="112" cm="1">
        <f t="array" ref="D162">INDEX('Sug-2'!$B$2:$H$88,1+B162,C162)</f>
        <v>0</v>
      </c>
    </row>
    <row r="163" spans="1:4" x14ac:dyDescent="0.75">
      <c r="A163" s="26">
        <v>129</v>
      </c>
      <c r="B163" s="26">
        <f t="shared" si="4"/>
        <v>18</v>
      </c>
      <c r="C163" s="26">
        <f t="shared" si="5"/>
        <v>3</v>
      </c>
      <c r="D163" s="112" cm="1">
        <f t="array" ref="D163">INDEX('Sug-2'!$B$2:$H$88,1+B163,C163)</f>
        <v>0</v>
      </c>
    </row>
    <row r="164" spans="1:4" x14ac:dyDescent="0.75">
      <c r="A164" s="26">
        <v>130</v>
      </c>
      <c r="B164" s="26">
        <f t="shared" si="4"/>
        <v>18</v>
      </c>
      <c r="C164" s="26">
        <f t="shared" si="5"/>
        <v>4</v>
      </c>
      <c r="D164" s="112" cm="1">
        <f t="array" ref="D164">INDEX('Sug-2'!$B$2:$H$88,1+B164,C164)</f>
        <v>0</v>
      </c>
    </row>
    <row r="165" spans="1:4" x14ac:dyDescent="0.75">
      <c r="A165" s="26">
        <v>131</v>
      </c>
      <c r="B165" s="26">
        <f t="shared" si="4"/>
        <v>18</v>
      </c>
      <c r="C165" s="26">
        <f t="shared" si="5"/>
        <v>5</v>
      </c>
      <c r="D165" s="112" cm="1">
        <f t="array" ref="D165">INDEX('Sug-2'!$B$2:$H$88,1+B165,C165)</f>
        <v>0</v>
      </c>
    </row>
    <row r="166" spans="1:4" x14ac:dyDescent="0.75">
      <c r="A166" s="26">
        <v>132</v>
      </c>
      <c r="B166" s="26">
        <f t="shared" si="4"/>
        <v>18</v>
      </c>
      <c r="C166" s="26">
        <f t="shared" si="5"/>
        <v>6</v>
      </c>
      <c r="D166" s="112" cm="1">
        <f t="array" ref="D166">INDEX('Sug-2'!$B$2:$H$88,1+B166,C166)</f>
        <v>0</v>
      </c>
    </row>
    <row r="167" spans="1:4" x14ac:dyDescent="0.75">
      <c r="A167" s="26">
        <v>133</v>
      </c>
      <c r="B167" s="26">
        <f t="shared" si="4"/>
        <v>18</v>
      </c>
      <c r="C167" s="26">
        <f t="shared" si="5"/>
        <v>7</v>
      </c>
      <c r="D167" s="112" cm="1">
        <f t="array" ref="D167">INDEX('Sug-2'!$B$2:$H$88,1+B167,C167)</f>
        <v>0</v>
      </c>
    </row>
    <row r="168" spans="1:4" x14ac:dyDescent="0.75">
      <c r="A168" s="26">
        <v>134</v>
      </c>
      <c r="B168" s="26">
        <f t="shared" si="4"/>
        <v>19</v>
      </c>
      <c r="C168" s="26">
        <f t="shared" si="5"/>
        <v>1</v>
      </c>
      <c r="D168" s="112" cm="1">
        <f t="array" ref="D168">INDEX('Sug-2'!$B$2:$H$88,1+B168,C168)</f>
        <v>0</v>
      </c>
    </row>
    <row r="169" spans="1:4" x14ac:dyDescent="0.75">
      <c r="A169" s="26">
        <v>135</v>
      </c>
      <c r="B169" s="26">
        <f t="shared" si="4"/>
        <v>19</v>
      </c>
      <c r="C169" s="26">
        <f t="shared" si="5"/>
        <v>2</v>
      </c>
      <c r="D169" s="112" cm="1">
        <f t="array" ref="D169">INDEX('Sug-2'!$B$2:$H$88,1+B169,C169)</f>
        <v>0</v>
      </c>
    </row>
    <row r="170" spans="1:4" x14ac:dyDescent="0.75">
      <c r="A170" s="26">
        <v>136</v>
      </c>
      <c r="B170" s="26">
        <f t="shared" ref="B170:B233" si="6">IF(MOD(A170,7)=0,A170/7-1,INT(A170/7))</f>
        <v>19</v>
      </c>
      <c r="C170" s="26">
        <f t="shared" ref="C170:C233" si="7">IF(MOD(A170,7)=0,7,MOD(A170,7))</f>
        <v>3</v>
      </c>
      <c r="D170" s="112" cm="1">
        <f t="array" ref="D170">INDEX('Sug-2'!$B$2:$H$88,1+B170,C170)</f>
        <v>0</v>
      </c>
    </row>
    <row r="171" spans="1:4" x14ac:dyDescent="0.75">
      <c r="A171" s="26">
        <v>137</v>
      </c>
      <c r="B171" s="26">
        <f t="shared" si="6"/>
        <v>19</v>
      </c>
      <c r="C171" s="26">
        <f t="shared" si="7"/>
        <v>4</v>
      </c>
      <c r="D171" s="112" cm="1">
        <f t="array" ref="D171">INDEX('Sug-2'!$B$2:$H$88,1+B171,C171)</f>
        <v>0</v>
      </c>
    </row>
    <row r="172" spans="1:4" x14ac:dyDescent="0.75">
      <c r="A172" s="26">
        <v>138</v>
      </c>
      <c r="B172" s="26">
        <f t="shared" si="6"/>
        <v>19</v>
      </c>
      <c r="C172" s="26">
        <f t="shared" si="7"/>
        <v>5</v>
      </c>
      <c r="D172" s="112" cm="1">
        <f t="array" ref="D172">INDEX('Sug-2'!$B$2:$H$88,1+B172,C172)</f>
        <v>0</v>
      </c>
    </row>
    <row r="173" spans="1:4" x14ac:dyDescent="0.75">
      <c r="A173" s="26">
        <v>139</v>
      </c>
      <c r="B173" s="26">
        <f t="shared" si="6"/>
        <v>19</v>
      </c>
      <c r="C173" s="26">
        <f t="shared" si="7"/>
        <v>6</v>
      </c>
      <c r="D173" s="112" cm="1">
        <f t="array" ref="D173">INDEX('Sug-2'!$B$2:$H$88,1+B173,C173)</f>
        <v>0</v>
      </c>
    </row>
    <row r="174" spans="1:4" x14ac:dyDescent="0.75">
      <c r="A174" s="26">
        <v>140</v>
      </c>
      <c r="B174" s="26">
        <f t="shared" si="6"/>
        <v>19</v>
      </c>
      <c r="C174" s="26">
        <f t="shared" si="7"/>
        <v>7</v>
      </c>
      <c r="D174" s="112" cm="1">
        <f t="array" ref="D174">INDEX('Sug-2'!$B$2:$H$88,1+B174,C174)</f>
        <v>0</v>
      </c>
    </row>
    <row r="175" spans="1:4" x14ac:dyDescent="0.75">
      <c r="A175" s="26">
        <v>141</v>
      </c>
      <c r="B175" s="26">
        <f t="shared" si="6"/>
        <v>20</v>
      </c>
      <c r="C175" s="26">
        <f t="shared" si="7"/>
        <v>1</v>
      </c>
      <c r="D175" s="112" cm="1">
        <f t="array" ref="D175">INDEX('Sug-2'!$B$2:$H$88,1+B175,C175)</f>
        <v>0</v>
      </c>
    </row>
    <row r="176" spans="1:4" x14ac:dyDescent="0.75">
      <c r="A176" s="26">
        <v>142</v>
      </c>
      <c r="B176" s="26">
        <f t="shared" si="6"/>
        <v>20</v>
      </c>
      <c r="C176" s="26">
        <f t="shared" si="7"/>
        <v>2</v>
      </c>
      <c r="D176" s="112" cm="1">
        <f t="array" ref="D176">INDEX('Sug-2'!$B$2:$H$88,1+B176,C176)</f>
        <v>0</v>
      </c>
    </row>
    <row r="177" spans="1:4" x14ac:dyDescent="0.75">
      <c r="A177" s="26">
        <v>143</v>
      </c>
      <c r="B177" s="26">
        <f t="shared" si="6"/>
        <v>20</v>
      </c>
      <c r="C177" s="26">
        <f t="shared" si="7"/>
        <v>3</v>
      </c>
      <c r="D177" s="112" cm="1">
        <f t="array" ref="D177">INDEX('Sug-2'!$B$2:$H$88,1+B177,C177)</f>
        <v>0</v>
      </c>
    </row>
    <row r="178" spans="1:4" x14ac:dyDescent="0.75">
      <c r="A178" s="26">
        <v>144</v>
      </c>
      <c r="B178" s="26">
        <f t="shared" si="6"/>
        <v>20</v>
      </c>
      <c r="C178" s="26">
        <f t="shared" si="7"/>
        <v>4</v>
      </c>
      <c r="D178" s="112" cm="1">
        <f t="array" ref="D178">INDEX('Sug-2'!$B$2:$H$88,1+B178,C178)</f>
        <v>0</v>
      </c>
    </row>
    <row r="179" spans="1:4" x14ac:dyDescent="0.75">
      <c r="A179" s="26">
        <v>145</v>
      </c>
      <c r="B179" s="26">
        <f t="shared" si="6"/>
        <v>20</v>
      </c>
      <c r="C179" s="26">
        <f t="shared" si="7"/>
        <v>5</v>
      </c>
      <c r="D179" s="112" cm="1">
        <f t="array" ref="D179">INDEX('Sug-2'!$B$2:$H$88,1+B179,C179)</f>
        <v>0</v>
      </c>
    </row>
    <row r="180" spans="1:4" x14ac:dyDescent="0.75">
      <c r="A180" s="26">
        <v>146</v>
      </c>
      <c r="B180" s="26">
        <f t="shared" si="6"/>
        <v>20</v>
      </c>
      <c r="C180" s="26">
        <f t="shared" si="7"/>
        <v>6</v>
      </c>
      <c r="D180" s="112" cm="1">
        <f t="array" ref="D180">INDEX('Sug-2'!$B$2:$H$88,1+B180,C180)</f>
        <v>0</v>
      </c>
    </row>
    <row r="181" spans="1:4" x14ac:dyDescent="0.75">
      <c r="A181" s="26">
        <v>147</v>
      </c>
      <c r="B181" s="26">
        <f t="shared" si="6"/>
        <v>20</v>
      </c>
      <c r="C181" s="26">
        <f t="shared" si="7"/>
        <v>7</v>
      </c>
      <c r="D181" s="112" cm="1">
        <f t="array" ref="D181">INDEX('Sug-2'!$B$2:$H$88,1+B181,C181)</f>
        <v>0</v>
      </c>
    </row>
    <row r="182" spans="1:4" x14ac:dyDescent="0.75">
      <c r="A182" s="26">
        <v>148</v>
      </c>
      <c r="B182" s="26">
        <f t="shared" si="6"/>
        <v>21</v>
      </c>
      <c r="C182" s="26">
        <f t="shared" si="7"/>
        <v>1</v>
      </c>
      <c r="D182" s="112" cm="1">
        <f t="array" ref="D182">INDEX('Sug-2'!$B$2:$H$88,1+B182,C182)</f>
        <v>0</v>
      </c>
    </row>
    <row r="183" spans="1:4" x14ac:dyDescent="0.75">
      <c r="A183" s="26">
        <v>149</v>
      </c>
      <c r="B183" s="26">
        <f t="shared" si="6"/>
        <v>21</v>
      </c>
      <c r="C183" s="26">
        <f t="shared" si="7"/>
        <v>2</v>
      </c>
      <c r="D183" s="112" cm="1">
        <f t="array" ref="D183">INDEX('Sug-2'!$B$2:$H$88,1+B183,C183)</f>
        <v>0</v>
      </c>
    </row>
    <row r="184" spans="1:4" x14ac:dyDescent="0.75">
      <c r="A184" s="26">
        <v>150</v>
      </c>
      <c r="B184" s="26">
        <f t="shared" si="6"/>
        <v>21</v>
      </c>
      <c r="C184" s="26">
        <f t="shared" si="7"/>
        <v>3</v>
      </c>
      <c r="D184" s="112" cm="1">
        <f t="array" ref="D184">INDEX('Sug-2'!$B$2:$H$88,1+B184,C184)</f>
        <v>0</v>
      </c>
    </row>
    <row r="185" spans="1:4" x14ac:dyDescent="0.75">
      <c r="A185" s="26">
        <v>151</v>
      </c>
      <c r="B185" s="26">
        <f t="shared" si="6"/>
        <v>21</v>
      </c>
      <c r="C185" s="26">
        <f t="shared" si="7"/>
        <v>4</v>
      </c>
      <c r="D185" s="112" cm="1">
        <f t="array" ref="D185">INDEX('Sug-2'!$B$2:$H$88,1+B185,C185)</f>
        <v>0</v>
      </c>
    </row>
    <row r="186" spans="1:4" x14ac:dyDescent="0.75">
      <c r="A186" s="26">
        <v>152</v>
      </c>
      <c r="B186" s="26">
        <f t="shared" si="6"/>
        <v>21</v>
      </c>
      <c r="C186" s="26">
        <f t="shared" si="7"/>
        <v>5</v>
      </c>
      <c r="D186" s="112" cm="1">
        <f t="array" ref="D186">INDEX('Sug-2'!$B$2:$H$88,1+B186,C186)</f>
        <v>0</v>
      </c>
    </row>
    <row r="187" spans="1:4" x14ac:dyDescent="0.75">
      <c r="A187" s="26">
        <v>153</v>
      </c>
      <c r="B187" s="26">
        <f t="shared" si="6"/>
        <v>21</v>
      </c>
      <c r="C187" s="26">
        <f t="shared" si="7"/>
        <v>6</v>
      </c>
      <c r="D187" s="112" cm="1">
        <f t="array" ref="D187">INDEX('Sug-2'!$B$2:$H$88,1+B187,C187)</f>
        <v>0</v>
      </c>
    </row>
    <row r="188" spans="1:4" x14ac:dyDescent="0.75">
      <c r="A188" s="26">
        <v>154</v>
      </c>
      <c r="B188" s="26">
        <f t="shared" si="6"/>
        <v>21</v>
      </c>
      <c r="C188" s="26">
        <f t="shared" si="7"/>
        <v>7</v>
      </c>
      <c r="D188" s="112" cm="1">
        <f t="array" ref="D188">INDEX('Sug-2'!$B$2:$H$88,1+B188,C188)</f>
        <v>0</v>
      </c>
    </row>
    <row r="189" spans="1:4" x14ac:dyDescent="0.75">
      <c r="A189" s="26">
        <v>155</v>
      </c>
      <c r="B189" s="26">
        <f t="shared" si="6"/>
        <v>22</v>
      </c>
      <c r="C189" s="26">
        <f t="shared" si="7"/>
        <v>1</v>
      </c>
      <c r="D189" s="112" cm="1">
        <f t="array" ref="D189">INDEX('Sug-2'!$B$2:$H$88,1+B189,C189)</f>
        <v>0</v>
      </c>
    </row>
    <row r="190" spans="1:4" x14ac:dyDescent="0.75">
      <c r="A190" s="26">
        <v>156</v>
      </c>
      <c r="B190" s="26">
        <f t="shared" si="6"/>
        <v>22</v>
      </c>
      <c r="C190" s="26">
        <f t="shared" si="7"/>
        <v>2</v>
      </c>
      <c r="D190" s="112" cm="1">
        <f t="array" ref="D190">INDEX('Sug-2'!$B$2:$H$88,1+B190,C190)</f>
        <v>0</v>
      </c>
    </row>
    <row r="191" spans="1:4" x14ac:dyDescent="0.75">
      <c r="A191" s="26">
        <v>157</v>
      </c>
      <c r="B191" s="26">
        <f t="shared" si="6"/>
        <v>22</v>
      </c>
      <c r="C191" s="26">
        <f t="shared" si="7"/>
        <v>3</v>
      </c>
      <c r="D191" s="112" cm="1">
        <f t="array" ref="D191">INDEX('Sug-2'!$B$2:$H$88,1+B191,C191)</f>
        <v>0</v>
      </c>
    </row>
    <row r="192" spans="1:4" x14ac:dyDescent="0.75">
      <c r="A192" s="26">
        <v>158</v>
      </c>
      <c r="B192" s="26">
        <f t="shared" si="6"/>
        <v>22</v>
      </c>
      <c r="C192" s="26">
        <f t="shared" si="7"/>
        <v>4</v>
      </c>
      <c r="D192" s="112" cm="1">
        <f t="array" ref="D192">INDEX('Sug-2'!$B$2:$H$88,1+B192,C192)</f>
        <v>0</v>
      </c>
    </row>
    <row r="193" spans="1:4" x14ac:dyDescent="0.75">
      <c r="A193" s="26">
        <v>159</v>
      </c>
      <c r="B193" s="26">
        <f t="shared" si="6"/>
        <v>22</v>
      </c>
      <c r="C193" s="26">
        <f t="shared" si="7"/>
        <v>5</v>
      </c>
      <c r="D193" s="112" cm="1">
        <f t="array" ref="D193">INDEX('Sug-2'!$B$2:$H$88,1+B193,C193)</f>
        <v>0</v>
      </c>
    </row>
    <row r="194" spans="1:4" x14ac:dyDescent="0.75">
      <c r="A194" s="26">
        <v>160</v>
      </c>
      <c r="B194" s="26">
        <f t="shared" si="6"/>
        <v>22</v>
      </c>
      <c r="C194" s="26">
        <f t="shared" si="7"/>
        <v>6</v>
      </c>
      <c r="D194" s="112" cm="1">
        <f t="array" ref="D194">INDEX('Sug-2'!$B$2:$H$88,1+B194,C194)</f>
        <v>0</v>
      </c>
    </row>
    <row r="195" spans="1:4" x14ac:dyDescent="0.75">
      <c r="A195" s="26">
        <v>161</v>
      </c>
      <c r="B195" s="26">
        <f t="shared" si="6"/>
        <v>22</v>
      </c>
      <c r="C195" s="26">
        <f t="shared" si="7"/>
        <v>7</v>
      </c>
      <c r="D195" s="112" cm="1">
        <f t="array" ref="D195">INDEX('Sug-2'!$B$2:$H$88,1+B195,C195)</f>
        <v>0</v>
      </c>
    </row>
    <row r="196" spans="1:4" x14ac:dyDescent="0.75">
      <c r="A196" s="26">
        <v>162</v>
      </c>
      <c r="B196" s="26">
        <f t="shared" si="6"/>
        <v>23</v>
      </c>
      <c r="C196" s="26">
        <f t="shared" si="7"/>
        <v>1</v>
      </c>
      <c r="D196" s="112" cm="1">
        <f t="array" ref="D196">INDEX('Sug-2'!$B$2:$H$88,1+B196,C196)</f>
        <v>0</v>
      </c>
    </row>
    <row r="197" spans="1:4" x14ac:dyDescent="0.75">
      <c r="A197" s="26">
        <v>163</v>
      </c>
      <c r="B197" s="26">
        <f t="shared" si="6"/>
        <v>23</v>
      </c>
      <c r="C197" s="26">
        <f t="shared" si="7"/>
        <v>2</v>
      </c>
      <c r="D197" s="112" cm="1">
        <f t="array" ref="D197">INDEX('Sug-2'!$B$2:$H$88,1+B197,C197)</f>
        <v>0</v>
      </c>
    </row>
    <row r="198" spans="1:4" x14ac:dyDescent="0.75">
      <c r="A198" s="26">
        <v>164</v>
      </c>
      <c r="B198" s="26">
        <f t="shared" si="6"/>
        <v>23</v>
      </c>
      <c r="C198" s="26">
        <f t="shared" si="7"/>
        <v>3</v>
      </c>
      <c r="D198" s="112" cm="1">
        <f t="array" ref="D198">INDEX('Sug-2'!$B$2:$H$88,1+B198,C198)</f>
        <v>0</v>
      </c>
    </row>
    <row r="199" spans="1:4" x14ac:dyDescent="0.75">
      <c r="A199" s="26">
        <v>165</v>
      </c>
      <c r="B199" s="26">
        <f t="shared" si="6"/>
        <v>23</v>
      </c>
      <c r="C199" s="26">
        <f t="shared" si="7"/>
        <v>4</v>
      </c>
      <c r="D199" s="112" cm="1">
        <f t="array" ref="D199">INDEX('Sug-2'!$B$2:$H$88,1+B199,C199)</f>
        <v>0</v>
      </c>
    </row>
    <row r="200" spans="1:4" x14ac:dyDescent="0.75">
      <c r="A200" s="26">
        <v>166</v>
      </c>
      <c r="B200" s="26">
        <f t="shared" si="6"/>
        <v>23</v>
      </c>
      <c r="C200" s="26">
        <f t="shared" si="7"/>
        <v>5</v>
      </c>
      <c r="D200" s="112" cm="1">
        <f t="array" ref="D200">INDEX('Sug-2'!$B$2:$H$88,1+B200,C200)</f>
        <v>0</v>
      </c>
    </row>
    <row r="201" spans="1:4" x14ac:dyDescent="0.75">
      <c r="A201" s="26">
        <v>167</v>
      </c>
      <c r="B201" s="26">
        <f t="shared" si="6"/>
        <v>23</v>
      </c>
      <c r="C201" s="26">
        <f t="shared" si="7"/>
        <v>6</v>
      </c>
      <c r="D201" s="112" cm="1">
        <f t="array" ref="D201">INDEX('Sug-2'!$B$2:$H$88,1+B201,C201)</f>
        <v>0</v>
      </c>
    </row>
    <row r="202" spans="1:4" x14ac:dyDescent="0.75">
      <c r="A202" s="26">
        <v>168</v>
      </c>
      <c r="B202" s="26">
        <f t="shared" si="6"/>
        <v>23</v>
      </c>
      <c r="C202" s="26">
        <f t="shared" si="7"/>
        <v>7</v>
      </c>
      <c r="D202" s="112" cm="1">
        <f t="array" ref="D202">INDEX('Sug-2'!$B$2:$H$88,1+B202,C202)</f>
        <v>0</v>
      </c>
    </row>
    <row r="203" spans="1:4" x14ac:dyDescent="0.75">
      <c r="A203" s="26">
        <v>169</v>
      </c>
      <c r="B203" s="26">
        <f t="shared" si="6"/>
        <v>24</v>
      </c>
      <c r="C203" s="26">
        <f t="shared" si="7"/>
        <v>1</v>
      </c>
      <c r="D203" s="112" cm="1">
        <f t="array" ref="D203">INDEX('Sug-2'!$B$2:$H$88,1+B203,C203)</f>
        <v>0</v>
      </c>
    </row>
    <row r="204" spans="1:4" x14ac:dyDescent="0.75">
      <c r="A204" s="26">
        <v>170</v>
      </c>
      <c r="B204" s="26">
        <f t="shared" si="6"/>
        <v>24</v>
      </c>
      <c r="C204" s="26">
        <f t="shared" si="7"/>
        <v>2</v>
      </c>
      <c r="D204" s="112" cm="1">
        <f t="array" ref="D204">INDEX('Sug-2'!$B$2:$H$88,1+B204,C204)</f>
        <v>0</v>
      </c>
    </row>
    <row r="205" spans="1:4" x14ac:dyDescent="0.75">
      <c r="A205" s="26">
        <v>171</v>
      </c>
      <c r="B205" s="26">
        <f t="shared" si="6"/>
        <v>24</v>
      </c>
      <c r="C205" s="26">
        <f t="shared" si="7"/>
        <v>3</v>
      </c>
      <c r="D205" s="112" cm="1">
        <f t="array" ref="D205">INDEX('Sug-2'!$B$2:$H$88,1+B205,C205)</f>
        <v>0</v>
      </c>
    </row>
    <row r="206" spans="1:4" x14ac:dyDescent="0.75">
      <c r="A206" s="26">
        <v>172</v>
      </c>
      <c r="B206" s="26">
        <f t="shared" si="6"/>
        <v>24</v>
      </c>
      <c r="C206" s="26">
        <f t="shared" si="7"/>
        <v>4</v>
      </c>
      <c r="D206" s="112" cm="1">
        <f t="array" ref="D206">INDEX('Sug-2'!$B$2:$H$88,1+B206,C206)</f>
        <v>0</v>
      </c>
    </row>
    <row r="207" spans="1:4" x14ac:dyDescent="0.75">
      <c r="A207" s="26">
        <v>173</v>
      </c>
      <c r="B207" s="26">
        <f t="shared" si="6"/>
        <v>24</v>
      </c>
      <c r="C207" s="26">
        <f t="shared" si="7"/>
        <v>5</v>
      </c>
      <c r="D207" s="112" cm="1">
        <f t="array" ref="D207">INDEX('Sug-2'!$B$2:$H$88,1+B207,C207)</f>
        <v>0</v>
      </c>
    </row>
    <row r="208" spans="1:4" x14ac:dyDescent="0.75">
      <c r="A208" s="26">
        <v>174</v>
      </c>
      <c r="B208" s="26">
        <f t="shared" si="6"/>
        <v>24</v>
      </c>
      <c r="C208" s="26">
        <f t="shared" si="7"/>
        <v>6</v>
      </c>
      <c r="D208" s="112" cm="1">
        <f t="array" ref="D208">INDEX('Sug-2'!$B$2:$H$88,1+B208,C208)</f>
        <v>0</v>
      </c>
    </row>
    <row r="209" spans="1:4" x14ac:dyDescent="0.75">
      <c r="A209" s="26">
        <v>175</v>
      </c>
      <c r="B209" s="26">
        <f t="shared" si="6"/>
        <v>24</v>
      </c>
      <c r="C209" s="26">
        <f t="shared" si="7"/>
        <v>7</v>
      </c>
      <c r="D209" s="112" cm="1">
        <f t="array" ref="D209">INDEX('Sug-2'!$B$2:$H$88,1+B209,C209)</f>
        <v>0</v>
      </c>
    </row>
    <row r="210" spans="1:4" x14ac:dyDescent="0.75">
      <c r="A210" s="26">
        <v>176</v>
      </c>
      <c r="B210" s="26">
        <f t="shared" si="6"/>
        <v>25</v>
      </c>
      <c r="C210" s="26">
        <f t="shared" si="7"/>
        <v>1</v>
      </c>
      <c r="D210" s="112" cm="1">
        <f t="array" ref="D210">INDEX('Sug-2'!$B$2:$H$88,1+B210,C210)</f>
        <v>0</v>
      </c>
    </row>
    <row r="211" spans="1:4" x14ac:dyDescent="0.75">
      <c r="A211" s="26">
        <v>177</v>
      </c>
      <c r="B211" s="26">
        <f t="shared" si="6"/>
        <v>25</v>
      </c>
      <c r="C211" s="26">
        <f t="shared" si="7"/>
        <v>2</v>
      </c>
      <c r="D211" s="112" cm="1">
        <f t="array" ref="D211">INDEX('Sug-2'!$B$2:$H$88,1+B211,C211)</f>
        <v>0</v>
      </c>
    </row>
    <row r="212" spans="1:4" x14ac:dyDescent="0.75">
      <c r="A212" s="26">
        <v>178</v>
      </c>
      <c r="B212" s="26">
        <f t="shared" si="6"/>
        <v>25</v>
      </c>
      <c r="C212" s="26">
        <f t="shared" si="7"/>
        <v>3</v>
      </c>
      <c r="D212" s="112" cm="1">
        <f t="array" ref="D212">INDEX('Sug-2'!$B$2:$H$88,1+B212,C212)</f>
        <v>0</v>
      </c>
    </row>
    <row r="213" spans="1:4" x14ac:dyDescent="0.75">
      <c r="A213" s="26">
        <v>179</v>
      </c>
      <c r="B213" s="26">
        <f t="shared" si="6"/>
        <v>25</v>
      </c>
      <c r="C213" s="26">
        <f t="shared" si="7"/>
        <v>4</v>
      </c>
      <c r="D213" s="112" cm="1">
        <f t="array" ref="D213">INDEX('Sug-2'!$B$2:$H$88,1+B213,C213)</f>
        <v>0</v>
      </c>
    </row>
    <row r="214" spans="1:4" x14ac:dyDescent="0.75">
      <c r="A214" s="26">
        <v>180</v>
      </c>
      <c r="B214" s="26">
        <f t="shared" si="6"/>
        <v>25</v>
      </c>
      <c r="C214" s="26">
        <f t="shared" si="7"/>
        <v>5</v>
      </c>
      <c r="D214" s="112" cm="1">
        <f t="array" ref="D214">INDEX('Sug-2'!$B$2:$H$88,1+B214,C214)</f>
        <v>0</v>
      </c>
    </row>
    <row r="215" spans="1:4" x14ac:dyDescent="0.75">
      <c r="A215" s="26">
        <v>181</v>
      </c>
      <c r="B215" s="26">
        <f t="shared" si="6"/>
        <v>25</v>
      </c>
      <c r="C215" s="26">
        <f t="shared" si="7"/>
        <v>6</v>
      </c>
      <c r="D215" s="112" cm="1">
        <f t="array" ref="D215">INDEX('Sug-2'!$B$2:$H$88,1+B215,C215)</f>
        <v>0</v>
      </c>
    </row>
    <row r="216" spans="1:4" x14ac:dyDescent="0.75">
      <c r="A216" s="26">
        <v>182</v>
      </c>
      <c r="B216" s="26">
        <f t="shared" si="6"/>
        <v>25</v>
      </c>
      <c r="C216" s="26">
        <f t="shared" si="7"/>
        <v>7</v>
      </c>
      <c r="D216" s="112" cm="1">
        <f t="array" ref="D216">INDEX('Sug-2'!$B$2:$H$88,1+B216,C216)</f>
        <v>0</v>
      </c>
    </row>
    <row r="217" spans="1:4" x14ac:dyDescent="0.75">
      <c r="A217" s="26">
        <v>183</v>
      </c>
      <c r="B217" s="26">
        <f t="shared" si="6"/>
        <v>26</v>
      </c>
      <c r="C217" s="26">
        <f t="shared" si="7"/>
        <v>1</v>
      </c>
      <c r="D217" s="112" cm="1">
        <f t="array" ref="D217">INDEX('Sug-2'!$B$2:$H$88,1+B217,C217)</f>
        <v>0</v>
      </c>
    </row>
    <row r="218" spans="1:4" x14ac:dyDescent="0.75">
      <c r="A218" s="26">
        <v>184</v>
      </c>
      <c r="B218" s="26">
        <f t="shared" si="6"/>
        <v>26</v>
      </c>
      <c r="C218" s="26">
        <f t="shared" si="7"/>
        <v>2</v>
      </c>
      <c r="D218" s="112" cm="1">
        <f t="array" ref="D218">INDEX('Sug-2'!$B$2:$H$88,1+B218,C218)</f>
        <v>0</v>
      </c>
    </row>
    <row r="219" spans="1:4" x14ac:dyDescent="0.75">
      <c r="A219" s="26">
        <v>185</v>
      </c>
      <c r="B219" s="26">
        <f t="shared" si="6"/>
        <v>26</v>
      </c>
      <c r="C219" s="26">
        <f t="shared" si="7"/>
        <v>3</v>
      </c>
      <c r="D219" s="112" cm="1">
        <f t="array" ref="D219">INDEX('Sug-2'!$B$2:$H$88,1+B219,C219)</f>
        <v>0</v>
      </c>
    </row>
    <row r="220" spans="1:4" x14ac:dyDescent="0.75">
      <c r="A220" s="26">
        <v>186</v>
      </c>
      <c r="B220" s="26">
        <f t="shared" si="6"/>
        <v>26</v>
      </c>
      <c r="C220" s="26">
        <f t="shared" si="7"/>
        <v>4</v>
      </c>
      <c r="D220" s="112" cm="1">
        <f t="array" ref="D220">INDEX('Sug-2'!$B$2:$H$88,1+B220,C220)</f>
        <v>0</v>
      </c>
    </row>
    <row r="221" spans="1:4" x14ac:dyDescent="0.75">
      <c r="A221" s="26">
        <v>187</v>
      </c>
      <c r="B221" s="26">
        <f t="shared" si="6"/>
        <v>26</v>
      </c>
      <c r="C221" s="26">
        <f t="shared" si="7"/>
        <v>5</v>
      </c>
      <c r="D221" s="112" cm="1">
        <f t="array" ref="D221">INDEX('Sug-2'!$B$2:$H$88,1+B221,C221)</f>
        <v>0</v>
      </c>
    </row>
    <row r="222" spans="1:4" x14ac:dyDescent="0.75">
      <c r="A222" s="26">
        <v>188</v>
      </c>
      <c r="B222" s="26">
        <f t="shared" si="6"/>
        <v>26</v>
      </c>
      <c r="C222" s="26">
        <f t="shared" si="7"/>
        <v>6</v>
      </c>
      <c r="D222" s="112" cm="1">
        <f t="array" ref="D222">INDEX('Sug-2'!$B$2:$H$88,1+B222,C222)</f>
        <v>0</v>
      </c>
    </row>
    <row r="223" spans="1:4" x14ac:dyDescent="0.75">
      <c r="A223" s="26">
        <v>189</v>
      </c>
      <c r="B223" s="26">
        <f t="shared" si="6"/>
        <v>26</v>
      </c>
      <c r="C223" s="26">
        <f t="shared" si="7"/>
        <v>7</v>
      </c>
      <c r="D223" s="112" cm="1">
        <f t="array" ref="D223">INDEX('Sug-2'!$B$2:$H$88,1+B223,C223)</f>
        <v>0</v>
      </c>
    </row>
    <row r="224" spans="1:4" x14ac:dyDescent="0.75">
      <c r="A224" s="26">
        <v>190</v>
      </c>
      <c r="B224" s="26">
        <f t="shared" si="6"/>
        <v>27</v>
      </c>
      <c r="C224" s="26">
        <f t="shared" si="7"/>
        <v>1</v>
      </c>
      <c r="D224" s="112" cm="1">
        <f t="array" ref="D224">INDEX('Sug-2'!$B$2:$H$88,1+B224,C224)</f>
        <v>0</v>
      </c>
    </row>
    <row r="225" spans="1:4" x14ac:dyDescent="0.75">
      <c r="A225" s="26">
        <v>191</v>
      </c>
      <c r="B225" s="26">
        <f t="shared" si="6"/>
        <v>27</v>
      </c>
      <c r="C225" s="26">
        <f t="shared" si="7"/>
        <v>2</v>
      </c>
      <c r="D225" s="112" cm="1">
        <f t="array" ref="D225">INDEX('Sug-2'!$B$2:$H$88,1+B225,C225)</f>
        <v>0</v>
      </c>
    </row>
    <row r="226" spans="1:4" x14ac:dyDescent="0.75">
      <c r="A226" s="26">
        <v>192</v>
      </c>
      <c r="B226" s="26">
        <f t="shared" si="6"/>
        <v>27</v>
      </c>
      <c r="C226" s="26">
        <f t="shared" si="7"/>
        <v>3</v>
      </c>
      <c r="D226" s="112" cm="1">
        <f t="array" ref="D226">INDEX('Sug-2'!$B$2:$H$88,1+B226,C226)</f>
        <v>0</v>
      </c>
    </row>
    <row r="227" spans="1:4" x14ac:dyDescent="0.75">
      <c r="A227" s="26">
        <v>193</v>
      </c>
      <c r="B227" s="26">
        <f t="shared" si="6"/>
        <v>27</v>
      </c>
      <c r="C227" s="26">
        <f t="shared" si="7"/>
        <v>4</v>
      </c>
      <c r="D227" s="112" cm="1">
        <f t="array" ref="D227">INDEX('Sug-2'!$B$2:$H$88,1+B227,C227)</f>
        <v>0</v>
      </c>
    </row>
    <row r="228" spans="1:4" x14ac:dyDescent="0.75">
      <c r="A228" s="26">
        <v>194</v>
      </c>
      <c r="B228" s="26">
        <f t="shared" si="6"/>
        <v>27</v>
      </c>
      <c r="C228" s="26">
        <f t="shared" si="7"/>
        <v>5</v>
      </c>
      <c r="D228" s="112" cm="1">
        <f t="array" ref="D228">INDEX('Sug-2'!$B$2:$H$88,1+B228,C228)</f>
        <v>0</v>
      </c>
    </row>
    <row r="229" spans="1:4" x14ac:dyDescent="0.75">
      <c r="A229" s="26">
        <v>195</v>
      </c>
      <c r="B229" s="26">
        <f t="shared" si="6"/>
        <v>27</v>
      </c>
      <c r="C229" s="26">
        <f t="shared" si="7"/>
        <v>6</v>
      </c>
      <c r="D229" s="112" cm="1">
        <f t="array" ref="D229">INDEX('Sug-2'!$B$2:$H$88,1+B229,C229)</f>
        <v>0</v>
      </c>
    </row>
    <row r="230" spans="1:4" x14ac:dyDescent="0.75">
      <c r="A230" s="26">
        <v>196</v>
      </c>
      <c r="B230" s="26">
        <f t="shared" si="6"/>
        <v>27</v>
      </c>
      <c r="C230" s="26">
        <f t="shared" si="7"/>
        <v>7</v>
      </c>
      <c r="D230" s="112" cm="1">
        <f t="array" ref="D230">INDEX('Sug-2'!$B$2:$H$88,1+B230,C230)</f>
        <v>0</v>
      </c>
    </row>
    <row r="231" spans="1:4" x14ac:dyDescent="0.75">
      <c r="A231" s="26">
        <v>197</v>
      </c>
      <c r="B231" s="26">
        <f t="shared" si="6"/>
        <v>28</v>
      </c>
      <c r="C231" s="26">
        <f t="shared" si="7"/>
        <v>1</v>
      </c>
      <c r="D231" s="112" cm="1">
        <f t="array" ref="D231">INDEX('Sug-2'!$B$2:$H$88,1+B231,C231)</f>
        <v>0</v>
      </c>
    </row>
    <row r="232" spans="1:4" x14ac:dyDescent="0.75">
      <c r="A232" s="26">
        <v>198</v>
      </c>
      <c r="B232" s="26">
        <f t="shared" si="6"/>
        <v>28</v>
      </c>
      <c r="C232" s="26">
        <f t="shared" si="7"/>
        <v>2</v>
      </c>
      <c r="D232" s="112" cm="1">
        <f t="array" ref="D232">INDEX('Sug-2'!$B$2:$H$88,1+B232,C232)</f>
        <v>0</v>
      </c>
    </row>
    <row r="233" spans="1:4" x14ac:dyDescent="0.75">
      <c r="A233" s="26">
        <v>199</v>
      </c>
      <c r="B233" s="26">
        <f t="shared" si="6"/>
        <v>28</v>
      </c>
      <c r="C233" s="26">
        <f t="shared" si="7"/>
        <v>3</v>
      </c>
      <c r="D233" s="112" cm="1">
        <f t="array" ref="D233">INDEX('Sug-2'!$B$2:$H$88,1+B233,C233)</f>
        <v>0</v>
      </c>
    </row>
    <row r="234" spans="1:4" x14ac:dyDescent="0.75">
      <c r="A234" s="26">
        <v>200</v>
      </c>
      <c r="B234" s="26">
        <f t="shared" ref="B234:B297" si="8">IF(MOD(A234,7)=0,A234/7-1,INT(A234/7))</f>
        <v>28</v>
      </c>
      <c r="C234" s="26">
        <f t="shared" ref="C234:C297" si="9">IF(MOD(A234,7)=0,7,MOD(A234,7))</f>
        <v>4</v>
      </c>
      <c r="D234" s="112" cm="1">
        <f t="array" ref="D234">INDEX('Sug-2'!$B$2:$H$88,1+B234,C234)</f>
        <v>0</v>
      </c>
    </row>
    <row r="235" spans="1:4" x14ac:dyDescent="0.75">
      <c r="A235" s="26">
        <v>201</v>
      </c>
      <c r="B235" s="26">
        <f t="shared" si="8"/>
        <v>28</v>
      </c>
      <c r="C235" s="26">
        <f t="shared" si="9"/>
        <v>5</v>
      </c>
      <c r="D235" s="112" cm="1">
        <f t="array" ref="D235">INDEX('Sug-2'!$B$2:$H$88,1+B235,C235)</f>
        <v>0</v>
      </c>
    </row>
    <row r="236" spans="1:4" x14ac:dyDescent="0.75">
      <c r="A236" s="26">
        <v>202</v>
      </c>
      <c r="B236" s="26">
        <f t="shared" si="8"/>
        <v>28</v>
      </c>
      <c r="C236" s="26">
        <f t="shared" si="9"/>
        <v>6</v>
      </c>
      <c r="D236" s="112" cm="1">
        <f t="array" ref="D236">INDEX('Sug-2'!$B$2:$H$88,1+B236,C236)</f>
        <v>0</v>
      </c>
    </row>
    <row r="237" spans="1:4" x14ac:dyDescent="0.75">
      <c r="A237" s="26">
        <v>203</v>
      </c>
      <c r="B237" s="26">
        <f t="shared" si="8"/>
        <v>28</v>
      </c>
      <c r="C237" s="26">
        <f t="shared" si="9"/>
        <v>7</v>
      </c>
      <c r="D237" s="112" cm="1">
        <f t="array" ref="D237">INDEX('Sug-2'!$B$2:$H$88,1+B237,C237)</f>
        <v>0</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INDEX('Sug-2'!$B$2:$H$88,1+B262,C262)</f>
        <v>0</v>
      </c>
    </row>
    <row r="263" spans="1:4" x14ac:dyDescent="0.75">
      <c r="A263" s="26">
        <v>229</v>
      </c>
      <c r="B263" s="26">
        <f t="shared" si="8"/>
        <v>32</v>
      </c>
      <c r="C263" s="26">
        <f t="shared" si="9"/>
        <v>5</v>
      </c>
      <c r="D263" s="112" cm="1">
        <f t="array" ref="D263">INDEX('Sug-2'!$B$2:$H$88,1+B263,C263)</f>
        <v>0</v>
      </c>
    </row>
    <row r="264" spans="1:4" x14ac:dyDescent="0.75">
      <c r="A264" s="26">
        <v>230</v>
      </c>
      <c r="B264" s="26">
        <f t="shared" si="8"/>
        <v>32</v>
      </c>
      <c r="C264" s="26">
        <f t="shared" si="9"/>
        <v>6</v>
      </c>
      <c r="D264" s="112" cm="1">
        <f t="array" ref="D264">INDEX('Sug-2'!$B$2:$H$88,1+B264,C264)</f>
        <v>0</v>
      </c>
    </row>
    <row r="265" spans="1:4" x14ac:dyDescent="0.75">
      <c r="A265" s="26">
        <v>231</v>
      </c>
      <c r="B265" s="26">
        <f t="shared" si="8"/>
        <v>32</v>
      </c>
      <c r="C265" s="26">
        <f t="shared" si="9"/>
        <v>7</v>
      </c>
      <c r="D265" s="112" cm="1">
        <f t="array" ref="D265">INDEX('Sug-2'!$B$2:$H$88,1+B265,C265)</f>
        <v>0</v>
      </c>
    </row>
    <row r="266" spans="1:4" x14ac:dyDescent="0.75">
      <c r="A266" s="26">
        <v>232</v>
      </c>
      <c r="B266" s="26">
        <f t="shared" si="8"/>
        <v>33</v>
      </c>
      <c r="C266" s="26">
        <f t="shared" si="9"/>
        <v>1</v>
      </c>
      <c r="D266" s="112" cm="1">
        <f t="array" ref="D266">INDEX('Sug-2'!$B$2:$H$88,1+B266,C266)</f>
        <v>0</v>
      </c>
    </row>
    <row r="267" spans="1:4" x14ac:dyDescent="0.75">
      <c r="A267" s="26">
        <v>233</v>
      </c>
      <c r="B267" s="26">
        <f t="shared" si="8"/>
        <v>33</v>
      </c>
      <c r="C267" s="26">
        <f t="shared" si="9"/>
        <v>2</v>
      </c>
      <c r="D267" s="112" cm="1">
        <f t="array" ref="D267">INDEX('Sug-2'!$B$2:$H$88,1+B267,C267)</f>
        <v>0</v>
      </c>
    </row>
    <row r="268" spans="1:4" x14ac:dyDescent="0.75">
      <c r="A268" s="26">
        <v>234</v>
      </c>
      <c r="B268" s="26">
        <f t="shared" si="8"/>
        <v>33</v>
      </c>
      <c r="C268" s="26">
        <f t="shared" si="9"/>
        <v>3</v>
      </c>
      <c r="D268" s="112" cm="1">
        <f t="array" ref="D268">INDEX('Sug-2'!$B$2:$H$88,1+B268,C268)</f>
        <v>0</v>
      </c>
    </row>
    <row r="269" spans="1:4" x14ac:dyDescent="0.75">
      <c r="A269" s="26">
        <v>235</v>
      </c>
      <c r="B269" s="26">
        <f t="shared" si="8"/>
        <v>33</v>
      </c>
      <c r="C269" s="26">
        <f t="shared" si="9"/>
        <v>4</v>
      </c>
      <c r="D269" s="112" cm="1">
        <f t="array" ref="D269">INDEX('Sug-2'!$B$2:$H$88,1+B269,C269)</f>
        <v>0</v>
      </c>
    </row>
    <row r="270" spans="1:4" x14ac:dyDescent="0.75">
      <c r="A270" s="26">
        <v>236</v>
      </c>
      <c r="B270" s="26">
        <f t="shared" si="8"/>
        <v>33</v>
      </c>
      <c r="C270" s="26">
        <f t="shared" si="9"/>
        <v>5</v>
      </c>
      <c r="D270" s="112" cm="1">
        <f t="array" ref="D270">INDEX('Sug-2'!$B$2:$H$88,1+B270,C270)</f>
        <v>0</v>
      </c>
    </row>
    <row r="271" spans="1:4" x14ac:dyDescent="0.75">
      <c r="A271" s="26">
        <v>237</v>
      </c>
      <c r="B271" s="26">
        <f t="shared" si="8"/>
        <v>33</v>
      </c>
      <c r="C271" s="26">
        <f t="shared" si="9"/>
        <v>6</v>
      </c>
      <c r="D271" s="112" cm="1">
        <f t="array" ref="D271">INDEX('Sug-2'!$B$2:$H$88,1+B271,C271)</f>
        <v>0</v>
      </c>
    </row>
    <row r="272" spans="1:4" x14ac:dyDescent="0.75">
      <c r="A272" s="26">
        <v>238</v>
      </c>
      <c r="B272" s="26">
        <f t="shared" si="8"/>
        <v>33</v>
      </c>
      <c r="C272" s="26">
        <f t="shared" si="9"/>
        <v>7</v>
      </c>
      <c r="D272" s="112" cm="1">
        <f t="array" ref="D272">INDEX('Sug-2'!$B$2:$H$88,1+B272,C272)</f>
        <v>0</v>
      </c>
    </row>
    <row r="273" spans="1:4" x14ac:dyDescent="0.75">
      <c r="A273" s="26">
        <v>239</v>
      </c>
      <c r="B273" s="26">
        <f t="shared" si="8"/>
        <v>34</v>
      </c>
      <c r="C273" s="26">
        <f t="shared" si="9"/>
        <v>1</v>
      </c>
      <c r="D273" s="112" cm="1">
        <f t="array" ref="D273">INDEX('Sug-2'!$B$2:$H$88,1+B273,C273)</f>
        <v>0</v>
      </c>
    </row>
    <row r="274" spans="1:4" x14ac:dyDescent="0.75">
      <c r="A274" s="26">
        <v>240</v>
      </c>
      <c r="B274" s="26">
        <f t="shared" si="8"/>
        <v>34</v>
      </c>
      <c r="C274" s="26">
        <f t="shared" si="9"/>
        <v>2</v>
      </c>
      <c r="D274" s="112" cm="1">
        <f t="array" ref="D274">INDEX('Sug-2'!$B$2:$H$88,1+B274,C274)</f>
        <v>0</v>
      </c>
    </row>
    <row r="275" spans="1:4" x14ac:dyDescent="0.75">
      <c r="A275" s="26">
        <v>241</v>
      </c>
      <c r="B275" s="26">
        <f t="shared" si="8"/>
        <v>34</v>
      </c>
      <c r="C275" s="26">
        <f t="shared" si="9"/>
        <v>3</v>
      </c>
      <c r="D275" s="112" cm="1">
        <f t="array" ref="D275">INDEX('Sug-2'!$B$2:$H$88,1+B275,C275)</f>
        <v>0</v>
      </c>
    </row>
    <row r="276" spans="1:4" x14ac:dyDescent="0.75">
      <c r="A276" s="26">
        <v>242</v>
      </c>
      <c r="B276" s="26">
        <f t="shared" si="8"/>
        <v>34</v>
      </c>
      <c r="C276" s="26">
        <f t="shared" si="9"/>
        <v>4</v>
      </c>
      <c r="D276" s="112" cm="1">
        <f t="array" ref="D276">INDEX('Sug-2'!$B$2:$H$88,1+B276,C276)</f>
        <v>0</v>
      </c>
    </row>
    <row r="277" spans="1:4" x14ac:dyDescent="0.75">
      <c r="A277" s="26">
        <v>243</v>
      </c>
      <c r="B277" s="26">
        <f t="shared" si="8"/>
        <v>34</v>
      </c>
      <c r="C277" s="26">
        <f t="shared" si="9"/>
        <v>5</v>
      </c>
      <c r="D277" s="112" cm="1">
        <f t="array" ref="D277">INDEX('Sug-2'!$B$2:$H$88,1+B277,C277)</f>
        <v>0</v>
      </c>
    </row>
    <row r="278" spans="1:4" x14ac:dyDescent="0.75">
      <c r="A278" s="26">
        <v>244</v>
      </c>
      <c r="B278" s="26">
        <f t="shared" si="8"/>
        <v>34</v>
      </c>
      <c r="C278" s="26">
        <f t="shared" si="9"/>
        <v>6</v>
      </c>
      <c r="D278" s="112" cm="1">
        <f t="array" ref="D278">INDEX('Sug-2'!$B$2:$H$88,1+B278,C278)</f>
        <v>0</v>
      </c>
    </row>
    <row r="279" spans="1:4" x14ac:dyDescent="0.75">
      <c r="A279" s="26">
        <v>245</v>
      </c>
      <c r="B279" s="26">
        <f t="shared" si="8"/>
        <v>34</v>
      </c>
      <c r="C279" s="26">
        <f t="shared" si="9"/>
        <v>7</v>
      </c>
      <c r="D279" s="112" cm="1">
        <f t="array" ref="D279">INDEX('Sug-2'!$B$2:$H$88,1+B279,C279)</f>
        <v>0</v>
      </c>
    </row>
    <row r="280" spans="1:4" x14ac:dyDescent="0.75">
      <c r="A280" s="26">
        <v>246</v>
      </c>
      <c r="B280" s="26">
        <f t="shared" si="8"/>
        <v>35</v>
      </c>
      <c r="C280" s="26">
        <f t="shared" si="9"/>
        <v>1</v>
      </c>
      <c r="D280" s="112" cm="1">
        <f t="array" ref="D280">INDEX('Sug-2'!$B$2:$H$88,1+B280,C280)</f>
        <v>0</v>
      </c>
    </row>
    <row r="281" spans="1:4" x14ac:dyDescent="0.75">
      <c r="A281" s="26">
        <v>247</v>
      </c>
      <c r="B281" s="26">
        <f t="shared" si="8"/>
        <v>35</v>
      </c>
      <c r="C281" s="26">
        <f t="shared" si="9"/>
        <v>2</v>
      </c>
      <c r="D281" s="112" cm="1">
        <f t="array" ref="D281">INDEX('Sug-2'!$B$2:$H$88,1+B281,C281)</f>
        <v>0</v>
      </c>
    </row>
    <row r="282" spans="1:4" x14ac:dyDescent="0.75">
      <c r="A282" s="26">
        <v>248</v>
      </c>
      <c r="B282" s="26">
        <f t="shared" si="8"/>
        <v>35</v>
      </c>
      <c r="C282" s="26">
        <f t="shared" si="9"/>
        <v>3</v>
      </c>
      <c r="D282" s="112" cm="1">
        <f t="array" ref="D282">INDEX('Sug-2'!$B$2:$H$88,1+B282,C282)</f>
        <v>0</v>
      </c>
    </row>
    <row r="283" spans="1:4" x14ac:dyDescent="0.75">
      <c r="A283" s="26">
        <v>249</v>
      </c>
      <c r="B283" s="26">
        <f t="shared" si="8"/>
        <v>35</v>
      </c>
      <c r="C283" s="26">
        <f t="shared" si="9"/>
        <v>4</v>
      </c>
      <c r="D283" s="112" cm="1">
        <f t="array" ref="D283">INDEX('Sug-2'!$B$2:$H$88,1+B283,C283)</f>
        <v>0</v>
      </c>
    </row>
    <row r="284" spans="1:4" x14ac:dyDescent="0.75">
      <c r="A284" s="26">
        <v>250</v>
      </c>
      <c r="B284" s="26">
        <f t="shared" si="8"/>
        <v>35</v>
      </c>
      <c r="C284" s="26">
        <f t="shared" si="9"/>
        <v>5</v>
      </c>
      <c r="D284" s="112" cm="1">
        <f t="array" ref="D284">INDEX('Sug-2'!$B$2:$H$88,1+B284,C284)</f>
        <v>0</v>
      </c>
    </row>
    <row r="285" spans="1:4" x14ac:dyDescent="0.75">
      <c r="A285" s="26">
        <v>251</v>
      </c>
      <c r="B285" s="26">
        <f t="shared" si="8"/>
        <v>35</v>
      </c>
      <c r="C285" s="26">
        <f t="shared" si="9"/>
        <v>6</v>
      </c>
      <c r="D285" s="112" cm="1">
        <f t="array" ref="D285">INDEX('Sug-2'!$B$2:$H$88,1+B285,C285)</f>
        <v>0</v>
      </c>
    </row>
    <row r="286" spans="1:4" x14ac:dyDescent="0.75">
      <c r="A286" s="26">
        <v>252</v>
      </c>
      <c r="B286" s="26">
        <f t="shared" si="8"/>
        <v>35</v>
      </c>
      <c r="C286" s="26">
        <f t="shared" si="9"/>
        <v>7</v>
      </c>
      <c r="D286" s="112" cm="1">
        <f t="array" ref="D286">INDEX('Sug-2'!$B$2:$H$88,1+B286,C286)</f>
        <v>0</v>
      </c>
    </row>
    <row r="287" spans="1:4" x14ac:dyDescent="0.75">
      <c r="A287" s="26">
        <v>253</v>
      </c>
      <c r="B287" s="26">
        <f t="shared" si="8"/>
        <v>36</v>
      </c>
      <c r="C287" s="26">
        <f t="shared" si="9"/>
        <v>1</v>
      </c>
      <c r="D287" s="112" cm="1">
        <f t="array" ref="D287">INDEX('Sug-2'!$B$2:$H$88,1+B287,C287)</f>
        <v>0</v>
      </c>
    </row>
    <row r="288" spans="1:4" x14ac:dyDescent="0.75">
      <c r="A288" s="26">
        <v>254</v>
      </c>
      <c r="B288" s="26">
        <f t="shared" si="8"/>
        <v>36</v>
      </c>
      <c r="C288" s="26">
        <f t="shared" si="9"/>
        <v>2</v>
      </c>
      <c r="D288" s="112" cm="1">
        <f t="array" ref="D288">INDEX('Sug-2'!$B$2:$H$88,1+B288,C288)</f>
        <v>0</v>
      </c>
    </row>
    <row r="289" spans="1:4" x14ac:dyDescent="0.75">
      <c r="A289" s="26">
        <v>255</v>
      </c>
      <c r="B289" s="26">
        <f t="shared" si="8"/>
        <v>36</v>
      </c>
      <c r="C289" s="26">
        <f t="shared" si="9"/>
        <v>3</v>
      </c>
      <c r="D289" s="112" cm="1">
        <f t="array" ref="D289">INDEX('Sug-2'!$B$2:$H$88,1+B289,C289)</f>
        <v>0</v>
      </c>
    </row>
    <row r="290" spans="1:4" x14ac:dyDescent="0.75">
      <c r="A290" s="26">
        <v>256</v>
      </c>
      <c r="B290" s="26">
        <f t="shared" si="8"/>
        <v>36</v>
      </c>
      <c r="C290" s="26">
        <f t="shared" si="9"/>
        <v>4</v>
      </c>
      <c r="D290" s="112" cm="1">
        <f t="array" ref="D290">INDEX('Sug-2'!$B$2:$H$88,1+B290,C290)</f>
        <v>0</v>
      </c>
    </row>
    <row r="291" spans="1:4" x14ac:dyDescent="0.75">
      <c r="A291" s="26">
        <v>257</v>
      </c>
      <c r="B291" s="26">
        <f t="shared" si="8"/>
        <v>36</v>
      </c>
      <c r="C291" s="26">
        <f t="shared" si="9"/>
        <v>5</v>
      </c>
      <c r="D291" s="112" cm="1">
        <f t="array" ref="D291">INDEX('Sug-2'!$B$2:$H$88,1+B291,C291)</f>
        <v>0</v>
      </c>
    </row>
    <row r="292" spans="1:4" x14ac:dyDescent="0.75">
      <c r="A292" s="26">
        <v>258</v>
      </c>
      <c r="B292" s="26">
        <f t="shared" si="8"/>
        <v>36</v>
      </c>
      <c r="C292" s="26">
        <f t="shared" si="9"/>
        <v>6</v>
      </c>
      <c r="D292" s="112" cm="1">
        <f t="array" ref="D292">INDEX('Sug-2'!$B$2:$H$88,1+B292,C292)</f>
        <v>0</v>
      </c>
    </row>
    <row r="293" spans="1:4" x14ac:dyDescent="0.75">
      <c r="A293" s="26">
        <v>259</v>
      </c>
      <c r="B293" s="26">
        <f t="shared" si="8"/>
        <v>36</v>
      </c>
      <c r="C293" s="26">
        <f t="shared" si="9"/>
        <v>7</v>
      </c>
      <c r="D293" s="112" cm="1">
        <f t="array" ref="D293">INDEX('Sug-2'!$B$2:$H$88,1+B293,C293)</f>
        <v>0</v>
      </c>
    </row>
    <row r="294" spans="1:4" x14ac:dyDescent="0.75">
      <c r="A294" s="26">
        <v>260</v>
      </c>
      <c r="B294" s="26">
        <f t="shared" si="8"/>
        <v>37</v>
      </c>
      <c r="C294" s="26">
        <f t="shared" si="9"/>
        <v>1</v>
      </c>
      <c r="D294" s="112" cm="1">
        <f t="array" ref="D294">INDEX('Sug-2'!$B$2:$H$88,1+B294,C294)</f>
        <v>0</v>
      </c>
    </row>
    <row r="295" spans="1:4" x14ac:dyDescent="0.75">
      <c r="A295" s="26">
        <v>261</v>
      </c>
      <c r="B295" s="26">
        <f t="shared" si="8"/>
        <v>37</v>
      </c>
      <c r="C295" s="26">
        <f t="shared" si="9"/>
        <v>2</v>
      </c>
      <c r="D295" s="112" cm="1">
        <f t="array" ref="D295">INDEX('Sug-2'!$B$2:$H$88,1+B295,C295)</f>
        <v>0</v>
      </c>
    </row>
    <row r="296" spans="1:4" x14ac:dyDescent="0.75">
      <c r="A296" s="26">
        <v>262</v>
      </c>
      <c r="B296" s="26">
        <f t="shared" si="8"/>
        <v>37</v>
      </c>
      <c r="C296" s="26">
        <f t="shared" si="9"/>
        <v>3</v>
      </c>
      <c r="D296" s="112" cm="1">
        <f t="array" ref="D296">INDEX('Sug-2'!$B$2:$H$88,1+B296,C296)</f>
        <v>0</v>
      </c>
    </row>
    <row r="297" spans="1:4" x14ac:dyDescent="0.75">
      <c r="A297" s="26">
        <v>263</v>
      </c>
      <c r="B297" s="26">
        <f t="shared" si="8"/>
        <v>37</v>
      </c>
      <c r="C297" s="26">
        <f t="shared" si="9"/>
        <v>4</v>
      </c>
      <c r="D297" s="112" cm="1">
        <f t="array" ref="D297">INDEX('Sug-2'!$B$2:$H$88,1+B297,C297)</f>
        <v>0</v>
      </c>
    </row>
    <row r="298" spans="1:4" x14ac:dyDescent="0.75">
      <c r="A298" s="26">
        <v>264</v>
      </c>
      <c r="B298" s="26">
        <f t="shared" ref="B298:B361" si="10">IF(MOD(A298,7)=0,A298/7-1,INT(A298/7))</f>
        <v>37</v>
      </c>
      <c r="C298" s="26">
        <f t="shared" ref="C298:C361" si="11">IF(MOD(A298,7)=0,7,MOD(A298,7))</f>
        <v>5</v>
      </c>
      <c r="D298" s="112" cm="1">
        <f t="array" ref="D298">INDEX('Sug-2'!$B$2:$H$88,1+B298,C298)</f>
        <v>0</v>
      </c>
    </row>
    <row r="299" spans="1:4" x14ac:dyDescent="0.75">
      <c r="A299" s="26">
        <v>265</v>
      </c>
      <c r="B299" s="26">
        <f t="shared" si="10"/>
        <v>37</v>
      </c>
      <c r="C299" s="26">
        <f t="shared" si="11"/>
        <v>6</v>
      </c>
      <c r="D299" s="112" cm="1">
        <f t="array" ref="D299">INDEX('Sug-2'!$B$2:$H$88,1+B299,C299)</f>
        <v>0</v>
      </c>
    </row>
    <row r="300" spans="1:4" x14ac:dyDescent="0.75">
      <c r="A300" s="26">
        <v>266</v>
      </c>
      <c r="B300" s="26">
        <f t="shared" si="10"/>
        <v>37</v>
      </c>
      <c r="C300" s="26">
        <f t="shared" si="11"/>
        <v>7</v>
      </c>
      <c r="D300" s="112" cm="1">
        <f t="array" ref="D300">INDEX('Sug-2'!$B$2:$H$88,1+B300,C300)</f>
        <v>0</v>
      </c>
    </row>
    <row r="301" spans="1:4" x14ac:dyDescent="0.75">
      <c r="A301" s="26">
        <v>267</v>
      </c>
      <c r="B301" s="26">
        <f t="shared" si="10"/>
        <v>38</v>
      </c>
      <c r="C301" s="26">
        <f t="shared" si="11"/>
        <v>1</v>
      </c>
      <c r="D301" s="112" cm="1">
        <f t="array" ref="D301">INDEX('Sug-2'!$B$2:$H$88,1+B301,C301)</f>
        <v>0</v>
      </c>
    </row>
    <row r="302" spans="1:4" x14ac:dyDescent="0.75">
      <c r="A302" s="26">
        <v>268</v>
      </c>
      <c r="B302" s="26">
        <f t="shared" si="10"/>
        <v>38</v>
      </c>
      <c r="C302" s="26">
        <f t="shared" si="11"/>
        <v>2</v>
      </c>
      <c r="D302" s="112" cm="1">
        <f t="array" ref="D302">INDEX('Sug-2'!$B$2:$H$88,1+B302,C302)</f>
        <v>0</v>
      </c>
    </row>
    <row r="303" spans="1:4" x14ac:dyDescent="0.75">
      <c r="A303" s="26">
        <v>269</v>
      </c>
      <c r="B303" s="26">
        <f t="shared" si="10"/>
        <v>38</v>
      </c>
      <c r="C303" s="26">
        <f t="shared" si="11"/>
        <v>3</v>
      </c>
      <c r="D303" s="112" cm="1">
        <f t="array" ref="D303">INDEX('Sug-2'!$B$2:$H$88,1+B303,C303)</f>
        <v>0</v>
      </c>
    </row>
    <row r="304" spans="1:4" x14ac:dyDescent="0.75">
      <c r="A304" s="26">
        <v>270</v>
      </c>
      <c r="B304" s="26">
        <f t="shared" si="10"/>
        <v>38</v>
      </c>
      <c r="C304" s="26">
        <f t="shared" si="11"/>
        <v>4</v>
      </c>
      <c r="D304" s="112" cm="1">
        <f t="array" ref="D304">INDEX('Sug-2'!$B$2:$H$88,1+B304,C304)</f>
        <v>0</v>
      </c>
    </row>
    <row r="305" spans="1:4" x14ac:dyDescent="0.75">
      <c r="A305" s="26">
        <v>271</v>
      </c>
      <c r="B305" s="26">
        <f t="shared" si="10"/>
        <v>38</v>
      </c>
      <c r="C305" s="26">
        <f t="shared" si="11"/>
        <v>5</v>
      </c>
      <c r="D305" s="112" cm="1">
        <f t="array" ref="D305">INDEX('Sug-2'!$B$2:$H$88,1+B305,C305)</f>
        <v>0</v>
      </c>
    </row>
    <row r="306" spans="1:4" x14ac:dyDescent="0.75">
      <c r="A306" s="26">
        <v>272</v>
      </c>
      <c r="B306" s="26">
        <f t="shared" si="10"/>
        <v>38</v>
      </c>
      <c r="C306" s="26">
        <f t="shared" si="11"/>
        <v>6</v>
      </c>
      <c r="D306" s="112" cm="1">
        <f t="array" ref="D306">INDEX('Sug-2'!$B$2:$H$88,1+B306,C306)</f>
        <v>0</v>
      </c>
    </row>
    <row r="307" spans="1:4" x14ac:dyDescent="0.75">
      <c r="A307" s="26">
        <v>273</v>
      </c>
      <c r="B307" s="26">
        <f t="shared" si="10"/>
        <v>38</v>
      </c>
      <c r="C307" s="26">
        <f t="shared" si="11"/>
        <v>7</v>
      </c>
      <c r="D307" s="112" cm="1">
        <f t="array" ref="D307">INDEX('Sug-2'!$B$2:$H$88,1+B307,C307)</f>
        <v>0</v>
      </c>
    </row>
    <row r="308" spans="1:4" x14ac:dyDescent="0.75">
      <c r="A308" s="26">
        <v>274</v>
      </c>
      <c r="B308" s="26">
        <f t="shared" si="10"/>
        <v>39</v>
      </c>
      <c r="C308" s="26">
        <f t="shared" si="11"/>
        <v>1</v>
      </c>
      <c r="D308" s="112" cm="1">
        <f t="array" ref="D308">INDEX('Sug-2'!$B$2:$H$88,1+B308,C308)</f>
        <v>0</v>
      </c>
    </row>
    <row r="309" spans="1:4" x14ac:dyDescent="0.75">
      <c r="A309" s="26">
        <v>275</v>
      </c>
      <c r="B309" s="26">
        <f t="shared" si="10"/>
        <v>39</v>
      </c>
      <c r="C309" s="26">
        <f t="shared" si="11"/>
        <v>2</v>
      </c>
      <c r="D309" s="112" cm="1">
        <f t="array" ref="D309">INDEX('Sug-2'!$B$2:$H$88,1+B309,C309)</f>
        <v>0</v>
      </c>
    </row>
    <row r="310" spans="1:4" x14ac:dyDescent="0.75">
      <c r="A310" s="26">
        <v>276</v>
      </c>
      <c r="B310" s="26">
        <f t="shared" si="10"/>
        <v>39</v>
      </c>
      <c r="C310" s="26">
        <f t="shared" si="11"/>
        <v>3</v>
      </c>
      <c r="D310" s="112" cm="1">
        <f t="array" ref="D310">INDEX('Sug-2'!$B$2:$H$88,1+B310,C310)</f>
        <v>0</v>
      </c>
    </row>
    <row r="311" spans="1:4" x14ac:dyDescent="0.75">
      <c r="A311" s="26">
        <v>277</v>
      </c>
      <c r="B311" s="26">
        <f t="shared" si="10"/>
        <v>39</v>
      </c>
      <c r="C311" s="26">
        <f t="shared" si="11"/>
        <v>4</v>
      </c>
      <c r="D311" s="112" cm="1">
        <f t="array" ref="D311">INDEX('Sug-2'!$B$2:$H$88,1+B311,C311)</f>
        <v>0</v>
      </c>
    </row>
    <row r="312" spans="1:4" x14ac:dyDescent="0.75">
      <c r="A312" s="26">
        <v>278</v>
      </c>
      <c r="B312" s="26">
        <f t="shared" si="10"/>
        <v>39</v>
      </c>
      <c r="C312" s="26">
        <f t="shared" si="11"/>
        <v>5</v>
      </c>
      <c r="D312" s="112" cm="1">
        <f t="array" ref="D312">INDEX('Sug-2'!$B$2:$H$88,1+B312,C312)</f>
        <v>0</v>
      </c>
    </row>
    <row r="313" spans="1:4" x14ac:dyDescent="0.75">
      <c r="A313" s="26">
        <v>279</v>
      </c>
      <c r="B313" s="26">
        <f t="shared" si="10"/>
        <v>39</v>
      </c>
      <c r="C313" s="26">
        <f t="shared" si="11"/>
        <v>6</v>
      </c>
      <c r="D313" s="112" cm="1">
        <f t="array" ref="D313">INDEX('Sug-2'!$B$2:$H$88,1+B313,C313)</f>
        <v>0</v>
      </c>
    </row>
    <row r="314" spans="1:4" x14ac:dyDescent="0.75">
      <c r="A314" s="26">
        <v>280</v>
      </c>
      <c r="B314" s="26">
        <f t="shared" si="10"/>
        <v>39</v>
      </c>
      <c r="C314" s="26">
        <f t="shared" si="11"/>
        <v>7</v>
      </c>
      <c r="D314" s="112" cm="1">
        <f t="array" ref="D314">INDEX('Sug-2'!$B$2:$H$88,1+B314,C314)</f>
        <v>0</v>
      </c>
    </row>
    <row r="315" spans="1:4" x14ac:dyDescent="0.75">
      <c r="A315" s="26">
        <v>281</v>
      </c>
      <c r="B315" s="26">
        <f t="shared" si="10"/>
        <v>40</v>
      </c>
      <c r="C315" s="26">
        <f t="shared" si="11"/>
        <v>1</v>
      </c>
      <c r="D315" s="112" cm="1">
        <f t="array" ref="D315">INDEX('Sug-2'!$B$2:$H$88,1+B315,C315)</f>
        <v>0</v>
      </c>
    </row>
    <row r="316" spans="1:4" x14ac:dyDescent="0.75">
      <c r="A316" s="26">
        <v>282</v>
      </c>
      <c r="B316" s="26">
        <f t="shared" si="10"/>
        <v>40</v>
      </c>
      <c r="C316" s="26">
        <f t="shared" si="11"/>
        <v>2</v>
      </c>
      <c r="D316" s="112" cm="1">
        <f t="array" ref="D316">INDEX('Sug-2'!$B$2:$H$88,1+B316,C316)</f>
        <v>0</v>
      </c>
    </row>
    <row r="317" spans="1:4" x14ac:dyDescent="0.75">
      <c r="A317" s="26">
        <v>283</v>
      </c>
      <c r="B317" s="26">
        <f t="shared" si="10"/>
        <v>40</v>
      </c>
      <c r="C317" s="26">
        <f t="shared" si="11"/>
        <v>3</v>
      </c>
      <c r="D317" s="112" cm="1">
        <f t="array" ref="D317">INDEX('Sug-2'!$B$2:$H$88,1+B317,C317)</f>
        <v>0</v>
      </c>
    </row>
    <row r="318" spans="1:4" x14ac:dyDescent="0.75">
      <c r="A318" s="26">
        <v>284</v>
      </c>
      <c r="B318" s="26">
        <f t="shared" si="10"/>
        <v>40</v>
      </c>
      <c r="C318" s="26">
        <f t="shared" si="11"/>
        <v>4</v>
      </c>
      <c r="D318" s="112" cm="1">
        <f t="array" ref="D318">INDEX('Sug-2'!$B$2:$H$88,1+B318,C318)</f>
        <v>0</v>
      </c>
    </row>
    <row r="319" spans="1:4" x14ac:dyDescent="0.75">
      <c r="A319" s="26">
        <v>285</v>
      </c>
      <c r="B319" s="26">
        <f t="shared" si="10"/>
        <v>40</v>
      </c>
      <c r="C319" s="26">
        <f t="shared" si="11"/>
        <v>5</v>
      </c>
      <c r="D319" s="112" cm="1">
        <f t="array" ref="D319">INDEX('Sug-2'!$B$2:$H$88,1+B319,C319)</f>
        <v>0</v>
      </c>
    </row>
    <row r="320" spans="1:4" x14ac:dyDescent="0.75">
      <c r="A320" s="26">
        <v>286</v>
      </c>
      <c r="B320" s="26">
        <f t="shared" si="10"/>
        <v>40</v>
      </c>
      <c r="C320" s="26">
        <f t="shared" si="11"/>
        <v>6</v>
      </c>
      <c r="D320" s="112" cm="1">
        <f t="array" ref="D320">INDEX('Sug-2'!$B$2:$H$88,1+B320,C320)</f>
        <v>0</v>
      </c>
    </row>
    <row r="321" spans="1:4" x14ac:dyDescent="0.75">
      <c r="A321" s="26">
        <v>287</v>
      </c>
      <c r="B321" s="26">
        <f t="shared" si="10"/>
        <v>40</v>
      </c>
      <c r="C321" s="26">
        <f t="shared" si="11"/>
        <v>7</v>
      </c>
      <c r="D321" s="112" cm="1">
        <f t="array" ref="D321">INDEX('Sug-2'!$B$2:$H$88,1+B321,C321)</f>
        <v>0</v>
      </c>
    </row>
    <row r="322" spans="1:4" x14ac:dyDescent="0.75">
      <c r="A322" s="26">
        <v>288</v>
      </c>
      <c r="B322" s="26">
        <f t="shared" si="10"/>
        <v>41</v>
      </c>
      <c r="C322" s="26">
        <f t="shared" si="11"/>
        <v>1</v>
      </c>
      <c r="D322" s="112" cm="1">
        <f t="array" ref="D322">INDEX('Sug-2'!$B$2:$H$88,1+B322,C322)</f>
        <v>0</v>
      </c>
    </row>
    <row r="323" spans="1:4" x14ac:dyDescent="0.75">
      <c r="A323" s="26">
        <v>289</v>
      </c>
      <c r="B323" s="26">
        <f t="shared" si="10"/>
        <v>41</v>
      </c>
      <c r="C323" s="26">
        <f t="shared" si="11"/>
        <v>2</v>
      </c>
      <c r="D323" s="112" cm="1">
        <f t="array" ref="D323">INDEX('Sug-2'!$B$2:$H$88,1+B323,C323)</f>
        <v>0</v>
      </c>
    </row>
    <row r="324" spans="1:4" x14ac:dyDescent="0.75">
      <c r="A324" s="26">
        <v>290</v>
      </c>
      <c r="B324" s="26">
        <f t="shared" si="10"/>
        <v>41</v>
      </c>
      <c r="C324" s="26">
        <f t="shared" si="11"/>
        <v>3</v>
      </c>
      <c r="D324" s="112" cm="1">
        <f t="array" ref="D324">INDEX('Sug-2'!$B$2:$H$88,1+B324,C324)</f>
        <v>0</v>
      </c>
    </row>
    <row r="325" spans="1:4" x14ac:dyDescent="0.75">
      <c r="A325" s="26">
        <v>291</v>
      </c>
      <c r="B325" s="26">
        <f t="shared" si="10"/>
        <v>41</v>
      </c>
      <c r="C325" s="26">
        <f t="shared" si="11"/>
        <v>4</v>
      </c>
      <c r="D325" s="112" cm="1">
        <f t="array" ref="D325">INDEX('Sug-2'!$B$2:$H$88,1+B325,C325)</f>
        <v>0</v>
      </c>
    </row>
    <row r="326" spans="1:4" x14ac:dyDescent="0.75">
      <c r="A326" s="26">
        <v>292</v>
      </c>
      <c r="B326" s="26">
        <f t="shared" si="10"/>
        <v>41</v>
      </c>
      <c r="C326" s="26">
        <f t="shared" si="11"/>
        <v>5</v>
      </c>
      <c r="D326" s="112" cm="1">
        <f t="array" ref="D326">INDEX('Sug-2'!$B$2:$H$88,1+B326,C326)</f>
        <v>0</v>
      </c>
    </row>
    <row r="327" spans="1:4" x14ac:dyDescent="0.75">
      <c r="A327" s="26">
        <v>293</v>
      </c>
      <c r="B327" s="26">
        <f t="shared" si="10"/>
        <v>41</v>
      </c>
      <c r="C327" s="26">
        <f t="shared" si="11"/>
        <v>6</v>
      </c>
      <c r="D327" s="112" cm="1">
        <f t="array" ref="D327">INDEX('Sug-2'!$B$2:$H$88,1+B327,C327)</f>
        <v>0</v>
      </c>
    </row>
    <row r="328" spans="1:4" x14ac:dyDescent="0.75">
      <c r="A328" s="26">
        <v>294</v>
      </c>
      <c r="B328" s="26">
        <f t="shared" si="10"/>
        <v>41</v>
      </c>
      <c r="C328" s="26">
        <f t="shared" si="11"/>
        <v>7</v>
      </c>
      <c r="D328" s="112" cm="1">
        <f t="array" ref="D328">INDEX('Sug-2'!$B$2:$H$88,1+B328,C328)</f>
        <v>0</v>
      </c>
    </row>
    <row r="329" spans="1:4" x14ac:dyDescent="0.75">
      <c r="A329" s="26">
        <v>295</v>
      </c>
      <c r="B329" s="26">
        <f t="shared" si="10"/>
        <v>42</v>
      </c>
      <c r="C329" s="26">
        <f t="shared" si="11"/>
        <v>1</v>
      </c>
      <c r="D329" s="112" cm="1">
        <f t="array" ref="D329">INDEX('Sug-2'!$B$2:$H$88,1+B329,C329)</f>
        <v>0</v>
      </c>
    </row>
    <row r="330" spans="1:4" x14ac:dyDescent="0.75">
      <c r="A330" s="26">
        <v>296</v>
      </c>
      <c r="B330" s="26">
        <f t="shared" si="10"/>
        <v>42</v>
      </c>
      <c r="C330" s="26">
        <f t="shared" si="11"/>
        <v>2</v>
      </c>
      <c r="D330" s="112" cm="1">
        <f t="array" ref="D330">INDEX('Sug-2'!$B$2:$H$88,1+B330,C330)</f>
        <v>0</v>
      </c>
    </row>
    <row r="331" spans="1:4" x14ac:dyDescent="0.75">
      <c r="A331" s="26">
        <v>297</v>
      </c>
      <c r="B331" s="26">
        <f t="shared" si="10"/>
        <v>42</v>
      </c>
      <c r="C331" s="26">
        <f t="shared" si="11"/>
        <v>3</v>
      </c>
      <c r="D331" s="112" cm="1">
        <f t="array" ref="D331">INDEX('Sug-2'!$B$2:$H$88,1+B331,C331)</f>
        <v>0</v>
      </c>
    </row>
    <row r="332" spans="1:4" x14ac:dyDescent="0.75">
      <c r="A332" s="26">
        <v>298</v>
      </c>
      <c r="B332" s="26">
        <f t="shared" si="10"/>
        <v>42</v>
      </c>
      <c r="C332" s="26">
        <f t="shared" si="11"/>
        <v>4</v>
      </c>
      <c r="D332" s="112" cm="1">
        <f t="array" ref="D332">INDEX('Sug-2'!$B$2:$H$88,1+B332,C332)</f>
        <v>0</v>
      </c>
    </row>
    <row r="333" spans="1:4" x14ac:dyDescent="0.75">
      <c r="A333" s="26">
        <v>299</v>
      </c>
      <c r="B333" s="26">
        <f t="shared" si="10"/>
        <v>42</v>
      </c>
      <c r="C333" s="26">
        <f t="shared" si="11"/>
        <v>5</v>
      </c>
      <c r="D333" s="112" cm="1">
        <f t="array" ref="D333">INDEX('Sug-2'!$B$2:$H$88,1+B333,C333)</f>
        <v>0</v>
      </c>
    </row>
    <row r="334" spans="1:4" x14ac:dyDescent="0.75">
      <c r="A334" s="26">
        <v>300</v>
      </c>
      <c r="B334" s="26">
        <f t="shared" si="10"/>
        <v>42</v>
      </c>
      <c r="C334" s="26">
        <f t="shared" si="11"/>
        <v>6</v>
      </c>
      <c r="D334" s="112" cm="1">
        <f t="array" ref="D334">INDEX('Sug-2'!$B$2:$H$88,1+B334,C334)</f>
        <v>0</v>
      </c>
    </row>
    <row r="335" spans="1:4" x14ac:dyDescent="0.75">
      <c r="A335" s="26">
        <v>301</v>
      </c>
      <c r="B335" s="26">
        <f t="shared" si="10"/>
        <v>42</v>
      </c>
      <c r="C335" s="26">
        <f t="shared" si="11"/>
        <v>7</v>
      </c>
      <c r="D335" s="112" cm="1">
        <f t="array" ref="D335">INDEX('Sug-2'!$B$2:$H$88,1+B335,C335)</f>
        <v>0</v>
      </c>
    </row>
    <row r="336" spans="1:4" x14ac:dyDescent="0.75">
      <c r="A336" s="26">
        <v>302</v>
      </c>
      <c r="B336" s="26">
        <f t="shared" si="10"/>
        <v>43</v>
      </c>
      <c r="C336" s="26">
        <f t="shared" si="11"/>
        <v>1</v>
      </c>
      <c r="D336" s="112" cm="1">
        <f t="array" ref="D336">INDEX('Sug-2'!$B$2:$H$88,1+B336,C336)</f>
        <v>0</v>
      </c>
    </row>
    <row r="337" spans="1:4" x14ac:dyDescent="0.75">
      <c r="A337" s="26">
        <v>303</v>
      </c>
      <c r="B337" s="26">
        <f t="shared" si="10"/>
        <v>43</v>
      </c>
      <c r="C337" s="26">
        <f t="shared" si="11"/>
        <v>2</v>
      </c>
      <c r="D337" s="112" cm="1">
        <f t="array" ref="D337">INDEX('Sug-2'!$B$2:$H$88,1+B337,C337)</f>
        <v>0</v>
      </c>
    </row>
    <row r="338" spans="1:4" x14ac:dyDescent="0.75">
      <c r="A338" s="26">
        <v>304</v>
      </c>
      <c r="B338" s="26">
        <f t="shared" si="10"/>
        <v>43</v>
      </c>
      <c r="C338" s="26">
        <f t="shared" si="11"/>
        <v>3</v>
      </c>
      <c r="D338" s="112" cm="1">
        <f t="array" ref="D338">INDEX('Sug-2'!$B$2:$H$88,1+B338,C338)</f>
        <v>0</v>
      </c>
    </row>
    <row r="339" spans="1:4" x14ac:dyDescent="0.75">
      <c r="A339" s="26">
        <v>305</v>
      </c>
      <c r="B339" s="26">
        <f t="shared" si="10"/>
        <v>43</v>
      </c>
      <c r="C339" s="26">
        <f t="shared" si="11"/>
        <v>4</v>
      </c>
      <c r="D339" s="112" cm="1">
        <f t="array" ref="D339">INDEX('Sug-2'!$B$2:$H$88,1+B339,C339)</f>
        <v>0</v>
      </c>
    </row>
    <row r="340" spans="1:4" x14ac:dyDescent="0.75">
      <c r="A340" s="26">
        <v>306</v>
      </c>
      <c r="B340" s="26">
        <f t="shared" si="10"/>
        <v>43</v>
      </c>
      <c r="C340" s="26">
        <f t="shared" si="11"/>
        <v>5</v>
      </c>
      <c r="D340" s="112" cm="1">
        <f t="array" ref="D340">INDEX('Sug-2'!$B$2:$H$88,1+B340,C340)</f>
        <v>0</v>
      </c>
    </row>
    <row r="341" spans="1:4" x14ac:dyDescent="0.75">
      <c r="A341" s="26">
        <v>307</v>
      </c>
      <c r="B341" s="26">
        <f t="shared" si="10"/>
        <v>43</v>
      </c>
      <c r="C341" s="26">
        <f t="shared" si="11"/>
        <v>6</v>
      </c>
      <c r="D341" s="112" cm="1">
        <f t="array" ref="D341">INDEX('Sug-2'!$B$2:$H$88,1+B341,C341)</f>
        <v>0</v>
      </c>
    </row>
    <row r="342" spans="1:4" x14ac:dyDescent="0.75">
      <c r="A342" s="26">
        <v>308</v>
      </c>
      <c r="B342" s="26">
        <f t="shared" si="10"/>
        <v>43</v>
      </c>
      <c r="C342" s="26">
        <f t="shared" si="11"/>
        <v>7</v>
      </c>
      <c r="D342" s="112" cm="1">
        <f t="array" ref="D342">INDEX('Sug-2'!$B$2:$H$88,1+B342,C342)</f>
        <v>0</v>
      </c>
    </row>
    <row r="343" spans="1:4" x14ac:dyDescent="0.75">
      <c r="A343" s="26">
        <v>309</v>
      </c>
      <c r="B343" s="26">
        <f t="shared" si="10"/>
        <v>44</v>
      </c>
      <c r="C343" s="26">
        <f t="shared" si="11"/>
        <v>1</v>
      </c>
      <c r="D343" s="112" cm="1">
        <f t="array" ref="D343">INDEX('Sug-2'!$B$2:$H$88,1+B343,C343)</f>
        <v>0</v>
      </c>
    </row>
    <row r="344" spans="1:4" x14ac:dyDescent="0.75">
      <c r="A344" s="26">
        <v>310</v>
      </c>
      <c r="B344" s="26">
        <f t="shared" si="10"/>
        <v>44</v>
      </c>
      <c r="C344" s="26">
        <f t="shared" si="11"/>
        <v>2</v>
      </c>
      <c r="D344" s="112" cm="1">
        <f t="array" ref="D344">INDEX('Sug-2'!$B$2:$H$88,1+B344,C344)</f>
        <v>0</v>
      </c>
    </row>
    <row r="345" spans="1:4" x14ac:dyDescent="0.75">
      <c r="A345" s="26">
        <v>311</v>
      </c>
      <c r="B345" s="26">
        <f t="shared" si="10"/>
        <v>44</v>
      </c>
      <c r="C345" s="26">
        <f t="shared" si="11"/>
        <v>3</v>
      </c>
      <c r="D345" s="112" cm="1">
        <f t="array" ref="D345">INDEX('Sug-2'!$B$2:$H$88,1+B345,C345)</f>
        <v>0</v>
      </c>
    </row>
    <row r="346" spans="1:4" x14ac:dyDescent="0.75">
      <c r="A346" s="26">
        <v>312</v>
      </c>
      <c r="B346" s="26">
        <f t="shared" si="10"/>
        <v>44</v>
      </c>
      <c r="C346" s="26">
        <f t="shared" si="11"/>
        <v>4</v>
      </c>
      <c r="D346" s="112" cm="1">
        <f t="array" ref="D346">INDEX('Sug-2'!$B$2:$H$88,1+B346,C346)</f>
        <v>0</v>
      </c>
    </row>
    <row r="347" spans="1:4" x14ac:dyDescent="0.75">
      <c r="A347" s="26">
        <v>313</v>
      </c>
      <c r="B347" s="26">
        <f t="shared" si="10"/>
        <v>44</v>
      </c>
      <c r="C347" s="26">
        <f t="shared" si="11"/>
        <v>5</v>
      </c>
      <c r="D347" s="112" cm="1">
        <f t="array" ref="D347">INDEX('Sug-2'!$B$2:$H$88,1+B347,C347)</f>
        <v>0</v>
      </c>
    </row>
    <row r="348" spans="1:4" x14ac:dyDescent="0.75">
      <c r="A348" s="26">
        <v>314</v>
      </c>
      <c r="B348" s="26">
        <f t="shared" si="10"/>
        <v>44</v>
      </c>
      <c r="C348" s="26">
        <f t="shared" si="11"/>
        <v>6</v>
      </c>
      <c r="D348" s="112" cm="1">
        <f t="array" ref="D348">INDEX('Sug-2'!$B$2:$H$88,1+B348,C348)</f>
        <v>0</v>
      </c>
    </row>
    <row r="349" spans="1:4" x14ac:dyDescent="0.75">
      <c r="A349" s="26">
        <v>315</v>
      </c>
      <c r="B349" s="26">
        <f t="shared" si="10"/>
        <v>44</v>
      </c>
      <c r="C349" s="26">
        <f t="shared" si="11"/>
        <v>7</v>
      </c>
      <c r="D349" s="112" cm="1">
        <f t="array" ref="D349">INDEX('Sug-2'!$B$2:$H$88,1+B349,C349)</f>
        <v>0</v>
      </c>
    </row>
    <row r="350" spans="1:4" x14ac:dyDescent="0.75">
      <c r="A350" s="26">
        <v>316</v>
      </c>
      <c r="B350" s="26">
        <f t="shared" si="10"/>
        <v>45</v>
      </c>
      <c r="C350" s="26">
        <f t="shared" si="11"/>
        <v>1</v>
      </c>
      <c r="D350" s="112" cm="1">
        <f t="array" ref="D350">INDEX('Sug-2'!$B$2:$H$88,1+B350,C350)</f>
        <v>0</v>
      </c>
    </row>
    <row r="351" spans="1:4" x14ac:dyDescent="0.75">
      <c r="A351" s="26">
        <v>317</v>
      </c>
      <c r="B351" s="26">
        <f t="shared" si="10"/>
        <v>45</v>
      </c>
      <c r="C351" s="26">
        <f t="shared" si="11"/>
        <v>2</v>
      </c>
      <c r="D351" s="112" cm="1">
        <f t="array" ref="D351">INDEX('Sug-2'!$B$2:$H$88,1+B351,C351)</f>
        <v>0</v>
      </c>
    </row>
    <row r="352" spans="1:4" x14ac:dyDescent="0.75">
      <c r="A352" s="26">
        <v>318</v>
      </c>
      <c r="B352" s="26">
        <f t="shared" si="10"/>
        <v>45</v>
      </c>
      <c r="C352" s="26">
        <f t="shared" si="11"/>
        <v>3</v>
      </c>
      <c r="D352" s="112" cm="1">
        <f t="array" ref="D352">INDEX('Sug-2'!$B$2:$H$88,1+B352,C352)</f>
        <v>0</v>
      </c>
    </row>
    <row r="353" spans="1:4" x14ac:dyDescent="0.75">
      <c r="A353" s="26">
        <v>319</v>
      </c>
      <c r="B353" s="26">
        <f t="shared" si="10"/>
        <v>45</v>
      </c>
      <c r="C353" s="26">
        <f t="shared" si="11"/>
        <v>4</v>
      </c>
      <c r="D353" s="112" cm="1">
        <f t="array" ref="D353">INDEX('Sug-2'!$B$2:$H$88,1+B353,C353)</f>
        <v>0</v>
      </c>
    </row>
    <row r="354" spans="1:4" x14ac:dyDescent="0.75">
      <c r="A354" s="26">
        <v>320</v>
      </c>
      <c r="B354" s="26">
        <f t="shared" si="10"/>
        <v>45</v>
      </c>
      <c r="C354" s="26">
        <f t="shared" si="11"/>
        <v>5</v>
      </c>
      <c r="D354" s="112" cm="1">
        <f t="array" ref="D354">INDEX('Sug-2'!$B$2:$H$88,1+B354,C354)</f>
        <v>0</v>
      </c>
    </row>
    <row r="355" spans="1:4" x14ac:dyDescent="0.75">
      <c r="A355" s="26">
        <v>321</v>
      </c>
      <c r="B355" s="26">
        <f t="shared" si="10"/>
        <v>45</v>
      </c>
      <c r="C355" s="26">
        <f t="shared" si="11"/>
        <v>6</v>
      </c>
      <c r="D355" s="112" cm="1">
        <f t="array" ref="D355">INDEX('Sug-2'!$B$2:$H$88,1+B355,C355)</f>
        <v>0</v>
      </c>
    </row>
    <row r="356" spans="1:4" x14ac:dyDescent="0.75">
      <c r="A356" s="26">
        <v>322</v>
      </c>
      <c r="B356" s="26">
        <f t="shared" si="10"/>
        <v>45</v>
      </c>
      <c r="C356" s="26">
        <f t="shared" si="11"/>
        <v>7</v>
      </c>
      <c r="D356" s="112" cm="1">
        <f t="array" ref="D356">INDEX('Sug-2'!$B$2:$H$88,1+B356,C356)</f>
        <v>0</v>
      </c>
    </row>
    <row r="357" spans="1:4" x14ac:dyDescent="0.75">
      <c r="A357" s="26">
        <v>323</v>
      </c>
      <c r="B357" s="26">
        <f t="shared" si="10"/>
        <v>46</v>
      </c>
      <c r="C357" s="26">
        <f t="shared" si="11"/>
        <v>1</v>
      </c>
      <c r="D357" s="112" cm="1">
        <f t="array" ref="D357">INDEX('Sug-2'!$B$2:$H$88,1+B357,C357)</f>
        <v>0</v>
      </c>
    </row>
    <row r="358" spans="1:4" x14ac:dyDescent="0.75">
      <c r="A358" s="26">
        <v>324</v>
      </c>
      <c r="B358" s="26">
        <f t="shared" si="10"/>
        <v>46</v>
      </c>
      <c r="C358" s="26">
        <f t="shared" si="11"/>
        <v>2</v>
      </c>
      <c r="D358" s="112" cm="1">
        <f t="array" ref="D358">INDEX('Sug-2'!$B$2:$H$88,1+B358,C358)</f>
        <v>0</v>
      </c>
    </row>
    <row r="359" spans="1:4" x14ac:dyDescent="0.75">
      <c r="A359" s="26">
        <v>325</v>
      </c>
      <c r="B359" s="26">
        <f t="shared" si="10"/>
        <v>46</v>
      </c>
      <c r="C359" s="26">
        <f t="shared" si="11"/>
        <v>3</v>
      </c>
      <c r="D359" s="112" cm="1">
        <f t="array" ref="D359">INDEX('Sug-2'!$B$2:$H$88,1+B359,C359)</f>
        <v>0</v>
      </c>
    </row>
    <row r="360" spans="1:4" x14ac:dyDescent="0.75">
      <c r="A360" s="26">
        <v>326</v>
      </c>
      <c r="B360" s="26">
        <f t="shared" si="10"/>
        <v>46</v>
      </c>
      <c r="C360" s="26">
        <f t="shared" si="11"/>
        <v>4</v>
      </c>
      <c r="D360" s="112" cm="1">
        <f t="array" ref="D360">INDEX('Sug-2'!$B$2:$H$88,1+B360,C360)</f>
        <v>0</v>
      </c>
    </row>
    <row r="361" spans="1:4" x14ac:dyDescent="0.75">
      <c r="A361" s="26">
        <v>327</v>
      </c>
      <c r="B361" s="26">
        <f t="shared" si="10"/>
        <v>46</v>
      </c>
      <c r="C361" s="26">
        <f t="shared" si="11"/>
        <v>5</v>
      </c>
      <c r="D361" s="112" cm="1">
        <f t="array" ref="D361">INDEX('Sug-2'!$B$2:$H$88,1+B361,C361)</f>
        <v>0</v>
      </c>
    </row>
    <row r="362" spans="1:4" x14ac:dyDescent="0.75">
      <c r="A362" s="26">
        <v>328</v>
      </c>
      <c r="B362" s="26">
        <f t="shared" ref="B362:B405" si="12">IF(MOD(A362,7)=0,A362/7-1,INT(A362/7))</f>
        <v>46</v>
      </c>
      <c r="C362" s="26">
        <f t="shared" ref="C362:C405" si="13">IF(MOD(A362,7)=0,7,MOD(A362,7))</f>
        <v>6</v>
      </c>
      <c r="D362" s="112" cm="1">
        <f t="array" ref="D362">INDEX('Sug-2'!$B$2:$H$88,1+B362,C362)</f>
        <v>0</v>
      </c>
    </row>
    <row r="363" spans="1:4" x14ac:dyDescent="0.75">
      <c r="A363" s="26">
        <v>329</v>
      </c>
      <c r="B363" s="26">
        <f t="shared" si="12"/>
        <v>46</v>
      </c>
      <c r="C363" s="26">
        <f t="shared" si="13"/>
        <v>7</v>
      </c>
      <c r="D363" s="112" cm="1">
        <f t="array" ref="D363">INDEX('Sug-2'!$B$2:$H$88,1+B363,C363)</f>
        <v>0</v>
      </c>
    </row>
    <row r="364" spans="1:4" x14ac:dyDescent="0.75">
      <c r="A364" s="26">
        <v>330</v>
      </c>
      <c r="B364" s="26">
        <f t="shared" si="12"/>
        <v>47</v>
      </c>
      <c r="C364" s="26">
        <f t="shared" si="13"/>
        <v>1</v>
      </c>
      <c r="D364" s="112" cm="1">
        <f t="array" ref="D364">INDEX('Sug-2'!$B$2:$H$88,1+B364,C364)</f>
        <v>0</v>
      </c>
    </row>
    <row r="365" spans="1:4" x14ac:dyDescent="0.75">
      <c r="A365" s="26">
        <v>331</v>
      </c>
      <c r="B365" s="26">
        <f t="shared" si="12"/>
        <v>47</v>
      </c>
      <c r="C365" s="26">
        <f t="shared" si="13"/>
        <v>2</v>
      </c>
      <c r="D365" s="112" cm="1">
        <f t="array" ref="D365">INDEX('Sug-2'!$B$2:$H$88,1+B365,C365)</f>
        <v>0</v>
      </c>
    </row>
    <row r="366" spans="1:4" x14ac:dyDescent="0.75">
      <c r="A366" s="26">
        <v>332</v>
      </c>
      <c r="B366" s="26">
        <f t="shared" si="12"/>
        <v>47</v>
      </c>
      <c r="C366" s="26">
        <f t="shared" si="13"/>
        <v>3</v>
      </c>
      <c r="D366" s="112" cm="1">
        <f t="array" ref="D366">INDEX('Sug-2'!$B$2:$H$88,1+B366,C366)</f>
        <v>0</v>
      </c>
    </row>
    <row r="367" spans="1:4" x14ac:dyDescent="0.75">
      <c r="A367" s="26">
        <v>333</v>
      </c>
      <c r="B367" s="26">
        <f t="shared" si="12"/>
        <v>47</v>
      </c>
      <c r="C367" s="26">
        <f t="shared" si="13"/>
        <v>4</v>
      </c>
      <c r="D367" s="112" cm="1">
        <f t="array" ref="D367">INDEX('Sug-2'!$B$2:$H$88,1+B367,C367)</f>
        <v>0</v>
      </c>
    </row>
    <row r="368" spans="1:4" x14ac:dyDescent="0.75">
      <c r="A368" s="26">
        <v>334</v>
      </c>
      <c r="B368" s="26">
        <f t="shared" si="12"/>
        <v>47</v>
      </c>
      <c r="C368" s="26">
        <f t="shared" si="13"/>
        <v>5</v>
      </c>
      <c r="D368" s="112" cm="1">
        <f t="array" ref="D368">INDEX('Sug-2'!$B$2:$H$88,1+B368,C368)</f>
        <v>0</v>
      </c>
    </row>
    <row r="369" spans="1:4" x14ac:dyDescent="0.75">
      <c r="A369" s="26">
        <v>335</v>
      </c>
      <c r="B369" s="26">
        <f t="shared" si="12"/>
        <v>47</v>
      </c>
      <c r="C369" s="26">
        <f t="shared" si="13"/>
        <v>6</v>
      </c>
      <c r="D369" s="112" cm="1">
        <f t="array" ref="D369">INDEX('Sug-2'!$B$2:$H$88,1+B369,C369)</f>
        <v>0</v>
      </c>
    </row>
    <row r="370" spans="1:4" x14ac:dyDescent="0.75">
      <c r="A370" s="26">
        <v>336</v>
      </c>
      <c r="B370" s="26">
        <f t="shared" si="12"/>
        <v>47</v>
      </c>
      <c r="C370" s="26">
        <f t="shared" si="13"/>
        <v>7</v>
      </c>
      <c r="D370" s="112" cm="1">
        <f t="array" ref="D370">INDEX('Sug-2'!$B$2:$H$88,1+B370,C370)</f>
        <v>0</v>
      </c>
    </row>
    <row r="371" spans="1:4" x14ac:dyDescent="0.75">
      <c r="A371" s="26">
        <v>337</v>
      </c>
      <c r="B371" s="26">
        <f t="shared" si="12"/>
        <v>48</v>
      </c>
      <c r="C371" s="26">
        <f t="shared" si="13"/>
        <v>1</v>
      </c>
      <c r="D371" s="112" cm="1">
        <f t="array" ref="D371">INDEX('Sug-2'!$B$2:$H$88,1+B371,C371)</f>
        <v>0</v>
      </c>
    </row>
    <row r="372" spans="1:4" x14ac:dyDescent="0.75">
      <c r="A372" s="26">
        <v>338</v>
      </c>
      <c r="B372" s="26">
        <f t="shared" si="12"/>
        <v>48</v>
      </c>
      <c r="C372" s="26">
        <f t="shared" si="13"/>
        <v>2</v>
      </c>
      <c r="D372" s="112" cm="1">
        <f t="array" ref="D372">INDEX('Sug-2'!$B$2:$H$88,1+B372,C372)</f>
        <v>0</v>
      </c>
    </row>
    <row r="373" spans="1:4" x14ac:dyDescent="0.75">
      <c r="A373" s="26">
        <v>339</v>
      </c>
      <c r="B373" s="26">
        <f t="shared" si="12"/>
        <v>48</v>
      </c>
      <c r="C373" s="26">
        <f t="shared" si="13"/>
        <v>3</v>
      </c>
      <c r="D373" s="112" cm="1">
        <f t="array" ref="D373">INDEX('Sug-2'!$B$2:$H$88,1+B373,C373)</f>
        <v>0</v>
      </c>
    </row>
    <row r="374" spans="1:4" x14ac:dyDescent="0.75">
      <c r="A374" s="26">
        <v>340</v>
      </c>
      <c r="B374" s="26">
        <f t="shared" si="12"/>
        <v>48</v>
      </c>
      <c r="C374" s="26">
        <f t="shared" si="13"/>
        <v>4</v>
      </c>
      <c r="D374" s="112" cm="1">
        <f t="array" ref="D374">INDEX('Sug-2'!$B$2:$H$88,1+B374,C374)</f>
        <v>0</v>
      </c>
    </row>
    <row r="375" spans="1:4" x14ac:dyDescent="0.75">
      <c r="A375" s="26">
        <v>341</v>
      </c>
      <c r="B375" s="26">
        <f t="shared" si="12"/>
        <v>48</v>
      </c>
      <c r="C375" s="26">
        <f t="shared" si="13"/>
        <v>5</v>
      </c>
      <c r="D375" s="112" cm="1">
        <f t="array" ref="D375">INDEX('Sug-2'!$B$2:$H$88,1+B375,C375)</f>
        <v>0</v>
      </c>
    </row>
    <row r="376" spans="1:4" x14ac:dyDescent="0.75">
      <c r="A376" s="26">
        <v>342</v>
      </c>
      <c r="B376" s="26">
        <f t="shared" si="12"/>
        <v>48</v>
      </c>
      <c r="C376" s="26">
        <f t="shared" si="13"/>
        <v>6</v>
      </c>
      <c r="D376" s="112" cm="1">
        <f t="array" ref="D376">INDEX('Sug-2'!$B$2:$H$88,1+B376,C376)</f>
        <v>0</v>
      </c>
    </row>
    <row r="377" spans="1:4" x14ac:dyDescent="0.75">
      <c r="A377" s="26">
        <v>343</v>
      </c>
      <c r="B377" s="26">
        <f t="shared" si="12"/>
        <v>48</v>
      </c>
      <c r="C377" s="26">
        <f t="shared" si="13"/>
        <v>7</v>
      </c>
      <c r="D377" s="112" cm="1">
        <f t="array" ref="D377">INDEX('Sug-2'!$B$2:$H$88,1+B377,C377)</f>
        <v>0</v>
      </c>
    </row>
    <row r="378" spans="1:4" x14ac:dyDescent="0.75">
      <c r="A378" s="26">
        <v>344</v>
      </c>
      <c r="B378" s="26">
        <f t="shared" si="12"/>
        <v>49</v>
      </c>
      <c r="C378" s="26">
        <f t="shared" si="13"/>
        <v>1</v>
      </c>
      <c r="D378" s="112" cm="1">
        <f t="array" ref="D378">INDEX('Sug-2'!$B$2:$H$88,1+B378,C378)</f>
        <v>0</v>
      </c>
    </row>
    <row r="379" spans="1:4" x14ac:dyDescent="0.75">
      <c r="A379" s="26">
        <v>345</v>
      </c>
      <c r="B379" s="26">
        <f t="shared" si="12"/>
        <v>49</v>
      </c>
      <c r="C379" s="26">
        <f t="shared" si="13"/>
        <v>2</v>
      </c>
      <c r="D379" s="112" cm="1">
        <f t="array" ref="D379">INDEX('Sug-2'!$B$2:$H$88,1+B379,C379)</f>
        <v>0</v>
      </c>
    </row>
    <row r="380" spans="1:4" x14ac:dyDescent="0.75">
      <c r="A380" s="26">
        <v>346</v>
      </c>
      <c r="B380" s="26">
        <f t="shared" si="12"/>
        <v>49</v>
      </c>
      <c r="C380" s="26">
        <f t="shared" si="13"/>
        <v>3</v>
      </c>
      <c r="D380" s="112" cm="1">
        <f t="array" ref="D380">INDEX('Sug-2'!$B$2:$H$88,1+B380,C380)</f>
        <v>0</v>
      </c>
    </row>
    <row r="381" spans="1:4" x14ac:dyDescent="0.75">
      <c r="A381" s="26">
        <v>347</v>
      </c>
      <c r="B381" s="26">
        <f t="shared" si="12"/>
        <v>49</v>
      </c>
      <c r="C381" s="26">
        <f t="shared" si="13"/>
        <v>4</v>
      </c>
      <c r="D381" s="112" cm="1">
        <f t="array" ref="D381">INDEX('Sug-2'!$B$2:$H$88,1+B381,C381)</f>
        <v>0</v>
      </c>
    </row>
    <row r="382" spans="1:4" x14ac:dyDescent="0.75">
      <c r="A382" s="26">
        <v>348</v>
      </c>
      <c r="B382" s="26">
        <f t="shared" si="12"/>
        <v>49</v>
      </c>
      <c r="C382" s="26">
        <f t="shared" si="13"/>
        <v>5</v>
      </c>
      <c r="D382" s="112" cm="1">
        <f t="array" ref="D382">INDEX('Sug-2'!$B$2:$H$88,1+B382,C382)</f>
        <v>0</v>
      </c>
    </row>
    <row r="383" spans="1:4" x14ac:dyDescent="0.75">
      <c r="A383" s="26">
        <v>349</v>
      </c>
      <c r="B383" s="26">
        <f t="shared" si="12"/>
        <v>49</v>
      </c>
      <c r="C383" s="26">
        <f t="shared" si="13"/>
        <v>6</v>
      </c>
      <c r="D383" s="112" cm="1">
        <f t="array" ref="D383">INDEX('Sug-2'!$B$2:$H$88,1+B383,C383)</f>
        <v>0</v>
      </c>
    </row>
    <row r="384" spans="1:4" x14ac:dyDescent="0.75">
      <c r="A384" s="26">
        <v>350</v>
      </c>
      <c r="B384" s="26">
        <f t="shared" si="12"/>
        <v>49</v>
      </c>
      <c r="C384" s="26">
        <f t="shared" si="13"/>
        <v>7</v>
      </c>
      <c r="D384" s="112" cm="1">
        <f t="array" ref="D384">INDEX('Sug-2'!$B$2:$H$88,1+B384,C384)</f>
        <v>0</v>
      </c>
    </row>
    <row r="385" spans="1:4" x14ac:dyDescent="0.75">
      <c r="A385" s="26">
        <v>351</v>
      </c>
      <c r="B385" s="26">
        <f t="shared" si="12"/>
        <v>50</v>
      </c>
      <c r="C385" s="26">
        <f t="shared" si="13"/>
        <v>1</v>
      </c>
      <c r="D385" s="112" cm="1">
        <f t="array" ref="D385">INDEX('Sug-2'!$B$2:$H$88,1+B385,C385)</f>
        <v>0</v>
      </c>
    </row>
    <row r="386" spans="1:4" x14ac:dyDescent="0.75">
      <c r="A386" s="26">
        <v>352</v>
      </c>
      <c r="B386" s="26">
        <f t="shared" si="12"/>
        <v>50</v>
      </c>
      <c r="C386" s="26">
        <f t="shared" si="13"/>
        <v>2</v>
      </c>
      <c r="D386" s="112" cm="1">
        <f t="array" ref="D386">INDEX('Sug-2'!$B$2:$H$88,1+B386,C386)</f>
        <v>0</v>
      </c>
    </row>
    <row r="387" spans="1:4" x14ac:dyDescent="0.75">
      <c r="A387" s="26">
        <v>353</v>
      </c>
      <c r="B387" s="26">
        <f t="shared" si="12"/>
        <v>50</v>
      </c>
      <c r="C387" s="26">
        <f t="shared" si="13"/>
        <v>3</v>
      </c>
      <c r="D387" s="112" cm="1">
        <f t="array" ref="D387">INDEX('Sug-2'!$B$2:$H$88,1+B387,C387)</f>
        <v>0</v>
      </c>
    </row>
    <row r="388" spans="1:4" x14ac:dyDescent="0.75">
      <c r="A388" s="26">
        <v>354</v>
      </c>
      <c r="B388" s="26">
        <f t="shared" si="12"/>
        <v>50</v>
      </c>
      <c r="C388" s="26">
        <f t="shared" si="13"/>
        <v>4</v>
      </c>
      <c r="D388" s="112" cm="1">
        <f t="array" ref="D388">INDEX('Sug-2'!$B$2:$H$88,1+B388,C388)</f>
        <v>0</v>
      </c>
    </row>
    <row r="389" spans="1:4" x14ac:dyDescent="0.75">
      <c r="A389" s="26">
        <v>355</v>
      </c>
      <c r="B389" s="26">
        <f t="shared" si="12"/>
        <v>50</v>
      </c>
      <c r="C389" s="26">
        <f t="shared" si="13"/>
        <v>5</v>
      </c>
      <c r="D389" s="112" cm="1">
        <f t="array" ref="D389">INDEX('Sug-2'!$B$2:$H$88,1+B389,C389)</f>
        <v>0</v>
      </c>
    </row>
    <row r="390" spans="1:4" x14ac:dyDescent="0.75">
      <c r="A390" s="26">
        <v>356</v>
      </c>
      <c r="B390" s="26">
        <f t="shared" si="12"/>
        <v>50</v>
      </c>
      <c r="C390" s="26">
        <f t="shared" si="13"/>
        <v>6</v>
      </c>
      <c r="D390" s="112" cm="1">
        <f t="array" ref="D390">INDEX('Sug-2'!$B$2:$H$88,1+B390,C390)</f>
        <v>0</v>
      </c>
    </row>
    <row r="391" spans="1:4" x14ac:dyDescent="0.75">
      <c r="A391" s="26">
        <v>357</v>
      </c>
      <c r="B391" s="26">
        <f t="shared" si="12"/>
        <v>50</v>
      </c>
      <c r="C391" s="26">
        <f t="shared" si="13"/>
        <v>7</v>
      </c>
      <c r="D391" s="112" cm="1">
        <f t="array" ref="D391">INDEX('Sug-2'!$B$2:$H$88,1+B391,C391)</f>
        <v>0</v>
      </c>
    </row>
    <row r="392" spans="1:4" x14ac:dyDescent="0.75">
      <c r="A392" s="26">
        <v>358</v>
      </c>
      <c r="B392" s="26">
        <f t="shared" si="12"/>
        <v>51</v>
      </c>
      <c r="C392" s="26">
        <f t="shared" si="13"/>
        <v>1</v>
      </c>
      <c r="D392" s="112" cm="1">
        <f t="array" ref="D392">INDEX('Sug-2'!$B$2:$H$88,1+B392,C392)</f>
        <v>0</v>
      </c>
    </row>
    <row r="393" spans="1:4" x14ac:dyDescent="0.75">
      <c r="A393" s="26">
        <v>359</v>
      </c>
      <c r="B393" s="26">
        <f t="shared" si="12"/>
        <v>51</v>
      </c>
      <c r="C393" s="26">
        <f t="shared" si="13"/>
        <v>2</v>
      </c>
      <c r="D393" s="112" cm="1">
        <f t="array" ref="D393">INDEX('Sug-2'!$B$2:$H$88,1+B393,C393)</f>
        <v>0</v>
      </c>
    </row>
    <row r="394" spans="1:4" x14ac:dyDescent="0.75">
      <c r="A394" s="26">
        <v>360</v>
      </c>
      <c r="B394" s="26">
        <f t="shared" si="12"/>
        <v>51</v>
      </c>
      <c r="C394" s="26">
        <f t="shared" si="13"/>
        <v>3</v>
      </c>
      <c r="D394" s="112" cm="1">
        <f t="array" ref="D394">INDEX('Sug-2'!$B$2:$H$88,1+B394,C394)</f>
        <v>0</v>
      </c>
    </row>
    <row r="395" spans="1:4" x14ac:dyDescent="0.75">
      <c r="A395" s="26">
        <v>361</v>
      </c>
      <c r="B395" s="26">
        <f t="shared" si="12"/>
        <v>51</v>
      </c>
      <c r="C395" s="26">
        <f t="shared" si="13"/>
        <v>4</v>
      </c>
      <c r="D395" s="112" cm="1">
        <f t="array" ref="D395">INDEX('Sug-2'!$B$2:$H$88,1+B395,C395)</f>
        <v>0</v>
      </c>
    </row>
    <row r="396" spans="1:4" x14ac:dyDescent="0.75">
      <c r="A396" s="26">
        <v>362</v>
      </c>
      <c r="B396" s="26">
        <f t="shared" si="12"/>
        <v>51</v>
      </c>
      <c r="C396" s="26">
        <f t="shared" si="13"/>
        <v>5</v>
      </c>
      <c r="D396" s="112" cm="1">
        <f t="array" ref="D396">INDEX('Sug-2'!$B$2:$H$88,1+B396,C396)</f>
        <v>0</v>
      </c>
    </row>
    <row r="397" spans="1:4" x14ac:dyDescent="0.75">
      <c r="A397" s="26">
        <v>363</v>
      </c>
      <c r="B397" s="26">
        <f t="shared" si="12"/>
        <v>51</v>
      </c>
      <c r="C397" s="26">
        <f t="shared" si="13"/>
        <v>6</v>
      </c>
      <c r="D397" s="112" cm="1">
        <f t="array" ref="D397">INDEX('Sug-2'!$B$2:$H$88,1+B397,C397)</f>
        <v>0</v>
      </c>
    </row>
    <row r="398" spans="1:4" x14ac:dyDescent="0.75">
      <c r="A398" s="26">
        <v>364</v>
      </c>
      <c r="B398" s="26">
        <f t="shared" si="12"/>
        <v>51</v>
      </c>
      <c r="C398" s="26">
        <f t="shared" si="13"/>
        <v>7</v>
      </c>
      <c r="D398" s="112" cm="1">
        <f t="array" ref="D398">INDEX('Sug-2'!$B$2:$H$88,1+B398,C398)</f>
        <v>0</v>
      </c>
    </row>
    <row r="399" spans="1:4" x14ac:dyDescent="0.75">
      <c r="A399" s="26">
        <v>365</v>
      </c>
      <c r="B399" s="26">
        <f t="shared" si="12"/>
        <v>52</v>
      </c>
      <c r="C399" s="26">
        <f t="shared" si="13"/>
        <v>1</v>
      </c>
      <c r="D399" s="112" cm="1">
        <f t="array" ref="D399">INDEX('Sug-2'!$B$2:$H$88,1+B399,C399)</f>
        <v>0</v>
      </c>
    </row>
    <row r="400" spans="1:4" x14ac:dyDescent="0.75">
      <c r="A400" s="26">
        <v>366</v>
      </c>
      <c r="B400" s="26">
        <f t="shared" si="12"/>
        <v>52</v>
      </c>
      <c r="C400" s="26">
        <f t="shared" si="13"/>
        <v>2</v>
      </c>
      <c r="D400" s="112" cm="1">
        <f t="array" ref="D400">INDEX('Sug-2'!$B$2:$H$88,1+B400,C400)</f>
        <v>0</v>
      </c>
    </row>
    <row r="401" spans="1:4" x14ac:dyDescent="0.75">
      <c r="A401" s="26">
        <v>367</v>
      </c>
      <c r="B401" s="26">
        <f t="shared" si="12"/>
        <v>52</v>
      </c>
      <c r="C401" s="26">
        <f t="shared" si="13"/>
        <v>3</v>
      </c>
      <c r="D401" s="112" cm="1">
        <f t="array" ref="D401">INDEX('Sug-2'!$B$2:$H$88,1+B401,C401)</f>
        <v>0</v>
      </c>
    </row>
    <row r="402" spans="1:4" x14ac:dyDescent="0.75">
      <c r="A402" s="26">
        <v>368</v>
      </c>
      <c r="B402" s="26">
        <f t="shared" si="12"/>
        <v>52</v>
      </c>
      <c r="C402" s="26">
        <f t="shared" si="13"/>
        <v>4</v>
      </c>
      <c r="D402" s="112" cm="1">
        <f t="array" ref="D402">INDEX('Sug-2'!$B$2:$H$88,1+B402,C402)</f>
        <v>0</v>
      </c>
    </row>
    <row r="403" spans="1:4" x14ac:dyDescent="0.75">
      <c r="A403" s="26">
        <v>369</v>
      </c>
      <c r="B403" s="26">
        <f t="shared" si="12"/>
        <v>52</v>
      </c>
      <c r="C403" s="26">
        <f t="shared" si="13"/>
        <v>5</v>
      </c>
      <c r="D403" s="112" cm="1">
        <f t="array" ref="D403">INDEX('Sug-2'!$B$2:$H$88,1+B403,C403)</f>
        <v>0</v>
      </c>
    </row>
    <row r="404" spans="1:4" x14ac:dyDescent="0.75">
      <c r="A404" s="26">
        <v>370</v>
      </c>
      <c r="B404" s="26">
        <f t="shared" si="12"/>
        <v>52</v>
      </c>
      <c r="C404" s="26">
        <f t="shared" si="13"/>
        <v>6</v>
      </c>
      <c r="D404" s="112" cm="1">
        <f t="array" ref="D404">INDEX('Sug-2'!$B$2:$H$88,1+B404,C404)</f>
        <v>0</v>
      </c>
    </row>
    <row r="405" spans="1:4" x14ac:dyDescent="0.75">
      <c r="A405" s="26">
        <v>371</v>
      </c>
      <c r="B405" s="26">
        <f t="shared" si="12"/>
        <v>52</v>
      </c>
      <c r="C405" s="26">
        <f t="shared" si="13"/>
        <v>7</v>
      </c>
      <c r="D405" s="112" cm="1">
        <f t="array" ref="D405">INDEX('Sug-2'!$B$2:$H$88,1+B405,C405)</f>
        <v>0</v>
      </c>
    </row>
    <row r="406" spans="1:4" x14ac:dyDescent="0.75">
      <c r="A406" s="26">
        <v>372</v>
      </c>
      <c r="B406" s="26">
        <f t="shared" ref="B406:B422" si="14">IF(MOD(A406,7)=0,A406/7-1,INT(A406/7))</f>
        <v>53</v>
      </c>
      <c r="C406" s="26">
        <f t="shared" ref="C406:C422" si="15">IF(MOD(A406,7)=0,7,MOD(A406,7))</f>
        <v>1</v>
      </c>
      <c r="D406" s="112" cm="1">
        <f t="array" ref="D406">INDEX('Sug-2'!$B$2:$H$88,1+B406,C406)</f>
        <v>0</v>
      </c>
    </row>
    <row r="407" spans="1:4" x14ac:dyDescent="0.75">
      <c r="A407" s="26">
        <v>373</v>
      </c>
      <c r="B407" s="26">
        <f t="shared" si="14"/>
        <v>53</v>
      </c>
      <c r="C407" s="26">
        <f t="shared" si="15"/>
        <v>2</v>
      </c>
      <c r="D407" s="112" cm="1">
        <f t="array" ref="D407">INDEX('Sug-2'!$B$2:$H$88,1+B407,C407)</f>
        <v>0</v>
      </c>
    </row>
    <row r="408" spans="1:4" x14ac:dyDescent="0.75">
      <c r="A408" s="26">
        <v>374</v>
      </c>
      <c r="B408" s="26">
        <f t="shared" si="14"/>
        <v>53</v>
      </c>
      <c r="C408" s="26">
        <f t="shared" si="15"/>
        <v>3</v>
      </c>
      <c r="D408" s="112" cm="1">
        <f t="array" ref="D408">INDEX('Sug-2'!$B$2:$H$88,1+B408,C408)</f>
        <v>0</v>
      </c>
    </row>
    <row r="409" spans="1:4" x14ac:dyDescent="0.75">
      <c r="A409" s="26">
        <v>375</v>
      </c>
      <c r="B409" s="26">
        <f t="shared" si="14"/>
        <v>53</v>
      </c>
      <c r="C409" s="26">
        <f t="shared" si="15"/>
        <v>4</v>
      </c>
      <c r="D409" s="112" cm="1">
        <f t="array" ref="D409">INDEX('Sug-2'!$B$2:$H$88,1+B409,C409)</f>
        <v>0</v>
      </c>
    </row>
    <row r="410" spans="1:4" x14ac:dyDescent="0.75">
      <c r="A410" s="26">
        <v>376</v>
      </c>
      <c r="B410" s="26">
        <f t="shared" si="14"/>
        <v>53</v>
      </c>
      <c r="C410" s="26">
        <f t="shared" si="15"/>
        <v>5</v>
      </c>
      <c r="D410" s="112" cm="1">
        <f t="array" ref="D410">INDEX('Sug-2'!$B$2:$H$88,1+B410,C410)</f>
        <v>0</v>
      </c>
    </row>
    <row r="411" spans="1:4" x14ac:dyDescent="0.75">
      <c r="A411" s="26">
        <v>377</v>
      </c>
      <c r="B411" s="26">
        <f t="shared" si="14"/>
        <v>53</v>
      </c>
      <c r="C411" s="26">
        <f t="shared" si="15"/>
        <v>6</v>
      </c>
      <c r="D411" s="112" cm="1">
        <f t="array" ref="D411">INDEX('Sug-2'!$B$2:$H$88,1+B411,C411)</f>
        <v>0</v>
      </c>
    </row>
    <row r="412" spans="1:4" x14ac:dyDescent="0.75">
      <c r="A412" s="26">
        <v>378</v>
      </c>
      <c r="B412" s="26">
        <f t="shared" si="14"/>
        <v>53</v>
      </c>
      <c r="C412" s="26">
        <f t="shared" si="15"/>
        <v>7</v>
      </c>
      <c r="D412" s="112" cm="1">
        <f t="array" ref="D412">INDEX('Sug-2'!$B$2:$H$88,1+B412,C412)</f>
        <v>0</v>
      </c>
    </row>
    <row r="413" spans="1:4" x14ac:dyDescent="0.75">
      <c r="A413" s="26">
        <v>379</v>
      </c>
      <c r="B413" s="26">
        <f t="shared" si="14"/>
        <v>54</v>
      </c>
      <c r="C413" s="26">
        <f t="shared" si="15"/>
        <v>1</v>
      </c>
      <c r="D413" s="112" cm="1">
        <f t="array" ref="D413">INDEX('Sug-2'!$B$2:$H$88,1+B413,C413)</f>
        <v>0</v>
      </c>
    </row>
    <row r="414" spans="1:4" x14ac:dyDescent="0.75">
      <c r="A414" s="26">
        <v>380</v>
      </c>
      <c r="B414" s="26">
        <f t="shared" si="14"/>
        <v>54</v>
      </c>
      <c r="C414" s="26">
        <f t="shared" si="15"/>
        <v>2</v>
      </c>
      <c r="D414" s="112" cm="1">
        <f t="array" ref="D414">INDEX('Sug-2'!$B$2:$H$88,1+B414,C414)</f>
        <v>0</v>
      </c>
    </row>
    <row r="415" spans="1:4" x14ac:dyDescent="0.75">
      <c r="A415" s="26">
        <v>381</v>
      </c>
      <c r="B415" s="26">
        <f t="shared" si="14"/>
        <v>54</v>
      </c>
      <c r="C415" s="26">
        <f t="shared" si="15"/>
        <v>3</v>
      </c>
      <c r="D415" s="112" cm="1">
        <f t="array" ref="D415">INDEX('Sug-2'!$B$2:$H$88,1+B415,C415)</f>
        <v>0</v>
      </c>
    </row>
    <row r="416" spans="1:4" x14ac:dyDescent="0.75">
      <c r="A416" s="26">
        <v>382</v>
      </c>
      <c r="B416" s="26">
        <f t="shared" si="14"/>
        <v>54</v>
      </c>
      <c r="C416" s="26">
        <f t="shared" si="15"/>
        <v>4</v>
      </c>
      <c r="D416" s="112" cm="1">
        <f t="array" ref="D416">INDEX('Sug-2'!$B$2:$H$88,1+B416,C416)</f>
        <v>0</v>
      </c>
    </row>
    <row r="417" spans="1:4" x14ac:dyDescent="0.75">
      <c r="A417" s="26">
        <v>383</v>
      </c>
      <c r="B417" s="26">
        <f t="shared" si="14"/>
        <v>54</v>
      </c>
      <c r="C417" s="26">
        <f t="shared" si="15"/>
        <v>5</v>
      </c>
      <c r="D417" s="112" cm="1">
        <f t="array" ref="D417">INDEX('Sug-2'!$B$2:$H$88,1+B417,C417)</f>
        <v>0</v>
      </c>
    </row>
    <row r="418" spans="1:4" x14ac:dyDescent="0.75">
      <c r="A418" s="26">
        <v>384</v>
      </c>
      <c r="B418" s="26">
        <f t="shared" si="14"/>
        <v>54</v>
      </c>
      <c r="C418" s="26">
        <f t="shared" si="15"/>
        <v>6</v>
      </c>
      <c r="D418" s="112" cm="1">
        <f t="array" ref="D418">INDEX('Sug-2'!$B$2:$H$88,1+B418,C418)</f>
        <v>0</v>
      </c>
    </row>
    <row r="419" spans="1:4" x14ac:dyDescent="0.75">
      <c r="A419" s="26">
        <v>385</v>
      </c>
      <c r="B419" s="26">
        <f t="shared" si="14"/>
        <v>54</v>
      </c>
      <c r="C419" s="26">
        <f t="shared" si="15"/>
        <v>7</v>
      </c>
      <c r="D419" s="112" cm="1">
        <f t="array" ref="D419">INDEX('Sug-2'!$B$2:$H$88,1+B419,C419)</f>
        <v>0</v>
      </c>
    </row>
    <row r="420" spans="1:4" x14ac:dyDescent="0.75">
      <c r="A420" s="26">
        <v>386</v>
      </c>
      <c r="B420" s="26">
        <f t="shared" si="14"/>
        <v>55</v>
      </c>
      <c r="C420" s="26">
        <f t="shared" si="15"/>
        <v>1</v>
      </c>
      <c r="D420" s="112" cm="1">
        <f t="array" ref="D420">INDEX('Sug-2'!$B$2:$H$88,1+B420,C420)</f>
        <v>0</v>
      </c>
    </row>
    <row r="421" spans="1:4" x14ac:dyDescent="0.75">
      <c r="A421" s="26">
        <v>387</v>
      </c>
      <c r="B421" s="26">
        <f t="shared" si="14"/>
        <v>55</v>
      </c>
      <c r="C421" s="26">
        <f t="shared" si="15"/>
        <v>2</v>
      </c>
      <c r="D421" s="112" cm="1">
        <f t="array" ref="D421">INDEX('Sug-2'!$B$2:$H$88,1+B421,C421)</f>
        <v>0</v>
      </c>
    </row>
    <row r="422" spans="1:4" x14ac:dyDescent="0.75">
      <c r="A422" s="26">
        <v>388</v>
      </c>
      <c r="B422" s="26">
        <f t="shared" si="14"/>
        <v>55</v>
      </c>
      <c r="C422" s="26">
        <f t="shared" si="15"/>
        <v>3</v>
      </c>
      <c r="D422" s="112" cm="1">
        <f t="array" ref="D422">INDEX('Sug-2'!$B$2:$H$88,1+B422,C422)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workbookViewId="0"/>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44" t="s">
        <v>32</v>
      </c>
      <c r="E1" s="19"/>
      <c r="G1" s="42" t="s">
        <v>41</v>
      </c>
      <c r="N1" s="109" t="s">
        <v>39</v>
      </c>
    </row>
    <row r="2" spans="1:14" ht="15.5" thickBot="1" x14ac:dyDescent="0.9">
      <c r="C2" s="105" t="str">
        <f>'Meta-1'!B2</f>
        <v>http://hl7.eu/fhir/ig/pcsp</v>
      </c>
      <c r="D2" s="122" t="s">
        <v>46</v>
      </c>
      <c r="E2" s="35"/>
      <c r="G2" s="109" t="s">
        <v>38</v>
      </c>
      <c r="M2" s="44"/>
      <c r="N2" s="109" t="str">
        <f>CONCATENATE("Mapping: ",E2)</f>
        <v xml:space="preserve">Mapping: </v>
      </c>
    </row>
    <row r="3" spans="1:14" x14ac:dyDescent="0.75">
      <c r="C3" s="104" t="str">
        <f>'Meta-1'!B3</f>
        <v>Publisher</v>
      </c>
      <c r="D3" s="145"/>
      <c r="E3" s="36"/>
      <c r="M3" s="44"/>
      <c r="N3" s="109" t="str">
        <f>CONCATENATE("Id: ",E2)</f>
        <v xml:space="preserve">Id: </v>
      </c>
    </row>
    <row r="4" spans="1:14" ht="15.5" thickBot="1" x14ac:dyDescent="0.9">
      <c r="C4" s="105" t="str">
        <f>'Meta-1'!B4</f>
        <v>PanCareSurPass project</v>
      </c>
      <c r="D4" s="146"/>
      <c r="E4" s="37"/>
      <c r="M4" s="44"/>
      <c r="N4" s="109" t="str">
        <f>CONCATENATE("Title: """,D2,"""")</f>
        <v>Title: "FHIR"</v>
      </c>
    </row>
    <row r="5" spans="1:14" x14ac:dyDescent="0.75">
      <c r="M5" s="44"/>
      <c r="N5" s="109" t="str">
        <f>CONCATENATE("Source: ",C2,"/",C7)</f>
        <v>Source: http://hl7.eu/fhir/ig/pcsp/MedicalSuggestion</v>
      </c>
    </row>
    <row r="6" spans="1:14" x14ac:dyDescent="0.75">
      <c r="D6" s="110" t="s">
        <v>37</v>
      </c>
      <c r="M6" s="44"/>
      <c r="N6" s="109" t="str">
        <f>CONCATENATE("Target: """,D4,"""")</f>
        <v>Target: ""</v>
      </c>
    </row>
    <row r="7" spans="1:14" ht="59" x14ac:dyDescent="0.75">
      <c r="A7" s="111">
        <v>0</v>
      </c>
      <c r="B7" s="111">
        <f>'Sug-1'!A6</f>
        <v>0</v>
      </c>
      <c r="C7" s="111" t="str">
        <f>'Sug-1'!B6</f>
        <v>MedicalSuggestion</v>
      </c>
      <c r="D7" s="13" t="s">
        <v>1006</v>
      </c>
      <c r="H7" s="109" t="b">
        <f>IF(D7&gt;"",TRUE,FALSE)</f>
        <v>1</v>
      </c>
      <c r="I7" s="110" t="str">
        <f>IF(H7,CONCATENATE("* differential.element[",$B7,"].mapping[",$A7,"].identity = """,$G$1,""""),"")</f>
        <v>* differential.element[0].mapping[0].identity = "fhir"</v>
      </c>
      <c r="J7" s="110" t="str">
        <f>IF(H7,CONCATENATE("* differential.element[",$B7,"].mapping[",$A7,"].map = """,D7,""""),"")</f>
        <v>* differential.element[0].mapping[0].map = "TBD"</v>
      </c>
      <c r="K7" s="110" t="str">
        <f>IF(E7&gt;"",CONCATENATE("* differential.element[",$B7,"].mapping[",$A7,"].comment = """,E7,""""),"")</f>
        <v/>
      </c>
      <c r="M7" s="109" t="s">
        <v>40</v>
      </c>
      <c r="N7" s="109" t="s">
        <v>39</v>
      </c>
    </row>
    <row r="8" spans="1:14" ht="29.5" x14ac:dyDescent="0.75">
      <c r="A8" s="111">
        <v>0</v>
      </c>
      <c r="B8" s="111">
        <f>'Sug-1'!A7</f>
        <v>1</v>
      </c>
      <c r="C8" s="111" t="str">
        <f>'Sug-1'!B7</f>
        <v>identifier</v>
      </c>
      <c r="D8" s="138" t="s">
        <v>1006</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"TBD"</v>
      </c>
      <c r="K8" s="110" t="str">
        <f t="shared" ref="K8:K52" si="3">IF(E8&gt;"",CONCATENATE("* differential.element[",$B8,"].mapping[",$A8,"].comment = """,E8,""""),"")</f>
        <v/>
      </c>
      <c r="M8" s="44"/>
      <c r="N8" s="109" t="str">
        <f t="shared" ref="N8:N43" si="4">CONCATENATE("* ",C8," -&gt; """,D8,"""")</f>
        <v>* identifier -&gt; "TBD"</v>
      </c>
    </row>
    <row r="9" spans="1:14" ht="29.5" x14ac:dyDescent="0.75">
      <c r="A9" s="111">
        <v>0</v>
      </c>
      <c r="B9" s="111">
        <f>'Sug-1'!A8</f>
        <v>2</v>
      </c>
      <c r="C9" s="111" t="str">
        <f>'Sug-1'!B8</f>
        <v>relatedDiagnosis</v>
      </c>
      <c r="D9" s="138" t="s">
        <v>1006</v>
      </c>
      <c r="H9" s="109" t="b">
        <f t="shared" si="0"/>
        <v>1</v>
      </c>
      <c r="I9" s="110" t="str">
        <f t="shared" si="1"/>
        <v>* differential.element[2].mapping[0].identity = "fhir"</v>
      </c>
      <c r="J9" s="110" t="str">
        <f t="shared" si="2"/>
        <v>* differential.element[2].mapping[0].map = "TBD"</v>
      </c>
      <c r="K9" s="110" t="str">
        <f t="shared" si="3"/>
        <v/>
      </c>
      <c r="M9" s="44"/>
      <c r="N9" s="109" t="str">
        <f t="shared" si="4"/>
        <v>* relatedDiagnosis -&gt; "TBD"</v>
      </c>
    </row>
    <row r="10" spans="1:14" ht="29.5" x14ac:dyDescent="0.75">
      <c r="A10" s="111">
        <v>0</v>
      </c>
      <c r="B10" s="111">
        <f>'Sug-1'!A9</f>
        <v>3</v>
      </c>
      <c r="C10" s="111" t="str">
        <f>'Sug-1'!B9</f>
        <v>relatedRelapse</v>
      </c>
      <c r="D10" s="138" t="s">
        <v>1006</v>
      </c>
      <c r="H10" s="109" t="b">
        <f t="shared" si="0"/>
        <v>1</v>
      </c>
      <c r="I10" s="110" t="str">
        <f t="shared" si="1"/>
        <v>* differential.element[3].mapping[0].identity = "fhir"</v>
      </c>
      <c r="J10" s="110" t="str">
        <f t="shared" si="2"/>
        <v>* differential.element[3].mapping[0].map = "TBD"</v>
      </c>
      <c r="K10" s="110" t="str">
        <f t="shared" si="3"/>
        <v/>
      </c>
      <c r="M10" s="44"/>
      <c r="N10" s="109" t="str">
        <f t="shared" si="4"/>
        <v>* relatedRelapse -&gt; "TBD"</v>
      </c>
    </row>
    <row r="11" spans="1:14" ht="73.75" x14ac:dyDescent="0.75">
      <c r="A11" s="111">
        <v>0</v>
      </c>
      <c r="B11" s="111">
        <f>'Sug-1'!A10</f>
        <v>4</v>
      </c>
      <c r="C11" s="111" t="str">
        <f>'Sug-1'!B10</f>
        <v>prescribedMedication</v>
      </c>
      <c r="D11" s="138" t="s">
        <v>1006</v>
      </c>
      <c r="H11" s="109" t="b">
        <f t="shared" si="0"/>
        <v>1</v>
      </c>
      <c r="I11" s="110" t="str">
        <f t="shared" si="1"/>
        <v>* differential.element[4].mapping[0].identity = "fhir"</v>
      </c>
      <c r="J11" s="110" t="str">
        <f t="shared" si="2"/>
        <v>* differential.element[4].mapping[0].map = "TBD"</v>
      </c>
      <c r="K11" s="110" t="str">
        <f t="shared" si="3"/>
        <v/>
      </c>
      <c r="M11" s="44"/>
      <c r="N11" s="109" t="str">
        <f t="shared" si="4"/>
        <v>* prescribedMedication -&gt; "TBD"</v>
      </c>
    </row>
    <row r="12" spans="1:14" ht="29.5" x14ac:dyDescent="0.75">
      <c r="A12" s="111">
        <v>0</v>
      </c>
      <c r="B12" s="111">
        <f>'Sug-1'!A11</f>
        <v>5</v>
      </c>
      <c r="C12" s="111" t="str">
        <f>'Sug-1'!B11</f>
        <v>prescribedMedication.text</v>
      </c>
      <c r="D12" s="138" t="s">
        <v>1006</v>
      </c>
      <c r="H12" s="109" t="b">
        <f t="shared" si="0"/>
        <v>1</v>
      </c>
      <c r="I12" s="110" t="str">
        <f t="shared" si="1"/>
        <v>* differential.element[5].mapping[0].identity = "fhir"</v>
      </c>
      <c r="J12" s="110" t="str">
        <f t="shared" si="2"/>
        <v>* differential.element[5].mapping[0].map = "TBD"</v>
      </c>
      <c r="K12" s="110" t="str">
        <f t="shared" si="3"/>
        <v/>
      </c>
      <c r="M12" s="44"/>
      <c r="N12" s="109" t="str">
        <f>CONCATENATE("* ",C12," -&gt; """,D14,"""")</f>
        <v>* prescribedMedication.text -&gt; "TBD"</v>
      </c>
    </row>
    <row r="13" spans="1:14" ht="29.5" x14ac:dyDescent="0.75">
      <c r="A13" s="111">
        <v>0</v>
      </c>
      <c r="B13" s="111">
        <f>'Sug-1'!A12</f>
        <v>6</v>
      </c>
      <c r="C13" s="111" t="str">
        <f>'Sug-1'!B12</f>
        <v>prescribedMedication.name</v>
      </c>
      <c r="D13" s="138" t="s">
        <v>1006</v>
      </c>
      <c r="H13" s="109" t="b">
        <f t="shared" si="0"/>
        <v>1</v>
      </c>
      <c r="I13" s="110" t="str">
        <f t="shared" si="1"/>
        <v>* differential.element[6].mapping[0].identity = "fhir"</v>
      </c>
      <c r="J13" s="110" t="str">
        <f t="shared" si="2"/>
        <v>* differential.element[6].mapping[0].map = "TBD"</v>
      </c>
      <c r="K13" s="110" t="str">
        <f t="shared" si="3"/>
        <v/>
      </c>
      <c r="M13" s="44"/>
      <c r="N13" s="109" t="str">
        <f>CONCATENATE("* ",C13," -&gt; """,D12,"""")</f>
        <v>* prescribedMedication.name -&gt; "TBD"</v>
      </c>
    </row>
    <row r="14" spans="1:14" ht="29.5" x14ac:dyDescent="0.75">
      <c r="A14" s="111">
        <v>0</v>
      </c>
      <c r="B14" s="111">
        <f>'Sug-1'!A13</f>
        <v>7</v>
      </c>
      <c r="C14" s="111" t="str">
        <f>'Sug-1'!B13</f>
        <v>prescribedMedication.dose</v>
      </c>
      <c r="D14" s="138" t="s">
        <v>1006</v>
      </c>
      <c r="H14" s="109" t="b">
        <f t="shared" si="0"/>
        <v>1</v>
      </c>
      <c r="I14" s="110" t="str">
        <f t="shared" si="1"/>
        <v>* differential.element[7].mapping[0].identity = "fhir"</v>
      </c>
      <c r="J14" s="110" t="str">
        <f t="shared" si="2"/>
        <v>* differential.element[7].mapping[0].map = "TBD"</v>
      </c>
      <c r="K14" s="110" t="str">
        <f t="shared" si="3"/>
        <v/>
      </c>
      <c r="M14" s="44"/>
      <c r="N14" s="109" t="str">
        <f>CONCATENATE("* ",C14," -&gt; """,D13,"""")</f>
        <v>* prescribedMedication.dose -&gt; "TBD"</v>
      </c>
    </row>
    <row r="15" spans="1:14" ht="29.5" x14ac:dyDescent="0.75">
      <c r="A15" s="111">
        <v>0</v>
      </c>
      <c r="B15" s="111">
        <f>'Sug-1'!A14</f>
        <v>8</v>
      </c>
      <c r="C15" s="111" t="str">
        <f>'Sug-1'!B14</f>
        <v>prescribedMedication.schedule</v>
      </c>
      <c r="D15" s="138" t="s">
        <v>1006</v>
      </c>
      <c r="H15" s="109" t="b">
        <f t="shared" si="0"/>
        <v>1</v>
      </c>
      <c r="I15" s="110" t="str">
        <f t="shared" si="1"/>
        <v>* differential.element[8].mapping[0].identity = "fhir"</v>
      </c>
      <c r="J15" s="110" t="str">
        <f t="shared" si="2"/>
        <v>* differential.element[8].mapping[0].map = "TBD"</v>
      </c>
      <c r="K15" s="110" t="str">
        <f t="shared" si="3"/>
        <v/>
      </c>
      <c r="N15" s="109" t="str">
        <f t="shared" si="4"/>
        <v>* prescribedMedication.schedule -&gt; "TBD"</v>
      </c>
    </row>
    <row r="16" spans="1:14" ht="29.5" x14ac:dyDescent="0.75">
      <c r="A16" s="111">
        <v>0</v>
      </c>
      <c r="B16" s="111">
        <f>'Sug-1'!A15</f>
        <v>9</v>
      </c>
      <c r="C16" s="111" t="str">
        <f>'Sug-1'!B15</f>
        <v>prescribedMedication.date</v>
      </c>
      <c r="D16" s="138" t="s">
        <v>1006</v>
      </c>
      <c r="H16" s="109" t="b">
        <f t="shared" si="0"/>
        <v>1</v>
      </c>
      <c r="I16" s="110" t="str">
        <f t="shared" si="1"/>
        <v>* differential.element[9].mapping[0].identity = "fhir"</v>
      </c>
      <c r="J16" s="110" t="str">
        <f t="shared" si="2"/>
        <v>* differential.element[9].mapping[0].map = "TBD"</v>
      </c>
      <c r="K16" s="110" t="str">
        <f t="shared" si="3"/>
        <v/>
      </c>
      <c r="N16" s="109" t="str">
        <f t="shared" si="4"/>
        <v>* prescribedMedication.date -&gt; "TBD"</v>
      </c>
    </row>
    <row r="17" spans="1:14" ht="29.5" x14ac:dyDescent="0.75">
      <c r="A17" s="111">
        <v>0</v>
      </c>
      <c r="B17" s="111">
        <f>'Sug-1'!A16</f>
        <v>0</v>
      </c>
      <c r="C17" s="111" t="str">
        <f>'Sug-1'!B16</f>
        <v>notes</v>
      </c>
      <c r="D17" s="138" t="s">
        <v>1006</v>
      </c>
      <c r="H17" s="109" t="b">
        <f t="shared" si="0"/>
        <v>1</v>
      </c>
      <c r="I17" s="110" t="str">
        <f t="shared" si="1"/>
        <v>* differential.element[0].mapping[0].identity = "fhir"</v>
      </c>
      <c r="J17" s="110" t="str">
        <f t="shared" si="2"/>
        <v>* differential.element[0].mapping[0].map = "TBD"</v>
      </c>
      <c r="K17" s="110" t="str">
        <f t="shared" si="3"/>
        <v/>
      </c>
      <c r="N17" s="109" t="str">
        <f t="shared" si="4"/>
        <v>* notes -&gt; "TBD"</v>
      </c>
    </row>
    <row r="18" spans="1:14" x14ac:dyDescent="0.75">
      <c r="A18" s="111">
        <v>0</v>
      </c>
      <c r="B18" s="111">
        <f>'Sug-1'!A17</f>
        <v>0</v>
      </c>
      <c r="C18" s="111"/>
      <c r="D18" s="112"/>
      <c r="H18" s="109" t="b">
        <f t="shared" si="0"/>
        <v>0</v>
      </c>
      <c r="I18" s="110" t="str">
        <f t="shared" si="1"/>
        <v/>
      </c>
      <c r="J18" s="110" t="str">
        <f t="shared" si="2"/>
        <v/>
      </c>
      <c r="K18" s="110" t="str">
        <f t="shared" si="3"/>
        <v/>
      </c>
      <c r="N18" s="109" t="str">
        <f t="shared" si="4"/>
        <v>*  -&gt; ""</v>
      </c>
    </row>
    <row r="19" spans="1:14" x14ac:dyDescent="0.75">
      <c r="A19" s="111">
        <v>0</v>
      </c>
      <c r="B19" s="111">
        <f>'Sug-1'!A18</f>
        <v>0</v>
      </c>
      <c r="C19" s="111"/>
      <c r="D19" s="112"/>
      <c r="H19" s="109" t="b">
        <f t="shared" si="0"/>
        <v>0</v>
      </c>
      <c r="I19" s="110" t="str">
        <f t="shared" si="1"/>
        <v/>
      </c>
      <c r="J19" s="110" t="str">
        <f t="shared" si="2"/>
        <v/>
      </c>
      <c r="K19" s="110" t="str">
        <f t="shared" si="3"/>
        <v/>
      </c>
      <c r="N19" s="109" t="str">
        <f t="shared" si="4"/>
        <v>*  -&gt; ""</v>
      </c>
    </row>
    <row r="20" spans="1:14" x14ac:dyDescent="0.75">
      <c r="A20" s="111">
        <v>1</v>
      </c>
      <c r="B20" s="111">
        <f>'Sug-1'!A19</f>
        <v>0</v>
      </c>
      <c r="C20" s="111"/>
      <c r="D20" s="112"/>
      <c r="H20" s="109" t="b">
        <f t="shared" si="0"/>
        <v>0</v>
      </c>
      <c r="I20" s="110" t="str">
        <f t="shared" si="1"/>
        <v/>
      </c>
      <c r="J20" s="110" t="str">
        <f t="shared" si="2"/>
        <v/>
      </c>
      <c r="K20" s="110" t="str">
        <f t="shared" si="3"/>
        <v/>
      </c>
      <c r="N20" s="109" t="str">
        <f t="shared" si="4"/>
        <v>*  -&gt; ""</v>
      </c>
    </row>
    <row r="21" spans="1:14" x14ac:dyDescent="0.75">
      <c r="A21" s="111">
        <v>0</v>
      </c>
      <c r="B21" s="111">
        <f>'Sug-1'!A20</f>
        <v>0</v>
      </c>
      <c r="C21" s="111"/>
      <c r="D21" s="138"/>
      <c r="H21" s="109" t="b">
        <f t="shared" si="0"/>
        <v>0</v>
      </c>
      <c r="I21" s="110" t="str">
        <f t="shared" si="1"/>
        <v/>
      </c>
      <c r="J21" s="110" t="str">
        <f t="shared" si="2"/>
        <v/>
      </c>
      <c r="K21" s="110" t="str">
        <f t="shared" si="3"/>
        <v/>
      </c>
      <c r="N21" s="109" t="str">
        <f>CONCATENATE("* ",C21," -&gt; """,D23,"""")</f>
        <v>*  -&gt; ""</v>
      </c>
    </row>
    <row r="22" spans="1:14" x14ac:dyDescent="0.75">
      <c r="A22" s="111">
        <v>1</v>
      </c>
      <c r="B22" s="111">
        <f>'Sug-1'!A21</f>
        <v>0</v>
      </c>
      <c r="C22" s="111"/>
      <c r="D22" s="112"/>
      <c r="H22" s="109" t="b">
        <f t="shared" si="0"/>
        <v>0</v>
      </c>
      <c r="I22" s="110" t="str">
        <f t="shared" si="1"/>
        <v/>
      </c>
      <c r="J22" s="110" t="str">
        <f t="shared" si="2"/>
        <v/>
      </c>
      <c r="K22" s="110" t="str">
        <f t="shared" si="3"/>
        <v/>
      </c>
    </row>
    <row r="23" spans="1:14" x14ac:dyDescent="0.75">
      <c r="A23" s="111">
        <v>0</v>
      </c>
      <c r="B23" s="111">
        <f>'Sug-1'!A22</f>
        <v>0</v>
      </c>
      <c r="C23" s="111"/>
      <c r="D23" s="138"/>
      <c r="H23" s="109" t="b">
        <f t="shared" si="0"/>
        <v>0</v>
      </c>
      <c r="I23" s="110" t="str">
        <f t="shared" si="1"/>
        <v/>
      </c>
      <c r="J23" s="110" t="str">
        <f t="shared" si="2"/>
        <v/>
      </c>
      <c r="K23" s="110" t="str">
        <f t="shared" si="3"/>
        <v/>
      </c>
      <c r="N23" s="109" t="e">
        <f>CONCATENATE("* ",C23," -&gt; """,#REF!,"""")</f>
        <v>#REF!</v>
      </c>
    </row>
    <row r="24" spans="1:14" x14ac:dyDescent="0.75">
      <c r="A24" s="111">
        <v>0</v>
      </c>
      <c r="B24" s="111">
        <f>'Sug-1'!A23</f>
        <v>0</v>
      </c>
      <c r="C24" s="111"/>
      <c r="D24" s="138"/>
      <c r="H24" s="109" t="b">
        <f t="shared" si="0"/>
        <v>0</v>
      </c>
      <c r="I24" s="110" t="str">
        <f t="shared" si="1"/>
        <v/>
      </c>
      <c r="J24" s="110" t="str">
        <f t="shared" si="2"/>
        <v/>
      </c>
      <c r="K24" s="110" t="str">
        <f t="shared" si="3"/>
        <v/>
      </c>
      <c r="N24" s="109" t="str">
        <f t="shared" si="4"/>
        <v>*  -&gt; ""</v>
      </c>
    </row>
    <row r="25" spans="1:14" x14ac:dyDescent="0.75">
      <c r="A25" s="111">
        <v>0</v>
      </c>
      <c r="B25" s="111">
        <f>'Sug-1'!A24</f>
        <v>0</v>
      </c>
      <c r="C25" s="111"/>
      <c r="D25" s="138"/>
      <c r="H25" s="109" t="b">
        <f t="shared" si="0"/>
        <v>0</v>
      </c>
      <c r="I25" s="110" t="str">
        <f t="shared" si="1"/>
        <v/>
      </c>
      <c r="J25" s="110" t="str">
        <f t="shared" si="2"/>
        <v/>
      </c>
      <c r="K25" s="110" t="str">
        <f t="shared" si="3"/>
        <v/>
      </c>
      <c r="N25" s="109" t="str">
        <f t="shared" si="4"/>
        <v>*  -&gt; ""</v>
      </c>
    </row>
    <row r="26" spans="1:14" x14ac:dyDescent="0.75">
      <c r="A26" s="111">
        <v>0</v>
      </c>
      <c r="B26" s="111">
        <f>'Sug-1'!A25</f>
        <v>0</v>
      </c>
      <c r="C26" s="111"/>
      <c r="D26" s="138"/>
      <c r="H26" s="109" t="b">
        <f t="shared" si="0"/>
        <v>0</v>
      </c>
      <c r="I26" s="110" t="str">
        <f t="shared" si="1"/>
        <v/>
      </c>
      <c r="J26" s="110" t="str">
        <f t="shared" si="2"/>
        <v/>
      </c>
      <c r="K26" s="110" t="str">
        <f t="shared" si="3"/>
        <v/>
      </c>
      <c r="N26" s="109" t="str">
        <f t="shared" si="4"/>
        <v>*  -&gt; ""</v>
      </c>
    </row>
    <row r="27" spans="1:14" x14ac:dyDescent="0.75">
      <c r="A27" s="111">
        <v>0</v>
      </c>
      <c r="B27" s="111">
        <f>'Sug-1'!A26</f>
        <v>0</v>
      </c>
      <c r="C27" s="111"/>
      <c r="D27" s="138"/>
      <c r="H27" s="109" t="b">
        <f t="shared" si="0"/>
        <v>0</v>
      </c>
      <c r="I27" s="110" t="str">
        <f t="shared" si="1"/>
        <v/>
      </c>
      <c r="J27" s="110" t="str">
        <f t="shared" si="2"/>
        <v/>
      </c>
      <c r="K27" s="110" t="str">
        <f t="shared" si="3"/>
        <v/>
      </c>
      <c r="N27" s="109" t="str">
        <f t="shared" si="4"/>
        <v>*  -&gt; ""</v>
      </c>
    </row>
    <row r="28" spans="1:14" x14ac:dyDescent="0.75">
      <c r="A28" s="111">
        <v>0</v>
      </c>
      <c r="B28" s="111">
        <f>'Sug-1'!A27</f>
        <v>0</v>
      </c>
      <c r="C28" s="111"/>
      <c r="D28" s="138"/>
      <c r="H28" s="109" t="b">
        <f t="shared" si="0"/>
        <v>0</v>
      </c>
      <c r="I28" s="110" t="str">
        <f t="shared" si="1"/>
        <v/>
      </c>
      <c r="J28" s="110" t="str">
        <f t="shared" si="2"/>
        <v/>
      </c>
      <c r="K28" s="110" t="str">
        <f t="shared" si="3"/>
        <v/>
      </c>
      <c r="N28" s="109" t="str">
        <f t="shared" si="4"/>
        <v>*  -&gt; ""</v>
      </c>
    </row>
    <row r="29" spans="1:14" x14ac:dyDescent="0.75">
      <c r="A29" s="111">
        <v>0</v>
      </c>
      <c r="B29" s="111">
        <f>'Sug-1'!A28</f>
        <v>0</v>
      </c>
      <c r="C29" s="111"/>
      <c r="D29" s="138"/>
      <c r="H29" s="109" t="b">
        <f t="shared" si="0"/>
        <v>0</v>
      </c>
      <c r="I29" s="110" t="str">
        <f t="shared" si="1"/>
        <v/>
      </c>
      <c r="J29" s="110" t="str">
        <f t="shared" si="2"/>
        <v/>
      </c>
      <c r="K29" s="110" t="str">
        <f t="shared" si="3"/>
        <v/>
      </c>
      <c r="N29" s="109" t="str">
        <f t="shared" si="4"/>
        <v>*  -&gt; ""</v>
      </c>
    </row>
    <row r="30" spans="1:14" x14ac:dyDescent="0.75">
      <c r="A30" s="111">
        <v>0</v>
      </c>
      <c r="B30" s="111">
        <f>'Sug-1'!A29</f>
        <v>0</v>
      </c>
      <c r="C30" s="111"/>
      <c r="D30" s="138"/>
      <c r="H30" s="109" t="b">
        <f t="shared" si="0"/>
        <v>0</v>
      </c>
      <c r="I30" s="110" t="str">
        <f t="shared" si="1"/>
        <v/>
      </c>
      <c r="J30" s="110" t="str">
        <f t="shared" si="2"/>
        <v/>
      </c>
      <c r="K30" s="110" t="str">
        <f t="shared" si="3"/>
        <v/>
      </c>
      <c r="N30" s="109" t="str">
        <f>CONCATENATE("* ",C30," -&gt; """,D31,"""")</f>
        <v>*  -&gt; ""</v>
      </c>
    </row>
    <row r="31" spans="1:14" x14ac:dyDescent="0.75">
      <c r="A31" s="111">
        <v>0</v>
      </c>
      <c r="B31" s="111">
        <f>'Sug-1'!A30</f>
        <v>0</v>
      </c>
      <c r="C31" s="111"/>
      <c r="D31" s="138"/>
      <c r="H31" s="109" t="b">
        <f t="shared" si="0"/>
        <v>0</v>
      </c>
      <c r="I31" s="110" t="str">
        <f t="shared" si="1"/>
        <v/>
      </c>
      <c r="J31" s="110" t="str">
        <f t="shared" si="2"/>
        <v/>
      </c>
      <c r="K31" s="110" t="str">
        <f t="shared" si="3"/>
        <v/>
      </c>
      <c r="N31" s="109" t="e">
        <f>CONCATENATE("* ",C31," -&gt; """,#REF!,"""")</f>
        <v>#REF!</v>
      </c>
    </row>
    <row r="32" spans="1:14" x14ac:dyDescent="0.75">
      <c r="A32" s="111">
        <v>0</v>
      </c>
      <c r="B32" s="111">
        <f>'Sug-1'!A31</f>
        <v>0</v>
      </c>
      <c r="C32" s="111"/>
      <c r="D32" s="138"/>
      <c r="H32" s="109" t="b">
        <f t="shared" si="0"/>
        <v>0</v>
      </c>
      <c r="I32" s="110" t="str">
        <f t="shared" si="1"/>
        <v/>
      </c>
      <c r="J32" s="110" t="str">
        <f t="shared" si="2"/>
        <v/>
      </c>
      <c r="K32" s="110" t="str">
        <f t="shared" si="3"/>
        <v/>
      </c>
      <c r="N32" s="109" t="str">
        <f t="shared" si="4"/>
        <v>*  -&gt; ""</v>
      </c>
    </row>
    <row r="33" spans="1:14" x14ac:dyDescent="0.75">
      <c r="A33" s="111">
        <v>0</v>
      </c>
      <c r="B33" s="111">
        <f>'Sug-1'!A32</f>
        <v>0</v>
      </c>
      <c r="C33" s="111"/>
      <c r="D33" s="138"/>
      <c r="H33" s="109" t="b">
        <f t="shared" si="0"/>
        <v>0</v>
      </c>
      <c r="I33" s="110" t="str">
        <f t="shared" si="1"/>
        <v/>
      </c>
      <c r="J33" s="110" t="str">
        <f t="shared" si="2"/>
        <v/>
      </c>
      <c r="K33" s="110" t="str">
        <f t="shared" si="3"/>
        <v/>
      </c>
      <c r="N33" s="109" t="str">
        <f t="shared" si="4"/>
        <v>*  -&gt; ""</v>
      </c>
    </row>
    <row r="34" spans="1:14" x14ac:dyDescent="0.75">
      <c r="A34" s="111">
        <v>0</v>
      </c>
      <c r="B34" s="111">
        <f>'Sug-1'!A33</f>
        <v>0</v>
      </c>
      <c r="C34" s="111"/>
      <c r="D34" s="138"/>
      <c r="H34" s="109" t="b">
        <f t="shared" si="0"/>
        <v>0</v>
      </c>
      <c r="I34" s="110" t="str">
        <f t="shared" si="1"/>
        <v/>
      </c>
      <c r="J34" s="110" t="str">
        <f t="shared" si="2"/>
        <v/>
      </c>
      <c r="K34" s="110" t="str">
        <f t="shared" si="3"/>
        <v/>
      </c>
      <c r="N34" s="109" t="str">
        <f t="shared" si="4"/>
        <v>*  -&gt; ""</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'Sug-1'!#REF!</f>
        <v>#REF!</v>
      </c>
      <c r="H48" s="109" t="b">
        <f t="shared" si="0"/>
        <v>0</v>
      </c>
      <c r="I48" s="110" t="str">
        <f t="shared" si="1"/>
        <v/>
      </c>
      <c r="J48" s="110" t="str">
        <f t="shared" si="2"/>
        <v/>
      </c>
      <c r="K48" s="110" t="str">
        <f t="shared" si="3"/>
        <v/>
      </c>
    </row>
    <row r="49" spans="2:11" x14ac:dyDescent="0.75">
      <c r="B49" s="109" t="e">
        <f>'Sug-1'!#REF!</f>
        <v>#REF!</v>
      </c>
      <c r="H49" s="109" t="b">
        <f t="shared" si="0"/>
        <v>0</v>
      </c>
      <c r="I49" s="110" t="str">
        <f t="shared" si="1"/>
        <v/>
      </c>
      <c r="J49" s="110" t="str">
        <f t="shared" si="2"/>
        <v/>
      </c>
      <c r="K49" s="110" t="str">
        <f t="shared" si="3"/>
        <v/>
      </c>
    </row>
    <row r="50" spans="2:11" x14ac:dyDescent="0.75">
      <c r="B50" s="109" t="e">
        <f>'Sug-1'!#REF!</f>
        <v>#REF!</v>
      </c>
      <c r="H50" s="109" t="b">
        <f t="shared" si="0"/>
        <v>0</v>
      </c>
      <c r="I50" s="110" t="str">
        <f t="shared" si="1"/>
        <v/>
      </c>
      <c r="J50" s="110" t="str">
        <f t="shared" si="2"/>
        <v/>
      </c>
      <c r="K50" s="110" t="str">
        <f t="shared" si="3"/>
        <v/>
      </c>
    </row>
    <row r="51" spans="2:11" x14ac:dyDescent="0.75">
      <c r="B51" s="109" t="e">
        <f>'Sug-1'!#REF!</f>
        <v>#REF!</v>
      </c>
      <c r="H51" s="109" t="b">
        <f t="shared" si="0"/>
        <v>0</v>
      </c>
      <c r="I51" s="110" t="str">
        <f t="shared" si="1"/>
        <v/>
      </c>
      <c r="J51" s="110" t="str">
        <f t="shared" si="2"/>
        <v/>
      </c>
      <c r="K51" s="110" t="str">
        <f t="shared" si="3"/>
        <v/>
      </c>
    </row>
    <row r="52" spans="2:11" x14ac:dyDescent="0.75">
      <c r="B52" s="109" t="e">
        <f>'Sug-1'!#REF!</f>
        <v>#REF!</v>
      </c>
      <c r="H52" s="109" t="b">
        <f t="shared" si="0"/>
        <v>0</v>
      </c>
      <c r="I52" s="110" t="str">
        <f t="shared" si="1"/>
        <v/>
      </c>
      <c r="J52" s="110" t="str">
        <f t="shared" si="2"/>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INDEX('Sug-Map-1'!$I$7:$K$102,1+B3,C3)</f>
        <v>* differential.element[0].mapping[0].identity = "fhir"</v>
      </c>
      <c r="E3" s="109" t="str">
        <f>INDEX('Sug-Map-1'!$I$8:$K$17,1,1)</f>
        <v>* differential.element[1].mapping[0].identity = "fhir"</v>
      </c>
    </row>
    <row r="4" spans="1:5" x14ac:dyDescent="0.75">
      <c r="A4" s="111">
        <v>2</v>
      </c>
      <c r="B4" s="111">
        <f t="shared" ref="B4:B67" si="0">IF(MOD(A4,3)=0,A4/3-1,INT(A4/3))</f>
        <v>0</v>
      </c>
      <c r="C4" s="111">
        <f t="shared" ref="C4:C67" si="1">IF(MOD(A4,3)=0,3,MOD(A4,3))</f>
        <v>2</v>
      </c>
      <c r="D4" s="109" t="str" cm="1">
        <f t="array" ref="D4">INDEX('Sug-Map-1'!$I$7:$K$102,1+B4,C4)</f>
        <v>* differential.element[0].mapping[0].map = "TBD"</v>
      </c>
    </row>
    <row r="5" spans="1:5" x14ac:dyDescent="0.75">
      <c r="A5" s="111">
        <v>3</v>
      </c>
      <c r="B5" s="111">
        <f t="shared" si="0"/>
        <v>0</v>
      </c>
      <c r="C5" s="111">
        <f t="shared" si="1"/>
        <v>3</v>
      </c>
      <c r="D5" s="109" t="str" cm="1">
        <f t="array" ref="D5">INDEX('Sug-Map-1'!$I$7:$K$102,1+B5,C5)</f>
        <v/>
      </c>
    </row>
    <row r="6" spans="1:5" x14ac:dyDescent="0.75">
      <c r="A6" s="111">
        <v>4</v>
      </c>
      <c r="B6" s="111">
        <f t="shared" si="0"/>
        <v>1</v>
      </c>
      <c r="C6" s="111">
        <f t="shared" si="1"/>
        <v>1</v>
      </c>
      <c r="D6" s="109" t="str" cm="1">
        <f t="array" ref="D6">INDEX('Sug-Map-1'!$I$7:$K$102,1+B6,C6)</f>
        <v>* differential.element[1].mapping[0].identity = "fhir"</v>
      </c>
    </row>
    <row r="7" spans="1:5" x14ac:dyDescent="0.75">
      <c r="A7" s="111">
        <v>5</v>
      </c>
      <c r="B7" s="111">
        <f t="shared" si="0"/>
        <v>1</v>
      </c>
      <c r="C7" s="111">
        <f t="shared" si="1"/>
        <v>2</v>
      </c>
      <c r="D7" s="109" t="str" cm="1">
        <f t="array" ref="D7">INDEX('Sug-Map-1'!$I$7:$K$102,1+B7,C7)</f>
        <v>* differential.element[1].mapping[0].map = "TBD"</v>
      </c>
    </row>
    <row r="8" spans="1:5" x14ac:dyDescent="0.75">
      <c r="A8" s="111">
        <v>6</v>
      </c>
      <c r="B8" s="111">
        <f t="shared" si="0"/>
        <v>1</v>
      </c>
      <c r="C8" s="111">
        <f t="shared" si="1"/>
        <v>3</v>
      </c>
      <c r="D8" s="109" t="str" cm="1">
        <f t="array" ref="D8">INDEX('Sug-Map-1'!$I$7:$K$102,1+B8,C8)</f>
        <v/>
      </c>
    </row>
    <row r="9" spans="1:5" x14ac:dyDescent="0.75">
      <c r="A9" s="111">
        <v>7</v>
      </c>
      <c r="B9" s="111">
        <f t="shared" si="0"/>
        <v>2</v>
      </c>
      <c r="C9" s="111">
        <f t="shared" si="1"/>
        <v>1</v>
      </c>
      <c r="D9" s="109" t="str" cm="1">
        <f t="array" ref="D9">INDEX('Sug-Map-1'!$I$7:$K$102,1+B9,C9)</f>
        <v>* differential.element[2].mapping[0].identity = "fhir"</v>
      </c>
    </row>
    <row r="10" spans="1:5" x14ac:dyDescent="0.75">
      <c r="A10" s="111">
        <v>8</v>
      </c>
      <c r="B10" s="111">
        <f t="shared" si="0"/>
        <v>2</v>
      </c>
      <c r="C10" s="111">
        <f t="shared" si="1"/>
        <v>2</v>
      </c>
      <c r="D10" s="109" t="str" cm="1">
        <f t="array" ref="D10">INDEX('Sug-Map-1'!$I$7:$K$102,1+B10,C10)</f>
        <v>* differential.element[2].mapping[0].map = "TBD"</v>
      </c>
    </row>
    <row r="11" spans="1:5" x14ac:dyDescent="0.75">
      <c r="A11" s="111">
        <v>9</v>
      </c>
      <c r="B11" s="111">
        <f t="shared" si="0"/>
        <v>2</v>
      </c>
      <c r="C11" s="111">
        <f t="shared" si="1"/>
        <v>3</v>
      </c>
      <c r="D11" s="109" t="str" cm="1">
        <f t="array" ref="D11">INDEX('Sug-Map-1'!$I$7:$K$102,1+B11,C11)</f>
        <v/>
      </c>
    </row>
    <row r="12" spans="1:5" x14ac:dyDescent="0.75">
      <c r="A12" s="111">
        <v>10</v>
      </c>
      <c r="B12" s="111">
        <f t="shared" si="0"/>
        <v>3</v>
      </c>
      <c r="C12" s="111">
        <f t="shared" si="1"/>
        <v>1</v>
      </c>
      <c r="D12" s="109" t="str" cm="1">
        <f t="array" ref="D12">INDEX('Sug-Map-1'!$I$7:$K$102,1+B12,C12)</f>
        <v>* differential.element[3].mapping[0].identity = "fhir"</v>
      </c>
    </row>
    <row r="13" spans="1:5" x14ac:dyDescent="0.75">
      <c r="A13" s="111">
        <v>11</v>
      </c>
      <c r="B13" s="111">
        <f t="shared" si="0"/>
        <v>3</v>
      </c>
      <c r="C13" s="111">
        <f t="shared" si="1"/>
        <v>2</v>
      </c>
      <c r="D13" s="109" t="str" cm="1">
        <f t="array" ref="D13">INDEX('Sug-Map-1'!$I$7:$K$102,1+B13,C13)</f>
        <v>* differential.element[3].mapping[0].map = "TBD"</v>
      </c>
    </row>
    <row r="14" spans="1:5" x14ac:dyDescent="0.75">
      <c r="A14" s="111">
        <v>12</v>
      </c>
      <c r="B14" s="111">
        <f t="shared" si="0"/>
        <v>3</v>
      </c>
      <c r="C14" s="111">
        <f t="shared" si="1"/>
        <v>3</v>
      </c>
      <c r="D14" s="109" t="str" cm="1">
        <f t="array" ref="D14">INDEX('Sug-Map-1'!$I$7:$K$102,1+B14,C14)</f>
        <v/>
      </c>
    </row>
    <row r="15" spans="1:5" x14ac:dyDescent="0.75">
      <c r="A15" s="111">
        <v>13</v>
      </c>
      <c r="B15" s="111">
        <f t="shared" si="0"/>
        <v>4</v>
      </c>
      <c r="C15" s="111">
        <f t="shared" si="1"/>
        <v>1</v>
      </c>
      <c r="D15" s="109" t="str" cm="1">
        <f t="array" ref="D15">INDEX('Sug-Map-1'!$I$7:$K$102,1+B15,C15)</f>
        <v>* differential.element[4].mapping[0].identity = "fhir"</v>
      </c>
    </row>
    <row r="16" spans="1:5" x14ac:dyDescent="0.75">
      <c r="A16" s="111">
        <v>14</v>
      </c>
      <c r="B16" s="111">
        <f t="shared" si="0"/>
        <v>4</v>
      </c>
      <c r="C16" s="111">
        <f t="shared" si="1"/>
        <v>2</v>
      </c>
      <c r="D16" s="109" t="str" cm="1">
        <f t="array" ref="D16">INDEX('Sug-Map-1'!$I$7:$K$102,1+B16,C16)</f>
        <v>* differential.element[4].mapping[0].map = "TBD"</v>
      </c>
    </row>
    <row r="17" spans="1:4" x14ac:dyDescent="0.75">
      <c r="A17" s="111">
        <v>15</v>
      </c>
      <c r="B17" s="111">
        <f t="shared" si="0"/>
        <v>4</v>
      </c>
      <c r="C17" s="111">
        <f t="shared" si="1"/>
        <v>3</v>
      </c>
      <c r="D17" s="109" t="str" cm="1">
        <f t="array" ref="D17">INDEX('Sug-Map-1'!$I$7:$K$102,1+B17,C17)</f>
        <v/>
      </c>
    </row>
    <row r="18" spans="1:4" x14ac:dyDescent="0.75">
      <c r="A18" s="111">
        <v>16</v>
      </c>
      <c r="B18" s="111">
        <f t="shared" si="0"/>
        <v>5</v>
      </c>
      <c r="C18" s="111">
        <f t="shared" si="1"/>
        <v>1</v>
      </c>
      <c r="D18" s="109" t="str" cm="1">
        <f t="array" ref="D18">INDEX('Sug-Map-1'!$I$7:$K$102,1+B18,C18)</f>
        <v>* differential.element[5].mapping[0].identity = "fhir"</v>
      </c>
    </row>
    <row r="19" spans="1:4" x14ac:dyDescent="0.75">
      <c r="A19" s="111">
        <v>17</v>
      </c>
      <c r="B19" s="111">
        <f t="shared" si="0"/>
        <v>5</v>
      </c>
      <c r="C19" s="111">
        <f t="shared" si="1"/>
        <v>2</v>
      </c>
      <c r="D19" s="109" t="str" cm="1">
        <f t="array" ref="D19">INDEX('Sug-Map-1'!$I$7:$K$102,1+B19,C19)</f>
        <v>* differential.element[5].mapping[0].map = "TBD"</v>
      </c>
    </row>
    <row r="20" spans="1:4" x14ac:dyDescent="0.75">
      <c r="A20" s="111">
        <v>18</v>
      </c>
      <c r="B20" s="111">
        <f t="shared" si="0"/>
        <v>5</v>
      </c>
      <c r="C20" s="111">
        <f t="shared" si="1"/>
        <v>3</v>
      </c>
      <c r="D20" s="109" t="str" cm="1">
        <f t="array" ref="D20">INDEX('Sug-Map-1'!$I$7:$K$102,1+B20,C20)</f>
        <v/>
      </c>
    </row>
    <row r="21" spans="1:4" x14ac:dyDescent="0.75">
      <c r="A21" s="111">
        <v>19</v>
      </c>
      <c r="B21" s="111">
        <f t="shared" si="0"/>
        <v>6</v>
      </c>
      <c r="C21" s="111">
        <f t="shared" si="1"/>
        <v>1</v>
      </c>
      <c r="D21" s="109" t="str" cm="1">
        <f t="array" ref="D21">INDEX('Sug-Map-1'!$I$7:$K$102,1+B21,C21)</f>
        <v>* differential.element[6].mapping[0].identity = "fhir"</v>
      </c>
    </row>
    <row r="22" spans="1:4" x14ac:dyDescent="0.75">
      <c r="A22" s="111">
        <v>20</v>
      </c>
      <c r="B22" s="111">
        <f t="shared" si="0"/>
        <v>6</v>
      </c>
      <c r="C22" s="111">
        <f t="shared" si="1"/>
        <v>2</v>
      </c>
      <c r="D22" s="109" t="str" cm="1">
        <f t="array" ref="D22">INDEX('Sug-Map-1'!$I$7:$K$102,1+B22,C22)</f>
        <v>* differential.element[6].mapping[0].map = "TBD"</v>
      </c>
    </row>
    <row r="23" spans="1:4" x14ac:dyDescent="0.75">
      <c r="A23" s="111">
        <v>21</v>
      </c>
      <c r="B23" s="111">
        <f t="shared" si="0"/>
        <v>6</v>
      </c>
      <c r="C23" s="111">
        <f t="shared" si="1"/>
        <v>3</v>
      </c>
      <c r="D23" s="109" t="str" cm="1">
        <f t="array" ref="D23">INDEX('Sug-Map-1'!$I$7:$K$102,1+B23,C23)</f>
        <v/>
      </c>
    </row>
    <row r="24" spans="1:4" x14ac:dyDescent="0.75">
      <c r="A24" s="111">
        <v>22</v>
      </c>
      <c r="B24" s="111">
        <f t="shared" si="0"/>
        <v>7</v>
      </c>
      <c r="C24" s="111">
        <f t="shared" si="1"/>
        <v>1</v>
      </c>
      <c r="D24" s="109" t="str" cm="1">
        <f t="array" ref="D24">INDEX('Sug-Map-1'!$I$7:$K$102,1+B24,C24)</f>
        <v>* differential.element[7].mapping[0].identity = "fhir"</v>
      </c>
    </row>
    <row r="25" spans="1:4" x14ac:dyDescent="0.75">
      <c r="A25" s="111">
        <v>23</v>
      </c>
      <c r="B25" s="111">
        <f t="shared" si="0"/>
        <v>7</v>
      </c>
      <c r="C25" s="111">
        <f t="shared" si="1"/>
        <v>2</v>
      </c>
      <c r="D25" s="109" t="str" cm="1">
        <f t="array" ref="D25">INDEX('Sug-Map-1'!$I$7:$K$102,1+B25,C25)</f>
        <v>* differential.element[7].mapping[0].map = "TBD"</v>
      </c>
    </row>
    <row r="26" spans="1:4" x14ac:dyDescent="0.75">
      <c r="A26" s="111">
        <v>24</v>
      </c>
      <c r="B26" s="111">
        <f t="shared" si="0"/>
        <v>7</v>
      </c>
      <c r="C26" s="111">
        <f t="shared" si="1"/>
        <v>3</v>
      </c>
      <c r="D26" s="109" t="str" cm="1">
        <f t="array" ref="D26">INDEX('Sug-Map-1'!$I$7:$K$102,1+B26,C26)</f>
        <v/>
      </c>
    </row>
    <row r="27" spans="1:4" x14ac:dyDescent="0.75">
      <c r="A27" s="111">
        <v>25</v>
      </c>
      <c r="B27" s="111">
        <f t="shared" si="0"/>
        <v>8</v>
      </c>
      <c r="C27" s="111">
        <f t="shared" si="1"/>
        <v>1</v>
      </c>
      <c r="D27" s="109" t="str" cm="1">
        <f t="array" ref="D27">INDEX('Sug-Map-1'!$I$7:$K$102,1+B27,C27)</f>
        <v>* differential.element[8].mapping[0].identity = "fhir"</v>
      </c>
    </row>
    <row r="28" spans="1:4" x14ac:dyDescent="0.75">
      <c r="A28" s="111">
        <v>26</v>
      </c>
      <c r="B28" s="111">
        <f t="shared" si="0"/>
        <v>8</v>
      </c>
      <c r="C28" s="111">
        <f t="shared" si="1"/>
        <v>2</v>
      </c>
      <c r="D28" s="109" t="str" cm="1">
        <f t="array" ref="D28">INDEX('Sug-Map-1'!$I$7:$K$102,1+B28,C28)</f>
        <v>* differential.element[8].mapping[0].map = "TBD"</v>
      </c>
    </row>
    <row r="29" spans="1:4" x14ac:dyDescent="0.75">
      <c r="A29" s="111">
        <v>27</v>
      </c>
      <c r="B29" s="111">
        <f t="shared" si="0"/>
        <v>8</v>
      </c>
      <c r="C29" s="111">
        <f t="shared" si="1"/>
        <v>3</v>
      </c>
      <c r="D29" s="109" t="str" cm="1">
        <f t="array" ref="D29">INDEX('Sug-Map-1'!$I$7:$K$102,1+B29,C29)</f>
        <v/>
      </c>
    </row>
    <row r="30" spans="1:4" x14ac:dyDescent="0.75">
      <c r="A30" s="111">
        <v>28</v>
      </c>
      <c r="B30" s="111">
        <f t="shared" si="0"/>
        <v>9</v>
      </c>
      <c r="C30" s="111">
        <f t="shared" si="1"/>
        <v>1</v>
      </c>
      <c r="D30" s="109" t="str" cm="1">
        <f t="array" ref="D30">INDEX('Sug-Map-1'!$I$7:$K$102,1+B30,C30)</f>
        <v>* differential.element[9].mapping[0].identity = "fhir"</v>
      </c>
    </row>
    <row r="31" spans="1:4" x14ac:dyDescent="0.75">
      <c r="A31" s="111">
        <v>29</v>
      </c>
      <c r="B31" s="111">
        <f t="shared" si="0"/>
        <v>9</v>
      </c>
      <c r="C31" s="111">
        <f t="shared" si="1"/>
        <v>2</v>
      </c>
      <c r="D31" s="109" t="str" cm="1">
        <f t="array" ref="D31">INDEX('Sug-Map-1'!$I$7:$K$102,1+B31,C31)</f>
        <v>* differential.element[9].mapping[0].map = "TBD"</v>
      </c>
    </row>
    <row r="32" spans="1:4" x14ac:dyDescent="0.75">
      <c r="A32" s="111">
        <v>30</v>
      </c>
      <c r="B32" s="111">
        <f t="shared" si="0"/>
        <v>9</v>
      </c>
      <c r="C32" s="111">
        <f t="shared" si="1"/>
        <v>3</v>
      </c>
      <c r="D32" s="109" t="str" cm="1">
        <f t="array" ref="D32">INDEX('Sug-Map-1'!$I$7:$K$102,1+B32,C32)</f>
        <v/>
      </c>
    </row>
    <row r="33" spans="1:4" x14ac:dyDescent="0.75">
      <c r="A33" s="111">
        <v>31</v>
      </c>
      <c r="B33" s="111">
        <f t="shared" si="0"/>
        <v>10</v>
      </c>
      <c r="C33" s="111">
        <f t="shared" si="1"/>
        <v>1</v>
      </c>
      <c r="D33" s="109" t="str" cm="1">
        <f t="array" ref="D33">INDEX('Sug-Map-1'!$I$7:$K$102,1+B33,C33)</f>
        <v>* differential.element[0].mapping[0].identity = "fhir"</v>
      </c>
    </row>
    <row r="34" spans="1:4" x14ac:dyDescent="0.75">
      <c r="A34" s="111">
        <v>32</v>
      </c>
      <c r="B34" s="111">
        <f t="shared" si="0"/>
        <v>10</v>
      </c>
      <c r="C34" s="111">
        <f t="shared" si="1"/>
        <v>2</v>
      </c>
      <c r="D34" s="109" t="str" cm="1">
        <f t="array" ref="D34">INDEX('Sug-Map-1'!$I$7:$K$102,1+B34,C34)</f>
        <v>* differential.element[0].mapping[0].map = "TBD"</v>
      </c>
    </row>
    <row r="35" spans="1:4" x14ac:dyDescent="0.75">
      <c r="A35" s="111">
        <v>33</v>
      </c>
      <c r="B35" s="111">
        <f t="shared" si="0"/>
        <v>10</v>
      </c>
      <c r="C35" s="111">
        <f t="shared" si="1"/>
        <v>3</v>
      </c>
      <c r="D35" s="109" t="str" cm="1">
        <f t="array" ref="D35">INDEX('Sug-Map-1'!$I$7:$K$102,1+B35,C35)</f>
        <v/>
      </c>
    </row>
    <row r="36" spans="1:4" x14ac:dyDescent="0.75">
      <c r="A36" s="111">
        <v>34</v>
      </c>
      <c r="B36" s="111">
        <f t="shared" si="0"/>
        <v>11</v>
      </c>
      <c r="C36" s="111">
        <f t="shared" si="1"/>
        <v>1</v>
      </c>
      <c r="D36" s="109" t="str" cm="1">
        <f t="array" ref="D36">INDEX('Sug-Map-1'!$I$7:$K$102,1+B36,C36)</f>
        <v/>
      </c>
    </row>
    <row r="37" spans="1:4" x14ac:dyDescent="0.75">
      <c r="A37" s="111">
        <v>35</v>
      </c>
      <c r="B37" s="111">
        <f t="shared" si="0"/>
        <v>11</v>
      </c>
      <c r="C37" s="111">
        <f t="shared" si="1"/>
        <v>2</v>
      </c>
      <c r="D37" s="109" t="str" cm="1">
        <f t="array" ref="D37">INDEX('Sug-Map-1'!$I$7:$K$102,1+B37,C37)</f>
        <v/>
      </c>
    </row>
    <row r="38" spans="1:4" x14ac:dyDescent="0.75">
      <c r="A38" s="111">
        <v>36</v>
      </c>
      <c r="B38" s="111">
        <f t="shared" si="0"/>
        <v>11</v>
      </c>
      <c r="C38" s="111">
        <f t="shared" si="1"/>
        <v>3</v>
      </c>
      <c r="D38" s="109" t="str" cm="1">
        <f t="array" ref="D38">INDEX('Sug-Map-1'!$I$7:$K$102,1+B38,C38)</f>
        <v/>
      </c>
    </row>
    <row r="39" spans="1:4" x14ac:dyDescent="0.75">
      <c r="A39" s="111">
        <v>37</v>
      </c>
      <c r="B39" s="111">
        <f t="shared" si="0"/>
        <v>12</v>
      </c>
      <c r="C39" s="111">
        <f t="shared" si="1"/>
        <v>1</v>
      </c>
      <c r="D39" s="109" t="str" cm="1">
        <f t="array" ref="D39">INDEX('Sug-Map-1'!$I$7:$K$102,1+B39,C39)</f>
        <v/>
      </c>
    </row>
    <row r="40" spans="1:4" x14ac:dyDescent="0.75">
      <c r="A40" s="111">
        <v>38</v>
      </c>
      <c r="B40" s="111">
        <f t="shared" si="0"/>
        <v>12</v>
      </c>
      <c r="C40" s="111">
        <f t="shared" si="1"/>
        <v>2</v>
      </c>
      <c r="D40" s="109" t="str" cm="1">
        <f t="array" ref="D40">INDEX('Sug-Map-1'!$I$7:$K$102,1+B40,C40)</f>
        <v/>
      </c>
    </row>
    <row r="41" spans="1:4" x14ac:dyDescent="0.75">
      <c r="A41" s="111">
        <v>39</v>
      </c>
      <c r="B41" s="111">
        <f t="shared" si="0"/>
        <v>12</v>
      </c>
      <c r="C41" s="111">
        <f t="shared" si="1"/>
        <v>3</v>
      </c>
      <c r="D41" s="109" t="str" cm="1">
        <f t="array" ref="D41">INDEX('Sug-Map-1'!$I$7:$K$102,1+B41,C41)</f>
        <v/>
      </c>
    </row>
    <row r="42" spans="1:4" x14ac:dyDescent="0.75">
      <c r="A42" s="111">
        <v>40</v>
      </c>
      <c r="B42" s="111">
        <f t="shared" si="0"/>
        <v>13</v>
      </c>
      <c r="C42" s="111">
        <f t="shared" si="1"/>
        <v>1</v>
      </c>
      <c r="D42" s="109" t="str" cm="1">
        <f t="array" ref="D42">INDEX('Sug-Map-1'!$I$7:$K$102,1+B42,C42)</f>
        <v/>
      </c>
    </row>
    <row r="43" spans="1:4" x14ac:dyDescent="0.75">
      <c r="A43" s="111">
        <v>41</v>
      </c>
      <c r="B43" s="111">
        <f t="shared" si="0"/>
        <v>13</v>
      </c>
      <c r="C43" s="111">
        <f t="shared" si="1"/>
        <v>2</v>
      </c>
      <c r="D43" s="109" t="str" cm="1">
        <f t="array" ref="D43">INDEX('Sug-Map-1'!$I$7:$K$102,1+B43,C43)</f>
        <v/>
      </c>
    </row>
    <row r="44" spans="1:4" x14ac:dyDescent="0.75">
      <c r="A44" s="111">
        <v>42</v>
      </c>
      <c r="B44" s="111">
        <f t="shared" si="0"/>
        <v>13</v>
      </c>
      <c r="C44" s="111">
        <f t="shared" si="1"/>
        <v>3</v>
      </c>
      <c r="D44" s="109" t="str" cm="1">
        <f t="array" ref="D44">INDEX('Sug-Map-1'!$I$7:$K$102,1+B44,C44)</f>
        <v/>
      </c>
    </row>
    <row r="45" spans="1:4" x14ac:dyDescent="0.75">
      <c r="A45" s="111">
        <v>43</v>
      </c>
      <c r="B45" s="111">
        <f t="shared" si="0"/>
        <v>14</v>
      </c>
      <c r="C45" s="111">
        <f t="shared" si="1"/>
        <v>1</v>
      </c>
      <c r="D45" s="109" t="str" cm="1">
        <f t="array" ref="D45">INDEX('Sug-Map-1'!$I$7:$K$102,1+B45,C45)</f>
        <v/>
      </c>
    </row>
    <row r="46" spans="1:4" x14ac:dyDescent="0.75">
      <c r="A46" s="111">
        <v>44</v>
      </c>
      <c r="B46" s="111">
        <f t="shared" si="0"/>
        <v>14</v>
      </c>
      <c r="C46" s="111">
        <f t="shared" si="1"/>
        <v>2</v>
      </c>
      <c r="D46" s="109" t="str" cm="1">
        <f t="array" ref="D46">INDEX('Sug-Map-1'!$I$7:$K$102,1+B46,C46)</f>
        <v/>
      </c>
    </row>
    <row r="47" spans="1:4" x14ac:dyDescent="0.75">
      <c r="A47" s="111">
        <v>45</v>
      </c>
      <c r="B47" s="111">
        <f t="shared" si="0"/>
        <v>14</v>
      </c>
      <c r="C47" s="111">
        <f t="shared" si="1"/>
        <v>3</v>
      </c>
      <c r="D47" s="109" t="str" cm="1">
        <f t="array" ref="D47">INDEX('Sug-Map-1'!$I$7:$K$102,1+B47,C47)</f>
        <v/>
      </c>
    </row>
    <row r="48" spans="1:4" x14ac:dyDescent="0.75">
      <c r="A48" s="111">
        <v>46</v>
      </c>
      <c r="B48" s="111">
        <f t="shared" si="0"/>
        <v>15</v>
      </c>
      <c r="C48" s="111">
        <f t="shared" si="1"/>
        <v>1</v>
      </c>
      <c r="D48" s="109" t="str" cm="1">
        <f t="array" ref="D48">INDEX('Sug-Map-1'!$I$7:$K$102,1+B48,C48)</f>
        <v/>
      </c>
    </row>
    <row r="49" spans="1:7" x14ac:dyDescent="0.75">
      <c r="A49" s="111">
        <v>47</v>
      </c>
      <c r="B49" s="111">
        <f t="shared" si="0"/>
        <v>15</v>
      </c>
      <c r="C49" s="111">
        <f t="shared" si="1"/>
        <v>2</v>
      </c>
      <c r="D49" s="109" t="str" cm="1">
        <f t="array" ref="D49">INDEX('Sug-Map-1'!$I$7:$K$102,1+B49,C49)</f>
        <v/>
      </c>
    </row>
    <row r="50" spans="1:7" x14ac:dyDescent="0.75">
      <c r="A50" s="111">
        <v>48</v>
      </c>
      <c r="B50" s="111">
        <f t="shared" si="0"/>
        <v>15</v>
      </c>
      <c r="C50" s="111">
        <f t="shared" si="1"/>
        <v>3</v>
      </c>
      <c r="D50" s="109" t="str" cm="1">
        <f t="array" ref="D50">INDEX('Sug-Map-1'!$I$7:$K$102,1+B50,C50)</f>
        <v/>
      </c>
    </row>
    <row r="51" spans="1:7" x14ac:dyDescent="0.75">
      <c r="A51" s="111">
        <v>49</v>
      </c>
      <c r="B51" s="111">
        <f t="shared" si="0"/>
        <v>16</v>
      </c>
      <c r="C51" s="111">
        <f t="shared" si="1"/>
        <v>1</v>
      </c>
      <c r="D51" s="109" t="str" cm="1">
        <f t="array" ref="D51">INDEX('Sug-Map-1'!$I$7:$K$102,1+B51,C51)</f>
        <v/>
      </c>
    </row>
    <row r="52" spans="1:7" x14ac:dyDescent="0.75">
      <c r="A52" s="111">
        <v>50</v>
      </c>
      <c r="B52" s="111">
        <f t="shared" si="0"/>
        <v>16</v>
      </c>
      <c r="C52" s="111">
        <f t="shared" si="1"/>
        <v>2</v>
      </c>
      <c r="D52" s="109" t="str" cm="1">
        <f t="array" ref="D52">INDEX('Sug-Map-1'!$I$7:$K$102,1+B52,C52)</f>
        <v/>
      </c>
    </row>
    <row r="53" spans="1:7" x14ac:dyDescent="0.75">
      <c r="A53" s="111">
        <v>51</v>
      </c>
      <c r="B53" s="111">
        <f t="shared" si="0"/>
        <v>16</v>
      </c>
      <c r="C53" s="111">
        <f t="shared" si="1"/>
        <v>3</v>
      </c>
      <c r="D53" s="109" t="str" cm="1">
        <f t="array" ref="D53">INDEX('Sug-Map-1'!$I$7:$K$102,1+B53,C53)</f>
        <v/>
      </c>
    </row>
    <row r="54" spans="1:7" x14ac:dyDescent="0.75">
      <c r="A54" s="111">
        <v>52</v>
      </c>
      <c r="B54" s="111">
        <f t="shared" si="0"/>
        <v>17</v>
      </c>
      <c r="C54" s="111">
        <f t="shared" si="1"/>
        <v>1</v>
      </c>
      <c r="D54" s="109" t="str" cm="1">
        <f t="array" ref="D54">INDEX('Sug-Map-1'!$I$7:$K$102,1+B54,C54)</f>
        <v/>
      </c>
    </row>
    <row r="55" spans="1:7" x14ac:dyDescent="0.75">
      <c r="A55" s="111">
        <v>53</v>
      </c>
      <c r="B55" s="111">
        <f t="shared" si="0"/>
        <v>17</v>
      </c>
      <c r="C55" s="111">
        <f t="shared" si="1"/>
        <v>2</v>
      </c>
      <c r="D55" s="109" t="str" cm="1">
        <f t="array" ref="D55">INDEX('Sug-Map-1'!$I$7:$K$102,1+B55,C55)</f>
        <v/>
      </c>
      <c r="G55" s="14"/>
    </row>
    <row r="56" spans="1:7" x14ac:dyDescent="0.75">
      <c r="A56" s="111">
        <v>54</v>
      </c>
      <c r="B56" s="111">
        <f t="shared" si="0"/>
        <v>17</v>
      </c>
      <c r="C56" s="111">
        <f t="shared" si="1"/>
        <v>3</v>
      </c>
      <c r="D56" s="109" t="str" cm="1">
        <f t="array" ref="D56">INDEX('Sug-Map-1'!$I$7:$K$102,1+B56,C56)</f>
        <v/>
      </c>
    </row>
    <row r="57" spans="1:7" x14ac:dyDescent="0.75">
      <c r="A57" s="111">
        <v>55</v>
      </c>
      <c r="B57" s="111">
        <f t="shared" si="0"/>
        <v>18</v>
      </c>
      <c r="C57" s="111">
        <f t="shared" si="1"/>
        <v>1</v>
      </c>
      <c r="D57" s="109" t="str" cm="1">
        <f t="array" ref="D57">INDEX('Sug-Map-1'!$I$7:$K$102,1+B57,C57)</f>
        <v/>
      </c>
    </row>
    <row r="58" spans="1:7" x14ac:dyDescent="0.75">
      <c r="A58" s="111">
        <v>56</v>
      </c>
      <c r="B58" s="111">
        <f t="shared" si="0"/>
        <v>18</v>
      </c>
      <c r="C58" s="111">
        <f t="shared" si="1"/>
        <v>2</v>
      </c>
      <c r="D58" s="109" t="str" cm="1">
        <f t="array" ref="D58">INDEX('Sug-Map-1'!$I$7:$K$102,1+B58,C58)</f>
        <v/>
      </c>
    </row>
    <row r="59" spans="1:7" x14ac:dyDescent="0.75">
      <c r="A59" s="111">
        <v>57</v>
      </c>
      <c r="B59" s="111">
        <f t="shared" si="0"/>
        <v>18</v>
      </c>
      <c r="C59" s="111">
        <f t="shared" si="1"/>
        <v>3</v>
      </c>
      <c r="D59" s="109" t="str" cm="1">
        <f t="array" ref="D59">INDEX('Sug-Map-1'!$I$7:$K$102,1+B59,C59)</f>
        <v/>
      </c>
    </row>
    <row r="60" spans="1:7" x14ac:dyDescent="0.75">
      <c r="A60" s="111">
        <v>58</v>
      </c>
      <c r="B60" s="111">
        <f t="shared" si="0"/>
        <v>19</v>
      </c>
      <c r="C60" s="111">
        <f t="shared" si="1"/>
        <v>1</v>
      </c>
      <c r="D60" s="109" t="str" cm="1">
        <f t="array" ref="D60">INDEX('Sug-Map-1'!$I$7:$K$102,1+B60,C60)</f>
        <v/>
      </c>
    </row>
    <row r="61" spans="1:7" x14ac:dyDescent="0.75">
      <c r="A61" s="111">
        <v>59</v>
      </c>
      <c r="B61" s="111">
        <f t="shared" si="0"/>
        <v>19</v>
      </c>
      <c r="C61" s="111">
        <f t="shared" si="1"/>
        <v>2</v>
      </c>
      <c r="D61" s="109" t="str" cm="1">
        <f t="array" ref="D61">INDEX('Sug-Map-1'!$I$7:$K$102,1+B61,C61)</f>
        <v/>
      </c>
    </row>
    <row r="62" spans="1:7" x14ac:dyDescent="0.75">
      <c r="A62" s="111">
        <v>60</v>
      </c>
      <c r="B62" s="111">
        <f t="shared" si="0"/>
        <v>19</v>
      </c>
      <c r="C62" s="111">
        <f t="shared" si="1"/>
        <v>3</v>
      </c>
      <c r="D62" s="109" t="str" cm="1">
        <f t="array" ref="D62">INDEX('Sug-Map-1'!$I$7:$K$102,1+B62,C62)</f>
        <v/>
      </c>
    </row>
    <row r="63" spans="1:7" x14ac:dyDescent="0.75">
      <c r="A63" s="111">
        <v>61</v>
      </c>
      <c r="B63" s="111">
        <f t="shared" si="0"/>
        <v>20</v>
      </c>
      <c r="C63" s="111">
        <f t="shared" si="1"/>
        <v>1</v>
      </c>
      <c r="D63" s="109" t="str" cm="1">
        <f t="array" ref="D63">INDEX('Sug-Map-1'!$I$7:$K$102,1+B63,C63)</f>
        <v/>
      </c>
    </row>
    <row r="64" spans="1:7" x14ac:dyDescent="0.75">
      <c r="A64" s="111">
        <v>62</v>
      </c>
      <c r="B64" s="111">
        <f t="shared" si="0"/>
        <v>20</v>
      </c>
      <c r="C64" s="111">
        <f t="shared" si="1"/>
        <v>2</v>
      </c>
      <c r="D64" s="109" t="str" cm="1">
        <f t="array" ref="D64">INDEX('Sug-Map-1'!$I$7:$K$102,1+B64,C64)</f>
        <v/>
      </c>
    </row>
    <row r="65" spans="1:4" x14ac:dyDescent="0.75">
      <c r="A65" s="111">
        <v>63</v>
      </c>
      <c r="B65" s="111">
        <f t="shared" si="0"/>
        <v>20</v>
      </c>
      <c r="C65" s="111">
        <f t="shared" si="1"/>
        <v>3</v>
      </c>
      <c r="D65" s="109" t="str" cm="1">
        <f t="array" ref="D65">INDEX('Sug-Map-1'!$I$7:$K$102,1+B65,C65)</f>
        <v/>
      </c>
    </row>
    <row r="66" spans="1:4" x14ac:dyDescent="0.75">
      <c r="A66" s="111">
        <v>64</v>
      </c>
      <c r="B66" s="111">
        <f t="shared" si="0"/>
        <v>21</v>
      </c>
      <c r="C66" s="111">
        <f t="shared" si="1"/>
        <v>1</v>
      </c>
      <c r="D66" s="109" t="str" cm="1">
        <f t="array" ref="D66">INDEX('Sug-Map-1'!$I$7:$K$102,1+B66,C66)</f>
        <v/>
      </c>
    </row>
    <row r="67" spans="1:4" x14ac:dyDescent="0.75">
      <c r="A67" s="111">
        <v>65</v>
      </c>
      <c r="B67" s="111">
        <f t="shared" si="0"/>
        <v>21</v>
      </c>
      <c r="C67" s="111">
        <f t="shared" si="1"/>
        <v>2</v>
      </c>
      <c r="D67" s="109" t="str" cm="1">
        <f t="array" ref="D67">INDEX('Sug-Map-1'!$I$7:$K$102,1+B67,C67)</f>
        <v/>
      </c>
    </row>
    <row r="68" spans="1:4" x14ac:dyDescent="0.75">
      <c r="A68" s="111">
        <v>66</v>
      </c>
      <c r="B68" s="111">
        <f t="shared" ref="B68:B131" si="2">IF(MOD(A68,3)=0,A68/3-1,INT(A68/3))</f>
        <v>21</v>
      </c>
      <c r="C68" s="111">
        <f t="shared" ref="C68:C131" si="3">IF(MOD(A68,3)=0,3,MOD(A68,3))</f>
        <v>3</v>
      </c>
      <c r="D68" s="109" t="str" cm="1">
        <f t="array" ref="D68">INDEX('Sug-Map-1'!$I$7:$K$102,1+B68,C68)</f>
        <v/>
      </c>
    </row>
    <row r="69" spans="1:4" x14ac:dyDescent="0.75">
      <c r="A69" s="111">
        <v>67</v>
      </c>
      <c r="B69" s="111">
        <f t="shared" si="2"/>
        <v>22</v>
      </c>
      <c r="C69" s="111">
        <f t="shared" si="3"/>
        <v>1</v>
      </c>
      <c r="D69" s="109" t="str" cm="1">
        <f t="array" ref="D69">INDEX('Sug-Map-1'!$I$7:$K$102,1+B69,C69)</f>
        <v/>
      </c>
    </row>
    <row r="70" spans="1:4" x14ac:dyDescent="0.75">
      <c r="A70" s="111">
        <v>68</v>
      </c>
      <c r="B70" s="111">
        <f t="shared" si="2"/>
        <v>22</v>
      </c>
      <c r="C70" s="111">
        <f t="shared" si="3"/>
        <v>2</v>
      </c>
      <c r="D70" s="109" t="str" cm="1">
        <f t="array" ref="D70">INDEX('Sug-Map-1'!$I$7:$K$102,1+B70,C70)</f>
        <v/>
      </c>
    </row>
    <row r="71" spans="1:4" x14ac:dyDescent="0.75">
      <c r="A71" s="111">
        <v>69</v>
      </c>
      <c r="B71" s="111">
        <f t="shared" si="2"/>
        <v>22</v>
      </c>
      <c r="C71" s="111">
        <f t="shared" si="3"/>
        <v>3</v>
      </c>
      <c r="D71" s="109" t="str" cm="1">
        <f t="array" ref="D71">INDEX('Sug-Map-1'!$I$7:$K$102,1+B71,C71)</f>
        <v/>
      </c>
    </row>
    <row r="72" spans="1:4" x14ac:dyDescent="0.75">
      <c r="A72" s="111">
        <v>70</v>
      </c>
      <c r="B72" s="111">
        <f t="shared" si="2"/>
        <v>23</v>
      </c>
      <c r="C72" s="111">
        <f t="shared" si="3"/>
        <v>1</v>
      </c>
      <c r="D72" s="109" t="str" cm="1">
        <f t="array" ref="D72">INDEX('Sug-Map-1'!$I$7:$K$102,1+B72,C72)</f>
        <v/>
      </c>
    </row>
    <row r="73" spans="1:4" x14ac:dyDescent="0.75">
      <c r="A73" s="111">
        <v>71</v>
      </c>
      <c r="B73" s="111">
        <f t="shared" si="2"/>
        <v>23</v>
      </c>
      <c r="C73" s="111">
        <f t="shared" si="3"/>
        <v>2</v>
      </c>
      <c r="D73" s="109" t="str" cm="1">
        <f t="array" ref="D73">INDEX('Sug-Map-1'!$I$7:$K$102,1+B73,C73)</f>
        <v/>
      </c>
    </row>
    <row r="74" spans="1:4" x14ac:dyDescent="0.75">
      <c r="A74" s="111">
        <v>72</v>
      </c>
      <c r="B74" s="111">
        <f t="shared" si="2"/>
        <v>23</v>
      </c>
      <c r="C74" s="111">
        <f t="shared" si="3"/>
        <v>3</v>
      </c>
      <c r="D74" s="109" t="str" cm="1">
        <f t="array" ref="D74">INDEX('Sug-Map-1'!$I$7:$K$102,1+B74,C74)</f>
        <v/>
      </c>
    </row>
    <row r="75" spans="1:4" x14ac:dyDescent="0.75">
      <c r="A75" s="111">
        <v>73</v>
      </c>
      <c r="B75" s="111">
        <f t="shared" si="2"/>
        <v>24</v>
      </c>
      <c r="C75" s="111">
        <f t="shared" si="3"/>
        <v>1</v>
      </c>
      <c r="D75" s="109" t="str" cm="1">
        <f t="array" ref="D75">INDEX('Sug-Map-1'!$I$7:$K$102,1+B75,C75)</f>
        <v/>
      </c>
    </row>
    <row r="76" spans="1:4" x14ac:dyDescent="0.75">
      <c r="A76" s="111">
        <v>74</v>
      </c>
      <c r="B76" s="111">
        <f t="shared" si="2"/>
        <v>24</v>
      </c>
      <c r="C76" s="111">
        <f t="shared" si="3"/>
        <v>2</v>
      </c>
      <c r="D76" s="109" t="str" cm="1">
        <f t="array" ref="D76">INDEX('Sug-Map-1'!$I$7:$K$102,1+B76,C76)</f>
        <v/>
      </c>
    </row>
    <row r="77" spans="1:4" x14ac:dyDescent="0.75">
      <c r="A77" s="111">
        <v>75</v>
      </c>
      <c r="B77" s="111">
        <f t="shared" si="2"/>
        <v>24</v>
      </c>
      <c r="C77" s="111">
        <f t="shared" si="3"/>
        <v>3</v>
      </c>
      <c r="D77" s="109" t="str" cm="1">
        <f t="array" ref="D77">INDEX('Sug-Map-1'!$I$7:$K$102,1+B77,C77)</f>
        <v/>
      </c>
    </row>
    <row r="78" spans="1:4" x14ac:dyDescent="0.75">
      <c r="A78" s="111">
        <v>76</v>
      </c>
      <c r="B78" s="111">
        <f t="shared" si="2"/>
        <v>25</v>
      </c>
      <c r="C78" s="111">
        <f t="shared" si="3"/>
        <v>1</v>
      </c>
      <c r="D78" s="109" t="str" cm="1">
        <f t="array" ref="D78">INDEX('Sug-Map-1'!$I$7:$K$102,1+B78,C78)</f>
        <v/>
      </c>
    </row>
    <row r="79" spans="1:4" x14ac:dyDescent="0.75">
      <c r="A79" s="111">
        <v>77</v>
      </c>
      <c r="B79" s="111">
        <f t="shared" si="2"/>
        <v>25</v>
      </c>
      <c r="C79" s="111">
        <f t="shared" si="3"/>
        <v>2</v>
      </c>
      <c r="D79" s="109" t="str" cm="1">
        <f t="array" ref="D79">INDEX('Sug-Map-1'!$I$7:$K$102,1+B79,C79)</f>
        <v/>
      </c>
    </row>
    <row r="80" spans="1:4" x14ac:dyDescent="0.75">
      <c r="A80" s="111">
        <v>78</v>
      </c>
      <c r="B80" s="111">
        <f t="shared" si="2"/>
        <v>25</v>
      </c>
      <c r="C80" s="111">
        <f t="shared" si="3"/>
        <v>3</v>
      </c>
      <c r="D80" s="109" t="str" cm="1">
        <f t="array" ref="D80">INDEX('Sug-Map-1'!$I$7:$K$102,1+B80,C80)</f>
        <v/>
      </c>
    </row>
    <row r="81" spans="1:4" x14ac:dyDescent="0.75">
      <c r="A81" s="111">
        <v>79</v>
      </c>
      <c r="B81" s="111">
        <f t="shared" si="2"/>
        <v>26</v>
      </c>
      <c r="C81" s="111">
        <f t="shared" si="3"/>
        <v>1</v>
      </c>
      <c r="D81" s="109" t="str" cm="1">
        <f t="array" ref="D81">INDEX('Sug-Map-1'!$I$7:$K$102,1+B81,C81)</f>
        <v/>
      </c>
    </row>
    <row r="82" spans="1:4" x14ac:dyDescent="0.75">
      <c r="A82" s="111">
        <v>80</v>
      </c>
      <c r="B82" s="111">
        <f t="shared" si="2"/>
        <v>26</v>
      </c>
      <c r="C82" s="111">
        <f t="shared" si="3"/>
        <v>2</v>
      </c>
      <c r="D82" s="109" t="str" cm="1">
        <f t="array" ref="D82">INDEX('Sug-Map-1'!$I$7:$K$102,1+B82,C82)</f>
        <v/>
      </c>
    </row>
    <row r="83" spans="1:4" x14ac:dyDescent="0.75">
      <c r="A83" s="111">
        <v>81</v>
      </c>
      <c r="B83" s="111">
        <f t="shared" si="2"/>
        <v>26</v>
      </c>
      <c r="C83" s="111">
        <f t="shared" si="3"/>
        <v>3</v>
      </c>
      <c r="D83" s="109" t="str" cm="1">
        <f t="array" ref="D83">INDEX('Sug-Map-1'!$I$7:$K$102,1+B83,C83)</f>
        <v/>
      </c>
    </row>
    <row r="84" spans="1:4" x14ac:dyDescent="0.75">
      <c r="A84" s="111">
        <v>82</v>
      </c>
      <c r="B84" s="111">
        <f t="shared" si="2"/>
        <v>27</v>
      </c>
      <c r="C84" s="111">
        <f t="shared" si="3"/>
        <v>1</v>
      </c>
      <c r="D84" s="109" t="str" cm="1">
        <f t="array" ref="D84">INDEX('Sug-Map-1'!$I$7:$K$102,1+B84,C84)</f>
        <v/>
      </c>
    </row>
    <row r="85" spans="1:4" x14ac:dyDescent="0.75">
      <c r="A85" s="111">
        <v>83</v>
      </c>
      <c r="B85" s="111">
        <f t="shared" si="2"/>
        <v>27</v>
      </c>
      <c r="C85" s="111">
        <f t="shared" si="3"/>
        <v>2</v>
      </c>
      <c r="D85" s="109" t="str" cm="1">
        <f t="array" ref="D85">INDEX('Sug-Map-1'!$I$7:$K$102,1+B85,C85)</f>
        <v/>
      </c>
    </row>
    <row r="86" spans="1:4" x14ac:dyDescent="0.75">
      <c r="A86" s="111">
        <v>84</v>
      </c>
      <c r="B86" s="111">
        <f t="shared" si="2"/>
        <v>27</v>
      </c>
      <c r="C86" s="111">
        <f t="shared" si="3"/>
        <v>3</v>
      </c>
      <c r="D86" s="109" t="str" cm="1">
        <f t="array" ref="D86">INDEX('Sug-Map-1'!$I$7:$K$102,1+B86,C86)</f>
        <v/>
      </c>
    </row>
    <row r="87" spans="1:4" x14ac:dyDescent="0.75">
      <c r="A87" s="111">
        <v>85</v>
      </c>
      <c r="B87" s="111">
        <f t="shared" si="2"/>
        <v>28</v>
      </c>
      <c r="C87" s="111">
        <f t="shared" si="3"/>
        <v>1</v>
      </c>
      <c r="D87" s="109" t="str" cm="1">
        <f t="array" ref="D87">INDEX('Sug-Map-1'!$I$7:$K$102,1+B87,C87)</f>
        <v/>
      </c>
    </row>
    <row r="88" spans="1:4" x14ac:dyDescent="0.75">
      <c r="A88" s="111">
        <v>86</v>
      </c>
      <c r="B88" s="111">
        <f t="shared" si="2"/>
        <v>28</v>
      </c>
      <c r="C88" s="111">
        <f t="shared" si="3"/>
        <v>2</v>
      </c>
      <c r="D88" s="109" t="str" cm="1">
        <f t="array" ref="D88">INDEX('Sug-Map-1'!$I$7:$K$102,1+B88,C88)</f>
        <v/>
      </c>
    </row>
    <row r="89" spans="1:4" x14ac:dyDescent="0.75">
      <c r="A89" s="111">
        <v>87</v>
      </c>
      <c r="B89" s="111">
        <f t="shared" si="2"/>
        <v>28</v>
      </c>
      <c r="C89" s="111">
        <f t="shared" si="3"/>
        <v>3</v>
      </c>
      <c r="D89" s="109" t="str" cm="1">
        <f t="array" ref="D89">INDEX('Sug-Map-1'!$I$7:$K$102,1+B89,C89)</f>
        <v/>
      </c>
    </row>
    <row r="90" spans="1:4" x14ac:dyDescent="0.75">
      <c r="A90" s="111">
        <v>88</v>
      </c>
      <c r="B90" s="111">
        <f t="shared" si="2"/>
        <v>29</v>
      </c>
      <c r="C90" s="111">
        <f t="shared" si="3"/>
        <v>1</v>
      </c>
      <c r="D90" s="109" t="str" cm="1">
        <f t="array" ref="D90">INDEX('Sug-Map-1'!$I$7:$K$102,1+B90,C90)</f>
        <v/>
      </c>
    </row>
    <row r="91" spans="1:4" x14ac:dyDescent="0.75">
      <c r="A91" s="111">
        <v>89</v>
      </c>
      <c r="B91" s="111">
        <f t="shared" si="2"/>
        <v>29</v>
      </c>
      <c r="C91" s="111">
        <f t="shared" si="3"/>
        <v>2</v>
      </c>
      <c r="D91" s="109" t="str" cm="1">
        <f t="array" ref="D91">INDEX('Sug-Map-1'!$I$7:$K$102,1+B91,C91)</f>
        <v/>
      </c>
    </row>
    <row r="92" spans="1:4" x14ac:dyDescent="0.75">
      <c r="A92" s="111">
        <v>90</v>
      </c>
      <c r="B92" s="111">
        <f t="shared" si="2"/>
        <v>29</v>
      </c>
      <c r="C92" s="111">
        <f t="shared" si="3"/>
        <v>3</v>
      </c>
      <c r="D92" s="109" t="str" cm="1">
        <f t="array" ref="D92">INDEX('Sug-Map-1'!$I$7:$K$102,1+B92,C92)</f>
        <v/>
      </c>
    </row>
    <row r="93" spans="1:4" x14ac:dyDescent="0.75">
      <c r="A93" s="111">
        <v>91</v>
      </c>
      <c r="B93" s="111">
        <f t="shared" si="2"/>
        <v>30</v>
      </c>
      <c r="C93" s="111">
        <f t="shared" si="3"/>
        <v>1</v>
      </c>
      <c r="D93" s="109" t="str" cm="1">
        <f t="array" ref="D93">INDEX('Sug-Map-1'!$I$7:$K$102,1+B93,C93)</f>
        <v/>
      </c>
    </row>
    <row r="94" spans="1:4" x14ac:dyDescent="0.75">
      <c r="A94" s="111">
        <v>92</v>
      </c>
      <c r="B94" s="111">
        <f t="shared" si="2"/>
        <v>30</v>
      </c>
      <c r="C94" s="111">
        <f t="shared" si="3"/>
        <v>2</v>
      </c>
      <c r="D94" s="109" t="str" cm="1">
        <f t="array" ref="D94">INDEX('Sug-Map-1'!$I$7:$K$102,1+B94,C94)</f>
        <v/>
      </c>
    </row>
    <row r="95" spans="1:4" x14ac:dyDescent="0.75">
      <c r="A95" s="111">
        <v>93</v>
      </c>
      <c r="B95" s="111">
        <f t="shared" si="2"/>
        <v>30</v>
      </c>
      <c r="C95" s="111">
        <f t="shared" si="3"/>
        <v>3</v>
      </c>
      <c r="D95" s="109" t="str" cm="1">
        <f t="array" ref="D95">INDEX('Sug-Map-1'!$I$7:$K$102,1+B95,C95)</f>
        <v/>
      </c>
    </row>
    <row r="96" spans="1:4" x14ac:dyDescent="0.75">
      <c r="A96" s="111">
        <v>94</v>
      </c>
      <c r="B96" s="111">
        <f t="shared" si="2"/>
        <v>31</v>
      </c>
      <c r="C96" s="111">
        <f t="shared" si="3"/>
        <v>1</v>
      </c>
      <c r="D96" s="109" t="str" cm="1">
        <f t="array" ref="D96">INDEX('Sug-Map-1'!$I$7:$K$102,1+B96,C96)</f>
        <v/>
      </c>
    </row>
    <row r="97" spans="1:4" x14ac:dyDescent="0.75">
      <c r="A97" s="111">
        <v>95</v>
      </c>
      <c r="B97" s="111">
        <f t="shared" si="2"/>
        <v>31</v>
      </c>
      <c r="C97" s="111">
        <f t="shared" si="3"/>
        <v>2</v>
      </c>
      <c r="D97" s="109" t="str" cm="1">
        <f t="array" ref="D97">INDEX('Sug-Map-1'!$I$7:$K$102,1+B97,C97)</f>
        <v/>
      </c>
    </row>
    <row r="98" spans="1:4" x14ac:dyDescent="0.75">
      <c r="A98" s="111">
        <v>96</v>
      </c>
      <c r="B98" s="111">
        <f t="shared" si="2"/>
        <v>31</v>
      </c>
      <c r="C98" s="111">
        <f t="shared" si="3"/>
        <v>3</v>
      </c>
      <c r="D98" s="109" t="str" cm="1">
        <f t="array" ref="D98">INDEX('Sug-Map-1'!$I$7:$K$102,1+B98,C98)</f>
        <v/>
      </c>
    </row>
    <row r="99" spans="1:4" x14ac:dyDescent="0.75">
      <c r="A99" s="111">
        <v>97</v>
      </c>
      <c r="B99" s="111">
        <f t="shared" si="2"/>
        <v>32</v>
      </c>
      <c r="C99" s="111">
        <f t="shared" si="3"/>
        <v>1</v>
      </c>
      <c r="D99" s="109" t="str" cm="1">
        <f t="array" ref="D99">INDEX('Sug-Map-1'!$I$7:$K$102,1+B99,C99)</f>
        <v/>
      </c>
    </row>
    <row r="100" spans="1:4" x14ac:dyDescent="0.75">
      <c r="A100" s="111">
        <v>98</v>
      </c>
      <c r="B100" s="111">
        <f t="shared" si="2"/>
        <v>32</v>
      </c>
      <c r="C100" s="111">
        <f t="shared" si="3"/>
        <v>2</v>
      </c>
      <c r="D100" s="109" t="str" cm="1">
        <f t="array" ref="D100">INDEX('Sug-Map-1'!$I$7:$K$102,1+B100,C100)</f>
        <v/>
      </c>
    </row>
    <row r="101" spans="1:4" x14ac:dyDescent="0.75">
      <c r="A101" s="111">
        <v>99</v>
      </c>
      <c r="B101" s="111">
        <f t="shared" si="2"/>
        <v>32</v>
      </c>
      <c r="C101" s="111">
        <f t="shared" si="3"/>
        <v>3</v>
      </c>
      <c r="D101" s="109" t="str" cm="1">
        <f t="array" ref="D101">INDEX('Sug-Map-1'!$I$7:$K$102,1+B101,C101)</f>
        <v/>
      </c>
    </row>
    <row r="102" spans="1:4" x14ac:dyDescent="0.75">
      <c r="A102" s="111">
        <v>100</v>
      </c>
      <c r="B102" s="111">
        <f t="shared" si="2"/>
        <v>33</v>
      </c>
      <c r="C102" s="111">
        <f t="shared" si="3"/>
        <v>1</v>
      </c>
      <c r="D102" s="109" t="str" cm="1">
        <f t="array" ref="D102">INDEX('Sug-Map-1'!$I$7:$K$102,1+B102,C102)</f>
        <v/>
      </c>
    </row>
    <row r="103" spans="1:4" x14ac:dyDescent="0.75">
      <c r="A103" s="111">
        <v>101</v>
      </c>
      <c r="B103" s="111">
        <f t="shared" si="2"/>
        <v>33</v>
      </c>
      <c r="C103" s="111">
        <f t="shared" si="3"/>
        <v>2</v>
      </c>
      <c r="D103" s="109" t="str" cm="1">
        <f t="array" ref="D103">INDEX('Sug-Map-1'!$I$7:$K$102,1+B103,C103)</f>
        <v/>
      </c>
    </row>
    <row r="104" spans="1:4" x14ac:dyDescent="0.75">
      <c r="A104" s="111">
        <v>102</v>
      </c>
      <c r="B104" s="111">
        <f t="shared" si="2"/>
        <v>33</v>
      </c>
      <c r="C104" s="111">
        <f t="shared" si="3"/>
        <v>3</v>
      </c>
      <c r="D104" s="109" t="str" cm="1">
        <f t="array" ref="D104">INDEX('Sug-Map-1'!$I$7:$K$102,1+B104,C104)</f>
        <v/>
      </c>
    </row>
    <row r="105" spans="1:4" x14ac:dyDescent="0.75">
      <c r="A105" s="111">
        <v>103</v>
      </c>
      <c r="B105" s="111">
        <f t="shared" si="2"/>
        <v>34</v>
      </c>
      <c r="C105" s="111">
        <f t="shared" si="3"/>
        <v>1</v>
      </c>
      <c r="D105" s="109" t="str" cm="1">
        <f t="array" ref="D105">INDEX('Sug-Map-1'!$I$7:$K$102,1+B105,C105)</f>
        <v/>
      </c>
    </row>
    <row r="106" spans="1:4" x14ac:dyDescent="0.75">
      <c r="A106" s="111">
        <v>104</v>
      </c>
      <c r="B106" s="111">
        <f t="shared" si="2"/>
        <v>34</v>
      </c>
      <c r="C106" s="111">
        <f t="shared" si="3"/>
        <v>2</v>
      </c>
      <c r="D106" s="109" t="str" cm="1">
        <f t="array" ref="D106">INDEX('Sug-Map-1'!$I$7:$K$102,1+B106,C106)</f>
        <v/>
      </c>
    </row>
    <row r="107" spans="1:4" x14ac:dyDescent="0.75">
      <c r="A107" s="111">
        <v>105</v>
      </c>
      <c r="B107" s="111">
        <f t="shared" si="2"/>
        <v>34</v>
      </c>
      <c r="C107" s="111">
        <f t="shared" si="3"/>
        <v>3</v>
      </c>
      <c r="D107" s="109" t="str" cm="1">
        <f t="array" ref="D107">INDEX('Sug-Map-1'!$I$7:$K$102,1+B107,C107)</f>
        <v/>
      </c>
    </row>
    <row r="108" spans="1:4" x14ac:dyDescent="0.75">
      <c r="A108" s="111">
        <v>106</v>
      </c>
      <c r="B108" s="111">
        <f t="shared" si="2"/>
        <v>35</v>
      </c>
      <c r="C108" s="111">
        <f t="shared" si="3"/>
        <v>1</v>
      </c>
      <c r="D108" s="109" t="str" cm="1">
        <f t="array" ref="D108">INDEX('Sug-Map-1'!$I$7:$K$102,1+B108,C108)</f>
        <v/>
      </c>
    </row>
    <row r="109" spans="1:4" x14ac:dyDescent="0.75">
      <c r="A109" s="111">
        <v>107</v>
      </c>
      <c r="B109" s="111">
        <f t="shared" si="2"/>
        <v>35</v>
      </c>
      <c r="C109" s="111">
        <f t="shared" si="3"/>
        <v>2</v>
      </c>
      <c r="D109" s="109" t="str" cm="1">
        <f t="array" ref="D109">INDEX('Sug-Map-1'!$I$7:$K$102,1+B109,C109)</f>
        <v/>
      </c>
    </row>
    <row r="110" spans="1:4" x14ac:dyDescent="0.75">
      <c r="A110" s="111">
        <v>108</v>
      </c>
      <c r="B110" s="111">
        <f t="shared" si="2"/>
        <v>35</v>
      </c>
      <c r="C110" s="111">
        <f t="shared" si="3"/>
        <v>3</v>
      </c>
      <c r="D110" s="109" t="str" cm="1">
        <f t="array" ref="D110">INDEX('Sug-Map-1'!$I$7:$K$102,1+B110,C110)</f>
        <v/>
      </c>
    </row>
    <row r="111" spans="1:4" x14ac:dyDescent="0.75">
      <c r="A111" s="111">
        <v>109</v>
      </c>
      <c r="B111" s="111">
        <f t="shared" si="2"/>
        <v>36</v>
      </c>
      <c r="C111" s="111">
        <f t="shared" si="3"/>
        <v>1</v>
      </c>
      <c r="D111" s="109" t="str" cm="1">
        <f t="array" ref="D111">INDEX('Sug-Map-1'!$I$7:$K$102,1+B111,C111)</f>
        <v/>
      </c>
    </row>
    <row r="112" spans="1:4" x14ac:dyDescent="0.75">
      <c r="A112" s="111">
        <v>110</v>
      </c>
      <c r="B112" s="111">
        <f t="shared" si="2"/>
        <v>36</v>
      </c>
      <c r="C112" s="111">
        <f t="shared" si="3"/>
        <v>2</v>
      </c>
      <c r="D112" s="109" t="str" cm="1">
        <f t="array" ref="D112">INDEX('Sug-Map-1'!$I$7:$K$102,1+B112,C112)</f>
        <v/>
      </c>
    </row>
    <row r="113" spans="1:4" x14ac:dyDescent="0.75">
      <c r="A113" s="111">
        <v>111</v>
      </c>
      <c r="B113" s="111">
        <f t="shared" si="2"/>
        <v>36</v>
      </c>
      <c r="C113" s="111">
        <f t="shared" si="3"/>
        <v>3</v>
      </c>
      <c r="D113" s="109" t="str" cm="1">
        <f t="array" ref="D113">INDEX('Sug-Map-1'!$I$7:$K$102,1+B113,C113)</f>
        <v/>
      </c>
    </row>
    <row r="114" spans="1:4" x14ac:dyDescent="0.75">
      <c r="A114" s="111">
        <v>112</v>
      </c>
      <c r="B114" s="111">
        <f t="shared" si="2"/>
        <v>37</v>
      </c>
      <c r="C114" s="111">
        <f t="shared" si="3"/>
        <v>1</v>
      </c>
      <c r="D114" s="109" t="str" cm="1">
        <f t="array" ref="D114">INDEX('Sug-Map-1'!$I$7:$K$102,1+B114,C114)</f>
        <v/>
      </c>
    </row>
    <row r="115" spans="1:4" x14ac:dyDescent="0.75">
      <c r="A115" s="111">
        <v>113</v>
      </c>
      <c r="B115" s="111">
        <f t="shared" si="2"/>
        <v>37</v>
      </c>
      <c r="C115" s="111">
        <f t="shared" si="3"/>
        <v>2</v>
      </c>
      <c r="D115" s="109" t="str" cm="1">
        <f t="array" ref="D115">INDEX('Sug-Map-1'!$I$7:$K$102,1+B115,C115)</f>
        <v/>
      </c>
    </row>
    <row r="116" spans="1:4" x14ac:dyDescent="0.75">
      <c r="A116" s="111">
        <v>114</v>
      </c>
      <c r="B116" s="111">
        <f t="shared" si="2"/>
        <v>37</v>
      </c>
      <c r="C116" s="111">
        <f t="shared" si="3"/>
        <v>3</v>
      </c>
      <c r="D116" s="109" t="str" cm="1">
        <f t="array" ref="D116">INDEX('Sug-Map-1'!$I$7:$K$102,1+B116,C116)</f>
        <v/>
      </c>
    </row>
    <row r="117" spans="1:4" x14ac:dyDescent="0.75">
      <c r="A117" s="111">
        <v>115</v>
      </c>
      <c r="B117" s="111">
        <f t="shared" si="2"/>
        <v>38</v>
      </c>
      <c r="C117" s="111">
        <f t="shared" si="3"/>
        <v>1</v>
      </c>
      <c r="D117" s="109" t="str" cm="1">
        <f t="array" ref="D117">INDEX('Sug-Map-1'!$I$7:$K$102,1+B117,C117)</f>
        <v/>
      </c>
    </row>
    <row r="118" spans="1:4" x14ac:dyDescent="0.75">
      <c r="A118" s="111">
        <v>116</v>
      </c>
      <c r="B118" s="111">
        <f t="shared" si="2"/>
        <v>38</v>
      </c>
      <c r="C118" s="111">
        <f t="shared" si="3"/>
        <v>2</v>
      </c>
      <c r="D118" s="109" t="str" cm="1">
        <f t="array" ref="D118">INDEX('Sug-Map-1'!$I$7:$K$102,1+B118,C118)</f>
        <v/>
      </c>
    </row>
    <row r="119" spans="1:4" x14ac:dyDescent="0.75">
      <c r="A119" s="111">
        <v>117</v>
      </c>
      <c r="B119" s="111">
        <f t="shared" si="2"/>
        <v>38</v>
      </c>
      <c r="C119" s="111">
        <f t="shared" si="3"/>
        <v>3</v>
      </c>
      <c r="D119" s="109" t="str" cm="1">
        <f t="array" ref="D119">INDEX('Sug-Map-1'!$I$7:$K$102,1+B119,C119)</f>
        <v/>
      </c>
    </row>
    <row r="120" spans="1:4" x14ac:dyDescent="0.75">
      <c r="A120" s="111">
        <v>118</v>
      </c>
      <c r="B120" s="111">
        <f t="shared" si="2"/>
        <v>39</v>
      </c>
      <c r="C120" s="111">
        <f t="shared" si="3"/>
        <v>1</v>
      </c>
      <c r="D120" s="109" t="str" cm="1">
        <f t="array" ref="D120">INDEX('Sug-Map-1'!$I$7:$K$102,1+B120,C120)</f>
        <v/>
      </c>
    </row>
    <row r="121" spans="1:4" x14ac:dyDescent="0.75">
      <c r="A121" s="111">
        <v>119</v>
      </c>
      <c r="B121" s="111">
        <f t="shared" si="2"/>
        <v>39</v>
      </c>
      <c r="C121" s="111">
        <f t="shared" si="3"/>
        <v>2</v>
      </c>
      <c r="D121" s="109" t="str" cm="1">
        <f t="array" ref="D121">INDEX('Sug-Map-1'!$I$7:$K$102,1+B121,C121)</f>
        <v/>
      </c>
    </row>
    <row r="122" spans="1:4" x14ac:dyDescent="0.75">
      <c r="A122" s="111">
        <v>120</v>
      </c>
      <c r="B122" s="111">
        <f t="shared" si="2"/>
        <v>39</v>
      </c>
      <c r="C122" s="111">
        <f t="shared" si="3"/>
        <v>3</v>
      </c>
      <c r="D122" s="109" t="str" cm="1">
        <f t="array" ref="D122">INDEX('Sug-Map-1'!$I$7:$K$102,1+B122,C122)</f>
        <v/>
      </c>
    </row>
    <row r="123" spans="1:4" x14ac:dyDescent="0.75">
      <c r="A123" s="111">
        <v>121</v>
      </c>
      <c r="B123" s="111">
        <f t="shared" si="2"/>
        <v>40</v>
      </c>
      <c r="C123" s="111">
        <f t="shared" si="3"/>
        <v>1</v>
      </c>
      <c r="D123" s="109" t="str" cm="1">
        <f t="array" ref="D123">INDEX('Sug-Map-1'!$I$7:$K$102,1+B123,C123)</f>
        <v/>
      </c>
    </row>
    <row r="124" spans="1:4" x14ac:dyDescent="0.75">
      <c r="A124" s="111">
        <v>122</v>
      </c>
      <c r="B124" s="111">
        <f t="shared" si="2"/>
        <v>40</v>
      </c>
      <c r="C124" s="111">
        <f t="shared" si="3"/>
        <v>2</v>
      </c>
      <c r="D124" s="109" t="str" cm="1">
        <f t="array" ref="D124">INDEX('Sug-Map-1'!$I$7:$K$102,1+B124,C124)</f>
        <v/>
      </c>
    </row>
    <row r="125" spans="1:4" x14ac:dyDescent="0.75">
      <c r="A125" s="111">
        <v>123</v>
      </c>
      <c r="B125" s="111">
        <f t="shared" si="2"/>
        <v>40</v>
      </c>
      <c r="C125" s="111">
        <f t="shared" si="3"/>
        <v>3</v>
      </c>
      <c r="D125" s="109" t="str" cm="1">
        <f t="array" ref="D125">INDEX('Sug-Map-1'!$I$7:$K$102,1+B125,C125)</f>
        <v/>
      </c>
    </row>
    <row r="126" spans="1:4" x14ac:dyDescent="0.75">
      <c r="A126" s="111">
        <v>124</v>
      </c>
      <c r="B126" s="111">
        <f t="shared" si="2"/>
        <v>41</v>
      </c>
      <c r="C126" s="111">
        <f t="shared" si="3"/>
        <v>1</v>
      </c>
      <c r="D126" s="109" t="str" cm="1">
        <f t="array" ref="D126">INDEX('Sug-Map-1'!$I$7:$K$102,1+B126,C126)</f>
        <v/>
      </c>
    </row>
    <row r="127" spans="1:4" x14ac:dyDescent="0.75">
      <c r="A127" s="111">
        <v>125</v>
      </c>
      <c r="B127" s="111">
        <f t="shared" si="2"/>
        <v>41</v>
      </c>
      <c r="C127" s="111">
        <f t="shared" si="3"/>
        <v>2</v>
      </c>
      <c r="D127" s="109" t="str" cm="1">
        <f t="array" ref="D127">INDEX('Sug-Map-1'!$I$7:$K$102,1+B127,C127)</f>
        <v/>
      </c>
    </row>
    <row r="128" spans="1:4" x14ac:dyDescent="0.75">
      <c r="A128" s="111">
        <v>126</v>
      </c>
      <c r="B128" s="111">
        <f t="shared" si="2"/>
        <v>41</v>
      </c>
      <c r="C128" s="111">
        <f t="shared" si="3"/>
        <v>3</v>
      </c>
      <c r="D128" s="109" t="str" cm="1">
        <f t="array" ref="D128">INDEX('Sug-Map-1'!$I$7:$K$102,1+B128,C128)</f>
        <v/>
      </c>
    </row>
    <row r="129" spans="1:4" x14ac:dyDescent="0.75">
      <c r="A129" s="111">
        <v>127</v>
      </c>
      <c r="B129" s="111">
        <f t="shared" si="2"/>
        <v>42</v>
      </c>
      <c r="C129" s="111">
        <f t="shared" si="3"/>
        <v>1</v>
      </c>
      <c r="D129" s="109" t="str" cm="1">
        <f t="array" ref="D129">INDEX('Sug-Map-1'!$I$7:$K$102,1+B129,C129)</f>
        <v/>
      </c>
    </row>
    <row r="130" spans="1:4" x14ac:dyDescent="0.75">
      <c r="A130" s="111">
        <v>128</v>
      </c>
      <c r="B130" s="111">
        <f t="shared" si="2"/>
        <v>42</v>
      </c>
      <c r="C130" s="111">
        <f t="shared" si="3"/>
        <v>2</v>
      </c>
      <c r="D130" s="109" t="str" cm="1">
        <f t="array" ref="D130">INDEX('Sug-Map-1'!$I$7:$K$102,1+B130,C130)</f>
        <v/>
      </c>
    </row>
    <row r="131" spans="1:4" x14ac:dyDescent="0.75">
      <c r="A131" s="111">
        <v>129</v>
      </c>
      <c r="B131" s="111">
        <f t="shared" si="2"/>
        <v>42</v>
      </c>
      <c r="C131" s="111">
        <f t="shared" si="3"/>
        <v>3</v>
      </c>
      <c r="D131" s="109" t="str" cm="1">
        <f t="array" ref="D131">INDEX('Sug-Map-1'!$I$7:$K$102,1+B131,C131)</f>
        <v/>
      </c>
    </row>
    <row r="132" spans="1:4" x14ac:dyDescent="0.75">
      <c r="A132" s="111">
        <v>130</v>
      </c>
      <c r="B132" s="111">
        <f t="shared" ref="B132:B195" si="4">IF(MOD(A132,3)=0,A132/3-1,INT(A132/3))</f>
        <v>43</v>
      </c>
      <c r="C132" s="111">
        <f t="shared" ref="C132:C195" si="5">IF(MOD(A132,3)=0,3,MOD(A132,3))</f>
        <v>1</v>
      </c>
      <c r="D132" s="109" t="str" cm="1">
        <f t="array" ref="D132">INDEX('Sug-Map-1'!$I$7:$K$102,1+B132,C132)</f>
        <v/>
      </c>
    </row>
    <row r="133" spans="1:4" x14ac:dyDescent="0.75">
      <c r="A133" s="111">
        <v>131</v>
      </c>
      <c r="B133" s="111">
        <f t="shared" si="4"/>
        <v>43</v>
      </c>
      <c r="C133" s="111">
        <f t="shared" si="5"/>
        <v>2</v>
      </c>
      <c r="D133" s="109" t="str" cm="1">
        <f t="array" ref="D133">INDEX('Sug-Map-1'!$I$7:$K$102,1+B133,C133)</f>
        <v/>
      </c>
    </row>
    <row r="134" spans="1:4" x14ac:dyDescent="0.75">
      <c r="A134" s="111">
        <v>132</v>
      </c>
      <c r="B134" s="111">
        <f t="shared" si="4"/>
        <v>43</v>
      </c>
      <c r="C134" s="111">
        <f t="shared" si="5"/>
        <v>3</v>
      </c>
      <c r="D134" s="109" t="str" cm="1">
        <f t="array" ref="D134">INDEX('Sug-Map-1'!$I$7:$K$102,1+B134,C134)</f>
        <v/>
      </c>
    </row>
    <row r="135" spans="1:4" x14ac:dyDescent="0.75">
      <c r="A135" s="111">
        <v>133</v>
      </c>
      <c r="B135" s="111">
        <f t="shared" si="4"/>
        <v>44</v>
      </c>
      <c r="C135" s="111">
        <f t="shared" si="5"/>
        <v>1</v>
      </c>
      <c r="D135" s="109" t="str" cm="1">
        <f t="array" ref="D135">INDEX('Sug-Map-1'!$I$7:$K$102,1+B135,C135)</f>
        <v/>
      </c>
    </row>
    <row r="136" spans="1:4" x14ac:dyDescent="0.75">
      <c r="A136" s="111">
        <v>134</v>
      </c>
      <c r="B136" s="111">
        <f t="shared" si="4"/>
        <v>44</v>
      </c>
      <c r="C136" s="111">
        <f t="shared" si="5"/>
        <v>2</v>
      </c>
      <c r="D136" s="109" t="str" cm="1">
        <f t="array" ref="D136">INDEX('Sug-Map-1'!$I$7:$K$102,1+B136,C136)</f>
        <v/>
      </c>
    </row>
    <row r="137" spans="1:4" x14ac:dyDescent="0.75">
      <c r="A137" s="111">
        <v>135</v>
      </c>
      <c r="B137" s="111">
        <f t="shared" si="4"/>
        <v>44</v>
      </c>
      <c r="C137" s="111">
        <f t="shared" si="5"/>
        <v>3</v>
      </c>
      <c r="D137" s="109" t="str" cm="1">
        <f t="array" ref="D137">INDEX('Sug-Map-1'!$I$7:$K$102,1+B137,C137)</f>
        <v/>
      </c>
    </row>
    <row r="138" spans="1:4" x14ac:dyDescent="0.75">
      <c r="A138" s="111">
        <v>136</v>
      </c>
      <c r="B138" s="111">
        <f t="shared" si="4"/>
        <v>45</v>
      </c>
      <c r="C138" s="111">
        <f t="shared" si="5"/>
        <v>1</v>
      </c>
      <c r="D138" s="109" t="str" cm="1">
        <f t="array" ref="D138">INDEX('Sug-Map-1'!$I$7:$K$102,1+B138,C138)</f>
        <v/>
      </c>
    </row>
    <row r="139" spans="1:4" x14ac:dyDescent="0.75">
      <c r="A139" s="111">
        <v>137</v>
      </c>
      <c r="B139" s="111">
        <f t="shared" si="4"/>
        <v>45</v>
      </c>
      <c r="C139" s="111">
        <f t="shared" si="5"/>
        <v>2</v>
      </c>
      <c r="D139" s="109" t="str" cm="1">
        <f t="array" ref="D139">INDEX('Sug-Map-1'!$I$7:$K$102,1+B139,C139)</f>
        <v/>
      </c>
    </row>
    <row r="140" spans="1:4" x14ac:dyDescent="0.75">
      <c r="A140" s="111">
        <v>138</v>
      </c>
      <c r="B140" s="111">
        <f t="shared" si="4"/>
        <v>45</v>
      </c>
      <c r="C140" s="111">
        <f t="shared" si="5"/>
        <v>3</v>
      </c>
      <c r="D140" s="109" t="str" cm="1">
        <f t="array" ref="D140">INDEX('Sug-Map-1'!$I$7:$K$102,1+B140,C140)</f>
        <v/>
      </c>
    </row>
    <row r="141" spans="1:4" x14ac:dyDescent="0.75">
      <c r="A141" s="111">
        <v>139</v>
      </c>
      <c r="B141" s="111">
        <f t="shared" si="4"/>
        <v>46</v>
      </c>
      <c r="C141" s="111">
        <f t="shared" si="5"/>
        <v>1</v>
      </c>
      <c r="D141" s="109" cm="1">
        <f t="array" ref="D141">INDEX('Sug-Map-1'!$I$7:$K$102,1+B141,C141)</f>
        <v>0</v>
      </c>
    </row>
    <row r="142" spans="1:4" x14ac:dyDescent="0.75">
      <c r="A142" s="111">
        <v>140</v>
      </c>
      <c r="B142" s="111">
        <f t="shared" si="4"/>
        <v>46</v>
      </c>
      <c r="C142" s="111">
        <f t="shared" si="5"/>
        <v>2</v>
      </c>
      <c r="D142" s="109" cm="1">
        <f t="array" ref="D142">INDEX('Sug-Map-1'!$I$7:$K$102,1+B142,C142)</f>
        <v>0</v>
      </c>
    </row>
    <row r="143" spans="1:4" x14ac:dyDescent="0.75">
      <c r="A143" s="111">
        <v>141</v>
      </c>
      <c r="B143" s="111">
        <f t="shared" si="4"/>
        <v>46</v>
      </c>
      <c r="C143" s="111">
        <f t="shared" si="5"/>
        <v>3</v>
      </c>
      <c r="D143" s="109" cm="1">
        <f t="array" ref="D143">INDEX('Sug-Map-1'!$I$7:$K$102,1+B143,C143)</f>
        <v>0</v>
      </c>
    </row>
    <row r="144" spans="1:4" x14ac:dyDescent="0.75">
      <c r="A144" s="111">
        <v>142</v>
      </c>
      <c r="B144" s="111">
        <f t="shared" si="4"/>
        <v>47</v>
      </c>
      <c r="C144" s="111">
        <f t="shared" si="5"/>
        <v>1</v>
      </c>
      <c r="D144" s="109" cm="1">
        <f t="array" ref="D144">INDEX('Sug-Map-1'!$I$7:$K$102,1+B144,C144)</f>
        <v>0</v>
      </c>
    </row>
    <row r="145" spans="1:4" x14ac:dyDescent="0.75">
      <c r="A145" s="111">
        <v>143</v>
      </c>
      <c r="B145" s="111">
        <f t="shared" si="4"/>
        <v>47</v>
      </c>
      <c r="C145" s="111">
        <f t="shared" si="5"/>
        <v>2</v>
      </c>
      <c r="D145" s="109" cm="1">
        <f t="array" ref="D145">INDEX('Sug-Map-1'!$I$7:$K$102,1+B145,C145)</f>
        <v>0</v>
      </c>
    </row>
    <row r="146" spans="1:4" x14ac:dyDescent="0.75">
      <c r="A146" s="111">
        <v>144</v>
      </c>
      <c r="B146" s="111">
        <f t="shared" si="4"/>
        <v>47</v>
      </c>
      <c r="C146" s="111">
        <f t="shared" si="5"/>
        <v>3</v>
      </c>
      <c r="D146" s="109" cm="1">
        <f t="array" ref="D146">INDEX('Sug-Map-1'!$I$7:$K$102,1+B146,C146)</f>
        <v>0</v>
      </c>
    </row>
    <row r="147" spans="1:4" x14ac:dyDescent="0.75">
      <c r="A147" s="111">
        <v>145</v>
      </c>
      <c r="B147" s="111">
        <f t="shared" si="4"/>
        <v>48</v>
      </c>
      <c r="C147" s="111">
        <f t="shared" si="5"/>
        <v>1</v>
      </c>
      <c r="D147" s="109" cm="1">
        <f t="array" ref="D147">INDEX('Sug-Map-1'!$I$7:$K$102,1+B147,C147)</f>
        <v>0</v>
      </c>
    </row>
    <row r="148" spans="1:4" x14ac:dyDescent="0.75">
      <c r="A148" s="111">
        <v>146</v>
      </c>
      <c r="B148" s="111">
        <f t="shared" si="4"/>
        <v>48</v>
      </c>
      <c r="C148" s="111">
        <f t="shared" si="5"/>
        <v>2</v>
      </c>
      <c r="D148" s="109" cm="1">
        <f t="array" ref="D148">INDEX('Sug-Map-1'!$I$7:$K$102,1+B148,C148)</f>
        <v>0</v>
      </c>
    </row>
    <row r="149" spans="1:4" x14ac:dyDescent="0.75">
      <c r="A149" s="111">
        <v>147</v>
      </c>
      <c r="B149" s="111">
        <f t="shared" si="4"/>
        <v>48</v>
      </c>
      <c r="C149" s="111">
        <f t="shared" si="5"/>
        <v>3</v>
      </c>
      <c r="D149" s="109" cm="1">
        <f t="array" ref="D149">INDEX('Sug-Map-1'!$I$7:$K$102,1+B149,C149)</f>
        <v>0</v>
      </c>
    </row>
    <row r="150" spans="1:4" x14ac:dyDescent="0.75">
      <c r="A150" s="111">
        <v>148</v>
      </c>
      <c r="B150" s="111">
        <f t="shared" si="4"/>
        <v>49</v>
      </c>
      <c r="C150" s="111">
        <f t="shared" si="5"/>
        <v>1</v>
      </c>
      <c r="D150" s="109" cm="1">
        <f t="array" ref="D150">INDEX('Sug-Map-1'!$I$7:$K$102,1+B150,C150)</f>
        <v>0</v>
      </c>
    </row>
    <row r="151" spans="1:4" x14ac:dyDescent="0.75">
      <c r="A151" s="111">
        <v>149</v>
      </c>
      <c r="B151" s="111">
        <f t="shared" si="4"/>
        <v>49</v>
      </c>
      <c r="C151" s="111">
        <f t="shared" si="5"/>
        <v>2</v>
      </c>
      <c r="D151" s="109" cm="1">
        <f t="array" ref="D151">INDEX('Sug-Map-1'!$I$7:$K$102,1+B151,C151)</f>
        <v>0</v>
      </c>
    </row>
    <row r="152" spans="1:4" x14ac:dyDescent="0.75">
      <c r="A152" s="111">
        <v>150</v>
      </c>
      <c r="B152" s="111">
        <f t="shared" si="4"/>
        <v>49</v>
      </c>
      <c r="C152" s="111">
        <f t="shared" si="5"/>
        <v>3</v>
      </c>
      <c r="D152" s="109" cm="1">
        <f t="array" ref="D152">INDEX('Sug-Map-1'!$I$7:$K$102,1+B152,C152)</f>
        <v>0</v>
      </c>
    </row>
    <row r="153" spans="1:4" x14ac:dyDescent="0.75">
      <c r="A153" s="111">
        <v>151</v>
      </c>
      <c r="B153" s="111">
        <f t="shared" si="4"/>
        <v>50</v>
      </c>
      <c r="C153" s="111">
        <f t="shared" si="5"/>
        <v>1</v>
      </c>
      <c r="D153" s="109" cm="1">
        <f t="array" ref="D153">INDEX('Sug-Map-1'!$I$7:$K$102,1+B153,C153)</f>
        <v>0</v>
      </c>
    </row>
    <row r="154" spans="1:4" x14ac:dyDescent="0.75">
      <c r="A154" s="111">
        <v>152</v>
      </c>
      <c r="B154" s="111">
        <f t="shared" si="4"/>
        <v>50</v>
      </c>
      <c r="C154" s="111">
        <f t="shared" si="5"/>
        <v>2</v>
      </c>
      <c r="D154" s="109" cm="1">
        <f t="array" ref="D154">INDEX('Sug-Map-1'!$I$7:$K$102,1+B154,C154)</f>
        <v>0</v>
      </c>
    </row>
    <row r="155" spans="1:4" x14ac:dyDescent="0.75">
      <c r="A155" s="111">
        <v>153</v>
      </c>
      <c r="B155" s="111">
        <f t="shared" si="4"/>
        <v>50</v>
      </c>
      <c r="C155" s="111">
        <f t="shared" si="5"/>
        <v>3</v>
      </c>
      <c r="D155" s="109" cm="1">
        <f t="array" ref="D155">INDEX('Sug-Map-1'!$I$7:$K$102,1+B155,C155)</f>
        <v>0</v>
      </c>
    </row>
    <row r="156" spans="1:4" x14ac:dyDescent="0.75">
      <c r="A156" s="111">
        <v>154</v>
      </c>
      <c r="B156" s="111">
        <f t="shared" si="4"/>
        <v>51</v>
      </c>
      <c r="C156" s="111">
        <f t="shared" si="5"/>
        <v>1</v>
      </c>
      <c r="D156" s="109" cm="1">
        <f t="array" ref="D156">INDEX('Sug-Map-1'!$I$7:$K$102,1+B156,C156)</f>
        <v>0</v>
      </c>
    </row>
    <row r="157" spans="1:4" x14ac:dyDescent="0.75">
      <c r="A157" s="111">
        <v>155</v>
      </c>
      <c r="B157" s="111">
        <f t="shared" si="4"/>
        <v>51</v>
      </c>
      <c r="C157" s="111">
        <f t="shared" si="5"/>
        <v>2</v>
      </c>
      <c r="D157" s="109" cm="1">
        <f t="array" ref="D157">INDEX('Sug-Map-1'!$I$7:$K$102,1+B157,C157)</f>
        <v>0</v>
      </c>
    </row>
    <row r="158" spans="1:4" x14ac:dyDescent="0.75">
      <c r="A158" s="111">
        <v>156</v>
      </c>
      <c r="B158" s="111">
        <f t="shared" si="4"/>
        <v>51</v>
      </c>
      <c r="C158" s="111">
        <f t="shared" si="5"/>
        <v>3</v>
      </c>
      <c r="D158" s="109" cm="1">
        <f t="array" ref="D158">INDEX('Sug-Map-1'!$I$7:$K$102,1+B158,C158)</f>
        <v>0</v>
      </c>
    </row>
    <row r="159" spans="1:4" x14ac:dyDescent="0.75">
      <c r="A159" s="111">
        <v>157</v>
      </c>
      <c r="B159" s="111">
        <f t="shared" si="4"/>
        <v>52</v>
      </c>
      <c r="C159" s="111">
        <f t="shared" si="5"/>
        <v>1</v>
      </c>
      <c r="D159" s="109" cm="1">
        <f t="array" ref="D159">INDEX('Sug-Map-1'!$I$7:$K$102,1+B159,C159)</f>
        <v>0</v>
      </c>
    </row>
    <row r="160" spans="1:4" x14ac:dyDescent="0.75">
      <c r="A160" s="111">
        <v>158</v>
      </c>
      <c r="B160" s="111">
        <f t="shared" si="4"/>
        <v>52</v>
      </c>
      <c r="C160" s="111">
        <f t="shared" si="5"/>
        <v>2</v>
      </c>
      <c r="D160" s="109" cm="1">
        <f t="array" ref="D160">INDEX('Sug-Map-1'!$I$7:$K$102,1+B160,C160)</f>
        <v>0</v>
      </c>
    </row>
    <row r="161" spans="1:4" x14ac:dyDescent="0.75">
      <c r="A161" s="111">
        <v>159</v>
      </c>
      <c r="B161" s="111">
        <f t="shared" si="4"/>
        <v>52</v>
      </c>
      <c r="C161" s="111">
        <f t="shared" si="5"/>
        <v>3</v>
      </c>
      <c r="D161" s="109" cm="1">
        <f t="array" ref="D161">INDEX('Sug-Map-1'!$I$7:$K$102,1+B161,C161)</f>
        <v>0</v>
      </c>
    </row>
    <row r="162" spans="1:4" x14ac:dyDescent="0.75">
      <c r="A162" s="111">
        <v>160</v>
      </c>
      <c r="B162" s="111">
        <f t="shared" si="4"/>
        <v>53</v>
      </c>
      <c r="C162" s="111">
        <f t="shared" si="5"/>
        <v>1</v>
      </c>
      <c r="D162" s="109" cm="1">
        <f t="array" ref="D162">INDEX('Sug-Map-1'!$I$7:$K$102,1+B162,C162)</f>
        <v>0</v>
      </c>
    </row>
    <row r="163" spans="1:4" x14ac:dyDescent="0.75">
      <c r="A163" s="111">
        <v>161</v>
      </c>
      <c r="B163" s="111">
        <f t="shared" si="4"/>
        <v>53</v>
      </c>
      <c r="C163" s="111">
        <f t="shared" si="5"/>
        <v>2</v>
      </c>
      <c r="D163" s="109" cm="1">
        <f t="array" ref="D163">INDEX('Sug-Map-1'!$I$7:$K$102,1+B163,C163)</f>
        <v>0</v>
      </c>
    </row>
    <row r="164" spans="1:4" x14ac:dyDescent="0.75">
      <c r="A164" s="111">
        <v>162</v>
      </c>
      <c r="B164" s="111">
        <f t="shared" si="4"/>
        <v>53</v>
      </c>
      <c r="C164" s="111">
        <f t="shared" si="5"/>
        <v>3</v>
      </c>
      <c r="D164" s="109" cm="1">
        <f t="array" ref="D164">INDEX('Sug-Map-1'!$I$7:$K$102,1+B164,C164)</f>
        <v>0</v>
      </c>
    </row>
    <row r="165" spans="1:4" x14ac:dyDescent="0.75">
      <c r="A165" s="111">
        <v>163</v>
      </c>
      <c r="B165" s="111">
        <f t="shared" si="4"/>
        <v>54</v>
      </c>
      <c r="C165" s="111">
        <f t="shared" si="5"/>
        <v>1</v>
      </c>
      <c r="D165" s="109" cm="1">
        <f t="array" ref="D165">INDEX('Sug-Map-1'!$I$7:$K$102,1+B165,C165)</f>
        <v>0</v>
      </c>
    </row>
    <row r="166" spans="1:4" x14ac:dyDescent="0.75">
      <c r="A166" s="111">
        <v>164</v>
      </c>
      <c r="B166" s="111">
        <f t="shared" si="4"/>
        <v>54</v>
      </c>
      <c r="C166" s="111">
        <f t="shared" si="5"/>
        <v>2</v>
      </c>
      <c r="D166" s="109" cm="1">
        <f t="array" ref="D166">INDEX('Sug-Map-1'!$I$7:$K$102,1+B166,C166)</f>
        <v>0</v>
      </c>
    </row>
    <row r="167" spans="1:4" x14ac:dyDescent="0.75">
      <c r="A167" s="111">
        <v>165</v>
      </c>
      <c r="B167" s="111">
        <f t="shared" si="4"/>
        <v>54</v>
      </c>
      <c r="C167" s="111">
        <f t="shared" si="5"/>
        <v>3</v>
      </c>
      <c r="D167" s="109" cm="1">
        <f t="array" ref="D167">INDEX('Sug-Map-1'!$I$7:$K$102,1+B167,C167)</f>
        <v>0</v>
      </c>
    </row>
    <row r="168" spans="1:4" x14ac:dyDescent="0.75">
      <c r="A168" s="111">
        <v>166</v>
      </c>
      <c r="B168" s="111">
        <f t="shared" si="4"/>
        <v>55</v>
      </c>
      <c r="C168" s="111">
        <f t="shared" si="5"/>
        <v>1</v>
      </c>
      <c r="D168" s="109" cm="1">
        <f t="array" ref="D168">INDEX('Sug-Map-1'!$I$7:$K$102,1+B168,C168)</f>
        <v>0</v>
      </c>
    </row>
    <row r="169" spans="1:4" x14ac:dyDescent="0.75">
      <c r="A169" s="111">
        <v>167</v>
      </c>
      <c r="B169" s="111">
        <f t="shared" si="4"/>
        <v>55</v>
      </c>
      <c r="C169" s="111">
        <f t="shared" si="5"/>
        <v>2</v>
      </c>
      <c r="D169" s="109" cm="1">
        <f t="array" ref="D169">INDEX('Sug-Map-1'!$I$7:$K$102,1+B169,C169)</f>
        <v>0</v>
      </c>
    </row>
    <row r="170" spans="1:4" x14ac:dyDescent="0.75">
      <c r="A170" s="111">
        <v>168</v>
      </c>
      <c r="B170" s="111">
        <f t="shared" si="4"/>
        <v>55</v>
      </c>
      <c r="C170" s="111">
        <f t="shared" si="5"/>
        <v>3</v>
      </c>
      <c r="D170" s="109" cm="1">
        <f t="array" ref="D170">INDEX('Sug-Map-1'!$I$7:$K$102,1+B170,C170)</f>
        <v>0</v>
      </c>
    </row>
    <row r="171" spans="1:4" x14ac:dyDescent="0.75">
      <c r="A171" s="111">
        <v>169</v>
      </c>
      <c r="B171" s="111">
        <f t="shared" si="4"/>
        <v>56</v>
      </c>
      <c r="C171" s="111">
        <f t="shared" si="5"/>
        <v>1</v>
      </c>
      <c r="D171" s="109" cm="1">
        <f t="array" ref="D171">INDEX('Sug-Map-1'!$I$7:$K$102,1+B171,C171)</f>
        <v>0</v>
      </c>
    </row>
    <row r="172" spans="1:4" x14ac:dyDescent="0.75">
      <c r="A172" s="111">
        <v>170</v>
      </c>
      <c r="B172" s="111">
        <f t="shared" si="4"/>
        <v>56</v>
      </c>
      <c r="C172" s="111">
        <f t="shared" si="5"/>
        <v>2</v>
      </c>
      <c r="D172" s="109" cm="1">
        <f t="array" ref="D172">INDEX('Sug-Map-1'!$I$7:$K$102,1+B172,C172)</f>
        <v>0</v>
      </c>
    </row>
    <row r="173" spans="1:4" x14ac:dyDescent="0.75">
      <c r="A173" s="111">
        <v>171</v>
      </c>
      <c r="B173" s="111">
        <f t="shared" si="4"/>
        <v>56</v>
      </c>
      <c r="C173" s="111">
        <f t="shared" si="5"/>
        <v>3</v>
      </c>
      <c r="D173" s="109" cm="1">
        <f t="array" ref="D173">INDEX('Sug-Map-1'!$I$7:$K$102,1+B173,C173)</f>
        <v>0</v>
      </c>
    </row>
    <row r="174" spans="1:4" x14ac:dyDescent="0.75">
      <c r="A174" s="111">
        <v>172</v>
      </c>
      <c r="B174" s="111">
        <f t="shared" si="4"/>
        <v>57</v>
      </c>
      <c r="C174" s="111">
        <f t="shared" si="5"/>
        <v>1</v>
      </c>
      <c r="D174" s="109" cm="1">
        <f t="array" ref="D174">INDEX('Sug-Map-1'!$I$7:$K$102,1+B174,C174)</f>
        <v>0</v>
      </c>
    </row>
    <row r="175" spans="1:4" x14ac:dyDescent="0.75">
      <c r="A175" s="111">
        <v>173</v>
      </c>
      <c r="B175" s="111">
        <f t="shared" si="4"/>
        <v>57</v>
      </c>
      <c r="C175" s="111">
        <f t="shared" si="5"/>
        <v>2</v>
      </c>
      <c r="D175" s="109" cm="1">
        <f t="array" ref="D175">INDEX('Sug-Map-1'!$I$7:$K$102,1+B175,C175)</f>
        <v>0</v>
      </c>
    </row>
    <row r="176" spans="1:4" x14ac:dyDescent="0.75">
      <c r="A176" s="111">
        <v>174</v>
      </c>
      <c r="B176" s="111">
        <f t="shared" si="4"/>
        <v>57</v>
      </c>
      <c r="C176" s="111">
        <f t="shared" si="5"/>
        <v>3</v>
      </c>
      <c r="D176" s="109" cm="1">
        <f t="array" ref="D176">INDEX('Sug-Map-1'!$I$7:$K$102,1+B176,C176)</f>
        <v>0</v>
      </c>
    </row>
    <row r="177" spans="1:4" x14ac:dyDescent="0.75">
      <c r="A177" s="111">
        <v>175</v>
      </c>
      <c r="B177" s="111">
        <f t="shared" si="4"/>
        <v>58</v>
      </c>
      <c r="C177" s="111">
        <f t="shared" si="5"/>
        <v>1</v>
      </c>
      <c r="D177" s="109" cm="1">
        <f t="array" ref="D177">INDEX('Sug-Map-1'!$I$7:$K$102,1+B177,C177)</f>
        <v>0</v>
      </c>
    </row>
    <row r="178" spans="1:4" x14ac:dyDescent="0.75">
      <c r="A178" s="111">
        <v>176</v>
      </c>
      <c r="B178" s="111">
        <f t="shared" si="4"/>
        <v>58</v>
      </c>
      <c r="C178" s="111">
        <f t="shared" si="5"/>
        <v>2</v>
      </c>
      <c r="D178" s="109" cm="1">
        <f t="array" ref="D178">INDEX('Sug-Map-1'!$I$7:$K$102,1+B178,C178)</f>
        <v>0</v>
      </c>
    </row>
    <row r="179" spans="1:4" x14ac:dyDescent="0.75">
      <c r="A179" s="111">
        <v>177</v>
      </c>
      <c r="B179" s="111">
        <f t="shared" si="4"/>
        <v>58</v>
      </c>
      <c r="C179" s="111">
        <f t="shared" si="5"/>
        <v>3</v>
      </c>
      <c r="D179" s="109" cm="1">
        <f t="array" ref="D179">INDEX('Sug-Map-1'!$I$7:$K$102,1+B179,C179)</f>
        <v>0</v>
      </c>
    </row>
    <row r="180" spans="1:4" x14ac:dyDescent="0.75">
      <c r="A180" s="111">
        <v>178</v>
      </c>
      <c r="B180" s="111">
        <f t="shared" si="4"/>
        <v>59</v>
      </c>
      <c r="C180" s="111">
        <f t="shared" si="5"/>
        <v>1</v>
      </c>
      <c r="D180" s="109" cm="1">
        <f t="array" ref="D180">INDEX('Sug-Map-1'!$I$7:$K$102,1+B180,C180)</f>
        <v>0</v>
      </c>
    </row>
    <row r="181" spans="1:4" x14ac:dyDescent="0.75">
      <c r="A181" s="111">
        <v>179</v>
      </c>
      <c r="B181" s="111">
        <f t="shared" si="4"/>
        <v>59</v>
      </c>
      <c r="C181" s="111">
        <f t="shared" si="5"/>
        <v>2</v>
      </c>
      <c r="D181" s="109" cm="1">
        <f t="array" ref="D181">INDEX('Sug-Map-1'!$I$7:$K$102,1+B181,C181)</f>
        <v>0</v>
      </c>
    </row>
    <row r="182" spans="1:4" x14ac:dyDescent="0.75">
      <c r="A182" s="111">
        <v>180</v>
      </c>
      <c r="B182" s="111">
        <f t="shared" si="4"/>
        <v>59</v>
      </c>
      <c r="C182" s="111">
        <f t="shared" si="5"/>
        <v>3</v>
      </c>
      <c r="D182" s="109" cm="1">
        <f t="array" ref="D182">INDEX('Sug-Map-1'!$I$7:$K$102,1+B182,C182)</f>
        <v>0</v>
      </c>
    </row>
    <row r="183" spans="1:4" x14ac:dyDescent="0.75">
      <c r="A183" s="111">
        <v>181</v>
      </c>
      <c r="B183" s="111">
        <f t="shared" si="4"/>
        <v>60</v>
      </c>
      <c r="C183" s="111">
        <f t="shared" si="5"/>
        <v>1</v>
      </c>
      <c r="D183" s="109" cm="1">
        <f t="array" ref="D183">INDEX('Sug-Map-1'!$I$7:$K$102,1+B183,C183)</f>
        <v>0</v>
      </c>
    </row>
    <row r="184" spans="1:4" x14ac:dyDescent="0.75">
      <c r="A184" s="111">
        <v>182</v>
      </c>
      <c r="B184" s="111">
        <f t="shared" si="4"/>
        <v>60</v>
      </c>
      <c r="C184" s="111">
        <f t="shared" si="5"/>
        <v>2</v>
      </c>
      <c r="D184" s="109" cm="1">
        <f t="array" ref="D184">INDEX('Sug-Map-1'!$I$7:$K$102,1+B184,C184)</f>
        <v>0</v>
      </c>
    </row>
    <row r="185" spans="1:4" x14ac:dyDescent="0.75">
      <c r="A185" s="111">
        <v>183</v>
      </c>
      <c r="B185" s="111">
        <f t="shared" si="4"/>
        <v>60</v>
      </c>
      <c r="C185" s="111">
        <f t="shared" si="5"/>
        <v>3</v>
      </c>
      <c r="D185" s="109" cm="1">
        <f t="array" ref="D185">INDEX('Sug-Map-1'!$I$7:$K$102,1+B185,C185)</f>
        <v>0</v>
      </c>
    </row>
    <row r="186" spans="1:4" x14ac:dyDescent="0.75">
      <c r="A186" s="111">
        <v>184</v>
      </c>
      <c r="B186" s="111">
        <f t="shared" si="4"/>
        <v>61</v>
      </c>
      <c r="C186" s="111">
        <f t="shared" si="5"/>
        <v>1</v>
      </c>
      <c r="D186" s="109" cm="1">
        <f t="array" ref="D186">INDEX('Sug-Map-1'!$I$7:$K$102,1+B186,C186)</f>
        <v>0</v>
      </c>
    </row>
    <row r="187" spans="1:4" x14ac:dyDescent="0.75">
      <c r="A187" s="111">
        <v>185</v>
      </c>
      <c r="B187" s="111">
        <f t="shared" si="4"/>
        <v>61</v>
      </c>
      <c r="C187" s="111">
        <f t="shared" si="5"/>
        <v>2</v>
      </c>
      <c r="D187" s="109" cm="1">
        <f t="array" ref="D187">INDEX('Sug-Map-1'!$I$7:$K$102,1+B187,C187)</f>
        <v>0</v>
      </c>
    </row>
    <row r="188" spans="1:4" x14ac:dyDescent="0.75">
      <c r="A188" s="111">
        <v>186</v>
      </c>
      <c r="B188" s="111">
        <f t="shared" si="4"/>
        <v>61</v>
      </c>
      <c r="C188" s="111">
        <f t="shared" si="5"/>
        <v>3</v>
      </c>
      <c r="D188" s="109" cm="1">
        <f t="array" ref="D188">INDEX('Sug-Map-1'!$I$7:$K$102,1+B188,C188)</f>
        <v>0</v>
      </c>
    </row>
    <row r="189" spans="1:4" x14ac:dyDescent="0.75">
      <c r="A189" s="111">
        <v>187</v>
      </c>
      <c r="B189" s="111">
        <f t="shared" si="4"/>
        <v>62</v>
      </c>
      <c r="C189" s="111">
        <f t="shared" si="5"/>
        <v>1</v>
      </c>
      <c r="D189" s="109" cm="1">
        <f t="array" ref="D189">INDEX('Sug-Map-1'!$I$7:$K$102,1+B189,C189)</f>
        <v>0</v>
      </c>
    </row>
    <row r="190" spans="1:4" x14ac:dyDescent="0.75">
      <c r="A190" s="111">
        <v>188</v>
      </c>
      <c r="B190" s="111">
        <f t="shared" si="4"/>
        <v>62</v>
      </c>
      <c r="C190" s="111">
        <f t="shared" si="5"/>
        <v>2</v>
      </c>
      <c r="D190" s="109" cm="1">
        <f t="array" ref="D190">INDEX('Sug-Map-1'!$I$7:$K$102,1+B190,C190)</f>
        <v>0</v>
      </c>
    </row>
    <row r="191" spans="1:4" x14ac:dyDescent="0.75">
      <c r="A191" s="111">
        <v>189</v>
      </c>
      <c r="B191" s="111">
        <f t="shared" si="4"/>
        <v>62</v>
      </c>
      <c r="C191" s="111">
        <f t="shared" si="5"/>
        <v>3</v>
      </c>
      <c r="D191" s="109" cm="1">
        <f t="array" ref="D191">INDEX('Sug-Map-1'!$I$7:$K$102,1+B191,C191)</f>
        <v>0</v>
      </c>
    </row>
    <row r="192" spans="1:4" x14ac:dyDescent="0.75">
      <c r="A192" s="111">
        <v>190</v>
      </c>
      <c r="B192" s="111">
        <f t="shared" si="4"/>
        <v>63</v>
      </c>
      <c r="C192" s="111">
        <f t="shared" si="5"/>
        <v>1</v>
      </c>
      <c r="D192" s="109" cm="1">
        <f t="array" ref="D192">INDEX('Sug-Map-1'!$I$7:$K$102,1+B192,C192)</f>
        <v>0</v>
      </c>
    </row>
    <row r="193" spans="1:4" x14ac:dyDescent="0.75">
      <c r="A193" s="111">
        <v>191</v>
      </c>
      <c r="B193" s="111">
        <f t="shared" si="4"/>
        <v>63</v>
      </c>
      <c r="C193" s="111">
        <f t="shared" si="5"/>
        <v>2</v>
      </c>
      <c r="D193" s="109" cm="1">
        <f t="array" ref="D193">INDEX('Sug-Map-1'!$I$7:$K$102,1+B193,C193)</f>
        <v>0</v>
      </c>
    </row>
    <row r="194" spans="1:4" x14ac:dyDescent="0.75">
      <c r="A194" s="111">
        <v>192</v>
      </c>
      <c r="B194" s="111">
        <f t="shared" si="4"/>
        <v>63</v>
      </c>
      <c r="C194" s="111">
        <f t="shared" si="5"/>
        <v>3</v>
      </c>
      <c r="D194" s="109" cm="1">
        <f t="array" ref="D194">INDEX('Sug-Map-1'!$I$7:$K$102,1+B194,C194)</f>
        <v>0</v>
      </c>
    </row>
    <row r="195" spans="1:4" x14ac:dyDescent="0.75">
      <c r="A195" s="111">
        <v>193</v>
      </c>
      <c r="B195" s="111">
        <f t="shared" si="4"/>
        <v>64</v>
      </c>
      <c r="C195" s="111">
        <f t="shared" si="5"/>
        <v>1</v>
      </c>
      <c r="D195" s="109" cm="1">
        <f t="array" ref="D195">INDEX('Sug-Map-1'!$I$7:$K$102,1+B195,C195)</f>
        <v>0</v>
      </c>
    </row>
    <row r="196" spans="1:4" x14ac:dyDescent="0.75">
      <c r="A196" s="111">
        <v>194</v>
      </c>
      <c r="B196" s="111">
        <f t="shared" ref="B196:B206" si="6">IF(MOD(A196,3)=0,A196/3-1,INT(A196/3))</f>
        <v>64</v>
      </c>
      <c r="C196" s="111">
        <f t="shared" ref="C196:C206" si="7">IF(MOD(A196,3)=0,3,MOD(A196,3))</f>
        <v>2</v>
      </c>
      <c r="D196" s="109" cm="1">
        <f t="array" ref="D196">INDEX('Sug-Map-1'!$I$7:$K$102,1+B196,C196)</f>
        <v>0</v>
      </c>
    </row>
    <row r="197" spans="1:4" x14ac:dyDescent="0.75">
      <c r="A197" s="111">
        <v>195</v>
      </c>
      <c r="B197" s="111">
        <f t="shared" si="6"/>
        <v>64</v>
      </c>
      <c r="C197" s="111">
        <f t="shared" si="7"/>
        <v>3</v>
      </c>
      <c r="D197" s="109" cm="1">
        <f t="array" ref="D197">INDEX('Sug-Map-1'!$I$7:$K$102,1+B197,C197)</f>
        <v>0</v>
      </c>
    </row>
    <row r="198" spans="1:4" x14ac:dyDescent="0.75">
      <c r="A198" s="111">
        <v>196</v>
      </c>
      <c r="B198" s="111">
        <f t="shared" si="6"/>
        <v>65</v>
      </c>
      <c r="C198" s="111">
        <f t="shared" si="7"/>
        <v>1</v>
      </c>
      <c r="D198" s="109" cm="1">
        <f t="array" ref="D198">INDEX('Sug-Map-1'!$I$7:$K$102,1+B198,C198)</f>
        <v>0</v>
      </c>
    </row>
    <row r="199" spans="1:4" x14ac:dyDescent="0.75">
      <c r="A199" s="111">
        <v>197</v>
      </c>
      <c r="B199" s="111">
        <f t="shared" si="6"/>
        <v>65</v>
      </c>
      <c r="C199" s="111">
        <f t="shared" si="7"/>
        <v>2</v>
      </c>
      <c r="D199" s="109" cm="1">
        <f t="array" ref="D199">INDEX('Sug-Map-1'!$I$7:$K$102,1+B199,C199)</f>
        <v>0</v>
      </c>
    </row>
    <row r="200" spans="1:4" x14ac:dyDescent="0.75">
      <c r="A200" s="111">
        <v>198</v>
      </c>
      <c r="B200" s="111">
        <f t="shared" si="6"/>
        <v>65</v>
      </c>
      <c r="C200" s="111">
        <f t="shared" si="7"/>
        <v>3</v>
      </c>
      <c r="D200" s="109" cm="1">
        <f t="array" ref="D200">INDEX('Sug-Map-1'!$I$7:$K$102,1+B200,C200)</f>
        <v>0</v>
      </c>
    </row>
    <row r="201" spans="1:4" x14ac:dyDescent="0.75">
      <c r="A201" s="111">
        <v>199</v>
      </c>
      <c r="B201" s="111">
        <f t="shared" si="6"/>
        <v>66</v>
      </c>
      <c r="C201" s="111">
        <f t="shared" si="7"/>
        <v>1</v>
      </c>
      <c r="D201" s="109" cm="1">
        <f t="array" ref="D201">INDEX('Sug-Map-1'!$I$7:$K$102,1+B201,C201)</f>
        <v>0</v>
      </c>
    </row>
    <row r="202" spans="1:4" x14ac:dyDescent="0.75">
      <c r="A202" s="111">
        <v>200</v>
      </c>
      <c r="B202" s="111">
        <f t="shared" si="6"/>
        <v>66</v>
      </c>
      <c r="C202" s="111">
        <f t="shared" si="7"/>
        <v>2</v>
      </c>
      <c r="D202" s="109" cm="1">
        <f t="array" ref="D202">INDEX('Sug-Map-1'!$I$7:$K$102,1+B202,C202)</f>
        <v>0</v>
      </c>
    </row>
    <row r="203" spans="1:4" x14ac:dyDescent="0.75">
      <c r="A203" s="111">
        <v>201</v>
      </c>
      <c r="B203" s="111">
        <f t="shared" si="6"/>
        <v>66</v>
      </c>
      <c r="C203" s="111">
        <f t="shared" si="7"/>
        <v>3</v>
      </c>
      <c r="D203" s="109" cm="1">
        <f t="array" ref="D203">INDEX('Sug-Map-1'!$I$7:$K$102,1+B203,C203)</f>
        <v>0</v>
      </c>
    </row>
    <row r="204" spans="1:4" x14ac:dyDescent="0.75">
      <c r="A204" s="111">
        <v>202</v>
      </c>
      <c r="B204" s="111">
        <f t="shared" si="6"/>
        <v>67</v>
      </c>
      <c r="C204" s="111">
        <f t="shared" si="7"/>
        <v>1</v>
      </c>
      <c r="D204" s="109" cm="1">
        <f t="array" ref="D204">INDEX('Sug-Map-1'!$I$7:$K$102,1+B204,C204)</f>
        <v>0</v>
      </c>
    </row>
    <row r="205" spans="1:4" x14ac:dyDescent="0.75">
      <c r="A205" s="111">
        <v>203</v>
      </c>
      <c r="B205" s="111">
        <f t="shared" si="6"/>
        <v>67</v>
      </c>
      <c r="C205" s="111">
        <f t="shared" si="7"/>
        <v>2</v>
      </c>
      <c r="D205" s="109" cm="1">
        <f t="array" ref="D205">INDEX('Sug-Map-1'!$I$7:$K$102,1+B205,C205)</f>
        <v>0</v>
      </c>
    </row>
    <row r="206" spans="1:4" x14ac:dyDescent="0.75">
      <c r="A206" s="111">
        <v>204</v>
      </c>
      <c r="B206" s="111">
        <f t="shared" si="6"/>
        <v>67</v>
      </c>
      <c r="C206" s="111">
        <f t="shared" si="7"/>
        <v>3</v>
      </c>
      <c r="D206" s="109" cm="1">
        <f t="array" ref="D206">INDEX('Sug-Map-1'!$I$7:$K$102,1+B206,C206)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'Sug-Map-2'!D3</f>
        <v>* differential.element[0].mapping[0].identity = "fhir"</v>
      </c>
    </row>
    <row r="4" spans="4:4" x14ac:dyDescent="0.75">
      <c r="D4" s="111" t="str">
        <f>'Sug-Map-2'!D4</f>
        <v>* differential.element[0].mapping[0].map = "TBD"</v>
      </c>
    </row>
    <row r="5" spans="4:4" x14ac:dyDescent="0.75">
      <c r="D5" s="111" t="str">
        <f>'Sug-Map-2'!D5</f>
        <v/>
      </c>
    </row>
    <row r="6" spans="4:4" x14ac:dyDescent="0.75">
      <c r="D6" s="111" t="str">
        <f>'Sug-Map-2'!D6</f>
        <v>* differential.element[1].mapping[0].identity = "fhir"</v>
      </c>
    </row>
    <row r="7" spans="4:4" x14ac:dyDescent="0.75">
      <c r="D7" s="111" t="str">
        <f>'Sug-Map-2'!D7</f>
        <v>* differential.element[1].mapping[0].map = "TBD"</v>
      </c>
    </row>
    <row r="8" spans="4:4" x14ac:dyDescent="0.75">
      <c r="D8" s="111" t="str">
        <f>'Sug-Map-2'!D8</f>
        <v/>
      </c>
    </row>
    <row r="9" spans="4:4" x14ac:dyDescent="0.75">
      <c r="D9" s="111" t="str">
        <f>'Sug-Map-2'!D9</f>
        <v>* differential.element[2].mapping[0].identity = "fhir"</v>
      </c>
    </row>
    <row r="10" spans="4:4" x14ac:dyDescent="0.75">
      <c r="D10" s="111" t="str">
        <f>'Sug-Map-2'!D10</f>
        <v>* differential.element[2].mapping[0].map = "TBD"</v>
      </c>
    </row>
    <row r="11" spans="4:4" x14ac:dyDescent="0.75">
      <c r="D11" s="111" t="str">
        <f>'Sug-Map-2'!D11</f>
        <v/>
      </c>
    </row>
    <row r="12" spans="4:4" x14ac:dyDescent="0.75">
      <c r="D12" s="111" t="str">
        <f>'Sug-Map-2'!D12</f>
        <v>* differential.element[3].mapping[0].identity = "fhir"</v>
      </c>
    </row>
    <row r="13" spans="4:4" x14ac:dyDescent="0.75">
      <c r="D13" s="111" t="str">
        <f>'Sug-Map-2'!D13</f>
        <v>* differential.element[3].mapping[0].map = "TBD"</v>
      </c>
    </row>
    <row r="14" spans="4:4" x14ac:dyDescent="0.75">
      <c r="D14" s="111" t="str">
        <f>'Sug-Map-2'!D14</f>
        <v/>
      </c>
    </row>
    <row r="15" spans="4:4" x14ac:dyDescent="0.75">
      <c r="D15" s="111" t="str">
        <f>'Sug-Map-2'!D15</f>
        <v>* differential.element[4].mapping[0].identity = "fhir"</v>
      </c>
    </row>
    <row r="16" spans="4:4" x14ac:dyDescent="0.75">
      <c r="D16" s="111" t="str">
        <f>'Sug-Map-2'!D16</f>
        <v>* differential.element[4].mapping[0].map = "TBD"</v>
      </c>
    </row>
    <row r="17" spans="4:4" x14ac:dyDescent="0.75">
      <c r="D17" s="111" t="str">
        <f>'Sug-Map-2'!D17</f>
        <v/>
      </c>
    </row>
    <row r="18" spans="4:4" x14ac:dyDescent="0.75">
      <c r="D18" s="111" t="str">
        <f>'Sug-Map-2'!D18</f>
        <v>* differential.element[5].mapping[0].identity = "fhir"</v>
      </c>
    </row>
    <row r="19" spans="4:4" x14ac:dyDescent="0.75">
      <c r="D19" s="111" t="str">
        <f>'Sug-Map-2'!D19</f>
        <v>* differential.element[5].mapping[0].map = "TBD"</v>
      </c>
    </row>
    <row r="20" spans="4:4" x14ac:dyDescent="0.75">
      <c r="D20" s="111" t="str">
        <f>'Sug-Map-2'!D20</f>
        <v/>
      </c>
    </row>
    <row r="21" spans="4:4" x14ac:dyDescent="0.75">
      <c r="D21" s="111" t="str">
        <f>'Sug-Map-2'!D21</f>
        <v>* differential.element[6].mapping[0].identity = "fhir"</v>
      </c>
    </row>
    <row r="22" spans="4:4" x14ac:dyDescent="0.75">
      <c r="D22" s="111" t="str">
        <f>'Sug-Map-2'!D22</f>
        <v>* differential.element[6].mapping[0].map = "TBD"</v>
      </c>
    </row>
    <row r="23" spans="4:4" x14ac:dyDescent="0.75">
      <c r="D23" s="111" t="str">
        <f>'Sug-Map-2'!D23</f>
        <v/>
      </c>
    </row>
    <row r="24" spans="4:4" x14ac:dyDescent="0.75">
      <c r="D24" s="111" t="str">
        <f>'Sug-Map-2'!D24</f>
        <v>* differential.element[7].mapping[0].identity = "fhir"</v>
      </c>
    </row>
    <row r="25" spans="4:4" x14ac:dyDescent="0.75">
      <c r="D25" s="111" t="str">
        <f>'Sug-Map-2'!D25</f>
        <v>* differential.element[7].mapping[0].map = "TBD"</v>
      </c>
    </row>
    <row r="26" spans="4:4" x14ac:dyDescent="0.75">
      <c r="D26" s="111" t="str">
        <f>'Sug-Map-2'!D26</f>
        <v/>
      </c>
    </row>
    <row r="27" spans="4:4" x14ac:dyDescent="0.75">
      <c r="D27" s="111" t="str">
        <f>'Sug-Map-2'!D27</f>
        <v>* differential.element[8].mapping[0].identity = "fhir"</v>
      </c>
    </row>
    <row r="28" spans="4:4" x14ac:dyDescent="0.75">
      <c r="D28" s="111" t="str">
        <f>'Sug-Map-2'!D28</f>
        <v>* differential.element[8].mapping[0].map = "TBD"</v>
      </c>
    </row>
    <row r="29" spans="4:4" x14ac:dyDescent="0.75">
      <c r="D29" s="111" t="str">
        <f>'Sug-Map-2'!D29</f>
        <v/>
      </c>
    </row>
    <row r="30" spans="4:4" x14ac:dyDescent="0.75">
      <c r="D30" s="111" t="str">
        <f>'Sug-Map-2'!D30</f>
        <v>* differential.element[9].mapping[0].identity = "fhir"</v>
      </c>
    </row>
    <row r="31" spans="4:4" x14ac:dyDescent="0.75">
      <c r="D31" s="111" t="str">
        <f>'Sug-Map-2'!D31</f>
        <v>* differential.element[9].mapping[0].map = "TBD"</v>
      </c>
    </row>
    <row r="32" spans="4:4" x14ac:dyDescent="0.75">
      <c r="D32" s="111" t="str">
        <f>'Sug-Map-2'!D32</f>
        <v/>
      </c>
    </row>
    <row r="33" spans="4:4" x14ac:dyDescent="0.75">
      <c r="D33" s="111" t="str">
        <f>'Sug-Map-2'!D33</f>
        <v>* differential.element[0].mapping[0].identity = "fhir"</v>
      </c>
    </row>
    <row r="34" spans="4:4" x14ac:dyDescent="0.75">
      <c r="D34" s="111" t="str">
        <f>'Sug-Map-2'!D34</f>
        <v>* differential.element[0].mapping[0].map = "TBD"</v>
      </c>
    </row>
    <row r="35" spans="4:4" x14ac:dyDescent="0.75">
      <c r="D35" s="111" t="str">
        <f>'Sug-Map-2'!D35</f>
        <v/>
      </c>
    </row>
    <row r="36" spans="4:4" x14ac:dyDescent="0.75">
      <c r="D36" s="111" t="str">
        <f>'Sug-Map-2'!D36</f>
        <v/>
      </c>
    </row>
    <row r="37" spans="4:4" x14ac:dyDescent="0.75">
      <c r="D37" s="111" t="str">
        <f>'Sug-Map-2'!D37</f>
        <v/>
      </c>
    </row>
    <row r="38" spans="4:4" x14ac:dyDescent="0.75">
      <c r="D38" s="111" t="str">
        <f>'Sug-Map-2'!D38</f>
        <v/>
      </c>
    </row>
    <row r="39" spans="4:4" x14ac:dyDescent="0.75">
      <c r="D39" s="111" t="str">
        <f>'Sug-Map-2'!D39</f>
        <v/>
      </c>
    </row>
    <row r="40" spans="4:4" x14ac:dyDescent="0.75">
      <c r="D40" s="111" t="str">
        <f>'Sug-Map-2'!D40</f>
        <v/>
      </c>
    </row>
    <row r="41" spans="4:4" x14ac:dyDescent="0.75">
      <c r="D41" s="111" t="str">
        <f>'Sug-Map-2'!D41</f>
        <v/>
      </c>
    </row>
    <row r="42" spans="4:4" x14ac:dyDescent="0.75">
      <c r="D42" s="111" t="str">
        <f>'Sug-Map-2'!D42</f>
        <v/>
      </c>
    </row>
    <row r="43" spans="4:4" x14ac:dyDescent="0.75">
      <c r="D43" s="111" t="str">
        <f>'Sug-Map-2'!D43</f>
        <v/>
      </c>
    </row>
    <row r="44" spans="4:4" x14ac:dyDescent="0.75">
      <c r="D44" s="111" t="str">
        <f>'Sug-Map-2'!D44</f>
        <v/>
      </c>
    </row>
    <row r="45" spans="4:4" x14ac:dyDescent="0.75">
      <c r="D45" s="111" t="str">
        <f>'Sug-Map-2'!D45</f>
        <v/>
      </c>
    </row>
    <row r="46" spans="4:4" x14ac:dyDescent="0.75">
      <c r="D46" s="111" t="str">
        <f>'Sug-Map-2'!D46</f>
        <v/>
      </c>
    </row>
    <row r="47" spans="4:4" x14ac:dyDescent="0.75">
      <c r="D47" s="111" t="str">
        <f>'Sug-Map-2'!D47</f>
        <v/>
      </c>
    </row>
    <row r="48" spans="4:4" x14ac:dyDescent="0.75">
      <c r="D48" s="111" t="str">
        <f>'Sug-Map-2'!D48</f>
        <v/>
      </c>
    </row>
    <row r="49" spans="4:4" x14ac:dyDescent="0.75">
      <c r="D49" s="111" t="str">
        <f>'Sug-Map-2'!D49</f>
        <v/>
      </c>
    </row>
    <row r="50" spans="4:4" x14ac:dyDescent="0.75">
      <c r="D50" s="111" t="str">
        <f>'Sug-Map-2'!D50</f>
        <v/>
      </c>
    </row>
    <row r="51" spans="4:4" x14ac:dyDescent="0.75">
      <c r="D51" s="111" t="str">
        <f>'Sug-Map-2'!D51</f>
        <v/>
      </c>
    </row>
    <row r="52" spans="4:4" x14ac:dyDescent="0.75">
      <c r="D52" s="111" t="str">
        <f>'Sug-Map-2'!D52</f>
        <v/>
      </c>
    </row>
    <row r="53" spans="4:4" x14ac:dyDescent="0.75">
      <c r="D53" s="111" t="str">
        <f>'Sug-Map-2'!D53</f>
        <v/>
      </c>
    </row>
    <row r="54" spans="4:4" x14ac:dyDescent="0.75">
      <c r="D54" s="111" t="str">
        <f>'Sug-Map-2'!D54</f>
        <v/>
      </c>
    </row>
    <row r="55" spans="4:4" x14ac:dyDescent="0.75">
      <c r="D55" s="111" t="str">
        <f>'Sug-Map-2'!D55</f>
        <v/>
      </c>
    </row>
    <row r="56" spans="4:4" x14ac:dyDescent="0.75">
      <c r="D56" s="111" t="str">
        <f>'Sug-Map-2'!D56</f>
        <v/>
      </c>
    </row>
    <row r="57" spans="4:4" x14ac:dyDescent="0.75">
      <c r="D57" s="111" t="str">
        <f>'Sug-Map-2'!D57</f>
        <v/>
      </c>
    </row>
    <row r="58" spans="4:4" x14ac:dyDescent="0.75">
      <c r="D58" s="111" t="str">
        <f>'Sug-Map-2'!D58</f>
        <v/>
      </c>
    </row>
    <row r="59" spans="4:4" x14ac:dyDescent="0.75">
      <c r="D59" s="111" t="str">
        <f>'Sug-Map-2'!D59</f>
        <v/>
      </c>
    </row>
    <row r="60" spans="4:4" x14ac:dyDescent="0.75">
      <c r="D60" s="111" t="str">
        <f>'Sug-Map-2'!D60</f>
        <v/>
      </c>
    </row>
    <row r="61" spans="4:4" x14ac:dyDescent="0.75">
      <c r="D61" s="111" t="str">
        <f>'Sug-Map-2'!D61</f>
        <v/>
      </c>
    </row>
    <row r="62" spans="4:4" x14ac:dyDescent="0.75">
      <c r="D62" s="111" t="str">
        <f>'Sug-Map-2'!D62</f>
        <v/>
      </c>
    </row>
    <row r="63" spans="4:4" x14ac:dyDescent="0.75">
      <c r="D63" s="111" t="str">
        <f>'Sug-Map-2'!D63</f>
        <v/>
      </c>
    </row>
    <row r="64" spans="4:4" x14ac:dyDescent="0.75">
      <c r="D64" s="111" t="str">
        <f>'Sug-Map-2'!D64</f>
        <v/>
      </c>
    </row>
    <row r="65" spans="4:4" x14ac:dyDescent="0.75">
      <c r="D65" s="111" t="str">
        <f>'Sug-Map-2'!D65</f>
        <v/>
      </c>
    </row>
    <row r="66" spans="4:4" x14ac:dyDescent="0.75">
      <c r="D66" s="111" t="str">
        <f>'Sug-Map-2'!D66</f>
        <v/>
      </c>
    </row>
    <row r="67" spans="4:4" x14ac:dyDescent="0.75">
      <c r="D67" s="111" t="str">
        <f>'Sug-Map-2'!D67</f>
        <v/>
      </c>
    </row>
    <row r="68" spans="4:4" x14ac:dyDescent="0.75">
      <c r="D68" s="111" t="str">
        <f>'Sug-Map-2'!D68</f>
        <v/>
      </c>
    </row>
    <row r="69" spans="4:4" x14ac:dyDescent="0.75">
      <c r="D69" s="111" t="str">
        <f>'Sug-Map-2'!D69</f>
        <v/>
      </c>
    </row>
    <row r="70" spans="4:4" x14ac:dyDescent="0.75">
      <c r="D70" s="111" t="str">
        <f>'Sug-Map-2'!D70</f>
        <v/>
      </c>
    </row>
    <row r="71" spans="4:4" x14ac:dyDescent="0.75">
      <c r="D71" s="111" t="str">
        <f>'Sug-Map-2'!D71</f>
        <v/>
      </c>
    </row>
    <row r="72" spans="4:4" x14ac:dyDescent="0.75">
      <c r="D72" s="111" t="str">
        <f>'Sug-Map-2'!D72</f>
        <v/>
      </c>
    </row>
    <row r="73" spans="4:4" x14ac:dyDescent="0.75">
      <c r="D73" s="111" t="str">
        <f>'Sug-Map-2'!D73</f>
        <v/>
      </c>
    </row>
    <row r="74" spans="4:4" x14ac:dyDescent="0.75">
      <c r="D74" s="111" t="str">
        <f>'Sug-Map-2'!D74</f>
        <v/>
      </c>
    </row>
    <row r="75" spans="4:4" x14ac:dyDescent="0.75">
      <c r="D75" s="111" t="str">
        <f>'Sug-Map-2'!D75</f>
        <v/>
      </c>
    </row>
    <row r="76" spans="4:4" x14ac:dyDescent="0.75">
      <c r="D76" s="111" t="str">
        <f>'Sug-Map-2'!D76</f>
        <v/>
      </c>
    </row>
    <row r="77" spans="4:4" x14ac:dyDescent="0.75">
      <c r="D77" s="111" t="str">
        <f>'Sug-Map-2'!D77</f>
        <v/>
      </c>
    </row>
    <row r="78" spans="4:4" x14ac:dyDescent="0.75">
      <c r="D78" s="111" t="str">
        <f>'Sug-Map-2'!D78</f>
        <v/>
      </c>
    </row>
    <row r="79" spans="4:4" x14ac:dyDescent="0.75">
      <c r="D79" s="111" t="str">
        <f>'Sug-Map-2'!D79</f>
        <v/>
      </c>
    </row>
    <row r="80" spans="4:4" x14ac:dyDescent="0.75">
      <c r="D80" s="111" t="str">
        <f>'Sug-Map-2'!D80</f>
        <v/>
      </c>
    </row>
    <row r="81" spans="4:4" x14ac:dyDescent="0.75">
      <c r="D81" s="111" t="str">
        <f>'Sug-Map-2'!D81</f>
        <v/>
      </c>
    </row>
    <row r="82" spans="4:4" x14ac:dyDescent="0.75">
      <c r="D82" s="111" t="str">
        <f>'Sug-Map-2'!D82</f>
        <v/>
      </c>
    </row>
    <row r="83" spans="4:4" x14ac:dyDescent="0.75">
      <c r="D83" s="111" t="str">
        <f>'Sug-Map-2'!D83</f>
        <v/>
      </c>
    </row>
    <row r="84" spans="4:4" x14ac:dyDescent="0.75">
      <c r="D84" s="111" t="str">
        <f>'Sug-Map-2'!D84</f>
        <v/>
      </c>
    </row>
    <row r="85" spans="4:4" x14ac:dyDescent="0.75">
      <c r="D85" s="111" t="str">
        <f>'Sug-Map-2'!D85</f>
        <v/>
      </c>
    </row>
    <row r="86" spans="4:4" x14ac:dyDescent="0.75">
      <c r="D86" s="111" t="str">
        <f>'Sug-Map-2'!D86</f>
        <v/>
      </c>
    </row>
    <row r="87" spans="4:4" x14ac:dyDescent="0.75">
      <c r="D87" s="111" t="str">
        <f>'Sug-Map-2'!D87</f>
        <v/>
      </c>
    </row>
    <row r="88" spans="4:4" x14ac:dyDescent="0.75">
      <c r="D88" s="111" t="str">
        <f>'Sug-Map-2'!D88</f>
        <v/>
      </c>
    </row>
    <row r="89" spans="4:4" x14ac:dyDescent="0.75">
      <c r="D89" s="111" t="str">
        <f>'Sug-Map-2'!D89</f>
        <v/>
      </c>
    </row>
    <row r="90" spans="4:4" x14ac:dyDescent="0.75">
      <c r="D90" s="111" t="str">
        <f>'Sug-Map-2'!D90</f>
        <v/>
      </c>
    </row>
    <row r="91" spans="4:4" x14ac:dyDescent="0.75">
      <c r="D91" s="111" t="str">
        <f>'Sug-Map-2'!D91</f>
        <v/>
      </c>
    </row>
    <row r="92" spans="4:4" x14ac:dyDescent="0.75">
      <c r="D92" s="111" t="str">
        <f>'Sug-Map-2'!D92</f>
        <v/>
      </c>
    </row>
    <row r="93" spans="4:4" x14ac:dyDescent="0.75">
      <c r="D93" s="111" t="str">
        <f>'Sug-Map-2'!D93</f>
        <v/>
      </c>
    </row>
    <row r="94" spans="4:4" x14ac:dyDescent="0.75">
      <c r="D94" s="111" t="str">
        <f>'Sug-Map-2'!D94</f>
        <v/>
      </c>
    </row>
    <row r="95" spans="4:4" x14ac:dyDescent="0.75">
      <c r="D95" s="111" t="str">
        <f>'Sug-Map-2'!D95</f>
        <v/>
      </c>
    </row>
    <row r="96" spans="4:4" x14ac:dyDescent="0.75">
      <c r="D96" s="111" t="str">
        <f>'Sug-Map-2'!D96</f>
        <v/>
      </c>
    </row>
    <row r="97" spans="4:4" x14ac:dyDescent="0.75">
      <c r="D97" s="111" t="str">
        <f>'Sug-Map-2'!D97</f>
        <v/>
      </c>
    </row>
    <row r="98" spans="4:4" x14ac:dyDescent="0.75">
      <c r="D98" s="111" t="str">
        <f>'Sug-Map-2'!D98</f>
        <v/>
      </c>
    </row>
    <row r="99" spans="4:4" x14ac:dyDescent="0.75">
      <c r="D99" s="111" t="str">
        <f>'Sug-Map-2'!D99</f>
        <v/>
      </c>
    </row>
    <row r="100" spans="4:4" x14ac:dyDescent="0.75">
      <c r="D100" s="111" t="str">
        <f>'Sug-Map-2'!D100</f>
        <v/>
      </c>
    </row>
    <row r="101" spans="4:4" x14ac:dyDescent="0.75">
      <c r="D101" s="111" t="str">
        <f>'Sug-Map-2'!D101</f>
        <v/>
      </c>
    </row>
    <row r="102" spans="4:4" x14ac:dyDescent="0.75">
      <c r="D102" s="111" t="str">
        <f>'Sug-Map-2'!D102</f>
        <v/>
      </c>
    </row>
    <row r="103" spans="4:4" x14ac:dyDescent="0.75">
      <c r="D103" s="111" t="str">
        <f>'Sug-Map-2'!D103</f>
        <v/>
      </c>
    </row>
    <row r="104" spans="4:4" x14ac:dyDescent="0.75">
      <c r="D104" s="111" t="str">
        <f>'Sug-Map-2'!D104</f>
        <v/>
      </c>
    </row>
    <row r="105" spans="4:4" x14ac:dyDescent="0.75">
      <c r="D105" s="111" t="str">
        <f>'Sug-Map-2'!D105</f>
        <v/>
      </c>
    </row>
    <row r="106" spans="4:4" x14ac:dyDescent="0.75">
      <c r="D106" s="111" t="str">
        <f>'Sug-Map-2'!D106</f>
        <v/>
      </c>
    </row>
    <row r="107" spans="4:4" x14ac:dyDescent="0.75">
      <c r="D107" s="111" t="str">
        <f>'Sug-Map-2'!D107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0"/>
  <sheetViews>
    <sheetView zoomScale="115" zoomScaleNormal="115" workbookViewId="0">
      <selection activeCell="B6" sqref="B6"/>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x14ac:dyDescent="0.75">
      <c r="B2" s="117" t="s">
        <v>51</v>
      </c>
      <c r="C2" s="16" t="s">
        <v>1048</v>
      </c>
      <c r="D2" s="122" t="s">
        <v>1060</v>
      </c>
    </row>
    <row r="3" spans="1:9" x14ac:dyDescent="0.75">
      <c r="B3" s="118" t="s">
        <v>34</v>
      </c>
      <c r="C3" s="123" t="s">
        <v>36</v>
      </c>
      <c r="D3" s="56"/>
    </row>
    <row r="4" spans="1:9" ht="15.5" thickBot="1" x14ac:dyDescent="0.9">
      <c r="B4" s="119" t="s">
        <v>52</v>
      </c>
      <c r="C4" s="124" t="s">
        <v>1045</v>
      </c>
      <c r="D4" s="57"/>
    </row>
    <row r="5" spans="1:9" x14ac:dyDescent="0.75">
      <c r="C5" s="3" t="s">
        <v>7</v>
      </c>
      <c r="D5" s="4" t="s">
        <v>8</v>
      </c>
      <c r="E5" s="11" t="s">
        <v>17</v>
      </c>
      <c r="F5" s="11" t="s">
        <v>18</v>
      </c>
      <c r="G5" s="11" t="s">
        <v>19</v>
      </c>
      <c r="H5" s="178" t="s">
        <v>888</v>
      </c>
      <c r="I5" s="178"/>
    </row>
    <row r="6" spans="1:9" ht="15.5" thickBot="1" x14ac:dyDescent="0.9">
      <c r="A6" s="109">
        <v>0</v>
      </c>
      <c r="B6" s="124" t="s">
        <v>1045</v>
      </c>
      <c r="C6" s="16" t="s">
        <v>1046</v>
      </c>
      <c r="D6" s="16" t="s">
        <v>1046</v>
      </c>
      <c r="E6" s="34">
        <v>1</v>
      </c>
      <c r="F6" s="34">
        <v>1</v>
      </c>
      <c r="G6" s="34"/>
    </row>
    <row r="7" spans="1:9" ht="59" x14ac:dyDescent="0.75">
      <c r="A7" s="109">
        <v>1</v>
      </c>
      <c r="B7" s="111" t="s">
        <v>35</v>
      </c>
      <c r="C7" s="112" t="s">
        <v>819</v>
      </c>
      <c r="D7" s="112" t="s">
        <v>821</v>
      </c>
      <c r="E7" s="111">
        <v>0</v>
      </c>
      <c r="F7" s="111">
        <v>1</v>
      </c>
      <c r="G7" s="111" t="s">
        <v>0</v>
      </c>
      <c r="H7" s="111"/>
      <c r="I7" s="111"/>
    </row>
    <row r="8" spans="1:9" ht="44.25" x14ac:dyDescent="0.75">
      <c r="A8" s="109">
        <v>2</v>
      </c>
      <c r="B8" s="111" t="s">
        <v>895</v>
      </c>
      <c r="C8" s="112" t="s">
        <v>128</v>
      </c>
      <c r="D8" s="122" t="s">
        <v>705</v>
      </c>
      <c r="E8" s="111">
        <v>0</v>
      </c>
      <c r="F8" s="111">
        <v>1</v>
      </c>
      <c r="G8" s="111" t="s">
        <v>0</v>
      </c>
      <c r="H8" s="111"/>
      <c r="I8" s="111"/>
    </row>
    <row r="9" spans="1:9" ht="29.5" x14ac:dyDescent="0.75">
      <c r="A9" s="109">
        <v>3</v>
      </c>
      <c r="B9" s="111" t="s">
        <v>4</v>
      </c>
      <c r="C9" s="112" t="s">
        <v>1058</v>
      </c>
      <c r="D9" s="112" t="s">
        <v>824</v>
      </c>
      <c r="E9" s="111">
        <v>0</v>
      </c>
      <c r="F9" s="111">
        <v>1</v>
      </c>
      <c r="G9" s="111" t="s">
        <v>4</v>
      </c>
      <c r="H9" s="67"/>
      <c r="I9" s="111"/>
    </row>
    <row r="10" spans="1:9" ht="103.25" x14ac:dyDescent="0.75">
      <c r="A10" s="109">
        <v>4</v>
      </c>
      <c r="B10" s="111" t="s">
        <v>47</v>
      </c>
      <c r="C10" s="112" t="s">
        <v>1024</v>
      </c>
      <c r="D10" s="112" t="s">
        <v>1047</v>
      </c>
      <c r="E10" s="111">
        <v>0</v>
      </c>
      <c r="F10" s="111">
        <v>1</v>
      </c>
      <c r="G10" s="111" t="s">
        <v>1</v>
      </c>
      <c r="H10" s="67"/>
      <c r="I10" s="111"/>
    </row>
    <row r="11" spans="1:9" ht="29.5" x14ac:dyDescent="0.75">
      <c r="A11" s="109">
        <v>5</v>
      </c>
      <c r="B11" s="111" t="s">
        <v>1023</v>
      </c>
      <c r="C11" s="112" t="s">
        <v>1022</v>
      </c>
      <c r="D11" s="112" t="s">
        <v>826</v>
      </c>
      <c r="E11" s="111">
        <v>0</v>
      </c>
      <c r="F11" s="111">
        <v>1</v>
      </c>
      <c r="G11" s="111" t="s">
        <v>1</v>
      </c>
      <c r="H11" s="67"/>
      <c r="I11" s="111"/>
    </row>
    <row r="12" spans="1:9" ht="29.5" x14ac:dyDescent="0.75">
      <c r="A12" s="109">
        <v>6</v>
      </c>
      <c r="B12" s="111" t="s">
        <v>1025</v>
      </c>
      <c r="C12" s="112" t="s">
        <v>720</v>
      </c>
      <c r="D12" s="112" t="s">
        <v>826</v>
      </c>
      <c r="E12" s="111">
        <v>0</v>
      </c>
      <c r="F12" s="111">
        <v>1</v>
      </c>
      <c r="G12" s="111" t="s">
        <v>3</v>
      </c>
      <c r="H12" s="67"/>
      <c r="I12" s="111"/>
    </row>
    <row r="13" spans="1:9" ht="18.5" x14ac:dyDescent="0.75">
      <c r="B13" s="112"/>
      <c r="C13" s="112"/>
      <c r="D13" s="112"/>
      <c r="E13" s="112"/>
      <c r="F13" s="111"/>
      <c r="G13" s="111"/>
      <c r="H13" s="67"/>
      <c r="I13" s="111"/>
    </row>
    <row r="14" spans="1:9" ht="18.5" x14ac:dyDescent="0.75">
      <c r="B14" s="112"/>
      <c r="C14" s="112"/>
      <c r="D14" s="112"/>
      <c r="E14" s="112"/>
      <c r="F14" s="111"/>
      <c r="G14" s="111"/>
      <c r="H14" s="67"/>
      <c r="I14" s="111"/>
    </row>
    <row r="15" spans="1:9" ht="18.5" x14ac:dyDescent="0.75">
      <c r="B15" s="67"/>
      <c r="C15" s="112"/>
      <c r="D15" s="67"/>
      <c r="E15" s="112"/>
      <c r="F15" s="111"/>
      <c r="G15" s="111"/>
      <c r="H15" s="67"/>
      <c r="I15" s="111"/>
    </row>
    <row r="16" spans="1:9" ht="18.5" x14ac:dyDescent="0.75">
      <c r="B16" s="67"/>
      <c r="C16" s="112"/>
      <c r="D16" s="67"/>
      <c r="E16" s="111"/>
      <c r="F16" s="111"/>
      <c r="G16" s="111"/>
      <c r="H16" s="67"/>
      <c r="I16" s="111"/>
    </row>
    <row r="17" spans="2:9" ht="18.5" x14ac:dyDescent="0.75">
      <c r="B17" s="70"/>
      <c r="C17" s="112"/>
      <c r="D17" s="67"/>
      <c r="E17" s="111"/>
      <c r="F17" s="111"/>
      <c r="G17" s="111"/>
      <c r="H17" s="111"/>
      <c r="I17" s="111"/>
    </row>
    <row r="18" spans="2:9" ht="18.5" x14ac:dyDescent="0.75">
      <c r="B18" s="70"/>
      <c r="C18" s="112"/>
      <c r="D18" s="67"/>
      <c r="E18" s="111"/>
      <c r="F18" s="111"/>
      <c r="G18" s="111"/>
      <c r="H18" s="111"/>
      <c r="I18" s="111"/>
    </row>
    <row r="19" spans="2:9" ht="18.5" x14ac:dyDescent="0.75">
      <c r="B19" s="92"/>
      <c r="C19" s="112"/>
      <c r="D19" s="67"/>
      <c r="E19" s="111"/>
      <c r="F19" s="111"/>
      <c r="G19" s="111"/>
      <c r="H19" s="111"/>
      <c r="I19" s="111"/>
    </row>
    <row r="20" spans="2:9" ht="18.5" x14ac:dyDescent="0.75">
      <c r="B20" s="70"/>
      <c r="C20" s="112"/>
      <c r="D20" s="67"/>
      <c r="E20" s="111"/>
      <c r="F20" s="111"/>
      <c r="G20" s="111"/>
      <c r="H20" s="111"/>
      <c r="I20" s="111"/>
    </row>
    <row r="21" spans="2:9" ht="18.5" x14ac:dyDescent="0.75">
      <c r="B21" s="92"/>
      <c r="C21" s="112"/>
      <c r="D21" s="67"/>
      <c r="E21" s="111"/>
      <c r="F21" s="111"/>
      <c r="G21" s="111"/>
      <c r="H21" s="111"/>
      <c r="I21" s="111"/>
    </row>
    <row r="22" spans="2:9" ht="18.5" x14ac:dyDescent="0.75">
      <c r="B22" s="70"/>
      <c r="C22" s="112"/>
      <c r="D22" s="67"/>
      <c r="E22" s="111"/>
      <c r="F22" s="111"/>
      <c r="G22" s="111"/>
      <c r="H22" s="111"/>
      <c r="I22" s="111"/>
    </row>
    <row r="23" spans="2:9" ht="18.5" x14ac:dyDescent="0.75">
      <c r="B23" s="70"/>
      <c r="C23" s="112"/>
      <c r="D23" s="67"/>
      <c r="E23" s="111"/>
      <c r="F23" s="111"/>
      <c r="G23" s="111"/>
      <c r="H23" s="111"/>
      <c r="I23" s="111"/>
    </row>
    <row r="24" spans="2:9" ht="18.5" x14ac:dyDescent="0.75">
      <c r="B24" s="70"/>
      <c r="C24" s="112"/>
      <c r="D24" s="67"/>
      <c r="E24" s="111"/>
      <c r="F24" s="111"/>
      <c r="G24" s="111"/>
      <c r="H24" s="111"/>
      <c r="I24" s="111"/>
    </row>
    <row r="25" spans="2:9" ht="18.5" x14ac:dyDescent="0.75">
      <c r="B25" s="67"/>
      <c r="C25" s="112"/>
      <c r="D25" s="67"/>
      <c r="E25" s="111"/>
      <c r="F25" s="111"/>
      <c r="G25" s="111"/>
      <c r="H25" s="111"/>
      <c r="I25" s="111"/>
    </row>
    <row r="26" spans="2:9" ht="18.5" x14ac:dyDescent="0.75">
      <c r="B26" s="92"/>
      <c r="C26" s="112"/>
      <c r="D26" s="67"/>
      <c r="E26" s="111"/>
      <c r="F26" s="111"/>
      <c r="G26" s="111"/>
      <c r="H26" s="111"/>
      <c r="I26" s="111"/>
    </row>
    <row r="27" spans="2:9" ht="18.5" x14ac:dyDescent="0.75">
      <c r="B27" s="70"/>
      <c r="C27" s="112"/>
      <c r="D27" s="67"/>
      <c r="E27" s="111"/>
      <c r="F27" s="111"/>
      <c r="G27" s="111"/>
      <c r="H27" s="111"/>
      <c r="I27" s="111"/>
    </row>
    <row r="28" spans="2:9" ht="18.5" x14ac:dyDescent="0.75">
      <c r="B28" s="70"/>
      <c r="C28" s="112"/>
      <c r="D28" s="67"/>
      <c r="E28" s="67"/>
      <c r="F28" s="70"/>
      <c r="G28" s="67"/>
    </row>
    <row r="29" spans="2:9" ht="18.5" x14ac:dyDescent="0.75">
      <c r="B29" s="70"/>
      <c r="C29" s="112"/>
      <c r="D29" s="67"/>
      <c r="E29" s="67"/>
      <c r="F29" s="70"/>
      <c r="G29" s="67"/>
    </row>
    <row r="30" spans="2:9" ht="18.5" x14ac:dyDescent="0.75">
      <c r="B30" s="70"/>
      <c r="C30" s="112"/>
      <c r="D30" s="67"/>
      <c r="E30" s="67"/>
      <c r="F30" s="70"/>
      <c r="G30" s="67"/>
    </row>
    <row r="31" spans="2:9" ht="18.5" x14ac:dyDescent="0.75">
      <c r="B31" s="70"/>
      <c r="C31" s="112"/>
      <c r="D31" s="67"/>
      <c r="E31" s="67"/>
      <c r="F31" s="70"/>
      <c r="G31" s="67"/>
    </row>
    <row r="32" spans="2:9" ht="18.5" x14ac:dyDescent="0.75">
      <c r="B32" s="67"/>
      <c r="C32" s="112"/>
      <c r="D32" s="95"/>
      <c r="E32" s="67"/>
      <c r="F32" s="70"/>
      <c r="G32" s="95"/>
    </row>
    <row r="33" spans="2:7" ht="18.5" x14ac:dyDescent="0.75">
      <c r="B33" s="67"/>
      <c r="C33" s="112"/>
      <c r="D33" s="67"/>
      <c r="E33" s="67"/>
      <c r="F33" s="67"/>
      <c r="G33" s="67"/>
    </row>
    <row r="34" spans="2:7" ht="18.5" x14ac:dyDescent="0.75">
      <c r="B34" s="67"/>
      <c r="C34" s="112"/>
      <c r="D34" s="67"/>
      <c r="E34" s="67"/>
      <c r="F34" s="67"/>
      <c r="G34" s="67"/>
    </row>
    <row r="35" spans="2:7" ht="18.5" x14ac:dyDescent="0.75">
      <c r="B35" s="67"/>
      <c r="C35" s="112"/>
      <c r="D35" s="67"/>
      <c r="E35" s="67"/>
      <c r="F35" s="67"/>
      <c r="G35" s="67"/>
    </row>
    <row r="36" spans="2:7" ht="18.5" x14ac:dyDescent="0.75">
      <c r="B36" s="67"/>
      <c r="C36" s="112"/>
      <c r="D36" s="67"/>
      <c r="E36" s="67"/>
      <c r="F36" s="70"/>
      <c r="G36" s="67"/>
    </row>
    <row r="37" spans="2:7" ht="18.5" x14ac:dyDescent="0.75">
      <c r="B37" s="67"/>
      <c r="C37" s="112"/>
      <c r="D37" s="67"/>
      <c r="E37" s="67"/>
      <c r="F37" s="67"/>
      <c r="G37" s="67"/>
    </row>
    <row r="38" spans="2:7" ht="18.5" x14ac:dyDescent="0.75">
      <c r="B38" s="67"/>
      <c r="C38" s="112"/>
      <c r="D38" s="67"/>
      <c r="E38" s="67"/>
      <c r="F38" s="70"/>
      <c r="G38" s="67"/>
    </row>
    <row r="39" spans="2:7" ht="18.5" x14ac:dyDescent="0.75">
      <c r="B39" s="67"/>
      <c r="C39" s="112"/>
      <c r="D39" s="67"/>
      <c r="E39" s="67"/>
      <c r="F39" s="70"/>
      <c r="G39" s="67"/>
    </row>
    <row r="40" spans="2:7" s="129" customFormat="1" x14ac:dyDescent="0.75">
      <c r="B40" s="130"/>
      <c r="C40" s="112"/>
      <c r="D40" s="130"/>
      <c r="E40" s="130"/>
      <c r="F40" s="130"/>
      <c r="G40" s="130"/>
    </row>
    <row r="41" spans="2:7" s="129" customFormat="1" x14ac:dyDescent="0.75">
      <c r="B41" s="130"/>
      <c r="C41" s="112"/>
      <c r="D41" s="130"/>
      <c r="E41" s="130"/>
      <c r="F41" s="130"/>
      <c r="G41" s="130"/>
    </row>
    <row r="42" spans="2:7" s="129" customFormat="1" x14ac:dyDescent="0.75">
      <c r="B42" s="130"/>
      <c r="C42" s="112"/>
      <c r="D42" s="130"/>
      <c r="E42" s="130"/>
      <c r="F42" s="130"/>
      <c r="G42" s="130"/>
    </row>
    <row r="43" spans="2:7" s="129" customFormat="1" x14ac:dyDescent="0.75">
      <c r="B43" s="130"/>
      <c r="C43" s="112"/>
      <c r="D43" s="130"/>
      <c r="E43" s="130"/>
      <c r="F43" s="130"/>
      <c r="G43" s="130"/>
    </row>
    <row r="44" spans="2:7" s="129" customFormat="1" ht="45.75" customHeight="1" x14ac:dyDescent="0.75">
      <c r="B44" s="130"/>
      <c r="C44" s="112"/>
      <c r="D44" s="130"/>
      <c r="E44" s="130"/>
      <c r="F44" s="130"/>
      <c r="G44" s="130"/>
    </row>
    <row r="45" spans="2:7" ht="23.5" customHeight="1" x14ac:dyDescent="0.75">
      <c r="B45" s="67"/>
      <c r="C45" s="112"/>
      <c r="D45" s="67"/>
      <c r="E45" s="67"/>
      <c r="F45" s="70"/>
      <c r="G45" s="67"/>
    </row>
    <row r="46" spans="2:7" ht="23.5" customHeight="1" x14ac:dyDescent="0.75">
      <c r="B46" s="67"/>
      <c r="C46" s="112"/>
      <c r="D46" s="67"/>
      <c r="E46" s="67"/>
      <c r="F46" s="70"/>
      <c r="G46" s="67"/>
    </row>
    <row r="47" spans="2:7" ht="23.5" customHeight="1" x14ac:dyDescent="0.75">
      <c r="B47" s="67"/>
      <c r="C47" s="112"/>
      <c r="D47" s="67"/>
      <c r="E47" s="67"/>
      <c r="F47" s="67"/>
      <c r="G47" s="67"/>
    </row>
    <row r="48" spans="2:7" ht="23.5" customHeight="1" x14ac:dyDescent="0.75">
      <c r="B48" s="67"/>
      <c r="C48" s="112"/>
      <c r="D48" s="67"/>
      <c r="E48" s="67"/>
      <c r="F48" s="70"/>
      <c r="G48" s="67"/>
    </row>
    <row r="49" spans="2:8" ht="23.5" customHeight="1" x14ac:dyDescent="0.75">
      <c r="B49" s="67"/>
      <c r="C49" s="112"/>
      <c r="D49" s="67"/>
      <c r="E49" s="67"/>
      <c r="F49" s="70"/>
      <c r="G49" s="67"/>
    </row>
    <row r="50" spans="2:8" ht="23.5" customHeight="1" x14ac:dyDescent="0.75">
      <c r="B50" s="67"/>
      <c r="C50" s="112"/>
      <c r="D50" s="67"/>
      <c r="E50" s="67"/>
      <c r="F50" s="70"/>
      <c r="G50" s="67"/>
    </row>
    <row r="51" spans="2:8" ht="18.5" x14ac:dyDescent="0.75">
      <c r="B51" s="67"/>
      <c r="C51" s="112"/>
      <c r="D51" s="67"/>
      <c r="E51" s="67"/>
      <c r="F51" s="70"/>
      <c r="G51" s="67"/>
    </row>
    <row r="52" spans="2:8" ht="18.5" x14ac:dyDescent="0.75">
      <c r="B52" s="67"/>
      <c r="C52" s="112"/>
      <c r="D52" s="95"/>
      <c r="E52" s="67"/>
      <c r="F52" s="95"/>
      <c r="G52" s="95"/>
    </row>
    <row r="53" spans="2:8" ht="18.5" x14ac:dyDescent="0.75">
      <c r="B53" s="67"/>
      <c r="C53" s="112"/>
      <c r="D53" s="95"/>
      <c r="E53" s="67"/>
      <c r="F53" s="95"/>
      <c r="G53" s="95"/>
    </row>
    <row r="54" spans="2:8" s="129" customFormat="1" ht="12.25" x14ac:dyDescent="0.65">
      <c r="B54" s="130"/>
      <c r="C54" s="130"/>
      <c r="D54" s="132"/>
      <c r="E54" s="130"/>
      <c r="F54" s="130"/>
      <c r="G54" s="132"/>
    </row>
    <row r="55" spans="2:8" s="127" customFormat="1" ht="11" x14ac:dyDescent="0.6">
      <c r="B55" s="128"/>
      <c r="C55" s="128"/>
      <c r="D55" s="128"/>
      <c r="E55" s="128"/>
      <c r="F55" s="128"/>
      <c r="G55" s="128"/>
    </row>
    <row r="56" spans="2:8" s="129" customFormat="1" ht="12.25" x14ac:dyDescent="0.65">
      <c r="B56" s="130"/>
      <c r="C56" s="130"/>
      <c r="D56" s="130"/>
      <c r="E56" s="130"/>
      <c r="F56" s="130"/>
      <c r="G56" s="130"/>
      <c r="H56" s="131"/>
    </row>
    <row r="57" spans="2:8" s="129" customFormat="1" ht="12.25" x14ac:dyDescent="0.65">
      <c r="B57" s="130"/>
      <c r="C57" s="130"/>
      <c r="D57" s="130"/>
      <c r="E57" s="130"/>
      <c r="F57" s="130"/>
      <c r="G57" s="130"/>
    </row>
    <row r="58" spans="2:8" ht="18.5" x14ac:dyDescent="0.75">
      <c r="B58" s="67"/>
      <c r="C58" s="70"/>
      <c r="D58" s="67"/>
      <c r="E58" s="67"/>
      <c r="F58" s="67"/>
      <c r="G58" s="67"/>
    </row>
    <row r="59" spans="2:8" ht="18.5" x14ac:dyDescent="0.75">
      <c r="B59" s="67"/>
      <c r="C59" s="70"/>
      <c r="D59" s="67"/>
      <c r="E59" s="67"/>
      <c r="F59" s="67"/>
      <c r="G59" s="67"/>
    </row>
    <row r="60" spans="2:8" ht="18.5" x14ac:dyDescent="0.75">
      <c r="B60" s="67"/>
      <c r="C60" s="70"/>
      <c r="D60" s="67"/>
      <c r="E60" s="67"/>
      <c r="F60" s="70"/>
      <c r="G60" s="67"/>
    </row>
    <row r="61" spans="2:8" ht="18.5" x14ac:dyDescent="0.75">
      <c r="B61" s="67"/>
      <c r="C61" s="70"/>
      <c r="D61" s="67"/>
      <c r="E61" s="67"/>
      <c r="F61" s="70"/>
      <c r="G61" s="67"/>
    </row>
    <row r="62" spans="2:8" ht="18.5" x14ac:dyDescent="0.75">
      <c r="B62" s="70"/>
      <c r="C62" s="70"/>
      <c r="D62" s="67"/>
      <c r="E62" s="70"/>
      <c r="F62" s="67"/>
      <c r="G62" s="67"/>
    </row>
    <row r="63" spans="2:8" ht="18.5" x14ac:dyDescent="0.75">
      <c r="B63" s="67"/>
      <c r="C63" s="70"/>
      <c r="D63" s="67"/>
      <c r="E63" s="67"/>
      <c r="F63" s="67"/>
      <c r="G63" s="67"/>
    </row>
    <row r="64" spans="2:8" ht="18.5" x14ac:dyDescent="0.75">
      <c r="B64" s="67"/>
      <c r="C64" s="70"/>
      <c r="D64" s="67"/>
      <c r="E64" s="67"/>
      <c r="F64" s="70"/>
      <c r="G64" s="67"/>
    </row>
    <row r="65" spans="2:7" ht="18.5" x14ac:dyDescent="0.75">
      <c r="B65" s="67"/>
      <c r="C65" s="70"/>
      <c r="D65" s="67"/>
      <c r="E65" s="67"/>
      <c r="F65" s="70"/>
      <c r="G65" s="67"/>
    </row>
    <row r="66" spans="2:7" ht="18.5" x14ac:dyDescent="0.75">
      <c r="B66" s="67"/>
      <c r="C66" s="70"/>
      <c r="D66" s="67"/>
      <c r="E66" s="67"/>
      <c r="F66" s="70"/>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70"/>
      <c r="G69" s="67"/>
    </row>
    <row r="70" spans="2:7" ht="18.5" x14ac:dyDescent="0.75">
      <c r="B70" s="70"/>
      <c r="C70" s="70"/>
      <c r="D70" s="67"/>
      <c r="E70" s="67"/>
      <c r="F70" s="70"/>
      <c r="G70" s="67"/>
    </row>
  </sheetData>
  <autoFilter ref="A5:I25" xr:uid="{4F74B7C0-0340-49A6-ADA9-451D69ACDDD8}">
    <filterColumn colId="7" showButton="0"/>
  </autoFilter>
  <mergeCells count="1">
    <mergeCell ref="H5:I5"/>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workbookViewId="0">
      <selection activeCell="C2" sqref="C2:C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differential.element[",'RelAftFlt-1'!A6,"].id = """,'RelAftFlt-1'!B6,"""")</f>
        <v>* differential.element[0].id = "RelapseAfterFLT"</v>
      </c>
      <c r="C1" s="13" t="str">
        <f>CONCATENATE("* differential.element[",'RelAftFlt-1'!A6,"].path = """,'RelAftFlt-1'!$B$6,"""")</f>
        <v>* differential.element[0].path = "RelapseAfterFLT"</v>
      </c>
      <c r="D1" s="13" t="str">
        <f>CONCATENATE("* differential.element[",'RelAftFlt-1'!A6,"].short = """,'RelAftFlt-1'!C6,"""")</f>
        <v>* differential.element[0].short = "Progression-Relapse after  FLT"</v>
      </c>
      <c r="E1" s="13" t="str">
        <f>CONCATENATE("* differential.element[",'RelAftFlt-1'!A6,"].definition = """,'RelAftFlt-1'!D6,"""")</f>
        <v>* differential.element[0].definition = "Progression-Relapse after  FLT"</v>
      </c>
      <c r="F1" s="13" t="str">
        <f>CONCATENATE("* differential.element[",'RelAftFlt-1'!A6,"].min = ",'RelAftFlt-1'!E6,"")</f>
        <v>* differential.element[0].min = 1</v>
      </c>
      <c r="G1" s="13" t="str">
        <f>CONCATENATE("* differential.element[",'RelAftFlt-1'!A6,"].max = """,'RelAftFlt-1'!F6,"""")</f>
        <v>* differential.element[0].max = "1"</v>
      </c>
      <c r="H1" s="13"/>
      <c r="I1" s="33"/>
      <c r="J1" s="33"/>
    </row>
    <row r="2" spans="2:10" ht="73.75" x14ac:dyDescent="0.75">
      <c r="B2" s="112" t="str">
        <f>CONCATENATE("* differential.element[",'RelAftFlt-1'!$A7,"].id = """,'RelAftFlt-1'!$B$6,".",'RelAftFlt-1'!B7,"""")</f>
        <v>* differential.element[1].id = "RelapseAfterFLT.identifier"</v>
      </c>
      <c r="C2" s="112" t="str">
        <f>CONCATENATE("* differential.element[",'RelAftFlt-1'!$A7,"].path = """,'RelAftFlt-1'!$B$6,".",'RelAftFlt-1'!B7,"""")</f>
        <v>* differential.element[1].path = "RelapseAfterFLT.identifier"</v>
      </c>
      <c r="D2" s="112" t="str">
        <f>CONCATENATE("* differential.element[",'RelAftFlt-1'!A7,"].short = """,'RelAftFlt-1'!C7,"""")</f>
        <v>* differential.element[1].short = "Progression-relapse after FLT number"</v>
      </c>
      <c r="E2" s="112" t="str">
        <f>CONCATENATE("* differential.element[",'RelAftFlt-1'!A7,"].definition = """,'RelAftFlt-1'!D7,"""")</f>
        <v>* differential.element[1].definition = "Progressive number of progression/relapse (1=first; 2= second; 3 = third; …) after the end of treatment.
In this field must be reported the ordinal number of the progression/relapse after the end of treatment."</v>
      </c>
      <c r="F2" s="112" t="str">
        <f>CONCATENATE("* differential.element[",'RelAftFlt-1'!A7,"].min = ",'RelAftFlt-1'!E7,"")</f>
        <v>* differential.element[1].min = 0</v>
      </c>
      <c r="G2" s="112" t="str">
        <f>CONCATENATE("* differential.element[",'RelAftFlt-1'!A7,"].max = """,'RelAftFlt-1'!F7,"""")</f>
        <v>* differential.element[1].max = "1"</v>
      </c>
      <c r="H2" s="112" t="str">
        <f>CONCATENATE("* differential.element[",'RelAftFlt-1'!A7,"].type.code = #",'RelAftFlt-1'!G7,"")</f>
        <v>* differential.element[1].type.code = #Identifier</v>
      </c>
      <c r="I2" s="112" t="str">
        <f>IF('RelAftFlt-1'!H7&gt; "", CONCATENATE("* differential.element[",'RelAftFlt-1'!A7,"].binding.valueSet = """,'RelAftFlt-1'!H7,""""),"")</f>
        <v/>
      </c>
      <c r="J2" s="112" t="str">
        <f>IF('RelAftFlt-1'!I7&gt; "", CONCATENATE("* differential.element[",'RelAftFlt-1'!A7,"].binding.strength = #",'RelAftFlt-1'!I7,""),"")</f>
        <v/>
      </c>
    </row>
    <row r="3" spans="2:10" ht="73.75" x14ac:dyDescent="0.75">
      <c r="B3" s="112" t="str">
        <f>CONCATENATE("* differential.element[",'RelAftFlt-1'!$A8,"].id = """,'RelAftFlt-1'!$B$6,".",'RelAftFlt-1'!B8,"""")</f>
        <v>* differential.element[2].id = "RelapseAfterFLT.relatedDiagnosis"</v>
      </c>
      <c r="C3" s="112" t="str">
        <f>CONCATENATE("* differential.element[",'RelAftFlt-1'!$A8,"].path = """,'RelAftFlt-1'!$B$6,".",'RelAftFlt-1'!B8,"""")</f>
        <v>* differential.element[2].path = "RelapseAfterFLT.relatedDiagnosis"</v>
      </c>
      <c r="D3" s="112" t="str">
        <f>CONCATENATE("* differential.element[",'RelAftFlt-1'!A8,"].short = """,'RelAftFlt-1'!C8,"""")</f>
        <v>* differential.element[2].short = "Progressive number of diagnosis"</v>
      </c>
      <c r="E3" s="112" t="str">
        <f>CONCATENATE("* differential.element[",'RelAftFlt-1'!A8,"].definition = """,'RelAftFlt-1'!D8,"""")</f>
        <v>* differential.element[2].definition = "Progressive number of diagnosis (1=first; 2= second; 3 = third; …).  
In this field must be reported the ordinal number of the tumor diagnosis in which progression/relapse ocuured during front line treatment."</v>
      </c>
      <c r="F3" s="112" t="str">
        <f>CONCATENATE("* differential.element[",'RelAftFlt-1'!A8,"].min = ",'RelAftFlt-1'!E8,"")</f>
        <v>* differential.element[2].min = 0</v>
      </c>
      <c r="G3" s="112" t="str">
        <f>CONCATENATE("* differential.element[",'RelAftFlt-1'!A8,"].max = """,'RelAftFlt-1'!F8,"""")</f>
        <v>* differential.element[2].max = "1"</v>
      </c>
      <c r="H3" s="112" t="str">
        <f>CONCATENATE("* differential.element[",'RelAftFlt-1'!A8,"].type.code = #",'RelAftFlt-1'!G8,"")</f>
        <v>* differential.element[2].type.code = #Identifier</v>
      </c>
      <c r="I3" s="112" t="str">
        <f>IF('RelAftFlt-1'!H8&gt; "", CONCATENATE("* differential.element[",'RelAftFlt-1'!A8,"].binding.valueSet = """,'RelAftFlt-1'!H8,""""),"")</f>
        <v/>
      </c>
      <c r="J3" s="112" t="str">
        <f>IF('RelAftFlt-1'!I8&gt; "", CONCATENATE("* differential.element[",'RelAftFlt-1'!A8,"].binding.strength = #",'RelAftFlt-1'!I8,""),"")</f>
        <v/>
      </c>
    </row>
    <row r="4" spans="2:10" ht="59" x14ac:dyDescent="0.75">
      <c r="B4" s="112" t="str">
        <f>CONCATENATE("* differential.element[",'RelAftFlt-1'!$A9,"].id = """,'RelAftFlt-1'!$B$6,".",'RelAftFlt-1'!B9,"""")</f>
        <v>* differential.element[3].id = "RelapseAfterFLT.date"</v>
      </c>
      <c r="C4" s="112" t="str">
        <f>CONCATENATE("* differential.element[",'RelAftFlt-1'!$A9,"].path = """,'RelAftFlt-1'!$B$6,".",'RelAftFlt-1'!B9,"""")</f>
        <v>* differential.element[3].path = "RelapseAfterFLT.date"</v>
      </c>
      <c r="D4" s="112" t="str">
        <f>CONCATENATE("* differential.element[",'RelAftFlt-1'!A9,"].short = """,'RelAftFlt-1'!C9,"""")</f>
        <v>* differential.element[3].short = "date of relapse"</v>
      </c>
      <c r="E4" s="112" t="str">
        <f>CONCATENATE("* differential.element[",'RelAftFlt-1'!A9,"].definition = """,'RelAftFlt-1'!D9,"""")</f>
        <v>* differential.element[3].definition = "Report here the date (dd/mm/yyyy ) of the relapse/progression. If the date is unkown or partially missed insert the year at the best of your knowledge."</v>
      </c>
      <c r="F4" s="112" t="str">
        <f>CONCATENATE("* differential.element[",'RelAftFlt-1'!A9,"].min = ",'RelAftFlt-1'!E9,"")</f>
        <v>* differential.element[3].min = 0</v>
      </c>
      <c r="G4" s="112" t="str">
        <f>CONCATENATE("* differential.element[",'RelAftFlt-1'!A9,"].max = """,'RelAftFlt-1'!F9,"""")</f>
        <v>* differential.element[3].max = "1"</v>
      </c>
      <c r="H4" s="112" t="str">
        <f>CONCATENATE("* differential.element[",'RelAftFlt-1'!A9,"].type.code = #",'RelAftFlt-1'!G9,"")</f>
        <v>* differential.element[3].type.code = #date</v>
      </c>
      <c r="I4" s="112" t="str">
        <f>IF('RelAftFlt-1'!H9&gt; "", CONCATENATE("* differential.element[",'RelAftFlt-1'!A9,"].binding.valueSet = """,'RelAftFlt-1'!H9,""""),"")</f>
        <v/>
      </c>
      <c r="J4" s="112" t="str">
        <f>IF('RelAftFlt-1'!I9&gt; "", CONCATENATE("* differential.element[",'RelAftFlt-1'!A9,"].binding.strength = #",'RelAftFlt-1'!I9,""),"")</f>
        <v/>
      </c>
    </row>
    <row r="5" spans="2:10" ht="147.5" x14ac:dyDescent="0.75">
      <c r="B5" s="112" t="str">
        <f>CONCATENATE("* differential.element[",'RelAftFlt-1'!$A10,"].id = """,'RelAftFlt-1'!$B$6,".",'RelAftFlt-1'!B10,"""")</f>
        <v>* differential.element[4].id = "RelapseAfterFLT.type"</v>
      </c>
      <c r="C5" s="112" t="str">
        <f>CONCATENATE("* differential.element[",'RelAftFlt-1'!$A10,"].path = """,'RelAftFlt-1'!$B$6,".",'RelAftFlt-1'!B10,"""")</f>
        <v>* differential.element[4].path = "RelapseAfterFLT.type"</v>
      </c>
      <c r="D5" s="112" t="str">
        <f>CONCATENATE("* differential.element[",'RelAftFlt-1'!A10,"].short = """,'RelAftFlt-1'!C10,"""")</f>
        <v>* differential.element[4].short = "relapse | progression"</v>
      </c>
      <c r="E5" s="112" t="str">
        <f>CONCATENATE("* differential.element[",'RelAftFlt-1'!A10,"].definition = """,'RelAftFlt-1'!D10,"""")</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c r="F5" s="112" t="str">
        <f>CONCATENATE("* differential.element[",'RelAftFlt-1'!A10,"].min = ",'RelAftFlt-1'!E10,"")</f>
        <v>* differential.element[4].min = 0</v>
      </c>
      <c r="G5" s="112" t="str">
        <f>CONCATENATE("* differential.element[",'RelAftFlt-1'!A10,"].max = """,'RelAftFlt-1'!F10,"""")</f>
        <v>* differential.element[4].max = "1"</v>
      </c>
      <c r="H5" s="112" t="str">
        <f>CONCATENATE("* differential.element[",'RelAftFlt-1'!A10,"].type.code = #",'RelAftFlt-1'!G10,"")</f>
        <v>* differential.element[4].type.code = #CodeableConcept</v>
      </c>
      <c r="I5" s="112" t="str">
        <f>IF('RelAftFlt-1'!H10&gt; "", CONCATENATE("* differential.element[",'RelAftFlt-1'!A10,"].binding.valueSet = """,'RelAftFlt-1'!H10,""""),"")</f>
        <v/>
      </c>
      <c r="J5" s="112" t="str">
        <f>IF('RelAftFlt-1'!I10&gt; "", CONCATENATE("* differential.element[",'RelAftFlt-1'!A10,"].binding.strength = #",'RelAftFlt-1'!I10,""),"")</f>
        <v/>
      </c>
    </row>
    <row r="6" spans="2:10" ht="59" x14ac:dyDescent="0.75">
      <c r="B6" s="112" t="str">
        <f>CONCATENATE("* differential.element[",'RelAftFlt-1'!$A11,"].id = """,'RelAftFlt-1'!$B$6,".",'RelAftFlt-1'!B11,"""")</f>
        <v>* differential.element[5].id = "RelapseAfterFLT.qualifier"</v>
      </c>
      <c r="C6" s="112" t="str">
        <f>CONCATENATE("* differential.element[",'RelAftFlt-1'!$A11,"].path = """,'RelAftFlt-1'!$B$6,".",'RelAftFlt-1'!B11,"""")</f>
        <v>* differential.element[5].path = "RelapseAfterFLT.qualifier"</v>
      </c>
      <c r="D6" s="112" t="str">
        <f>CONCATENATE("* differential.element[",'RelAftFlt-1'!A11,"].short = """,'RelAftFlt-1'!C11,"""")</f>
        <v>* differential.element[5].short = "local | distant | combined"</v>
      </c>
      <c r="E6" s="112" t="str">
        <f>CONCATENATE("* differential.element[",'RelAftFlt-1'!A11,"].definition = """,'RelAftFlt-1'!D11,"""")</f>
        <v>* differential.element[5].definition = "Please define if the relapse/progression was local, distant or combined.
"</v>
      </c>
      <c r="F6" s="112" t="str">
        <f>CONCATENATE("* differential.element[",'RelAftFlt-1'!A11,"].min = ",'RelAftFlt-1'!E11,"")</f>
        <v>* differential.element[5].min = 0</v>
      </c>
      <c r="G6" s="112" t="str">
        <f>CONCATENATE("* differential.element[",'RelAftFlt-1'!A11,"].max = """,'RelAftFlt-1'!F11,"""")</f>
        <v>* differential.element[5].max = "1"</v>
      </c>
      <c r="H6" s="112" t="str">
        <f>CONCATENATE("* differential.element[",'RelAftFlt-1'!A11,"].type.code = #",'RelAftFlt-1'!G11,"")</f>
        <v>* differential.element[5].type.code = #CodeableConcept</v>
      </c>
      <c r="I6" s="112" t="str">
        <f>IF('RelAftFlt-1'!H11&gt; "", CONCATENATE("* differential.element[",'RelAftFlt-1'!A11,"].binding.valueSet = """,'RelAftFlt-1'!H11,""""),"")</f>
        <v/>
      </c>
      <c r="J6" s="112" t="str">
        <f>IF('RelAftFlt-1'!I11&gt; "", CONCATENATE("* differential.element[",'RelAftFlt-1'!A11,"].binding.strength = #",'RelAftFlt-1'!I11,""),"")</f>
        <v/>
      </c>
    </row>
    <row r="7" spans="2:10" ht="59" x14ac:dyDescent="0.75">
      <c r="B7" s="112" t="str">
        <f>CONCATENATE("* differential.element[",'RelAftFlt-1'!$A12,"].id = """,'RelAftFlt-1'!$B$6,".",'RelAftFlt-1'!B12,"""")</f>
        <v>* differential.element[6].id = "RelapseAfterFLT.site"</v>
      </c>
      <c r="C7" s="112" t="str">
        <f>CONCATENATE("* differential.element[",'RelAftFlt-1'!$A12,"].path = """,'RelAftFlt-1'!$B$6,".",'RelAftFlt-1'!B12,"""")</f>
        <v>* differential.element[6].path = "RelapseAfterFLT.site"</v>
      </c>
      <c r="D7" s="112" t="str">
        <f>CONCATENATE("* differential.element[",'RelAftFlt-1'!A12,"].short = """,'RelAftFlt-1'!C12,"""")</f>
        <v>* differential.element[6].short = "If distant, site of metastases"</v>
      </c>
      <c r="E7" s="112" t="str">
        <f>CONCATENATE("* differential.element[",'RelAftFlt-1'!A12,"].definition = """,'RelAftFlt-1'!D12,"""")</f>
        <v>* differential.element[6].definition = "Please define if the relapse/progression was local, distant or combined.
"</v>
      </c>
      <c r="F7" s="112" t="str">
        <f>CONCATENATE("* differential.element[",'RelAftFlt-1'!A12,"].min = ",'RelAftFlt-1'!E12,"")</f>
        <v>* differential.element[6].min = 0</v>
      </c>
      <c r="G7" s="112" t="str">
        <f>CONCATENATE("* differential.element[",'RelAftFlt-1'!A12,"].max = """,'RelAftFlt-1'!F12,"""")</f>
        <v>* differential.element[6].max = "1"</v>
      </c>
      <c r="H7" s="112" t="str">
        <f>CONCATENATE("* differential.element[",'RelAftFlt-1'!A12,"].type.code = #",'RelAftFlt-1'!G12,"")</f>
        <v>* differential.element[6].type.code = #string</v>
      </c>
      <c r="I7" s="112"/>
      <c r="J7" s="112" t="str">
        <f>IF('RelAftFlt-1'!I12&gt; "", CONCATENATE("* differential.element[",'RelAftFlt-1'!A12,"].binding.strength = #",'RelAftFlt-1'!I12,""),"")</f>
        <v/>
      </c>
    </row>
    <row r="8" spans="2:10" x14ac:dyDescent="0.75">
      <c r="B8" s="112"/>
      <c r="C8" s="112"/>
      <c r="D8" s="112"/>
      <c r="E8" s="112"/>
      <c r="F8" s="112"/>
      <c r="G8" s="112"/>
      <c r="H8" s="112"/>
      <c r="I8" s="112"/>
      <c r="J8" s="112" t="str">
        <f>IF('RelAftFlt-1'!I13&gt; "", CONCATENATE("* differential.element[",'RelAftFlt-1'!A13,"].binding.strength = #",'RelAftFlt-1'!I13,""),"")</f>
        <v/>
      </c>
    </row>
    <row r="9" spans="2:10" x14ac:dyDescent="0.75">
      <c r="B9" s="112"/>
      <c r="C9" s="112"/>
      <c r="D9" s="112"/>
      <c r="E9" s="112"/>
      <c r="F9" s="112"/>
      <c r="G9" s="112"/>
      <c r="H9" s="112"/>
      <c r="I9" s="112"/>
      <c r="J9" s="112" t="str">
        <f>IF('RelAftFlt-1'!I14&gt; "", CONCATENATE("* differential.element[",'RelAftFlt-1'!A14,"].binding.strength = #",'RelAftFlt-1'!I14,""),"")</f>
        <v/>
      </c>
    </row>
    <row r="10" spans="2:10" x14ac:dyDescent="0.75">
      <c r="B10" s="112"/>
      <c r="C10" s="112"/>
      <c r="D10" s="112"/>
      <c r="E10" s="112"/>
      <c r="F10" s="112"/>
      <c r="G10" s="112"/>
      <c r="H10" s="112"/>
      <c r="I10" s="112"/>
      <c r="J10" s="112" t="str">
        <f>IF('RelAftFlt-1'!I15&gt; "", CONCATENATE("* differential.element[",'RelAftFlt-1'!A15,"].binding.strength = #",'RelAftFlt-1'!I15,""),"")</f>
        <v/>
      </c>
    </row>
    <row r="11" spans="2:10" x14ac:dyDescent="0.75">
      <c r="B11" s="112"/>
      <c r="C11" s="112"/>
      <c r="D11" s="112"/>
      <c r="E11" s="112"/>
      <c r="F11" s="112"/>
      <c r="G11" s="112"/>
      <c r="H11" s="112"/>
      <c r="I11" s="112"/>
      <c r="J11" s="112" t="str">
        <f>IF('RelAftFlt-1'!I16&gt; "", CONCATENATE("* differential.element[",'RelAftFlt-1'!A16,"].binding.strength = #",'RelAftFlt-1'!I16,""),"")</f>
        <v/>
      </c>
    </row>
    <row r="12" spans="2:10" x14ac:dyDescent="0.75">
      <c r="B12" s="112"/>
      <c r="C12" s="112"/>
      <c r="D12" s="112"/>
      <c r="E12" s="112"/>
      <c r="F12" s="112"/>
      <c r="G12" s="112"/>
      <c r="H12" s="112"/>
      <c r="I12" s="112"/>
      <c r="J12" s="112" t="str">
        <f>IF('RelAftFlt-1'!I17&gt; "", CONCATENATE("* differential.element[",'RelAftFlt-1'!A17,"].binding.strength = #",'RelAftFlt-1'!I17,""),"")</f>
        <v/>
      </c>
    </row>
    <row r="13" spans="2:10" x14ac:dyDescent="0.75">
      <c r="B13" s="112"/>
      <c r="C13" s="112"/>
      <c r="D13" s="112"/>
      <c r="E13" s="112"/>
      <c r="F13" s="112"/>
      <c r="G13" s="112"/>
      <c r="H13" s="112"/>
      <c r="I13" s="112"/>
      <c r="J13" s="112" t="str">
        <f>IF('RelAftFlt-1'!I18&gt; "", CONCATENATE("* differential.element[",'RelAftFlt-1'!A18,"].binding.strength = #",'RelAftFlt-1'!I18,""),"")</f>
        <v/>
      </c>
    </row>
    <row r="14" spans="2:10" x14ac:dyDescent="0.75">
      <c r="B14" s="112"/>
      <c r="C14" s="112"/>
      <c r="D14" s="112"/>
      <c r="E14" s="112"/>
      <c r="F14" s="112"/>
      <c r="G14" s="112"/>
      <c r="H14" s="112"/>
      <c r="I14" s="112"/>
      <c r="J14" s="112" t="str">
        <f>IF('RelAftFlt-1'!I19&gt; "", CONCATENATE("* differential.element[",'RelAftFlt-1'!A19,"].binding.strength = #",'RelAftFlt-1'!I19,""),"")</f>
        <v/>
      </c>
    </row>
    <row r="15" spans="2:10" x14ac:dyDescent="0.75">
      <c r="B15" s="112"/>
      <c r="C15" s="112"/>
      <c r="D15" s="112"/>
      <c r="E15" s="112"/>
      <c r="F15" s="112"/>
      <c r="G15" s="112"/>
      <c r="H15" s="112"/>
      <c r="I15" s="112"/>
      <c r="J15" s="112" t="str">
        <f>IF('RelAftFlt-1'!I20&gt; "", CONCATENATE("* differential.element[",'RelAftFlt-1'!A20,"].binding.strength = #",'RelAftFlt-1'!I20,""),"")</f>
        <v/>
      </c>
    </row>
    <row r="16" spans="2:10" x14ac:dyDescent="0.75">
      <c r="B16" s="112"/>
      <c r="C16" s="112"/>
      <c r="D16" s="112"/>
      <c r="E16" s="112"/>
      <c r="F16" s="112"/>
      <c r="G16" s="112"/>
      <c r="H16" s="112"/>
      <c r="I16" s="112"/>
      <c r="J16" s="112" t="str">
        <f>IF('RelAftFlt-1'!I21&gt; "", CONCATENATE("* differential.element[",'RelAftFlt-1'!A21,"].binding.strength = #",'RelAftFlt-1'!I21,""),"")</f>
        <v/>
      </c>
    </row>
    <row r="17" spans="2:10" x14ac:dyDescent="0.75">
      <c r="B17" s="112"/>
      <c r="C17" s="112"/>
      <c r="D17" s="112"/>
      <c r="E17" s="112"/>
      <c r="F17" s="112"/>
      <c r="G17" s="112"/>
      <c r="H17" s="112"/>
      <c r="I17" s="112"/>
      <c r="J17" s="112" t="str">
        <f>IF('RelAftFlt-1'!I22&gt; "", CONCATENATE("* differential.element[",'RelAftFlt-1'!A22,"].binding.strength = #",'RelAftFlt-1'!I22,""),"")</f>
        <v/>
      </c>
    </row>
    <row r="18" spans="2:10" x14ac:dyDescent="0.75">
      <c r="B18" s="112"/>
      <c r="C18" s="112"/>
      <c r="D18" s="112"/>
      <c r="E18" s="112"/>
      <c r="F18" s="112"/>
      <c r="G18" s="112"/>
      <c r="H18" s="112"/>
      <c r="I18" s="112"/>
      <c r="J18" s="112" t="str">
        <f>IF('RelAftFlt-1'!I17&gt; "", CONCATENATE("* differential.element[",'RelAftFlt-1'!A17,"].binding.strength = #",'RelAftFlt-1'!I17,""),"")</f>
        <v/>
      </c>
    </row>
    <row r="19" spans="2:10" x14ac:dyDescent="0.75">
      <c r="B19" s="112"/>
      <c r="C19" s="112"/>
      <c r="D19" s="112"/>
      <c r="E19" s="112"/>
      <c r="F19" s="112"/>
      <c r="G19" s="112"/>
      <c r="H19" s="112"/>
      <c r="I19" s="112"/>
      <c r="J19" s="112" t="str">
        <f>IF('RelAftFlt-1'!I18&gt; "", CONCATENATE("* differential.element[",'RelAftFlt-1'!A18,"].binding.strength = #",'RelAftFlt-1'!I18,""),"")</f>
        <v/>
      </c>
    </row>
    <row r="20" spans="2:10" x14ac:dyDescent="0.75">
      <c r="B20" s="112"/>
      <c r="C20" s="112"/>
      <c r="D20" s="112"/>
      <c r="E20" s="112"/>
      <c r="F20" s="112"/>
      <c r="G20" s="112"/>
      <c r="H20" s="112"/>
      <c r="I20" s="112"/>
      <c r="J20" s="112" t="str">
        <f>IF('RelAftFlt-1'!I19&gt; "", CONCATENATE("* differential.element[",'RelAftFlt-1'!A19,"].binding.strength = #",'RelAftFlt-1'!I19,""),"")</f>
        <v/>
      </c>
    </row>
    <row r="21" spans="2:10" x14ac:dyDescent="0.75">
      <c r="B21" s="112"/>
      <c r="C21" s="112"/>
      <c r="D21" s="112"/>
      <c r="E21" s="112"/>
      <c r="F21" s="112"/>
      <c r="G21" s="112"/>
      <c r="H21" s="112"/>
      <c r="I21" s="112"/>
      <c r="J21" s="112"/>
    </row>
    <row r="22" spans="2:10" x14ac:dyDescent="0.75">
      <c r="B22" s="112"/>
      <c r="C22" s="112"/>
      <c r="D22" s="112"/>
      <c r="E22" s="112"/>
      <c r="F22" s="112"/>
      <c r="G22" s="112"/>
      <c r="H22" s="112"/>
      <c r="I22" s="112"/>
      <c r="J22" s="112"/>
    </row>
    <row r="23" spans="2:10" x14ac:dyDescent="0.75">
      <c r="B23" s="112"/>
      <c r="C23" s="112"/>
      <c r="D23" s="112"/>
      <c r="E23" s="112"/>
      <c r="F23" s="112"/>
      <c r="G23" s="112"/>
      <c r="H23" s="112"/>
      <c r="I23" s="112"/>
      <c r="J23" s="112"/>
    </row>
    <row r="24" spans="2:10" x14ac:dyDescent="0.75">
      <c r="B24" s="112"/>
      <c r="C24" s="112"/>
      <c r="D24" s="112"/>
      <c r="E24" s="112"/>
      <c r="F24" s="112"/>
      <c r="G24" s="112"/>
      <c r="H24" s="112"/>
      <c r="I24" s="112"/>
      <c r="J24" s="112"/>
    </row>
    <row r="25" spans="2:10" x14ac:dyDescent="0.75">
      <c r="B25" s="112"/>
      <c r="C25" s="112"/>
      <c r="D25" s="112"/>
      <c r="E25" s="112"/>
      <c r="F25" s="112"/>
      <c r="G25" s="112"/>
      <c r="H25" s="112"/>
      <c r="I25" s="112"/>
      <c r="J25" s="112"/>
    </row>
    <row r="26" spans="2:10" x14ac:dyDescent="0.75">
      <c r="B26" s="112"/>
      <c r="C26" s="112"/>
      <c r="D26" s="112"/>
      <c r="E26" s="112"/>
      <c r="F26" s="112"/>
      <c r="G26" s="112"/>
      <c r="H26" s="112"/>
      <c r="I26" s="112"/>
      <c r="J26" s="112"/>
    </row>
    <row r="27" spans="2:10" x14ac:dyDescent="0.75">
      <c r="B27" s="112"/>
      <c r="C27" s="112"/>
      <c r="D27" s="112"/>
      <c r="E27" s="112"/>
      <c r="F27" s="112"/>
      <c r="G27" s="112"/>
      <c r="H27" s="112"/>
      <c r="I27" s="112"/>
      <c r="J27" s="112"/>
    </row>
    <row r="28" spans="2:10" x14ac:dyDescent="0.75">
      <c r="B28" s="112"/>
      <c r="C28" s="112"/>
      <c r="D28" s="112"/>
      <c r="E28" s="112"/>
      <c r="F28" s="112"/>
      <c r="G28" s="112"/>
      <c r="H28" s="112"/>
      <c r="I28" s="112"/>
      <c r="J28" s="112"/>
    </row>
    <row r="29" spans="2:10" x14ac:dyDescent="0.75">
      <c r="B29" s="112"/>
      <c r="C29" s="112"/>
      <c r="D29" s="112"/>
      <c r="E29" s="112"/>
      <c r="F29" s="112"/>
      <c r="G29" s="112"/>
      <c r="H29" s="112"/>
      <c r="I29" s="112"/>
      <c r="J29" s="112"/>
    </row>
    <row r="30" spans="2:10" x14ac:dyDescent="0.75">
      <c r="B30" s="112"/>
      <c r="C30" s="112"/>
      <c r="D30" s="112"/>
      <c r="E30" s="112"/>
      <c r="F30" s="112"/>
      <c r="G30" s="112"/>
      <c r="H30" s="112"/>
      <c r="I30" s="112"/>
      <c r="J30" s="112"/>
    </row>
    <row r="31" spans="2:10" x14ac:dyDescent="0.75">
      <c r="B31" s="112"/>
      <c r="C31" s="112"/>
      <c r="D31" s="112"/>
      <c r="E31" s="112"/>
      <c r="F31" s="112"/>
      <c r="G31" s="112"/>
      <c r="H31" s="112"/>
      <c r="I31" s="112"/>
      <c r="J31" s="112"/>
    </row>
    <row r="32" spans="2:10" x14ac:dyDescent="0.75">
      <c r="B32" s="112"/>
      <c r="C32" s="112"/>
      <c r="D32" s="112"/>
      <c r="E32" s="112"/>
      <c r="F32" s="112"/>
      <c r="G32" s="112"/>
      <c r="H32" s="112"/>
      <c r="I32" s="112"/>
      <c r="J32" s="112"/>
    </row>
    <row r="33" spans="2:10" x14ac:dyDescent="0.75">
      <c r="B33" s="112"/>
      <c r="C33" s="112"/>
      <c r="D33" s="112"/>
      <c r="E33" s="112"/>
      <c r="F33" s="112"/>
      <c r="G33" s="112"/>
      <c r="H33" s="112"/>
      <c r="I33" s="112"/>
      <c r="J33" s="112"/>
    </row>
    <row r="34" spans="2:10" x14ac:dyDescent="0.75">
      <c r="B34" s="112"/>
      <c r="C34" s="112"/>
      <c r="D34" s="112"/>
      <c r="E34" s="112"/>
      <c r="F34" s="112"/>
      <c r="G34" s="112"/>
      <c r="H34" s="112"/>
      <c r="I34" s="112"/>
      <c r="J34" s="112"/>
    </row>
    <row r="35" spans="2:10" x14ac:dyDescent="0.75">
      <c r="B35" s="112"/>
      <c r="C35" s="112"/>
      <c r="D35" s="112"/>
      <c r="E35" s="112"/>
      <c r="F35" s="112"/>
      <c r="G35" s="112"/>
      <c r="H35" s="112"/>
      <c r="I35" s="112"/>
      <c r="J35" s="112"/>
    </row>
    <row r="36" spans="2:10" x14ac:dyDescent="0.75">
      <c r="B36" s="112"/>
      <c r="C36" s="112"/>
      <c r="D36" s="112"/>
      <c r="E36" s="112"/>
      <c r="F36" s="112"/>
      <c r="G36" s="112"/>
      <c r="H36" s="112"/>
      <c r="I36" s="112"/>
      <c r="J36" s="112"/>
    </row>
    <row r="37" spans="2:10" x14ac:dyDescent="0.75">
      <c r="B37" s="112"/>
      <c r="C37" s="112"/>
      <c r="D37" s="112"/>
      <c r="E37" s="112"/>
      <c r="F37" s="112"/>
      <c r="G37" s="112"/>
      <c r="H37" s="112"/>
      <c r="I37" s="112"/>
      <c r="J37" s="112"/>
    </row>
    <row r="38" spans="2:10" x14ac:dyDescent="0.75">
      <c r="B38" s="112"/>
      <c r="C38" s="112"/>
      <c r="D38" s="112"/>
      <c r="E38" s="112"/>
      <c r="F38" s="112"/>
      <c r="G38" s="112"/>
      <c r="H38" s="112"/>
      <c r="I38" s="112"/>
      <c r="J38" s="112"/>
    </row>
    <row r="39" spans="2:10" x14ac:dyDescent="0.75">
      <c r="B39" s="112"/>
      <c r="C39" s="112"/>
      <c r="D39" s="112"/>
      <c r="E39" s="112"/>
      <c r="F39" s="112"/>
      <c r="G39" s="112"/>
      <c r="H39" s="112"/>
      <c r="I39" s="112"/>
      <c r="J39" s="112"/>
    </row>
    <row r="40" spans="2:10" x14ac:dyDescent="0.75">
      <c r="B40" s="112"/>
      <c r="C40" s="112"/>
      <c r="D40" s="112"/>
      <c r="E40" s="112"/>
      <c r="F40" s="112"/>
      <c r="G40" s="112"/>
      <c r="H40" s="112"/>
      <c r="I40" s="112"/>
      <c r="J40" s="112"/>
    </row>
    <row r="41" spans="2:10" x14ac:dyDescent="0.75">
      <c r="B41" s="112"/>
      <c r="C41" s="112"/>
      <c r="D41" s="112"/>
      <c r="E41" s="112"/>
      <c r="F41" s="112"/>
      <c r="G41" s="112"/>
      <c r="H41" s="112"/>
      <c r="I41" s="112"/>
      <c r="J41" s="112"/>
    </row>
    <row r="42" spans="2:10" x14ac:dyDescent="0.75">
      <c r="B42" s="112"/>
      <c r="C42" s="112"/>
      <c r="D42" s="112"/>
      <c r="E42" s="112"/>
      <c r="F42" s="112"/>
      <c r="G42" s="112"/>
      <c r="H42" s="112"/>
      <c r="I42" s="112"/>
      <c r="J42" s="112"/>
    </row>
    <row r="43" spans="2:10" x14ac:dyDescent="0.75">
      <c r="B43" s="112"/>
      <c r="C43" s="112"/>
      <c r="D43" s="112"/>
      <c r="E43" s="112"/>
      <c r="F43" s="112"/>
      <c r="G43" s="112"/>
      <c r="H43" s="112"/>
      <c r="I43" s="112"/>
      <c r="J43" s="112"/>
    </row>
    <row r="44" spans="2:10" x14ac:dyDescent="0.75">
      <c r="B44" s="112"/>
      <c r="C44" s="112"/>
      <c r="D44" s="112"/>
      <c r="E44" s="112"/>
      <c r="F44" s="112"/>
      <c r="G44" s="112"/>
      <c r="H44" s="112"/>
      <c r="I44" s="112"/>
      <c r="J44" s="112"/>
    </row>
    <row r="45" spans="2:10" x14ac:dyDescent="0.75">
      <c r="B45" s="112"/>
      <c r="C45" s="112"/>
      <c r="D45" s="112"/>
      <c r="E45" s="112"/>
      <c r="F45" s="112"/>
      <c r="G45" s="112"/>
      <c r="H45" s="112"/>
      <c r="I45" s="112"/>
      <c r="J45" s="112"/>
    </row>
    <row r="46" spans="2:10" x14ac:dyDescent="0.75">
      <c r="B46" s="112"/>
      <c r="C46" s="112"/>
      <c r="D46" s="112"/>
      <c r="E46" s="112"/>
      <c r="F46" s="112"/>
      <c r="G46" s="112"/>
      <c r="H46" s="112"/>
      <c r="I46" s="112"/>
      <c r="J46" s="112"/>
    </row>
    <row r="47" spans="2:10" x14ac:dyDescent="0.75">
      <c r="B47" s="112"/>
      <c r="C47" s="112"/>
      <c r="D47" s="112"/>
      <c r="E47" s="112"/>
      <c r="F47" s="112"/>
      <c r="G47" s="112"/>
      <c r="H47" s="112"/>
      <c r="I47" s="112"/>
      <c r="J47" s="112"/>
    </row>
    <row r="48" spans="2:10" x14ac:dyDescent="0.75">
      <c r="B48" s="112"/>
      <c r="C48" s="112"/>
      <c r="D48" s="112"/>
      <c r="E48" s="112"/>
      <c r="F48" s="112"/>
      <c r="G48" s="112"/>
      <c r="H48" s="112"/>
      <c r="I48" s="112"/>
      <c r="J48" s="112"/>
    </row>
    <row r="49" spans="2:10" x14ac:dyDescent="0.75">
      <c r="B49" s="112"/>
      <c r="C49" s="112"/>
      <c r="D49" s="112"/>
      <c r="E49" s="112"/>
      <c r="F49" s="112"/>
      <c r="G49" s="112"/>
      <c r="H49" s="112"/>
      <c r="I49" s="112"/>
      <c r="J49" s="112"/>
    </row>
    <row r="50" spans="2:10" x14ac:dyDescent="0.75">
      <c r="B50" s="112"/>
      <c r="C50" s="112"/>
      <c r="D50" s="112"/>
      <c r="E50" s="112"/>
      <c r="F50" s="112"/>
      <c r="G50" s="112"/>
      <c r="H50" s="112"/>
      <c r="I50" s="112"/>
      <c r="J50" s="112"/>
    </row>
    <row r="51" spans="2:10" x14ac:dyDescent="0.75">
      <c r="B51" s="112"/>
      <c r="C51" s="112"/>
      <c r="D51" s="112"/>
      <c r="E51" s="112"/>
      <c r="F51" s="112"/>
      <c r="G51" s="112"/>
      <c r="H51" s="112"/>
      <c r="I51" s="112"/>
      <c r="J51" s="112"/>
    </row>
    <row r="52" spans="2:10" x14ac:dyDescent="0.75">
      <c r="B52" s="112"/>
      <c r="C52" s="112"/>
      <c r="D52" s="112"/>
      <c r="E52" s="112"/>
      <c r="F52" s="112"/>
      <c r="G52" s="112"/>
      <c r="H52" s="112"/>
      <c r="I52" s="112"/>
      <c r="J52" s="112"/>
    </row>
    <row r="53" spans="2:10" x14ac:dyDescent="0.75">
      <c r="B53" s="112"/>
      <c r="C53" s="112"/>
      <c r="D53" s="112"/>
      <c r="E53" s="112"/>
      <c r="F53" s="112"/>
      <c r="G53" s="112"/>
      <c r="H53" s="112"/>
      <c r="I53" s="112"/>
      <c r="J53" s="112"/>
    </row>
    <row r="54" spans="2:10" x14ac:dyDescent="0.75">
      <c r="B54" s="112"/>
      <c r="C54" s="112"/>
      <c r="D54" s="112"/>
      <c r="E54" s="112"/>
      <c r="F54" s="112"/>
      <c r="G54" s="112"/>
      <c r="H54" s="112"/>
      <c r="I54" s="112"/>
      <c r="J54" s="112"/>
    </row>
    <row r="55" spans="2:10" x14ac:dyDescent="0.75">
      <c r="B55" s="112"/>
      <c r="C55" s="112"/>
      <c r="D55" s="112"/>
      <c r="E55" s="112"/>
      <c r="F55" s="112"/>
      <c r="G55" s="112"/>
      <c r="H55" s="112"/>
      <c r="I55" s="112"/>
      <c r="J55" s="112"/>
    </row>
    <row r="56" spans="2:10" x14ac:dyDescent="0.75">
      <c r="B56" s="112"/>
      <c r="C56" s="112"/>
      <c r="D56" s="112"/>
      <c r="E56" s="112"/>
      <c r="F56" s="112"/>
      <c r="G56" s="112"/>
      <c r="H56" s="112"/>
      <c r="I56" s="112"/>
      <c r="J56" s="112"/>
    </row>
    <row r="57" spans="2:10" x14ac:dyDescent="0.75">
      <c r="B57" s="112"/>
      <c r="C57" s="112"/>
      <c r="D57" s="112"/>
      <c r="E57" s="112"/>
      <c r="F57" s="112"/>
      <c r="G57" s="112"/>
      <c r="H57" s="112"/>
      <c r="I57" s="112"/>
      <c r="J57" s="112"/>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87" workbookViewId="0">
      <selection activeCell="D43" sqref="D4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",'RelAftFlt-1'!B6)</f>
        <v>Instance: RelapseAfterFLT</v>
      </c>
    </row>
    <row r="3" spans="4:7" x14ac:dyDescent="0.75">
      <c r="D3" s="15" t="s">
        <v>24</v>
      </c>
    </row>
    <row r="4" spans="4:7" x14ac:dyDescent="0.75">
      <c r="D4" s="15" t="str">
        <f>CONCATENATE("Description: """,'RelAftFlt-1'!D2,"""")</f>
        <v>Description: "Progression-Relapse after FLT - Maturity Level: 2 - Ready for Review"</v>
      </c>
      <c r="E4" s="15"/>
    </row>
    <row r="5" spans="4:7" x14ac:dyDescent="0.75">
      <c r="D5" s="15" t="str">
        <f>CONCATENATE("Title: """,'RelAftFlt-1'!C2,"""")</f>
        <v>Title: "Progression-Relapse after FLT"</v>
      </c>
      <c r="E5" s="15"/>
    </row>
    <row r="6" spans="4:7" x14ac:dyDescent="0.75">
      <c r="D6" s="15" t="s">
        <v>25</v>
      </c>
      <c r="E6" s="15"/>
    </row>
    <row r="7" spans="4:7" x14ac:dyDescent="0.75">
      <c r="D7" s="15"/>
      <c r="E7" s="15"/>
    </row>
    <row r="8" spans="4:7" x14ac:dyDescent="0.75">
      <c r="D8" s="15" t="str">
        <f>CONCATENATE("* publisher = """,'RelAftFlt-1'!B4,"""")</f>
        <v>* publisher = "PanCareSurPass project"</v>
      </c>
      <c r="E8" s="15"/>
    </row>
    <row r="9" spans="4:7" x14ac:dyDescent="0.75">
      <c r="D9" s="15" t="s">
        <v>26</v>
      </c>
      <c r="E9" s="15"/>
    </row>
    <row r="10" spans="4:7" x14ac:dyDescent="0.75">
      <c r="D10" s="15" t="str">
        <f>CONCATENATE("* url = """,'RelAftFlt-1'!B2,"/StructureDefinition/",'RelAftFlt-1'!B6,"""")</f>
        <v>* url = "http://hl7.eu/fhir/ig/pcsp/StructureDefinition/RelapseAfterFLT"</v>
      </c>
      <c r="E10" s="15"/>
      <c r="G10" s="52" t="s">
        <v>48</v>
      </c>
    </row>
    <row r="11" spans="4:7" x14ac:dyDescent="0.75">
      <c r="D11" s="15" t="str">
        <f>CONCATENATE("* name = """,'RelAftFlt-1'!C4,"""")</f>
        <v>* name = "RelapseAfterFLT"</v>
      </c>
      <c r="E11" s="15"/>
    </row>
    <row r="12" spans="4:7" x14ac:dyDescent="0.75">
      <c r="D12" s="15" t="str">
        <f>CONCATENATE("* title = """,'RelAftFlt-1'!C2,"""")</f>
        <v>* title = "Progression-Relapse after FLT"</v>
      </c>
      <c r="E12" s="15"/>
    </row>
    <row r="13" spans="4:7" x14ac:dyDescent="0.75">
      <c r="D13" s="15" t="s">
        <v>26</v>
      </c>
      <c r="E13" s="15"/>
    </row>
    <row r="14" spans="4:7" x14ac:dyDescent="0.75">
      <c r="D14" s="15" t="s">
        <v>27</v>
      </c>
      <c r="E14" s="15"/>
    </row>
    <row r="15" spans="4:7" x14ac:dyDescent="0.75">
      <c r="D15" s="15" t="str">
        <f>CONCATENATE("* description = """,'RelAftFlt-1'!D2,"""")</f>
        <v>* description = "Progression-Relapse after FLT - Maturity Level: 2 - Ready for Review"</v>
      </c>
      <c r="E15" s="15"/>
    </row>
    <row r="16" spans="4:7" x14ac:dyDescent="0.75">
      <c r="D16" s="15" t="s">
        <v>28</v>
      </c>
      <c r="E16" s="15"/>
    </row>
    <row r="18" spans="1:7" x14ac:dyDescent="0.75">
      <c r="C18" s="109">
        <v>0</v>
      </c>
      <c r="D18" s="46" t="str">
        <f>CONCATENATE("* mapping[",C18,"].identity = """,'RelAftFlt-Map-1'!F1,"""")</f>
        <v>* mapping[0].identity = "fhir"</v>
      </c>
      <c r="G18" s="110" t="s">
        <v>42</v>
      </c>
    </row>
    <row r="19" spans="1:7" x14ac:dyDescent="0.75">
      <c r="B19" s="47" t="s">
        <v>44</v>
      </c>
      <c r="C19" s="109">
        <v>0</v>
      </c>
      <c r="D19" s="46" t="str">
        <f>CONCATENATE("* mapping[",C19,"].uri = """,'RelAftFlt-Map-1'!F2,"""")</f>
        <v>* mapping[0].uri = "hl7.org/fhir/r4"</v>
      </c>
      <c r="G19" s="110" t="s">
        <v>43</v>
      </c>
    </row>
    <row r="20" spans="1:7" x14ac:dyDescent="0.75">
      <c r="C20" s="109">
        <v>0</v>
      </c>
      <c r="D20" s="46" t="str">
        <f>CONCATENATE("* mapping[",C20,"].name = """,'RelAftFlt-Map-1'!D2,"""")</f>
        <v>* mapping[0].name = "FHIR"</v>
      </c>
      <c r="G20" s="110" t="s">
        <v>45</v>
      </c>
    </row>
    <row r="22" spans="1:7" x14ac:dyDescent="0.75">
      <c r="D22" s="15" t="s">
        <v>29</v>
      </c>
      <c r="E22" s="15"/>
    </row>
    <row r="23" spans="1:7" x14ac:dyDescent="0.75">
      <c r="D23" s="15" t="s">
        <v>49</v>
      </c>
      <c r="E23" s="15"/>
    </row>
    <row r="24" spans="1:7" x14ac:dyDescent="0.75">
      <c r="D24" s="15" t="str">
        <f>CONCATENATE("* type = """,'RelAftFlt-1'!B6,"""")</f>
        <v>* type = "RelapseAfterFLT"</v>
      </c>
      <c r="E24" s="15"/>
    </row>
    <row r="25" spans="1:7" x14ac:dyDescent="0.75">
      <c r="A25" s="107" t="s">
        <v>889</v>
      </c>
      <c r="B25" s="107">
        <v>9</v>
      </c>
      <c r="D25" s="15" t="s">
        <v>30</v>
      </c>
    </row>
    <row r="26" spans="1:7" x14ac:dyDescent="0.75">
      <c r="D26" s="15" t="s">
        <v>31</v>
      </c>
    </row>
    <row r="28" spans="1:7" x14ac:dyDescent="0.75">
      <c r="D28" s="33" t="str">
        <f>'RelAftFlt-2'!B1</f>
        <v>* differential.element[0].id = "RelapseAfterFLT"</v>
      </c>
    </row>
    <row r="29" spans="1:7" x14ac:dyDescent="0.75">
      <c r="D29" s="33" t="str">
        <f>'RelAftFlt-2'!C1</f>
        <v>* differential.element[0].path = "RelapseAfterFLT"</v>
      </c>
      <c r="G29" s="109" t="s">
        <v>50</v>
      </c>
    </row>
    <row r="30" spans="1:7" x14ac:dyDescent="0.75">
      <c r="D30" s="33" t="str">
        <f>'RelAftFlt-2'!D1</f>
        <v>* differential.element[0].short = "Progression-Relapse after  FLT"</v>
      </c>
    </row>
    <row r="31" spans="1:7" x14ac:dyDescent="0.75">
      <c r="D31" s="33" t="str">
        <f>'RelAftFlt-2'!E1</f>
        <v>* differential.element[0].definition = "Progression-Relapse after  FLT"</v>
      </c>
    </row>
    <row r="32" spans="1:7" x14ac:dyDescent="0.75">
      <c r="D32" s="33" t="str">
        <f>'RelAftFlt-2'!F1</f>
        <v>* differential.element[0].min = 1</v>
      </c>
    </row>
    <row r="33" spans="1:4" x14ac:dyDescent="0.75">
      <c r="D33" s="33" t="str">
        <f>'RelAftFlt-2'!G1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INDEX('RelAftFlt-2'!$B$2:$J$100,1+B35,C35)</f>
        <v>* differential.element[1].id = "RelapseAfterFLT.identifier"</v>
      </c>
    </row>
    <row r="36" spans="1:4" x14ac:dyDescent="0.75">
      <c r="A36" s="111">
        <v>2</v>
      </c>
      <c r="B36" s="111">
        <f t="shared" ref="B36:B44" si="0">IF(MOD(A36,$B$25)=0,A36/$B$25-1,INT(A36/$B$25))</f>
        <v>0</v>
      </c>
      <c r="C36" s="111">
        <f t="shared" ref="C36:C44" si="1">IF(MOD(A36,$B$25)=0,$B$25,MOD(A36,$B$25))</f>
        <v>2</v>
      </c>
      <c r="D36" s="112" t="str" cm="1">
        <f t="array" ref="D36">INDEX('RelAftFlt-2'!$B$2:$J$100,1+B36,C36)</f>
        <v>* differential.element[1].path = "RelapseAfterFLT.identifier"</v>
      </c>
    </row>
    <row r="37" spans="1:4" x14ac:dyDescent="0.75">
      <c r="A37" s="111">
        <v>3</v>
      </c>
      <c r="B37" s="111">
        <f t="shared" si="0"/>
        <v>0</v>
      </c>
      <c r="C37" s="111">
        <f t="shared" si="1"/>
        <v>3</v>
      </c>
      <c r="D37" s="112" t="str" cm="1">
        <f t="array" ref="D37">INDEX('RelAftFlt-2'!$B$2:$J$100,1+B37,C37)</f>
        <v>* differential.element[1].short = "Progression-relapse after FLT number"</v>
      </c>
    </row>
    <row r="38" spans="1:4" ht="29.5" x14ac:dyDescent="0.75">
      <c r="A38" s="111">
        <v>4</v>
      </c>
      <c r="B38" s="111">
        <f t="shared" si="0"/>
        <v>0</v>
      </c>
      <c r="C38" s="111">
        <f t="shared" si="1"/>
        <v>4</v>
      </c>
      <c r="D38" s="112" t="str" cm="1">
        <f t="array" ref="D38">INDEX('RelAftFlt-2'!$B$2:$J$100,1+B38,C38)</f>
        <v>* differential.element[1].definition = "Progressive number of progression/relapse (1=first; 2= second; 3 = third; …) after the end of treatment.
In this field must be reported the ordinal number of the progression/relapse after the end of treatment."</v>
      </c>
    </row>
    <row r="39" spans="1:4" x14ac:dyDescent="0.75">
      <c r="A39" s="111">
        <v>5</v>
      </c>
      <c r="B39" s="111">
        <f t="shared" si="0"/>
        <v>0</v>
      </c>
      <c r="C39" s="111">
        <f t="shared" si="1"/>
        <v>5</v>
      </c>
      <c r="D39" s="112" t="str" cm="1">
        <f t="array" ref="D39">INDEX('RelAftFlt-2'!$B$2:$J$100,1+B39,C39)</f>
        <v>* differential.element[1].min = 0</v>
      </c>
    </row>
    <row r="40" spans="1:4" x14ac:dyDescent="0.75">
      <c r="A40" s="111">
        <v>6</v>
      </c>
      <c r="B40" s="111">
        <f t="shared" si="0"/>
        <v>0</v>
      </c>
      <c r="C40" s="111">
        <f t="shared" si="1"/>
        <v>6</v>
      </c>
      <c r="D40" s="112" t="str" cm="1">
        <f t="array" ref="D40">INDEX('RelAftFlt-2'!$B$2:$J$100,1+B40,C40)</f>
        <v>* differential.element[1].max = "1"</v>
      </c>
    </row>
    <row r="41" spans="1:4" x14ac:dyDescent="0.75">
      <c r="A41" s="111">
        <v>7</v>
      </c>
      <c r="B41" s="111">
        <f t="shared" si="0"/>
        <v>0</v>
      </c>
      <c r="C41" s="111">
        <f t="shared" si="1"/>
        <v>7</v>
      </c>
      <c r="D41" s="112" t="str" cm="1">
        <f t="array" ref="D41">INDEX('RelAftFlt-2'!$B$2:$J$100,1+B41,C41)</f>
        <v>* differential.element[1].type.code = #Identifier</v>
      </c>
    </row>
    <row r="42" spans="1:4" x14ac:dyDescent="0.75">
      <c r="A42" s="111">
        <v>8</v>
      </c>
      <c r="B42" s="111">
        <f t="shared" si="0"/>
        <v>0</v>
      </c>
      <c r="C42" s="111">
        <f t="shared" si="1"/>
        <v>8</v>
      </c>
      <c r="D42" s="112" t="str" cm="1">
        <f t="array" ref="D42">INDEX('RelAftFlt-2'!$B$2:$J$100,1+B42,C42)</f>
        <v/>
      </c>
    </row>
    <row r="43" spans="1:4" x14ac:dyDescent="0.75">
      <c r="A43" s="111">
        <v>9</v>
      </c>
      <c r="B43" s="111">
        <f t="shared" si="0"/>
        <v>0</v>
      </c>
      <c r="C43" s="111">
        <f t="shared" si="1"/>
        <v>9</v>
      </c>
      <c r="D43" s="112" t="str" cm="1">
        <f t="array" ref="D43">INDEX('RelAftFlt-2'!$B$2:$J$100,1+B43,C43)</f>
        <v/>
      </c>
    </row>
    <row r="44" spans="1:4" x14ac:dyDescent="0.75">
      <c r="A44" s="111">
        <v>10</v>
      </c>
      <c r="B44" s="111">
        <f t="shared" si="0"/>
        <v>1</v>
      </c>
      <c r="C44" s="111">
        <f t="shared" si="1"/>
        <v>1</v>
      </c>
      <c r="D44" s="112" t="str" cm="1">
        <f t="array" ref="D44">INDEX('RelAftFlt-2'!$B$2:$J$100,1+B44,C44)</f>
        <v>* differential.element[2].id = "RelapseAfterFLT.relatedDiagnosis"</v>
      </c>
    </row>
    <row r="45" spans="1:4" x14ac:dyDescent="0.75">
      <c r="A45" s="111">
        <v>11</v>
      </c>
      <c r="B45" s="111">
        <f t="shared" ref="B45:B108" si="2">IF(MOD(A45,$B$25)=0,A45/$B$25-1,INT(A45/$B$25))</f>
        <v>1</v>
      </c>
      <c r="C45" s="111">
        <f t="shared" ref="C45:C108" si="3">IF(MOD(A45,$B$25)=0,$B$25,MOD(A45,$B$25))</f>
        <v>2</v>
      </c>
      <c r="D45" s="112" t="str" cm="1">
        <f t="array" ref="D45">INDEX('RelAftFlt-2'!$B$2:$J$100,1+B45,C45)</f>
        <v>* differential.element[2].path = "RelapseAfterFLT.relatedDiagnosis"</v>
      </c>
    </row>
    <row r="46" spans="1:4" x14ac:dyDescent="0.75">
      <c r="A46" s="111">
        <v>12</v>
      </c>
      <c r="B46" s="111">
        <f t="shared" si="2"/>
        <v>1</v>
      </c>
      <c r="C46" s="111">
        <f t="shared" si="3"/>
        <v>3</v>
      </c>
      <c r="D46" s="112" t="str" cm="1">
        <f t="array" ref="D46">INDEX('RelAftFlt-2'!$B$2:$J$100,1+B46,C46)</f>
        <v>* differential.element[2].short = "Progressive number of diagnosis"</v>
      </c>
    </row>
    <row r="47" spans="1:4" ht="29.5" x14ac:dyDescent="0.75">
      <c r="A47" s="111">
        <v>13</v>
      </c>
      <c r="B47" s="111">
        <f t="shared" si="2"/>
        <v>1</v>
      </c>
      <c r="C47" s="111">
        <f t="shared" si="3"/>
        <v>4</v>
      </c>
      <c r="D47" s="112" t="str" cm="1">
        <f t="array" ref="D47">INDEX('RelAftFlt-2'!$B$2:$J$100,1+B47,C47)</f>
        <v>* differential.element[2].definition = "Progressive number of diagnosis (1=first; 2= second; 3 = third; …).  
In this field must be reported the ordinal number of the tumor diagnosis in which progression/relapse ocuured during front line treatment."</v>
      </c>
    </row>
    <row r="48" spans="1:4" x14ac:dyDescent="0.75">
      <c r="A48" s="111">
        <v>14</v>
      </c>
      <c r="B48" s="111">
        <f t="shared" si="2"/>
        <v>1</v>
      </c>
      <c r="C48" s="111">
        <f t="shared" si="3"/>
        <v>5</v>
      </c>
      <c r="D48" s="112" t="str" cm="1">
        <f t="array" ref="D48">INDEX('RelAftFlt-2'!$B$2:$J$100,1+B48,C48)</f>
        <v>* differential.element[2].min = 0</v>
      </c>
    </row>
    <row r="49" spans="1:4" x14ac:dyDescent="0.75">
      <c r="A49" s="111">
        <v>15</v>
      </c>
      <c r="B49" s="111">
        <f t="shared" si="2"/>
        <v>1</v>
      </c>
      <c r="C49" s="111">
        <f t="shared" si="3"/>
        <v>6</v>
      </c>
      <c r="D49" s="112" t="str" cm="1">
        <f t="array" ref="D49">INDEX('RelAftFlt-2'!$B$2:$J$100,1+B49,C49)</f>
        <v>* differential.element[2].max = "1"</v>
      </c>
    </row>
    <row r="50" spans="1:4" x14ac:dyDescent="0.75">
      <c r="A50" s="111">
        <v>16</v>
      </c>
      <c r="B50" s="111">
        <f t="shared" si="2"/>
        <v>1</v>
      </c>
      <c r="C50" s="111">
        <f t="shared" si="3"/>
        <v>7</v>
      </c>
      <c r="D50" s="112" t="str" cm="1">
        <f t="array" ref="D50">INDEX('RelAftFlt-2'!$B$2:$J$100,1+B50,C50)</f>
        <v>* differential.element[2].type.code = #Identifier</v>
      </c>
    </row>
    <row r="51" spans="1:4" x14ac:dyDescent="0.75">
      <c r="A51" s="111">
        <v>17</v>
      </c>
      <c r="B51" s="111">
        <f t="shared" si="2"/>
        <v>1</v>
      </c>
      <c r="C51" s="111">
        <f t="shared" si="3"/>
        <v>8</v>
      </c>
      <c r="D51" s="112" t="str" cm="1">
        <f t="array" ref="D51">INDEX('RelAftFlt-2'!$B$2:$J$100,1+B51,C51)</f>
        <v/>
      </c>
    </row>
    <row r="52" spans="1:4" x14ac:dyDescent="0.75">
      <c r="A52" s="111">
        <v>18</v>
      </c>
      <c r="B52" s="111">
        <f t="shared" si="2"/>
        <v>1</v>
      </c>
      <c r="C52" s="111">
        <f t="shared" si="3"/>
        <v>9</v>
      </c>
      <c r="D52" s="112" t="str" cm="1">
        <f t="array" ref="D52">INDEX('RelAftFlt-2'!$B$2:$J$100,1+B52,C52)</f>
        <v/>
      </c>
    </row>
    <row r="53" spans="1:4" x14ac:dyDescent="0.75">
      <c r="A53" s="111">
        <v>19</v>
      </c>
      <c r="B53" s="111">
        <f t="shared" si="2"/>
        <v>2</v>
      </c>
      <c r="C53" s="111">
        <f t="shared" si="3"/>
        <v>1</v>
      </c>
      <c r="D53" s="112" t="str" cm="1">
        <f t="array" ref="D53">INDEX('RelAftFlt-2'!$B$2:$J$100,1+B53,C53)</f>
        <v>* differential.element[3].id = "RelapseAfterFLT.date"</v>
      </c>
    </row>
    <row r="54" spans="1:4" x14ac:dyDescent="0.75">
      <c r="A54" s="111">
        <v>20</v>
      </c>
      <c r="B54" s="111">
        <f t="shared" si="2"/>
        <v>2</v>
      </c>
      <c r="C54" s="111">
        <f t="shared" si="3"/>
        <v>2</v>
      </c>
      <c r="D54" s="112" t="str" cm="1">
        <f t="array" ref="D54">INDEX('RelAftFlt-2'!$B$2:$J$100,1+B54,C54)</f>
        <v>* differential.element[3].path = "RelapseAfterFLT.date"</v>
      </c>
    </row>
    <row r="55" spans="1:4" x14ac:dyDescent="0.75">
      <c r="A55" s="111">
        <v>21</v>
      </c>
      <c r="B55" s="111">
        <f t="shared" si="2"/>
        <v>2</v>
      </c>
      <c r="C55" s="111">
        <f t="shared" si="3"/>
        <v>3</v>
      </c>
      <c r="D55" s="112" t="str" cm="1">
        <f t="array" ref="D55">INDEX('RelAftFlt-2'!$B$2:$J$100,1+B55,C55)</f>
        <v>* differential.element[3].short = "date of relapse"</v>
      </c>
    </row>
    <row r="56" spans="1:4" x14ac:dyDescent="0.75">
      <c r="A56" s="111">
        <v>22</v>
      </c>
      <c r="B56" s="111">
        <f t="shared" si="2"/>
        <v>2</v>
      </c>
      <c r="C56" s="111">
        <f t="shared" si="3"/>
        <v>4</v>
      </c>
      <c r="D56" s="112" t="str" cm="1">
        <f t="array" ref="D56">INDEX('RelAftFlt-2'!$B$2:$J$100,1+B56,C56)</f>
        <v>* differential.element[3].definition = "Report here the date (dd/mm/yyyy ) of the relapse/progression. If the date is unkown or partially missed insert the year at the best of your knowledge."</v>
      </c>
    </row>
    <row r="57" spans="1:4" x14ac:dyDescent="0.75">
      <c r="A57" s="111">
        <v>23</v>
      </c>
      <c r="B57" s="111">
        <f t="shared" si="2"/>
        <v>2</v>
      </c>
      <c r="C57" s="111">
        <f t="shared" si="3"/>
        <v>5</v>
      </c>
      <c r="D57" s="112" t="str" cm="1">
        <f t="array" ref="D57">INDEX('RelAftFlt-2'!$B$2:$J$100,1+B57,C57)</f>
        <v>* differential.element[3].min = 0</v>
      </c>
    </row>
    <row r="58" spans="1:4" x14ac:dyDescent="0.75">
      <c r="A58" s="111">
        <v>24</v>
      </c>
      <c r="B58" s="111">
        <f t="shared" si="2"/>
        <v>2</v>
      </c>
      <c r="C58" s="111">
        <f t="shared" si="3"/>
        <v>6</v>
      </c>
      <c r="D58" s="112" t="str" cm="1">
        <f t="array" ref="D58">INDEX('RelAftFlt-2'!$B$2:$J$100,1+B58,C58)</f>
        <v>* differential.element[3].max = "1"</v>
      </c>
    </row>
    <row r="59" spans="1:4" x14ac:dyDescent="0.75">
      <c r="A59" s="111">
        <v>25</v>
      </c>
      <c r="B59" s="111">
        <f t="shared" si="2"/>
        <v>2</v>
      </c>
      <c r="C59" s="111">
        <f t="shared" si="3"/>
        <v>7</v>
      </c>
      <c r="D59" s="112" t="str" cm="1">
        <f t="array" ref="D59">INDEX('RelAftFlt-2'!$B$2:$J$100,1+B59,C59)</f>
        <v>* differential.element[3].type.code = #date</v>
      </c>
    </row>
    <row r="60" spans="1:4" x14ac:dyDescent="0.75">
      <c r="A60" s="111">
        <v>26</v>
      </c>
      <c r="B60" s="111">
        <f t="shared" si="2"/>
        <v>2</v>
      </c>
      <c r="C60" s="111">
        <f t="shared" si="3"/>
        <v>8</v>
      </c>
      <c r="D60" s="112" t="str" cm="1">
        <f t="array" ref="D60">INDEX('RelAftFlt-2'!$B$2:$J$100,1+B60,C60)</f>
        <v/>
      </c>
    </row>
    <row r="61" spans="1:4" x14ac:dyDescent="0.75">
      <c r="A61" s="111">
        <v>27</v>
      </c>
      <c r="B61" s="111">
        <f t="shared" si="2"/>
        <v>2</v>
      </c>
      <c r="C61" s="111">
        <f t="shared" si="3"/>
        <v>9</v>
      </c>
      <c r="D61" s="112" t="str" cm="1">
        <f t="array" ref="D61">INDEX('RelAftFlt-2'!$B$2:$J$100,1+B61,C61)</f>
        <v/>
      </c>
    </row>
    <row r="62" spans="1:4" x14ac:dyDescent="0.75">
      <c r="A62" s="111">
        <v>28</v>
      </c>
      <c r="B62" s="111">
        <f t="shared" si="2"/>
        <v>3</v>
      </c>
      <c r="C62" s="111">
        <f t="shared" si="3"/>
        <v>1</v>
      </c>
      <c r="D62" s="112" t="str" cm="1">
        <f t="array" ref="D62">INDEX('RelAftFlt-2'!$B$2:$J$100,1+B62,C62)</f>
        <v>* differential.element[4].id = "RelapseAfterFLT.type"</v>
      </c>
    </row>
    <row r="63" spans="1:4" x14ac:dyDescent="0.75">
      <c r="A63" s="111">
        <v>29</v>
      </c>
      <c r="B63" s="111">
        <f t="shared" si="2"/>
        <v>3</v>
      </c>
      <c r="C63" s="111">
        <f t="shared" si="3"/>
        <v>2</v>
      </c>
      <c r="D63" s="112" t="str" cm="1">
        <f t="array" ref="D63">INDEX('RelAftFlt-2'!$B$2:$J$100,1+B63,C63)</f>
        <v>* differential.element[4].path = "RelapseAfterFLT.type"</v>
      </c>
    </row>
    <row r="64" spans="1:4" x14ac:dyDescent="0.75">
      <c r="A64" s="111">
        <v>30</v>
      </c>
      <c r="B64" s="111">
        <f t="shared" si="2"/>
        <v>3</v>
      </c>
      <c r="C64" s="111">
        <f t="shared" si="3"/>
        <v>3</v>
      </c>
      <c r="D64" s="112" t="str" cm="1">
        <f t="array" ref="D64">INDEX('RelAftFlt-2'!$B$2:$J$100,1+B64,C64)</f>
        <v>* differential.element[4].short = "relapse | progression"</v>
      </c>
    </row>
    <row r="65" spans="1:4" x14ac:dyDescent="0.75">
      <c r="A65" s="111">
        <v>31</v>
      </c>
      <c r="B65" s="111">
        <f t="shared" si="2"/>
        <v>3</v>
      </c>
      <c r="C65" s="111">
        <f t="shared" si="3"/>
        <v>4</v>
      </c>
      <c r="D65" s="112" t="str" cm="1">
        <f t="array" ref="D65">INDEX('RelAftFlt-2'!$B$2:$J$100,1+B65,C65)</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66" spans="1:4" x14ac:dyDescent="0.75">
      <c r="A66" s="111">
        <v>32</v>
      </c>
      <c r="B66" s="111">
        <f t="shared" si="2"/>
        <v>3</v>
      </c>
      <c r="C66" s="111">
        <f t="shared" si="3"/>
        <v>5</v>
      </c>
      <c r="D66" s="112" t="str" cm="1">
        <f t="array" ref="D66">INDEX('RelAftFlt-2'!$B$2:$J$100,1+B66,C66)</f>
        <v>* differential.element[4].min = 0</v>
      </c>
    </row>
    <row r="67" spans="1:4" x14ac:dyDescent="0.75">
      <c r="A67" s="111">
        <v>33</v>
      </c>
      <c r="B67" s="111">
        <f t="shared" si="2"/>
        <v>3</v>
      </c>
      <c r="C67" s="111">
        <f t="shared" si="3"/>
        <v>6</v>
      </c>
      <c r="D67" s="112" t="str" cm="1">
        <f t="array" ref="D67">INDEX('RelAftFlt-2'!$B$2:$J$100,1+B67,C67)</f>
        <v>* differential.element[4].max = "1"</v>
      </c>
    </row>
    <row r="68" spans="1:4" x14ac:dyDescent="0.75">
      <c r="A68" s="111">
        <v>34</v>
      </c>
      <c r="B68" s="111">
        <f t="shared" si="2"/>
        <v>3</v>
      </c>
      <c r="C68" s="111">
        <f t="shared" si="3"/>
        <v>7</v>
      </c>
      <c r="D68" s="112" t="str" cm="1">
        <f t="array" ref="D68">INDEX('RelAftFlt-2'!$B$2:$J$100,1+B68,C68)</f>
        <v>* differential.element[4].type.code = #CodeableConcept</v>
      </c>
    </row>
    <row r="69" spans="1:4" x14ac:dyDescent="0.75">
      <c r="A69" s="111">
        <v>35</v>
      </c>
      <c r="B69" s="111">
        <f t="shared" si="2"/>
        <v>3</v>
      </c>
      <c r="C69" s="111">
        <f t="shared" si="3"/>
        <v>8</v>
      </c>
      <c r="D69" s="112" t="str" cm="1">
        <f t="array" ref="D69">INDEX('RelAftFlt-2'!$B$2:$J$100,1+B69,C69)</f>
        <v/>
      </c>
    </row>
    <row r="70" spans="1:4" x14ac:dyDescent="0.75">
      <c r="A70" s="111">
        <v>36</v>
      </c>
      <c r="B70" s="111">
        <f t="shared" si="2"/>
        <v>3</v>
      </c>
      <c r="C70" s="111">
        <f t="shared" si="3"/>
        <v>9</v>
      </c>
      <c r="D70" s="112" t="str" cm="1">
        <f t="array" ref="D70">INDEX('RelAftFlt-2'!$B$2:$J$100,1+B70,C70)</f>
        <v/>
      </c>
    </row>
    <row r="71" spans="1:4" x14ac:dyDescent="0.75">
      <c r="A71" s="111">
        <v>37</v>
      </c>
      <c r="B71" s="111">
        <f t="shared" si="2"/>
        <v>4</v>
      </c>
      <c r="C71" s="111">
        <f t="shared" si="3"/>
        <v>1</v>
      </c>
      <c r="D71" s="112" t="str" cm="1">
        <f t="array" ref="D71">INDEX('RelAftFlt-2'!$B$2:$J$100,1+B71,C71)</f>
        <v>* differential.element[5].id = "RelapseAfterFLT.qualifier"</v>
      </c>
    </row>
    <row r="72" spans="1:4" x14ac:dyDescent="0.75">
      <c r="A72" s="111">
        <v>38</v>
      </c>
      <c r="B72" s="111">
        <f t="shared" si="2"/>
        <v>4</v>
      </c>
      <c r="C72" s="111">
        <f t="shared" si="3"/>
        <v>2</v>
      </c>
      <c r="D72" s="112" t="str" cm="1">
        <f t="array" ref="D72">INDEX('RelAftFlt-2'!$B$2:$J$100,1+B72,C72)</f>
        <v>* differential.element[5].path = "RelapseAfterFLT.qualifier"</v>
      </c>
    </row>
    <row r="73" spans="1:4" x14ac:dyDescent="0.75">
      <c r="A73" s="111">
        <v>39</v>
      </c>
      <c r="B73" s="111">
        <f t="shared" si="2"/>
        <v>4</v>
      </c>
      <c r="C73" s="111">
        <f t="shared" si="3"/>
        <v>3</v>
      </c>
      <c r="D73" s="112" t="str" cm="1">
        <f t="array" ref="D73">INDEX('RelAftFlt-2'!$B$2:$J$100,1+B73,C73)</f>
        <v>* differential.element[5].short = "local | distant | combined"</v>
      </c>
    </row>
    <row r="74" spans="1:4" x14ac:dyDescent="0.75">
      <c r="A74" s="111">
        <v>40</v>
      </c>
      <c r="B74" s="111">
        <f t="shared" si="2"/>
        <v>4</v>
      </c>
      <c r="C74" s="111">
        <f t="shared" si="3"/>
        <v>4</v>
      </c>
      <c r="D74" s="112" t="str" cm="1">
        <f t="array" ref="D74">INDEX('RelAftFlt-2'!$B$2:$J$100,1+B74,C74)</f>
        <v>* differential.element[5].definition = "Please define if the relapse/progression was local, distant or combined.
"</v>
      </c>
    </row>
    <row r="75" spans="1:4" x14ac:dyDescent="0.75">
      <c r="A75" s="111">
        <v>41</v>
      </c>
      <c r="B75" s="111">
        <f t="shared" si="2"/>
        <v>4</v>
      </c>
      <c r="C75" s="111">
        <f t="shared" si="3"/>
        <v>5</v>
      </c>
      <c r="D75" s="112" t="str" cm="1">
        <f t="array" ref="D75">INDEX('RelAftFlt-2'!$B$2:$J$100,1+B75,C75)</f>
        <v>* differential.element[5].min = 0</v>
      </c>
    </row>
    <row r="76" spans="1:4" x14ac:dyDescent="0.75">
      <c r="A76" s="111">
        <v>42</v>
      </c>
      <c r="B76" s="111">
        <f t="shared" si="2"/>
        <v>4</v>
      </c>
      <c r="C76" s="111">
        <f t="shared" si="3"/>
        <v>6</v>
      </c>
      <c r="D76" s="112" t="str" cm="1">
        <f t="array" ref="D76">INDEX('RelAftFlt-2'!$B$2:$J$100,1+B76,C76)</f>
        <v>* differential.element[5].max = "1"</v>
      </c>
    </row>
    <row r="77" spans="1:4" x14ac:dyDescent="0.75">
      <c r="A77" s="111">
        <v>43</v>
      </c>
      <c r="B77" s="111">
        <f t="shared" si="2"/>
        <v>4</v>
      </c>
      <c r="C77" s="111">
        <f t="shared" si="3"/>
        <v>7</v>
      </c>
      <c r="D77" s="112" t="str" cm="1">
        <f t="array" ref="D77">INDEX('RelAftFlt-2'!$B$2:$J$100,1+B77,C77)</f>
        <v>* differential.element[5].type.code = #CodeableConcept</v>
      </c>
    </row>
    <row r="78" spans="1:4" x14ac:dyDescent="0.75">
      <c r="A78" s="111">
        <v>44</v>
      </c>
      <c r="B78" s="111">
        <f t="shared" si="2"/>
        <v>4</v>
      </c>
      <c r="C78" s="111">
        <f t="shared" si="3"/>
        <v>8</v>
      </c>
      <c r="D78" s="112" t="str" cm="1">
        <f t="array" ref="D78">INDEX('RelAftFlt-2'!$B$2:$J$100,1+B78,C78)</f>
        <v/>
      </c>
    </row>
    <row r="79" spans="1:4" x14ac:dyDescent="0.75">
      <c r="A79" s="111">
        <v>45</v>
      </c>
      <c r="B79" s="111">
        <f t="shared" si="2"/>
        <v>4</v>
      </c>
      <c r="C79" s="111">
        <f t="shared" si="3"/>
        <v>9</v>
      </c>
      <c r="D79" s="112" t="str" cm="1">
        <f t="array" ref="D79">INDEX('RelAftFlt-2'!$B$2:$J$100,1+B79,C79)</f>
        <v/>
      </c>
    </row>
    <row r="80" spans="1:4" x14ac:dyDescent="0.75">
      <c r="A80" s="111">
        <v>46</v>
      </c>
      <c r="B80" s="111">
        <f t="shared" si="2"/>
        <v>5</v>
      </c>
      <c r="C80" s="111">
        <f t="shared" si="3"/>
        <v>1</v>
      </c>
      <c r="D80" s="112" t="str" cm="1">
        <f t="array" ref="D80">INDEX('RelAftFlt-2'!$B$2:$J$100,1+B80,C80)</f>
        <v>* differential.element[6].id = "RelapseAfterFLT.site"</v>
      </c>
    </row>
    <row r="81" spans="1:7" x14ac:dyDescent="0.75">
      <c r="A81" s="111">
        <v>47</v>
      </c>
      <c r="B81" s="111">
        <f t="shared" si="2"/>
        <v>5</v>
      </c>
      <c r="C81" s="111">
        <f t="shared" si="3"/>
        <v>2</v>
      </c>
      <c r="D81" s="112" t="str" cm="1">
        <f t="array" ref="D81">INDEX('RelAftFlt-2'!$B$2:$J$100,1+B81,C81)</f>
        <v>* differential.element[6].path = "RelapseAfterFLT.site"</v>
      </c>
    </row>
    <row r="82" spans="1:7" x14ac:dyDescent="0.75">
      <c r="A82" s="111">
        <v>48</v>
      </c>
      <c r="B82" s="111">
        <f t="shared" si="2"/>
        <v>5</v>
      </c>
      <c r="C82" s="111">
        <f t="shared" si="3"/>
        <v>3</v>
      </c>
      <c r="D82" s="112" t="str" cm="1">
        <f t="array" ref="D82">INDEX('RelAftFlt-2'!$B$2:$J$100,1+B82,C82)</f>
        <v>* differential.element[6].short = "If distant, site of metastases"</v>
      </c>
    </row>
    <row r="83" spans="1:7" x14ac:dyDescent="0.75">
      <c r="A83" s="111">
        <v>49</v>
      </c>
      <c r="B83" s="111">
        <f t="shared" si="2"/>
        <v>5</v>
      </c>
      <c r="C83" s="111">
        <f t="shared" si="3"/>
        <v>4</v>
      </c>
      <c r="D83" s="112" t="str" cm="1">
        <f t="array" ref="D83">INDEX('RelAftFlt-2'!$B$2:$J$100,1+B83,C83)</f>
        <v>* differential.element[6].definition = "Please define if the relapse/progression was local, distant or combined.
"</v>
      </c>
    </row>
    <row r="84" spans="1:7" x14ac:dyDescent="0.75">
      <c r="A84" s="111">
        <v>50</v>
      </c>
      <c r="B84" s="111">
        <f t="shared" si="2"/>
        <v>5</v>
      </c>
      <c r="C84" s="111">
        <f t="shared" si="3"/>
        <v>5</v>
      </c>
      <c r="D84" s="112" t="str" cm="1">
        <f t="array" ref="D84">INDEX('RelAftFlt-2'!$B$2:$J$100,1+B84,C84)</f>
        <v>* differential.element[6].min = 0</v>
      </c>
    </row>
    <row r="85" spans="1:7" x14ac:dyDescent="0.75">
      <c r="A85" s="111">
        <v>51</v>
      </c>
      <c r="B85" s="111">
        <f t="shared" si="2"/>
        <v>5</v>
      </c>
      <c r="C85" s="111">
        <f t="shared" si="3"/>
        <v>6</v>
      </c>
      <c r="D85" s="112" t="str" cm="1">
        <f t="array" ref="D85">INDEX('RelAftFlt-2'!$B$2:$J$100,1+B85,C85)</f>
        <v>* differential.element[6].max = "1"</v>
      </c>
    </row>
    <row r="86" spans="1:7" x14ac:dyDescent="0.75">
      <c r="A86" s="111">
        <v>52</v>
      </c>
      <c r="B86" s="111">
        <f t="shared" si="2"/>
        <v>5</v>
      </c>
      <c r="C86" s="111">
        <f t="shared" si="3"/>
        <v>7</v>
      </c>
      <c r="D86" s="112" t="str" cm="1">
        <f t="array" ref="D86">INDEX('RelAftFlt-2'!$B$2:$J$100,1+B86,C86)</f>
        <v>* differential.element[6].type.code = #string</v>
      </c>
    </row>
    <row r="87" spans="1:7" x14ac:dyDescent="0.75">
      <c r="A87" s="111">
        <v>53</v>
      </c>
      <c r="B87" s="111">
        <f t="shared" si="2"/>
        <v>5</v>
      </c>
      <c r="C87" s="111">
        <f t="shared" si="3"/>
        <v>8</v>
      </c>
      <c r="D87" s="112" cm="1">
        <f t="array" ref="D87">INDEX('RelAftFlt-2'!$B$2:$J$100,1+B87,C87)</f>
        <v>0</v>
      </c>
      <c r="G87" s="14"/>
    </row>
    <row r="88" spans="1:7" x14ac:dyDescent="0.75">
      <c r="A88" s="111">
        <v>54</v>
      </c>
      <c r="B88" s="111">
        <f t="shared" si="2"/>
        <v>5</v>
      </c>
      <c r="C88" s="111">
        <f t="shared" si="3"/>
        <v>9</v>
      </c>
      <c r="D88" s="112" t="str" cm="1">
        <f t="array" ref="D88">INDEX('RelAftFlt-2'!$B$2:$J$100,1+B88,C88)</f>
        <v/>
      </c>
    </row>
    <row r="89" spans="1:7" x14ac:dyDescent="0.75">
      <c r="A89" s="111">
        <v>55</v>
      </c>
      <c r="B89" s="111">
        <f t="shared" si="2"/>
        <v>6</v>
      </c>
      <c r="C89" s="111">
        <f t="shared" si="3"/>
        <v>1</v>
      </c>
      <c r="D89" s="112" cm="1">
        <f t="array" ref="D89">INDEX('RelAftFlt-2'!$B$2:$J$100,1+B89,C89)</f>
        <v>0</v>
      </c>
    </row>
    <row r="90" spans="1:7" x14ac:dyDescent="0.75">
      <c r="A90" s="111">
        <v>56</v>
      </c>
      <c r="B90" s="111">
        <f t="shared" si="2"/>
        <v>6</v>
      </c>
      <c r="C90" s="111">
        <f t="shared" si="3"/>
        <v>2</v>
      </c>
      <c r="D90" s="112" cm="1">
        <f t="array" ref="D90">INDEX('RelAftFlt-2'!$B$2:$J$100,1+B90,C90)</f>
        <v>0</v>
      </c>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cm="1">
        <f t="array" ref="D109">INDEX('RelAftFlt-2'!$B$2:$J$100,1+B109,C109)</f>
        <v>0</v>
      </c>
    </row>
    <row r="110" spans="1:4" x14ac:dyDescent="0.75">
      <c r="A110" s="111">
        <v>76</v>
      </c>
      <c r="B110" s="111">
        <f t="shared" si="4"/>
        <v>8</v>
      </c>
      <c r="C110" s="111">
        <f t="shared" si="5"/>
        <v>4</v>
      </c>
      <c r="D110" s="112" cm="1">
        <f t="array" ref="D110">INDEX('RelAftFlt-2'!$B$2:$J$100,1+B110,C110)</f>
        <v>0</v>
      </c>
    </row>
    <row r="111" spans="1:4" x14ac:dyDescent="0.75">
      <c r="A111" s="111">
        <v>77</v>
      </c>
      <c r="B111" s="111">
        <f t="shared" si="4"/>
        <v>8</v>
      </c>
      <c r="C111" s="111">
        <f t="shared" si="5"/>
        <v>5</v>
      </c>
      <c r="D111" s="112" cm="1">
        <f t="array" ref="D111">INDEX('RelAftFlt-2'!$B$2:$J$100,1+B111,C111)</f>
        <v>0</v>
      </c>
    </row>
    <row r="112" spans="1:4" x14ac:dyDescent="0.75">
      <c r="A112" s="111">
        <v>78</v>
      </c>
      <c r="B112" s="111">
        <f t="shared" si="4"/>
        <v>8</v>
      </c>
      <c r="C112" s="111">
        <f t="shared" si="5"/>
        <v>6</v>
      </c>
      <c r="D112" s="112" cm="1">
        <f t="array" ref="D112">INDEX('RelAftFlt-2'!$B$2:$J$100,1+B112,C112)</f>
        <v>0</v>
      </c>
    </row>
    <row r="113" spans="1:4" x14ac:dyDescent="0.75">
      <c r="A113" s="111">
        <v>79</v>
      </c>
      <c r="B113" s="111">
        <f t="shared" si="4"/>
        <v>8</v>
      </c>
      <c r="C113" s="111">
        <f t="shared" si="5"/>
        <v>7</v>
      </c>
      <c r="D113" s="112" cm="1">
        <f t="array" ref="D113">INDEX('RelAftFlt-2'!$B$2:$J$100,1+B113,C113)</f>
        <v>0</v>
      </c>
    </row>
    <row r="114" spans="1:4" x14ac:dyDescent="0.75">
      <c r="A114" s="111">
        <v>80</v>
      </c>
      <c r="B114" s="111">
        <f t="shared" si="4"/>
        <v>8</v>
      </c>
      <c r="C114" s="111">
        <f t="shared" si="5"/>
        <v>8</v>
      </c>
      <c r="D114" s="112" cm="1">
        <f t="array" ref="D114">INDEX('RelAftFlt-2'!$B$2:$J$100,1+B114,C114)</f>
        <v>0</v>
      </c>
    </row>
    <row r="115" spans="1:4" x14ac:dyDescent="0.75">
      <c r="A115" s="111">
        <v>81</v>
      </c>
      <c r="B115" s="111">
        <f t="shared" si="4"/>
        <v>8</v>
      </c>
      <c r="C115" s="111">
        <f t="shared" si="5"/>
        <v>9</v>
      </c>
      <c r="D115" s="112" t="str" cm="1">
        <f t="array" ref="D115">INDEX('RelAftFlt-2'!$B$2:$J$100,1+B115,C115)</f>
        <v/>
      </c>
    </row>
    <row r="116" spans="1:4" x14ac:dyDescent="0.75">
      <c r="A116" s="111">
        <v>82</v>
      </c>
      <c r="B116" s="111">
        <f t="shared" si="4"/>
        <v>9</v>
      </c>
      <c r="C116" s="111">
        <f t="shared" si="5"/>
        <v>1</v>
      </c>
      <c r="D116" s="112" cm="1">
        <f t="array" ref="D116">INDEX('RelAftFlt-2'!$B$2:$J$100,1+B116,C116)</f>
        <v>0</v>
      </c>
    </row>
    <row r="117" spans="1:4" x14ac:dyDescent="0.75">
      <c r="A117" s="111">
        <v>83</v>
      </c>
      <c r="B117" s="111">
        <f t="shared" si="4"/>
        <v>9</v>
      </c>
      <c r="C117" s="111">
        <f t="shared" si="5"/>
        <v>2</v>
      </c>
      <c r="D117" s="112" cm="1">
        <f t="array" ref="D117">INDEX('RelAftFlt-2'!$B$2:$J$100,1+B117,C117)</f>
        <v>0</v>
      </c>
    </row>
    <row r="118" spans="1:4" x14ac:dyDescent="0.75">
      <c r="A118" s="111">
        <v>84</v>
      </c>
      <c r="B118" s="111">
        <f t="shared" si="4"/>
        <v>9</v>
      </c>
      <c r="C118" s="111">
        <f t="shared" si="5"/>
        <v>3</v>
      </c>
      <c r="D118" s="112" cm="1">
        <f t="array" ref="D118">INDEX('RelAftFlt-2'!$B$2:$J$100,1+B118,C118)</f>
        <v>0</v>
      </c>
    </row>
    <row r="119" spans="1:4" x14ac:dyDescent="0.75">
      <c r="A119" s="111">
        <v>85</v>
      </c>
      <c r="B119" s="111">
        <f t="shared" si="4"/>
        <v>9</v>
      </c>
      <c r="C119" s="111">
        <f t="shared" si="5"/>
        <v>4</v>
      </c>
      <c r="D119" s="112" cm="1">
        <f t="array" ref="D119">INDEX('RelAftFlt-2'!$B$2:$J$100,1+B119,C119)</f>
        <v>0</v>
      </c>
    </row>
    <row r="120" spans="1:4" x14ac:dyDescent="0.75">
      <c r="A120" s="111">
        <v>86</v>
      </c>
      <c r="B120" s="111">
        <f t="shared" si="4"/>
        <v>9</v>
      </c>
      <c r="C120" s="111">
        <f t="shared" si="5"/>
        <v>5</v>
      </c>
      <c r="D120" s="112" cm="1">
        <f t="array" ref="D120">INDEX('RelAftFlt-2'!$B$2:$J$100,1+B120,C120)</f>
        <v>0</v>
      </c>
    </row>
    <row r="121" spans="1:4" x14ac:dyDescent="0.75">
      <c r="A121" s="111">
        <v>87</v>
      </c>
      <c r="B121" s="111">
        <f t="shared" si="4"/>
        <v>9</v>
      </c>
      <c r="C121" s="111">
        <f t="shared" si="5"/>
        <v>6</v>
      </c>
      <c r="D121" s="112" cm="1">
        <f t="array" ref="D121">INDEX('RelAftFlt-2'!$B$2:$J$100,1+B121,C121)</f>
        <v>0</v>
      </c>
    </row>
    <row r="122" spans="1:4" x14ac:dyDescent="0.75">
      <c r="A122" s="111">
        <v>88</v>
      </c>
      <c r="B122" s="111">
        <f t="shared" si="4"/>
        <v>9</v>
      </c>
      <c r="C122" s="111">
        <f t="shared" si="5"/>
        <v>7</v>
      </c>
      <c r="D122" s="112" cm="1">
        <f t="array" ref="D122">INDEX('RelAftFlt-2'!$B$2:$J$100,1+B122,C122)</f>
        <v>0</v>
      </c>
    </row>
    <row r="123" spans="1:4" x14ac:dyDescent="0.75">
      <c r="A123" s="111">
        <v>89</v>
      </c>
      <c r="B123" s="111">
        <f t="shared" si="4"/>
        <v>9</v>
      </c>
      <c r="C123" s="111">
        <f t="shared" si="5"/>
        <v>8</v>
      </c>
      <c r="D123" s="112" cm="1">
        <f t="array" ref="D123">INDEX('RelAftFlt-2'!$B$2:$J$100,1+B123,C123)</f>
        <v>0</v>
      </c>
    </row>
    <row r="124" spans="1:4" x14ac:dyDescent="0.75">
      <c r="A124" s="111">
        <v>90</v>
      </c>
      <c r="B124" s="111">
        <f t="shared" si="4"/>
        <v>9</v>
      </c>
      <c r="C124" s="111">
        <f t="shared" si="5"/>
        <v>9</v>
      </c>
      <c r="D124" s="112" t="str" cm="1">
        <f t="array" ref="D124">INDEX('RelAftFlt-2'!$B$2:$J$100,1+B124,C124)</f>
        <v/>
      </c>
    </row>
    <row r="125" spans="1:4" x14ac:dyDescent="0.75">
      <c r="A125" s="111">
        <v>91</v>
      </c>
      <c r="B125" s="111">
        <f t="shared" si="4"/>
        <v>10</v>
      </c>
      <c r="C125" s="111">
        <f t="shared" si="5"/>
        <v>1</v>
      </c>
      <c r="D125" s="112" cm="1">
        <f t="array" ref="D125">INDEX('RelAftFlt-2'!$B$2:$J$100,1+B125,C125)</f>
        <v>0</v>
      </c>
    </row>
    <row r="126" spans="1:4" x14ac:dyDescent="0.75">
      <c r="A126" s="111">
        <v>92</v>
      </c>
      <c r="B126" s="111">
        <f t="shared" si="4"/>
        <v>10</v>
      </c>
      <c r="C126" s="111">
        <f t="shared" si="5"/>
        <v>2</v>
      </c>
      <c r="D126" s="112" cm="1">
        <f t="array" ref="D126">INDEX('RelAftFlt-2'!$B$2:$J$100,1+B126,C126)</f>
        <v>0</v>
      </c>
    </row>
    <row r="127" spans="1:4" x14ac:dyDescent="0.75">
      <c r="A127" s="111">
        <v>93</v>
      </c>
      <c r="B127" s="111">
        <f t="shared" si="4"/>
        <v>10</v>
      </c>
      <c r="C127" s="111">
        <f t="shared" si="5"/>
        <v>3</v>
      </c>
      <c r="D127" s="112" cm="1">
        <f t="array" ref="D127">INDEX('RelAftFlt-2'!$B$2:$J$100,1+B127,C127)</f>
        <v>0</v>
      </c>
    </row>
    <row r="128" spans="1:4" x14ac:dyDescent="0.75">
      <c r="A128" s="111">
        <v>94</v>
      </c>
      <c r="B128" s="111">
        <f t="shared" si="4"/>
        <v>10</v>
      </c>
      <c r="C128" s="111">
        <f t="shared" si="5"/>
        <v>4</v>
      </c>
      <c r="D128" s="112" cm="1">
        <f t="array" ref="D128">INDEX('RelAftFlt-2'!$B$2:$J$100,1+B128,C128)</f>
        <v>0</v>
      </c>
    </row>
    <row r="129" spans="1:4" x14ac:dyDescent="0.75">
      <c r="A129" s="111">
        <v>95</v>
      </c>
      <c r="B129" s="111">
        <f t="shared" si="4"/>
        <v>10</v>
      </c>
      <c r="C129" s="111">
        <f t="shared" si="5"/>
        <v>5</v>
      </c>
      <c r="D129" s="112" cm="1">
        <f t="array" ref="D129">INDEX('RelAftFlt-2'!$B$2:$J$100,1+B129,C129)</f>
        <v>0</v>
      </c>
    </row>
    <row r="130" spans="1:4" x14ac:dyDescent="0.75">
      <c r="A130" s="111">
        <v>96</v>
      </c>
      <c r="B130" s="111">
        <f t="shared" si="4"/>
        <v>10</v>
      </c>
      <c r="C130" s="111">
        <f t="shared" si="5"/>
        <v>6</v>
      </c>
      <c r="D130" s="112" cm="1">
        <f t="array" ref="D130">INDEX('RelAftFlt-2'!$B$2:$J$100,1+B130,C130)</f>
        <v>0</v>
      </c>
    </row>
    <row r="131" spans="1:4" x14ac:dyDescent="0.75">
      <c r="A131" s="111">
        <v>97</v>
      </c>
      <c r="B131" s="111">
        <f t="shared" si="4"/>
        <v>10</v>
      </c>
      <c r="C131" s="111">
        <f t="shared" si="5"/>
        <v>7</v>
      </c>
      <c r="D131" s="112" cm="1">
        <f t="array" ref="D131">INDEX('RelAftFlt-2'!$B$2:$J$100,1+B131,C131)</f>
        <v>0</v>
      </c>
    </row>
    <row r="132" spans="1:4" x14ac:dyDescent="0.75">
      <c r="A132" s="111">
        <v>98</v>
      </c>
      <c r="B132" s="111">
        <f t="shared" si="4"/>
        <v>10</v>
      </c>
      <c r="C132" s="111">
        <f t="shared" si="5"/>
        <v>8</v>
      </c>
      <c r="D132" s="112" cm="1">
        <f t="array" ref="D132">INDEX('RelAftFlt-2'!$B$2:$J$100,1+B132,C132)</f>
        <v>0</v>
      </c>
    </row>
    <row r="133" spans="1:4" x14ac:dyDescent="0.75">
      <c r="A133" s="111">
        <v>99</v>
      </c>
      <c r="B133" s="111">
        <f t="shared" si="4"/>
        <v>10</v>
      </c>
      <c r="C133" s="111">
        <f t="shared" si="5"/>
        <v>9</v>
      </c>
      <c r="D133" s="112" t="str" cm="1">
        <f t="array" ref="D133">INDEX('RelAftFlt-2'!$B$2:$J$100,1+B133,C133)</f>
        <v/>
      </c>
    </row>
    <row r="134" spans="1:4" x14ac:dyDescent="0.75">
      <c r="A134" s="111">
        <v>100</v>
      </c>
      <c r="B134" s="111">
        <f t="shared" si="4"/>
        <v>11</v>
      </c>
      <c r="C134" s="111">
        <f t="shared" si="5"/>
        <v>1</v>
      </c>
      <c r="D134" s="112" cm="1">
        <f t="array" ref="D134">INDEX('RelAftFlt-2'!$B$2:$J$100,1+B134,C134)</f>
        <v>0</v>
      </c>
    </row>
    <row r="135" spans="1:4" x14ac:dyDescent="0.75">
      <c r="A135" s="111">
        <v>101</v>
      </c>
      <c r="B135" s="111">
        <f t="shared" si="4"/>
        <v>11</v>
      </c>
      <c r="C135" s="111">
        <f t="shared" si="5"/>
        <v>2</v>
      </c>
      <c r="D135" s="112" cm="1">
        <f t="array" ref="D135">INDEX('RelAftFlt-2'!$B$2:$J$100,1+B135,C135)</f>
        <v>0</v>
      </c>
    </row>
    <row r="136" spans="1:4" x14ac:dyDescent="0.75">
      <c r="A136" s="111">
        <v>102</v>
      </c>
      <c r="B136" s="111">
        <f t="shared" si="4"/>
        <v>11</v>
      </c>
      <c r="C136" s="111">
        <f t="shared" si="5"/>
        <v>3</v>
      </c>
      <c r="D136" s="112" cm="1">
        <f t="array" ref="D136">INDEX('RelAftFlt-2'!$B$2:$J$100,1+B136,C136)</f>
        <v>0</v>
      </c>
    </row>
    <row r="137" spans="1:4" x14ac:dyDescent="0.75">
      <c r="A137" s="111">
        <v>103</v>
      </c>
      <c r="B137" s="111">
        <f t="shared" si="4"/>
        <v>11</v>
      </c>
      <c r="C137" s="111">
        <f t="shared" si="5"/>
        <v>4</v>
      </c>
      <c r="D137" s="112" cm="1">
        <f t="array" ref="D137">INDEX('RelAftFlt-2'!$B$2:$J$100,1+B137,C137)</f>
        <v>0</v>
      </c>
    </row>
    <row r="138" spans="1:4" x14ac:dyDescent="0.75">
      <c r="A138" s="111">
        <v>104</v>
      </c>
      <c r="B138" s="111">
        <f t="shared" si="4"/>
        <v>11</v>
      </c>
      <c r="C138" s="111">
        <f t="shared" si="5"/>
        <v>5</v>
      </c>
      <c r="D138" s="112" cm="1">
        <f t="array" ref="D138">INDEX('RelAftFlt-2'!$B$2:$J$100,1+B138,C138)</f>
        <v>0</v>
      </c>
    </row>
    <row r="139" spans="1:4" x14ac:dyDescent="0.75">
      <c r="A139" s="111">
        <v>105</v>
      </c>
      <c r="B139" s="111">
        <f t="shared" si="4"/>
        <v>11</v>
      </c>
      <c r="C139" s="111">
        <f t="shared" si="5"/>
        <v>6</v>
      </c>
      <c r="D139" s="112" cm="1">
        <f t="array" ref="D139">INDEX('RelAftFlt-2'!$B$2:$J$100,1+B139,C139)</f>
        <v>0</v>
      </c>
    </row>
    <row r="140" spans="1:4" x14ac:dyDescent="0.75">
      <c r="A140" s="111">
        <v>106</v>
      </c>
      <c r="B140" s="111">
        <f t="shared" si="4"/>
        <v>11</v>
      </c>
      <c r="C140" s="111">
        <f t="shared" si="5"/>
        <v>7</v>
      </c>
      <c r="D140" s="112" cm="1">
        <f t="array" ref="D140">INDEX('RelAftFlt-2'!$B$2:$J$100,1+B140,C140)</f>
        <v>0</v>
      </c>
    </row>
    <row r="141" spans="1:4" x14ac:dyDescent="0.75">
      <c r="A141" s="111">
        <v>107</v>
      </c>
      <c r="B141" s="111">
        <f t="shared" si="4"/>
        <v>11</v>
      </c>
      <c r="C141" s="111">
        <f t="shared" si="5"/>
        <v>8</v>
      </c>
      <c r="D141" s="112" cm="1">
        <f t="array" ref="D141">INDEX('RelAftFlt-2'!$B$2:$J$100,1+B141,C141)</f>
        <v>0</v>
      </c>
    </row>
    <row r="142" spans="1:4" x14ac:dyDescent="0.75">
      <c r="A142" s="111">
        <v>108</v>
      </c>
      <c r="B142" s="111">
        <f t="shared" si="4"/>
        <v>11</v>
      </c>
      <c r="C142" s="111">
        <f t="shared" si="5"/>
        <v>9</v>
      </c>
      <c r="D142" s="112" t="str" cm="1">
        <f t="array" ref="D142">INDEX('RelAftFlt-2'!$B$2:$J$100,1+B142,C142)</f>
        <v/>
      </c>
    </row>
    <row r="143" spans="1:4" x14ac:dyDescent="0.75">
      <c r="A143" s="111">
        <v>109</v>
      </c>
      <c r="B143" s="111">
        <f t="shared" si="4"/>
        <v>12</v>
      </c>
      <c r="C143" s="111">
        <f t="shared" si="5"/>
        <v>1</v>
      </c>
      <c r="D143" s="112" cm="1">
        <f t="array" ref="D143">INDEX('RelAftFlt-2'!$B$2:$J$100,1+B143,C143)</f>
        <v>0</v>
      </c>
    </row>
    <row r="144" spans="1:4" x14ac:dyDescent="0.75">
      <c r="A144" s="111">
        <v>110</v>
      </c>
      <c r="B144" s="111">
        <f t="shared" si="4"/>
        <v>12</v>
      </c>
      <c r="C144" s="111">
        <f t="shared" si="5"/>
        <v>2</v>
      </c>
      <c r="D144" s="112" cm="1">
        <f t="array" ref="D144">INDEX('RelAftFlt-2'!$B$2:$J$100,1+B144,C144)</f>
        <v>0</v>
      </c>
    </row>
    <row r="145" spans="1:4" x14ac:dyDescent="0.75">
      <c r="A145" s="111">
        <v>111</v>
      </c>
      <c r="B145" s="111">
        <f t="shared" si="4"/>
        <v>12</v>
      </c>
      <c r="C145" s="111">
        <f t="shared" si="5"/>
        <v>3</v>
      </c>
      <c r="D145" s="112" cm="1">
        <f t="array" ref="D145">INDEX('RelAftFlt-2'!$B$2:$J$100,1+B145,C145)</f>
        <v>0</v>
      </c>
    </row>
    <row r="146" spans="1:4" x14ac:dyDescent="0.75">
      <c r="A146" s="111">
        <v>112</v>
      </c>
      <c r="B146" s="111">
        <f t="shared" si="4"/>
        <v>12</v>
      </c>
      <c r="C146" s="111">
        <f t="shared" si="5"/>
        <v>4</v>
      </c>
      <c r="D146" s="112" cm="1">
        <f t="array" ref="D146">INDEX('RelAftFlt-2'!$B$2:$J$100,1+B146,C146)</f>
        <v>0</v>
      </c>
    </row>
    <row r="147" spans="1:4" x14ac:dyDescent="0.75">
      <c r="A147" s="111">
        <v>113</v>
      </c>
      <c r="B147" s="111">
        <f t="shared" si="4"/>
        <v>12</v>
      </c>
      <c r="C147" s="111">
        <f t="shared" si="5"/>
        <v>5</v>
      </c>
      <c r="D147" s="112" cm="1">
        <f t="array" ref="D147">INDEX('RelAftFlt-2'!$B$2:$J$100,1+B147,C147)</f>
        <v>0</v>
      </c>
    </row>
    <row r="148" spans="1:4" x14ac:dyDescent="0.75">
      <c r="A148" s="111">
        <v>114</v>
      </c>
      <c r="B148" s="111">
        <f t="shared" si="4"/>
        <v>12</v>
      </c>
      <c r="C148" s="111">
        <f t="shared" si="5"/>
        <v>6</v>
      </c>
      <c r="D148" s="112" cm="1">
        <f t="array" ref="D148">INDEX('RelAftFlt-2'!$B$2:$J$100,1+B148,C148)</f>
        <v>0</v>
      </c>
    </row>
    <row r="149" spans="1:4" x14ac:dyDescent="0.75">
      <c r="A149" s="111">
        <v>115</v>
      </c>
      <c r="B149" s="111">
        <f t="shared" si="4"/>
        <v>12</v>
      </c>
      <c r="C149" s="111">
        <f t="shared" si="5"/>
        <v>7</v>
      </c>
      <c r="D149" s="112" cm="1">
        <f t="array" ref="D149">INDEX('RelAftFlt-2'!$B$2:$J$100,1+B149,C149)</f>
        <v>0</v>
      </c>
    </row>
    <row r="150" spans="1:4" x14ac:dyDescent="0.75">
      <c r="A150" s="111">
        <v>116</v>
      </c>
      <c r="B150" s="111">
        <f t="shared" si="4"/>
        <v>12</v>
      </c>
      <c r="C150" s="111">
        <f t="shared" si="5"/>
        <v>8</v>
      </c>
      <c r="D150" s="112" cm="1">
        <f t="array" ref="D150">INDEX('RelAftFlt-2'!$B$2:$J$100,1+B150,C150)</f>
        <v>0</v>
      </c>
    </row>
    <row r="151" spans="1:4" x14ac:dyDescent="0.75">
      <c r="A151" s="111">
        <v>117</v>
      </c>
      <c r="B151" s="111">
        <f t="shared" si="4"/>
        <v>12</v>
      </c>
      <c r="C151" s="111">
        <f t="shared" si="5"/>
        <v>9</v>
      </c>
      <c r="D151" s="112" t="str" cm="1">
        <f t="array" ref="D151">INDEX('RelAftFlt-2'!$B$2:$J$100,1+B151,C151)</f>
        <v/>
      </c>
    </row>
    <row r="152" spans="1:4" x14ac:dyDescent="0.75">
      <c r="A152" s="111">
        <v>118</v>
      </c>
      <c r="B152" s="111">
        <f t="shared" si="4"/>
        <v>13</v>
      </c>
      <c r="C152" s="111">
        <f t="shared" si="5"/>
        <v>1</v>
      </c>
      <c r="D152" s="112" cm="1">
        <f t="array" ref="D152">INDEX('RelAftFlt-2'!$B$2:$J$100,1+B152,C152)</f>
        <v>0</v>
      </c>
    </row>
    <row r="153" spans="1:4" x14ac:dyDescent="0.75">
      <c r="A153" s="111">
        <v>119</v>
      </c>
      <c r="B153" s="111">
        <f t="shared" si="4"/>
        <v>13</v>
      </c>
      <c r="C153" s="111">
        <f t="shared" si="5"/>
        <v>2</v>
      </c>
      <c r="D153" s="112" cm="1">
        <f t="array" ref="D153">INDEX('RelAftFlt-2'!$B$2:$J$100,1+B153,C153)</f>
        <v>0</v>
      </c>
    </row>
    <row r="154" spans="1:4" x14ac:dyDescent="0.75">
      <c r="A154" s="111">
        <v>120</v>
      </c>
      <c r="B154" s="111">
        <f t="shared" si="4"/>
        <v>13</v>
      </c>
      <c r="C154" s="111">
        <f t="shared" si="5"/>
        <v>3</v>
      </c>
      <c r="D154" s="112" cm="1">
        <f t="array" ref="D154">INDEX('RelAftFlt-2'!$B$2:$J$100,1+B154,C154)</f>
        <v>0</v>
      </c>
    </row>
    <row r="155" spans="1:4" x14ac:dyDescent="0.75">
      <c r="A155" s="111">
        <v>121</v>
      </c>
      <c r="B155" s="111">
        <f t="shared" si="4"/>
        <v>13</v>
      </c>
      <c r="C155" s="111">
        <f t="shared" si="5"/>
        <v>4</v>
      </c>
      <c r="D155" s="112" cm="1">
        <f t="array" ref="D155">INDEX('RelAftFlt-2'!$B$2:$J$100,1+B155,C155)</f>
        <v>0</v>
      </c>
    </row>
    <row r="156" spans="1:4" x14ac:dyDescent="0.75">
      <c r="A156" s="111">
        <v>122</v>
      </c>
      <c r="B156" s="111">
        <f t="shared" si="4"/>
        <v>13</v>
      </c>
      <c r="C156" s="111">
        <f t="shared" si="5"/>
        <v>5</v>
      </c>
      <c r="D156" s="112" cm="1">
        <f t="array" ref="D156">INDEX('RelAftFlt-2'!$B$2:$J$100,1+B156,C156)</f>
        <v>0</v>
      </c>
    </row>
    <row r="157" spans="1:4" x14ac:dyDescent="0.75">
      <c r="A157" s="111">
        <v>123</v>
      </c>
      <c r="B157" s="111">
        <f t="shared" si="4"/>
        <v>13</v>
      </c>
      <c r="C157" s="111">
        <f t="shared" si="5"/>
        <v>6</v>
      </c>
      <c r="D157" s="112" cm="1">
        <f t="array" ref="D157">INDEX('RelAftFlt-2'!$B$2:$J$100,1+B157,C157)</f>
        <v>0</v>
      </c>
    </row>
    <row r="158" spans="1:4" x14ac:dyDescent="0.75">
      <c r="A158" s="111">
        <v>124</v>
      </c>
      <c r="B158" s="111">
        <f t="shared" si="4"/>
        <v>13</v>
      </c>
      <c r="C158" s="111">
        <f t="shared" si="5"/>
        <v>7</v>
      </c>
      <c r="D158" s="112" cm="1">
        <f t="array" ref="D158">INDEX('RelAftFlt-2'!$B$2:$J$100,1+B158,C158)</f>
        <v>0</v>
      </c>
    </row>
    <row r="159" spans="1:4" x14ac:dyDescent="0.75">
      <c r="A159" s="111">
        <v>125</v>
      </c>
      <c r="B159" s="111">
        <f t="shared" si="4"/>
        <v>13</v>
      </c>
      <c r="C159" s="111">
        <f t="shared" si="5"/>
        <v>8</v>
      </c>
      <c r="D159" s="112" cm="1">
        <f t="array" ref="D159">INDEX('RelAftFlt-2'!$B$2:$J$100,1+B159,C159)</f>
        <v>0</v>
      </c>
    </row>
    <row r="160" spans="1:4" x14ac:dyDescent="0.75">
      <c r="A160" s="111">
        <v>126</v>
      </c>
      <c r="B160" s="111">
        <f t="shared" si="4"/>
        <v>13</v>
      </c>
      <c r="C160" s="111">
        <f t="shared" si="5"/>
        <v>9</v>
      </c>
      <c r="D160" s="112" t="str" cm="1">
        <f t="array" ref="D160">INDEX('RelAftFlt-2'!$B$2:$J$100,1+B160,C160)</f>
        <v/>
      </c>
    </row>
    <row r="161" spans="1:4" x14ac:dyDescent="0.75">
      <c r="A161" s="111">
        <v>127</v>
      </c>
      <c r="B161" s="111">
        <f t="shared" si="4"/>
        <v>14</v>
      </c>
      <c r="C161" s="111">
        <f t="shared" si="5"/>
        <v>1</v>
      </c>
      <c r="D161" s="112" cm="1">
        <f t="array" ref="D161">INDEX('RelAftFlt-2'!$B$2:$J$100,1+B161,C161)</f>
        <v>0</v>
      </c>
    </row>
    <row r="162" spans="1:4" x14ac:dyDescent="0.75">
      <c r="A162" s="111">
        <v>128</v>
      </c>
      <c r="B162" s="111">
        <f t="shared" si="4"/>
        <v>14</v>
      </c>
      <c r="C162" s="111">
        <f t="shared" si="5"/>
        <v>2</v>
      </c>
      <c r="D162" s="112" cm="1">
        <f t="array" ref="D162">INDEX('RelAftFlt-2'!$B$2:$J$100,1+B162,C162)</f>
        <v>0</v>
      </c>
    </row>
    <row r="163" spans="1:4" x14ac:dyDescent="0.75">
      <c r="A163" s="111">
        <v>129</v>
      </c>
      <c r="B163" s="111">
        <f t="shared" si="4"/>
        <v>14</v>
      </c>
      <c r="C163" s="111">
        <f t="shared" si="5"/>
        <v>3</v>
      </c>
      <c r="D163" s="112" cm="1">
        <f t="array" ref="D163">INDEX('RelAftFlt-2'!$B$2:$J$100,1+B163,C163)</f>
        <v>0</v>
      </c>
    </row>
    <row r="164" spans="1:4" x14ac:dyDescent="0.75">
      <c r="A164" s="111">
        <v>130</v>
      </c>
      <c r="B164" s="111">
        <f t="shared" si="4"/>
        <v>14</v>
      </c>
      <c r="C164" s="111">
        <f t="shared" si="5"/>
        <v>4</v>
      </c>
      <c r="D164" s="112" cm="1">
        <f t="array" ref="D164">INDEX('RelAftFlt-2'!$B$2:$J$100,1+B164,C164)</f>
        <v>0</v>
      </c>
    </row>
    <row r="165" spans="1:4" x14ac:dyDescent="0.75">
      <c r="A165" s="111">
        <v>131</v>
      </c>
      <c r="B165" s="111">
        <f t="shared" si="4"/>
        <v>14</v>
      </c>
      <c r="C165" s="111">
        <f t="shared" si="5"/>
        <v>5</v>
      </c>
      <c r="D165" s="112" cm="1">
        <f t="array" ref="D165">INDEX('RelAftFlt-2'!$B$2:$J$100,1+B165,C165)</f>
        <v>0</v>
      </c>
    </row>
    <row r="166" spans="1:4" x14ac:dyDescent="0.75">
      <c r="A166" s="111">
        <v>132</v>
      </c>
      <c r="B166" s="111">
        <f t="shared" si="4"/>
        <v>14</v>
      </c>
      <c r="C166" s="111">
        <f t="shared" si="5"/>
        <v>6</v>
      </c>
      <c r="D166" s="112" cm="1">
        <f t="array" ref="D166">INDEX('RelAftFlt-2'!$B$2:$J$100,1+B166,C166)</f>
        <v>0</v>
      </c>
    </row>
    <row r="167" spans="1:4" x14ac:dyDescent="0.75">
      <c r="A167" s="111">
        <v>133</v>
      </c>
      <c r="B167" s="111">
        <f t="shared" si="4"/>
        <v>14</v>
      </c>
      <c r="C167" s="111">
        <f t="shared" si="5"/>
        <v>7</v>
      </c>
      <c r="D167" s="112" cm="1">
        <f t="array" ref="D167">INDEX('RelAftFlt-2'!$B$2:$J$100,1+B167,C167)</f>
        <v>0</v>
      </c>
    </row>
    <row r="168" spans="1:4" x14ac:dyDescent="0.75">
      <c r="A168" s="111">
        <v>134</v>
      </c>
      <c r="B168" s="111">
        <f t="shared" si="4"/>
        <v>14</v>
      </c>
      <c r="C168" s="111">
        <f t="shared" si="5"/>
        <v>8</v>
      </c>
      <c r="D168" s="112" cm="1">
        <f t="array" ref="D168">INDEX('RelAftFlt-2'!$B$2:$J$100,1+B168,C168)</f>
        <v>0</v>
      </c>
    </row>
    <row r="169" spans="1:4" x14ac:dyDescent="0.75">
      <c r="A169" s="111">
        <v>135</v>
      </c>
      <c r="B169" s="111">
        <f t="shared" si="4"/>
        <v>14</v>
      </c>
      <c r="C169" s="111">
        <f t="shared" si="5"/>
        <v>9</v>
      </c>
      <c r="D169" s="112" t="str" cm="1">
        <f t="array" ref="D169">INDEX('RelAftFlt-2'!$B$2:$J$100,1+B169,C169)</f>
        <v/>
      </c>
    </row>
    <row r="170" spans="1:4" x14ac:dyDescent="0.75">
      <c r="A170" s="111">
        <v>136</v>
      </c>
      <c r="B170" s="111">
        <f t="shared" si="4"/>
        <v>15</v>
      </c>
      <c r="C170" s="111">
        <f t="shared" si="5"/>
        <v>1</v>
      </c>
      <c r="D170" s="112" cm="1">
        <f t="array" ref="D170">INDEX('RelAftFlt-2'!$B$2:$J$100,1+B170,C170)</f>
        <v>0</v>
      </c>
    </row>
    <row r="171" spans="1:4" x14ac:dyDescent="0.75">
      <c r="A171" s="111">
        <v>137</v>
      </c>
      <c r="B171" s="111">
        <f t="shared" si="4"/>
        <v>15</v>
      </c>
      <c r="C171" s="111">
        <f t="shared" si="5"/>
        <v>2</v>
      </c>
      <c r="D171" s="112" cm="1">
        <f t="array" ref="D171">INDEX('RelAftFlt-2'!$B$2:$J$100,1+B171,C171)</f>
        <v>0</v>
      </c>
    </row>
    <row r="172" spans="1:4" x14ac:dyDescent="0.75">
      <c r="A172" s="111">
        <v>138</v>
      </c>
      <c r="B172" s="111">
        <f t="shared" si="4"/>
        <v>15</v>
      </c>
      <c r="C172" s="111">
        <f t="shared" si="5"/>
        <v>3</v>
      </c>
      <c r="D172" s="112" cm="1">
        <f t="array" ref="D172">INDEX('RelAftFlt-2'!$B$2:$J$100,1+B172,C172)</f>
        <v>0</v>
      </c>
    </row>
    <row r="173" spans="1:4" x14ac:dyDescent="0.75">
      <c r="A173" s="111">
        <v>139</v>
      </c>
      <c r="B173" s="111">
        <f t="shared" ref="B173:B236" si="6">IF(MOD(A173,$B$25)=0,A173/$B$25-1,INT(A173/$B$25))</f>
        <v>15</v>
      </c>
      <c r="C173" s="111">
        <f t="shared" ref="C173:C236" si="7">IF(MOD(A173,$B$25)=0,$B$25,MOD(A173,$B$25))</f>
        <v>4</v>
      </c>
      <c r="D173" s="112" cm="1">
        <f t="array" ref="D173">INDEX('RelAftFlt-2'!$B$2:$J$100,1+B173,C173)</f>
        <v>0</v>
      </c>
    </row>
    <row r="174" spans="1:4" x14ac:dyDescent="0.75">
      <c r="A174" s="111">
        <v>140</v>
      </c>
      <c r="B174" s="111">
        <f t="shared" si="6"/>
        <v>15</v>
      </c>
      <c r="C174" s="111">
        <f t="shared" si="7"/>
        <v>5</v>
      </c>
      <c r="D174" s="112" cm="1">
        <f t="array" ref="D174">INDEX('RelAftFlt-2'!$B$2:$J$100,1+B174,C174)</f>
        <v>0</v>
      </c>
    </row>
    <row r="175" spans="1:4" x14ac:dyDescent="0.75">
      <c r="A175" s="111">
        <v>141</v>
      </c>
      <c r="B175" s="111">
        <f t="shared" si="6"/>
        <v>15</v>
      </c>
      <c r="C175" s="111">
        <f t="shared" si="7"/>
        <v>6</v>
      </c>
      <c r="D175" s="112" cm="1">
        <f t="array" ref="D175">INDEX('RelAftFlt-2'!$B$2:$J$100,1+B175,C175)</f>
        <v>0</v>
      </c>
    </row>
    <row r="176" spans="1:4" x14ac:dyDescent="0.75">
      <c r="A176" s="111">
        <v>142</v>
      </c>
      <c r="B176" s="111">
        <f t="shared" si="6"/>
        <v>15</v>
      </c>
      <c r="C176" s="111">
        <f t="shared" si="7"/>
        <v>7</v>
      </c>
      <c r="D176" s="112" cm="1">
        <f t="array" ref="D176">INDEX('RelAftFlt-2'!$B$2:$J$100,1+B176,C176)</f>
        <v>0</v>
      </c>
    </row>
    <row r="177" spans="1:4" x14ac:dyDescent="0.75">
      <c r="A177" s="111">
        <v>143</v>
      </c>
      <c r="B177" s="111">
        <f t="shared" si="6"/>
        <v>15</v>
      </c>
      <c r="C177" s="111">
        <f t="shared" si="7"/>
        <v>8</v>
      </c>
      <c r="D177" s="112" cm="1">
        <f t="array" ref="D177">INDEX('RelAftFlt-2'!$B$2:$J$100,1+B177,C177)</f>
        <v>0</v>
      </c>
    </row>
    <row r="178" spans="1:4" x14ac:dyDescent="0.75">
      <c r="A178" s="111">
        <v>144</v>
      </c>
      <c r="B178" s="111">
        <f t="shared" si="6"/>
        <v>15</v>
      </c>
      <c r="C178" s="111">
        <f t="shared" si="7"/>
        <v>9</v>
      </c>
      <c r="D178" s="112" t="str" cm="1">
        <f t="array" ref="D178">INDEX('RelAftFlt-2'!$B$2:$J$100,1+B178,C178)</f>
        <v/>
      </c>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cm="1">
        <f t="array" ref="D183">INDEX('RelAftFlt-2'!$B$2:$J$100,1+B183,C183)</f>
        <v>0</v>
      </c>
    </row>
    <row r="184" spans="1:4" x14ac:dyDescent="0.75">
      <c r="A184" s="111">
        <v>150</v>
      </c>
      <c r="B184" s="111">
        <f t="shared" si="6"/>
        <v>16</v>
      </c>
      <c r="C184" s="111">
        <f t="shared" si="7"/>
        <v>6</v>
      </c>
      <c r="D184" s="112" cm="1">
        <f t="array" ref="D184">INDEX('RelAftFlt-2'!$B$2:$J$100,1+B184,C184)</f>
        <v>0</v>
      </c>
    </row>
    <row r="185" spans="1:4" x14ac:dyDescent="0.75">
      <c r="A185" s="111">
        <v>151</v>
      </c>
      <c r="B185" s="111">
        <f t="shared" si="6"/>
        <v>16</v>
      </c>
      <c r="C185" s="111">
        <f t="shared" si="7"/>
        <v>7</v>
      </c>
      <c r="D185" s="112" cm="1">
        <f t="array" ref="D185">INDEX('RelAftFlt-2'!$B$2:$J$100,1+B185,C185)</f>
        <v>0</v>
      </c>
    </row>
    <row r="186" spans="1:4" x14ac:dyDescent="0.75">
      <c r="A186" s="111">
        <v>152</v>
      </c>
      <c r="B186" s="111">
        <f t="shared" si="6"/>
        <v>16</v>
      </c>
      <c r="C186" s="111">
        <f t="shared" si="7"/>
        <v>8</v>
      </c>
      <c r="D186" s="112" cm="1">
        <f t="array" ref="D186">INDEX('RelAftFlt-2'!$B$2:$J$100,1+B186,C186)</f>
        <v>0</v>
      </c>
    </row>
    <row r="187" spans="1:4" x14ac:dyDescent="0.75">
      <c r="A187" s="111">
        <v>153</v>
      </c>
      <c r="B187" s="111">
        <f t="shared" si="6"/>
        <v>16</v>
      </c>
      <c r="C187" s="111">
        <f t="shared" si="7"/>
        <v>9</v>
      </c>
      <c r="D187" s="112" t="str" cm="1">
        <f t="array" ref="D187">INDEX('RelAftFlt-2'!$B$2:$J$100,1+B187,C187)</f>
        <v/>
      </c>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opLeftCell="A7" workbookViewId="0">
      <selection activeCell="A13" sqref="A13"/>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'RelAftFlt-1'!B1</f>
        <v>canonical</v>
      </c>
      <c r="D1" s="53" t="s">
        <v>32</v>
      </c>
      <c r="E1" s="54"/>
      <c r="F1" s="107" t="s">
        <v>41</v>
      </c>
      <c r="M1" s="109" t="s">
        <v>39</v>
      </c>
    </row>
    <row r="2" spans="1:13" ht="15.5" thickBot="1" x14ac:dyDescent="0.9">
      <c r="C2" s="126" t="str">
        <f>'RelAftFlt-1'!B2</f>
        <v>http://hl7.eu/fhir/ig/pcsp</v>
      </c>
      <c r="D2" s="16" t="s">
        <v>46</v>
      </c>
      <c r="E2" s="16"/>
      <c r="F2" s="109" t="s">
        <v>38</v>
      </c>
      <c r="M2" s="109" t="str">
        <f>CONCATENATE("Mapping: ",E2)</f>
        <v xml:space="preserve">Mapping: </v>
      </c>
    </row>
    <row r="3" spans="1:13" ht="15.5" thickBot="1" x14ac:dyDescent="0.9">
      <c r="C3" s="104" t="str">
        <f>'RelAftFlt-1'!B3</f>
        <v>Publisher</v>
      </c>
      <c r="D3" s="41"/>
      <c r="E3" s="56"/>
      <c r="M3" s="109" t="str">
        <f>CONCATENATE("Id: ",E2)</f>
        <v xml:space="preserve">Id: </v>
      </c>
    </row>
    <row r="4" spans="1:13" ht="15.5" thickBot="1" x14ac:dyDescent="0.9">
      <c r="C4" s="126" t="str">
        <f>'RelAftFlt-1'!B4</f>
        <v>PanCareSurPass project</v>
      </c>
      <c r="D4" s="43"/>
      <c r="E4" s="57"/>
      <c r="M4" s="109" t="str">
        <f>CONCATENATE("Title: """,D2,"""")</f>
        <v>Title: "FHIR"</v>
      </c>
    </row>
    <row r="5" spans="1:13" x14ac:dyDescent="0.75">
      <c r="M5" s="109" t="str">
        <f>CONCATENATE("Source: ",C2,"/",C7)</f>
        <v>Source: http://hl7.eu/fhir/ig/pcsp/RelapseAfterFLT</v>
      </c>
    </row>
    <row r="6" spans="1:13" x14ac:dyDescent="0.75">
      <c r="D6" s="109" t="s">
        <v>37</v>
      </c>
      <c r="E6" s="109" t="s">
        <v>229</v>
      </c>
      <c r="J6" s="110" t="s">
        <v>229</v>
      </c>
      <c r="M6" s="109" t="str">
        <f>CONCATENATE("Target: """,D4,"""")</f>
        <v>Target: ""</v>
      </c>
    </row>
    <row r="7" spans="1:13" ht="73.75" x14ac:dyDescent="0.75">
      <c r="A7" s="111">
        <v>0</v>
      </c>
      <c r="B7" s="111">
        <f>'RelAftFlt-1'!A6</f>
        <v>0</v>
      </c>
      <c r="C7" s="24" t="str">
        <f>'RelAftFlt-1'!B6</f>
        <v>RelapseAfterFLT</v>
      </c>
      <c r="D7" s="13" t="s">
        <v>1057</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'RelAftFlt-1'!A7</f>
        <v>1</v>
      </c>
      <c r="C8" s="113" t="str">
        <f>'RelAftFlt-1'!B7</f>
        <v>identifier</v>
      </c>
      <c r="D8" s="48" t="s">
        <v>905</v>
      </c>
      <c r="G8" s="109" t="b">
        <f t="shared" ref="G8:G61" si="0">IF(C8&gt;"",TRUE,FALSE)</f>
        <v>1</v>
      </c>
      <c r="H8" s="110" t="str">
        <f t="shared" ref="H8:H61" si="1">IF(G8,CONCATENATE("* differential.element[",$B8,"].mapping[",$A8,"].identity = """,$F$1,""""),"")</f>
        <v>* differential.element[1].mapping[0].identity = "fhir"</v>
      </c>
      <c r="I8" s="110" t="str">
        <f t="shared" ref="I8:I61" si="2">IF(G8,CONCATENATE("* differential.element[",$B8,"].mapping[",$A8,"].map = """,D8,""""),"")</f>
        <v>* differential.element[1].mapping[0].map = ".identifier"</v>
      </c>
      <c r="J8" s="110" t="str">
        <f t="shared" ref="J8:J61" si="3">IF(E8&gt;"",CONCATENATE("* differential.element[",$B8,"].mapping[",$A8,"].comment = """,E8,""""),"")</f>
        <v/>
      </c>
      <c r="M8" s="109" t="str">
        <f t="shared" ref="M8:M27" si="4">CONCATENATE("* ",C8," -&gt; """,D8,"""")</f>
        <v>* identifier -&gt; ".identifier"</v>
      </c>
    </row>
    <row r="9" spans="1:13" ht="44.25" x14ac:dyDescent="0.75">
      <c r="A9" s="111">
        <v>0</v>
      </c>
      <c r="B9" s="111">
        <f>'RelAftFlt-1'!A8</f>
        <v>2</v>
      </c>
      <c r="C9" s="113" t="str">
        <f>'RelAftFlt-1'!B8</f>
        <v>relatedDiagnosis</v>
      </c>
      <c r="D9" s="138" t="s">
        <v>1026</v>
      </c>
      <c r="G9" s="109" t="b">
        <f t="shared" si="0"/>
        <v>1</v>
      </c>
      <c r="H9" s="110" t="str">
        <f t="shared" si="1"/>
        <v>* differential.element[2].mapping[0].identity = "fhir"</v>
      </c>
      <c r="I9" s="110" t="str">
        <f t="shared" si="2"/>
        <v>* differential.element[2].mapping[0].map = ".extension('http://hl7.org/fhir/StructureDefinition/condition-occurredFollowing')"</v>
      </c>
      <c r="J9" s="110" t="str">
        <f t="shared" si="3"/>
        <v/>
      </c>
      <c r="M9" s="109" t="str">
        <f t="shared" si="4"/>
        <v>* relatedDiagnosis -&gt; ".extension('http://hl7.org/fhir/StructureDefinition/condition-occurredFollowing')"</v>
      </c>
    </row>
    <row r="10" spans="1:13" ht="44.25" x14ac:dyDescent="0.75">
      <c r="A10" s="111">
        <v>0</v>
      </c>
      <c r="B10" s="111">
        <f>'RelAftFlt-1'!A9</f>
        <v>3</v>
      </c>
      <c r="C10" s="113" t="str">
        <f>'RelAftFlt-1'!B9</f>
        <v>date</v>
      </c>
      <c r="D10" s="111" t="s">
        <v>1027</v>
      </c>
      <c r="G10" s="109" t="b">
        <f t="shared" si="0"/>
        <v>1</v>
      </c>
      <c r="H10" s="110" t="str">
        <f t="shared" si="1"/>
        <v>* differential.element[3].mapping[0].identity = "fhir"</v>
      </c>
      <c r="I10" s="110" t="str">
        <f t="shared" si="2"/>
        <v>* differential.element[3].mapping[0].map = ".extension('http://hl7.org/fhir/StructureDefinition/condition-assertedDate')"</v>
      </c>
      <c r="J10" s="110" t="str">
        <f t="shared" si="3"/>
        <v/>
      </c>
      <c r="M10" s="109" t="str">
        <f t="shared" si="4"/>
        <v>* date -&gt; ".extension('http://hl7.org/fhir/StructureDefinition/condition-assertedDate')"</v>
      </c>
    </row>
    <row r="11" spans="1:13" ht="118" x14ac:dyDescent="0.75">
      <c r="A11" s="111">
        <v>0</v>
      </c>
      <c r="B11" s="111">
        <f>'RelAftFlt-1'!A10</f>
        <v>4</v>
      </c>
      <c r="C11" s="113" t="str">
        <f>'RelAftFlt-1'!B10</f>
        <v>type</v>
      </c>
      <c r="D11" s="112" t="s">
        <v>1061</v>
      </c>
      <c r="G11" s="109" t="b">
        <f t="shared" si="0"/>
        <v>1</v>
      </c>
      <c r="H11" s="110" t="str">
        <f t="shared" si="1"/>
        <v>* differential.element[4].mapping[0].identity = "fhir"</v>
      </c>
      <c r="I11" s="110" t="str">
        <f t="shared" si="2"/>
        <v>* differential.element[4].mapping[0].map = ".extension('http://hl7.eu/fhir/ig/pcsp/StructureDefinition/condition-previousStatus').valueCodeableConcept OR Condition.where( clinicalStatus = #relapse or clinicalStatus = #recurrence).clinicalStatus"</v>
      </c>
      <c r="J11" s="110" t="str">
        <f t="shared" si="3"/>
        <v/>
      </c>
      <c r="M11" s="109" t="str">
        <f t="shared" si="4"/>
        <v>* type -&gt; ".extension('http://hl7.eu/fhir/ig/pcsp/StructureDefinition/condition-previousStatus').valueCodeableConcept OR Condition.where( clinicalStatus = #relapse or clinicalStatus = #recurrence).clinicalStatus"</v>
      </c>
    </row>
    <row r="12" spans="1:13" ht="59" x14ac:dyDescent="0.75">
      <c r="A12" s="111">
        <v>0</v>
      </c>
      <c r="B12" s="111">
        <f>'RelAftFlt-1'!A11</f>
        <v>5</v>
      </c>
      <c r="C12" s="113" t="str">
        <f>'RelAftFlt-1'!B11</f>
        <v>qualifier</v>
      </c>
      <c r="D12" s="112" t="s">
        <v>1062</v>
      </c>
      <c r="G12" s="109" t="b">
        <f t="shared" si="0"/>
        <v>1</v>
      </c>
      <c r="H12" s="110" t="str">
        <f t="shared" si="1"/>
        <v>* differential.element[5].mapping[0].identity = "fhir"</v>
      </c>
      <c r="I12" s="110" t="str">
        <f t="shared" si="2"/>
        <v>* differential.element[5].mapping[0].map = ".bodySite..extension('http://hl7.eu/fhir/ig/pcsp/StructureDefinition/mcode-body-location-qualifier').valueCodeableConcept"</v>
      </c>
      <c r="J12" s="110" t="str">
        <f t="shared" si="3"/>
        <v/>
      </c>
      <c r="M12" s="109" t="str">
        <f t="shared" si="4"/>
        <v>* qualifier -&gt; ".bodySite..extension('http://hl7.eu/fhir/ig/pcsp/StructureDefinition/mcode-body-location-qualifier').valueCodeableConcept"</v>
      </c>
    </row>
    <row r="13" spans="1:13" ht="59" x14ac:dyDescent="0.75">
      <c r="A13" s="111">
        <v>0</v>
      </c>
      <c r="B13" s="111">
        <f>'RelAftFlt-1'!A12</f>
        <v>6</v>
      </c>
      <c r="C13" s="113" t="str">
        <f>'RelAftFlt-1'!B12</f>
        <v>site</v>
      </c>
      <c r="D13" s="112" t="s">
        <v>1063</v>
      </c>
      <c r="G13" s="109" t="b">
        <f t="shared" ref="G13:G16" si="5">IF(C13&gt;"",TRUE,FALSE)</f>
        <v>1</v>
      </c>
      <c r="H13" s="110" t="str">
        <f t="shared" ref="H13:H16" si="6">IF(G13,CONCATENATE("* differential.element[",$B13,"].mapping[",$A13,"].identity = """,$F$1,""""),"")</f>
        <v>* differential.element[6].mapping[0].identity = "fhir"</v>
      </c>
      <c r="I13" s="110" t="str">
        <f t="shared" ref="I13:I16" si="7">IF(G13,CONCATENATE("* differential.element[",$B13,"].mapping[",$A13,"].map = """,D13,""""),"")</f>
        <v>* differential.element[6].mapping[0].map = ".notes"</v>
      </c>
      <c r="J13" s="110" t="str">
        <f t="shared" ref="J13:J16" si="8">IF(E13&gt;"",CONCATENATE("* differential.element[",$B13,"].mapping[",$A13,"].comment = """,E13,""""),"")</f>
        <v/>
      </c>
    </row>
    <row r="14" spans="1:13" ht="59" x14ac:dyDescent="0.75">
      <c r="A14" s="111">
        <v>1</v>
      </c>
      <c r="B14" s="111">
        <f>'RelAftFlt-1'!A12</f>
        <v>6</v>
      </c>
      <c r="C14" s="113" t="str">
        <f>'RelAftFlt-1'!B12</f>
        <v>site</v>
      </c>
      <c r="D14" s="111" t="s">
        <v>1054</v>
      </c>
      <c r="G14" s="109" t="b">
        <f t="shared" si="5"/>
        <v>1</v>
      </c>
      <c r="H14" s="110" t="str">
        <f t="shared" si="6"/>
        <v>* differential.element[6].mapping[1].identity = "fhir"</v>
      </c>
      <c r="I14" s="110" t="str">
        <f t="shared" si="7"/>
        <v>* differential.element[6].mapping[1].map = "Condition.conformsTo('http://hl7.eu/fhir/ig/pcsp/StructureDefinition/Condition-secondaryCancer-eu-pcsp').bodySite"</v>
      </c>
      <c r="J14" s="110" t="str">
        <f t="shared" si="8"/>
        <v/>
      </c>
      <c r="M14" s="109" t="str">
        <f t="shared" si="4"/>
        <v>* site -&gt; "Condition.conformsTo('http://hl7.eu/fhir/ig/pcsp/StructureDefinition/Condition-secondaryCancer-eu-pcsp').bodySite"</v>
      </c>
    </row>
    <row r="15" spans="1:13" ht="59" x14ac:dyDescent="0.75">
      <c r="A15" s="111">
        <v>0</v>
      </c>
      <c r="B15" s="111">
        <f>'RelAftFlt-1'!A14</f>
        <v>0</v>
      </c>
      <c r="C15" s="113"/>
      <c r="D15" s="48"/>
      <c r="G15" s="109" t="b">
        <f t="shared" si="5"/>
        <v>0</v>
      </c>
      <c r="H15" s="110" t="str">
        <f t="shared" si="6"/>
        <v/>
      </c>
      <c r="I15" s="110" t="str">
        <f t="shared" si="7"/>
        <v/>
      </c>
      <c r="J15" s="110" t="str">
        <f t="shared" si="8"/>
        <v/>
      </c>
      <c r="M15" s="109" t="str">
        <f t="shared" si="4"/>
        <v>*  -&gt; ""</v>
      </c>
    </row>
    <row r="16" spans="1:13" ht="59" x14ac:dyDescent="0.75">
      <c r="A16" s="111">
        <v>0</v>
      </c>
      <c r="B16" s="111">
        <f>'RelAftFlt-1'!A15</f>
        <v>0</v>
      </c>
      <c r="C16" s="113"/>
      <c r="D16" s="48"/>
      <c r="G16" s="109" t="b">
        <f t="shared" si="5"/>
        <v>0</v>
      </c>
      <c r="H16" s="110" t="str">
        <f t="shared" si="6"/>
        <v/>
      </c>
      <c r="I16" s="110" t="str">
        <f t="shared" si="7"/>
        <v/>
      </c>
      <c r="J16" s="110" t="str">
        <f t="shared" si="8"/>
        <v/>
      </c>
      <c r="M16" s="109" t="str">
        <f t="shared" si="4"/>
        <v>*  -&gt; ""</v>
      </c>
    </row>
    <row r="17" spans="1:13" x14ac:dyDescent="0.75">
      <c r="A17" s="111">
        <v>0</v>
      </c>
      <c r="B17" s="111">
        <f>'RelAftFlt-1'!A16</f>
        <v>0</v>
      </c>
      <c r="C17" s="113"/>
      <c r="D17" s="48"/>
      <c r="G17" s="109" t="b">
        <f t="shared" si="0"/>
        <v>0</v>
      </c>
      <c r="H17" s="110" t="str">
        <f t="shared" si="1"/>
        <v/>
      </c>
      <c r="I17" s="110" t="str">
        <f t="shared" si="2"/>
        <v/>
      </c>
      <c r="J17" s="110" t="str">
        <f t="shared" si="3"/>
        <v/>
      </c>
      <c r="M17" s="109" t="str">
        <f t="shared" si="4"/>
        <v>*  -&gt; ""</v>
      </c>
    </row>
    <row r="18" spans="1:13" x14ac:dyDescent="0.75">
      <c r="A18" s="111">
        <v>0</v>
      </c>
      <c r="B18" s="111">
        <f>'RelAftFlt-1'!A17</f>
        <v>0</v>
      </c>
      <c r="C18" s="113"/>
      <c r="D18" s="48"/>
      <c r="G18" s="109" t="b">
        <f t="shared" si="0"/>
        <v>0</v>
      </c>
      <c r="H18" s="110" t="str">
        <f t="shared" si="1"/>
        <v/>
      </c>
      <c r="I18" s="110" t="str">
        <f t="shared" si="2"/>
        <v/>
      </c>
      <c r="J18" s="110" t="str">
        <f t="shared" si="3"/>
        <v/>
      </c>
      <c r="M18" s="109" t="str">
        <f t="shared" si="4"/>
        <v>*  -&gt; ""</v>
      </c>
    </row>
    <row r="19" spans="1:13" x14ac:dyDescent="0.75">
      <c r="A19" s="111">
        <v>0</v>
      </c>
      <c r="B19" s="111">
        <f>'RelAftFlt-1'!A18</f>
        <v>0</v>
      </c>
      <c r="C19" s="113"/>
      <c r="D19" s="111"/>
      <c r="G19" s="109" t="b">
        <f t="shared" si="0"/>
        <v>0</v>
      </c>
      <c r="H19" s="110" t="str">
        <f t="shared" si="1"/>
        <v/>
      </c>
      <c r="I19" s="110" t="str">
        <f t="shared" si="2"/>
        <v/>
      </c>
      <c r="J19" s="110" t="str">
        <f t="shared" si="3"/>
        <v/>
      </c>
      <c r="M19" s="109" t="str">
        <f t="shared" si="4"/>
        <v>*  -&gt; ""</v>
      </c>
    </row>
    <row r="20" spans="1:13" x14ac:dyDescent="0.75">
      <c r="A20" s="111">
        <v>0</v>
      </c>
      <c r="B20" s="111">
        <f>'RelAftFlt-1'!A19</f>
        <v>0</v>
      </c>
      <c r="C20" s="113"/>
      <c r="D20" s="111"/>
      <c r="G20" s="109" t="b">
        <f t="shared" si="0"/>
        <v>0</v>
      </c>
      <c r="H20" s="110" t="str">
        <f t="shared" si="1"/>
        <v/>
      </c>
      <c r="I20" s="110" t="str">
        <f t="shared" si="2"/>
        <v/>
      </c>
      <c r="J20" s="110" t="str">
        <f t="shared" si="3"/>
        <v/>
      </c>
      <c r="M20" s="109" t="str">
        <f t="shared" si="4"/>
        <v>*  -&gt; ""</v>
      </c>
    </row>
    <row r="21" spans="1:13" x14ac:dyDescent="0.75">
      <c r="A21" s="111">
        <v>0</v>
      </c>
      <c r="B21" s="111">
        <f>'RelAftFlt-1'!A20</f>
        <v>0</v>
      </c>
      <c r="C21" s="113"/>
      <c r="D21" s="111"/>
      <c r="G21" s="109" t="b">
        <f t="shared" si="0"/>
        <v>0</v>
      </c>
      <c r="H21" s="110" t="str">
        <f t="shared" si="1"/>
        <v/>
      </c>
      <c r="I21" s="110" t="str">
        <f t="shared" si="2"/>
        <v/>
      </c>
      <c r="J21" s="110" t="str">
        <f t="shared" si="3"/>
        <v/>
      </c>
      <c r="M21" s="109" t="str">
        <f t="shared" si="4"/>
        <v>*  -&gt; ""</v>
      </c>
    </row>
    <row r="22" spans="1:13" x14ac:dyDescent="0.75">
      <c r="A22" s="111">
        <v>0</v>
      </c>
      <c r="B22" s="111">
        <f>'RelAftFlt-1'!A21</f>
        <v>0</v>
      </c>
      <c r="C22" s="113"/>
      <c r="D22" s="111"/>
      <c r="G22" s="109" t="b">
        <f t="shared" si="0"/>
        <v>0</v>
      </c>
      <c r="H22" s="110" t="str">
        <f t="shared" si="1"/>
        <v/>
      </c>
      <c r="I22" s="110" t="str">
        <f t="shared" si="2"/>
        <v/>
      </c>
      <c r="J22" s="110" t="str">
        <f t="shared" si="3"/>
        <v/>
      </c>
      <c r="M22" s="109" t="str">
        <f t="shared" si="4"/>
        <v>*  -&gt; ""</v>
      </c>
    </row>
    <row r="23" spans="1:13" x14ac:dyDescent="0.75">
      <c r="A23" s="111">
        <v>0</v>
      </c>
      <c r="B23" s="111">
        <f>'RelAftFlt-1'!A22</f>
        <v>0</v>
      </c>
      <c r="C23" s="113"/>
      <c r="D23" s="111"/>
      <c r="G23" s="109" t="b">
        <f t="shared" si="0"/>
        <v>0</v>
      </c>
      <c r="H23" s="110" t="str">
        <f t="shared" si="1"/>
        <v/>
      </c>
      <c r="I23" s="110" t="str">
        <f t="shared" si="2"/>
        <v/>
      </c>
      <c r="J23" s="110" t="str">
        <f t="shared" si="3"/>
        <v/>
      </c>
      <c r="M23" s="109" t="str">
        <f t="shared" si="4"/>
        <v>*  -&gt; ""</v>
      </c>
    </row>
    <row r="24" spans="1:13" x14ac:dyDescent="0.75">
      <c r="A24" s="111">
        <v>0</v>
      </c>
      <c r="B24" s="111">
        <f>'RelAftFlt-1'!A23</f>
        <v>0</v>
      </c>
      <c r="C24" s="113"/>
      <c r="D24" s="111"/>
      <c r="G24" s="109" t="b">
        <f t="shared" si="0"/>
        <v>0</v>
      </c>
      <c r="H24" s="110" t="str">
        <f t="shared" si="1"/>
        <v/>
      </c>
      <c r="I24" s="110" t="str">
        <f t="shared" si="2"/>
        <v/>
      </c>
      <c r="J24" s="110" t="str">
        <f t="shared" si="3"/>
        <v/>
      </c>
      <c r="M24" s="109" t="str">
        <f t="shared" si="4"/>
        <v>*  -&gt; ""</v>
      </c>
    </row>
    <row r="25" spans="1:13" x14ac:dyDescent="0.75">
      <c r="A25" s="111">
        <v>0</v>
      </c>
      <c r="B25" s="111">
        <f>'RelAftFlt-1'!A24</f>
        <v>0</v>
      </c>
      <c r="C25" s="113"/>
      <c r="D25" s="111"/>
      <c r="G25" s="109" t="b">
        <f t="shared" si="0"/>
        <v>0</v>
      </c>
      <c r="H25" s="110" t="str">
        <f t="shared" si="1"/>
        <v/>
      </c>
      <c r="I25" s="110" t="str">
        <f t="shared" si="2"/>
        <v/>
      </c>
      <c r="J25" s="110" t="str">
        <f t="shared" si="3"/>
        <v/>
      </c>
      <c r="M25" s="109" t="str">
        <f t="shared" si="4"/>
        <v>*  -&gt; ""</v>
      </c>
    </row>
    <row r="26" spans="1:13" x14ac:dyDescent="0.75">
      <c r="A26" s="111">
        <v>0</v>
      </c>
      <c r="B26" s="111">
        <f>'RelAftFlt-1'!A25</f>
        <v>0</v>
      </c>
      <c r="C26" s="113"/>
      <c r="D26" s="112"/>
      <c r="G26" s="109" t="b">
        <f t="shared" si="0"/>
        <v>0</v>
      </c>
      <c r="H26" s="110" t="str">
        <f t="shared" si="1"/>
        <v/>
      </c>
      <c r="I26" s="110" t="str">
        <f t="shared" si="2"/>
        <v/>
      </c>
      <c r="J26" s="110" t="str">
        <f t="shared" si="3"/>
        <v/>
      </c>
      <c r="M26" s="109" t="str">
        <f t="shared" ref="M26" si="9">CONCATENATE("* ",C26," -&gt; """,D26,"""")</f>
        <v>*  -&gt; ""</v>
      </c>
    </row>
    <row r="27" spans="1:13" x14ac:dyDescent="0.75">
      <c r="A27" s="111">
        <v>0</v>
      </c>
      <c r="B27" s="111">
        <f>'RelAftFlt-1'!A26</f>
        <v>0</v>
      </c>
      <c r="C27" s="113"/>
      <c r="D27" s="141"/>
      <c r="G27" s="109" t="b">
        <f t="shared" si="0"/>
        <v>0</v>
      </c>
      <c r="H27" s="110" t="str">
        <f t="shared" si="1"/>
        <v/>
      </c>
      <c r="I27" s="110" t="str">
        <f t="shared" si="2"/>
        <v/>
      </c>
      <c r="J27" s="110" t="str">
        <f t="shared" si="3"/>
        <v/>
      </c>
      <c r="M27" s="109" t="str">
        <f t="shared" si="4"/>
        <v>*  -&gt; ""</v>
      </c>
    </row>
    <row r="28" spans="1:13" x14ac:dyDescent="0.75">
      <c r="A28" s="111">
        <v>0</v>
      </c>
      <c r="B28" s="111">
        <f>'RelAftFlt-1'!A27</f>
        <v>0</v>
      </c>
      <c r="C28" s="113"/>
      <c r="D28" s="141"/>
      <c r="G28" s="109" t="b">
        <f t="shared" si="0"/>
        <v>0</v>
      </c>
      <c r="H28" s="110" t="str">
        <f t="shared" si="1"/>
        <v/>
      </c>
      <c r="I28" s="110" t="str">
        <f t="shared" si="2"/>
        <v/>
      </c>
      <c r="J28" s="110" t="str">
        <f t="shared" si="3"/>
        <v/>
      </c>
    </row>
    <row r="29" spans="1:13" x14ac:dyDescent="0.75">
      <c r="A29" s="111">
        <v>0</v>
      </c>
      <c r="B29" s="111">
        <f>'RelAftFlt-1'!A28</f>
        <v>0</v>
      </c>
      <c r="C29" s="113"/>
      <c r="D29" s="141"/>
      <c r="G29" s="109" t="b">
        <f t="shared" si="0"/>
        <v>0</v>
      </c>
      <c r="H29" s="110" t="str">
        <f t="shared" si="1"/>
        <v/>
      </c>
      <c r="I29" s="110" t="str">
        <f t="shared" si="2"/>
        <v/>
      </c>
      <c r="J29" s="110" t="str">
        <f t="shared" si="3"/>
        <v/>
      </c>
      <c r="M29" s="109" t="str">
        <f t="shared" ref="M29:M37" si="10">CONCATENATE("* ",C29," -&gt; """,D29,"""")</f>
        <v>*  -&gt; ""</v>
      </c>
    </row>
    <row r="30" spans="1:13" x14ac:dyDescent="0.75">
      <c r="A30" s="111">
        <v>0</v>
      </c>
      <c r="B30" s="111">
        <f>'RelAftFlt-1'!A29</f>
        <v>0</v>
      </c>
      <c r="C30" s="113"/>
      <c r="D30" s="141"/>
      <c r="G30" s="109" t="b">
        <f t="shared" si="0"/>
        <v>0</v>
      </c>
      <c r="H30" s="110" t="str">
        <f t="shared" si="1"/>
        <v/>
      </c>
      <c r="I30" s="110" t="str">
        <f t="shared" si="2"/>
        <v/>
      </c>
      <c r="J30" s="110" t="str">
        <f t="shared" si="3"/>
        <v/>
      </c>
      <c r="M30" s="109" t="str">
        <f t="shared" si="10"/>
        <v>*  -&gt; ""</v>
      </c>
    </row>
    <row r="31" spans="1:13" x14ac:dyDescent="0.75">
      <c r="A31" s="111">
        <v>0</v>
      </c>
      <c r="B31" s="111">
        <f>'RelAftFlt-1'!A30</f>
        <v>0</v>
      </c>
      <c r="C31" s="113"/>
      <c r="D31" s="141"/>
      <c r="G31" s="109" t="b">
        <f t="shared" si="0"/>
        <v>0</v>
      </c>
      <c r="H31" s="110" t="str">
        <f t="shared" si="1"/>
        <v/>
      </c>
      <c r="I31" s="110" t="str">
        <f t="shared" si="2"/>
        <v/>
      </c>
      <c r="J31" s="110" t="str">
        <f t="shared" si="3"/>
        <v/>
      </c>
      <c r="M31" s="109" t="str">
        <f t="shared" si="10"/>
        <v>*  -&gt; ""</v>
      </c>
    </row>
    <row r="32" spans="1:13" x14ac:dyDescent="0.75">
      <c r="A32" s="111">
        <v>0</v>
      </c>
      <c r="B32" s="111">
        <f>'RelAftFlt-1'!A31</f>
        <v>0</v>
      </c>
      <c r="C32" s="113"/>
      <c r="D32" s="141"/>
      <c r="G32" s="109" t="b">
        <f t="shared" si="0"/>
        <v>0</v>
      </c>
      <c r="H32" s="110" t="str">
        <f t="shared" si="1"/>
        <v/>
      </c>
      <c r="I32" s="110" t="str">
        <f t="shared" si="2"/>
        <v/>
      </c>
      <c r="J32" s="110" t="str">
        <f t="shared" si="3"/>
        <v/>
      </c>
      <c r="M32" s="109" t="str">
        <f t="shared" si="10"/>
        <v>*  -&gt; ""</v>
      </c>
    </row>
    <row r="33" spans="1:13" x14ac:dyDescent="0.75">
      <c r="A33" s="111">
        <v>0</v>
      </c>
      <c r="B33" s="111">
        <f>'RelAftFlt-1'!A32</f>
        <v>0</v>
      </c>
      <c r="C33" s="113"/>
      <c r="D33" s="112"/>
      <c r="G33" s="109" t="b">
        <f t="shared" si="0"/>
        <v>0</v>
      </c>
      <c r="H33" s="110" t="str">
        <f t="shared" si="1"/>
        <v/>
      </c>
      <c r="I33" s="110" t="str">
        <f t="shared" si="2"/>
        <v/>
      </c>
      <c r="J33" s="110" t="str">
        <f t="shared" si="3"/>
        <v/>
      </c>
      <c r="M33" s="109" t="str">
        <f t="shared" si="10"/>
        <v>*  -&gt; ""</v>
      </c>
    </row>
    <row r="34" spans="1:13" x14ac:dyDescent="0.75">
      <c r="A34" s="111">
        <v>0</v>
      </c>
      <c r="B34" s="111">
        <f>'RelAftFlt-1'!A33</f>
        <v>0</v>
      </c>
      <c r="C34" s="113"/>
      <c r="D34" s="141"/>
      <c r="G34" s="109" t="b">
        <f t="shared" si="0"/>
        <v>0</v>
      </c>
      <c r="H34" s="110" t="str">
        <f t="shared" si="1"/>
        <v/>
      </c>
      <c r="I34" s="110" t="str">
        <f t="shared" si="2"/>
        <v/>
      </c>
      <c r="J34" s="110" t="str">
        <f t="shared" si="3"/>
        <v/>
      </c>
      <c r="M34" s="109" t="str">
        <f t="shared" si="10"/>
        <v>*  -&gt; ""</v>
      </c>
    </row>
    <row r="35" spans="1:13" x14ac:dyDescent="0.75">
      <c r="A35" s="111">
        <v>0</v>
      </c>
      <c r="B35" s="111">
        <f>'RelAftFlt-1'!A34</f>
        <v>0</v>
      </c>
      <c r="C35" s="113"/>
      <c r="D35" s="141"/>
      <c r="G35" s="109" t="b">
        <f t="shared" si="0"/>
        <v>0</v>
      </c>
      <c r="H35" s="110" t="str">
        <f t="shared" si="1"/>
        <v/>
      </c>
      <c r="I35" s="110" t="str">
        <f t="shared" si="2"/>
        <v/>
      </c>
      <c r="J35" s="110" t="str">
        <f t="shared" si="3"/>
        <v/>
      </c>
      <c r="M35" s="109" t="str">
        <f t="shared" si="10"/>
        <v>*  -&gt; ""</v>
      </c>
    </row>
    <row r="36" spans="1:13" x14ac:dyDescent="0.75">
      <c r="A36" s="111">
        <v>0</v>
      </c>
      <c r="B36" s="111">
        <f>'RelAftFlt-1'!A35</f>
        <v>0</v>
      </c>
      <c r="C36" s="113"/>
      <c r="D36" s="141"/>
      <c r="G36" s="109" t="b">
        <f t="shared" si="0"/>
        <v>0</v>
      </c>
      <c r="H36" s="110" t="str">
        <f t="shared" si="1"/>
        <v/>
      </c>
      <c r="I36" s="110" t="str">
        <f t="shared" si="2"/>
        <v/>
      </c>
      <c r="J36" s="110" t="str">
        <f t="shared" si="3"/>
        <v/>
      </c>
      <c r="M36" s="109" t="str">
        <f t="shared" si="10"/>
        <v>*  -&gt; ""</v>
      </c>
    </row>
    <row r="37" spans="1:13" x14ac:dyDescent="0.75">
      <c r="A37" s="111">
        <v>0</v>
      </c>
      <c r="B37" s="111">
        <f>'RelAftFlt-1'!A36</f>
        <v>0</v>
      </c>
      <c r="C37" s="113">
        <f>'RelAftFlt-1'!B29</f>
        <v>0</v>
      </c>
      <c r="D37" s="141"/>
      <c r="G37" s="109" t="b">
        <f t="shared" si="0"/>
        <v>0</v>
      </c>
      <c r="H37" s="110" t="str">
        <f t="shared" si="1"/>
        <v/>
      </c>
      <c r="I37" s="110" t="str">
        <f t="shared" si="2"/>
        <v/>
      </c>
      <c r="J37" s="110" t="str">
        <f t="shared" si="3"/>
        <v/>
      </c>
      <c r="M37" s="109" t="str">
        <f t="shared" si="10"/>
        <v>* 0 -&gt; ""</v>
      </c>
    </row>
    <row r="38" spans="1:13" x14ac:dyDescent="0.75">
      <c r="A38" s="111">
        <v>0</v>
      </c>
      <c r="B38" s="111">
        <f>'RelAftFlt-1'!A37</f>
        <v>0</v>
      </c>
      <c r="C38" s="113">
        <f>'RelAftFlt-1'!B30</f>
        <v>0</v>
      </c>
      <c r="D38" s="141"/>
      <c r="G38" s="109" t="b">
        <f t="shared" si="0"/>
        <v>0</v>
      </c>
      <c r="H38" s="110" t="str">
        <f t="shared" si="1"/>
        <v/>
      </c>
      <c r="I38" s="110" t="str">
        <f t="shared" si="2"/>
        <v/>
      </c>
      <c r="J38" s="110" t="str">
        <f t="shared" si="3"/>
        <v/>
      </c>
    </row>
    <row r="39" spans="1:13" x14ac:dyDescent="0.75">
      <c r="A39" s="111">
        <v>0</v>
      </c>
      <c r="B39" s="111">
        <f>'RelAftFlt-1'!A38</f>
        <v>0</v>
      </c>
      <c r="C39" s="113">
        <f>'RelAftFlt-1'!B31</f>
        <v>0</v>
      </c>
      <c r="D39" s="141"/>
      <c r="G39" s="109" t="b">
        <f t="shared" si="0"/>
        <v>0</v>
      </c>
      <c r="H39" s="110" t="str">
        <f t="shared" si="1"/>
        <v/>
      </c>
      <c r="I39" s="110" t="str">
        <f t="shared" si="2"/>
        <v/>
      </c>
      <c r="J39" s="110" t="str">
        <f t="shared" si="3"/>
        <v/>
      </c>
    </row>
    <row r="40" spans="1:13" x14ac:dyDescent="0.75">
      <c r="A40" s="111">
        <v>0</v>
      </c>
      <c r="B40" s="111">
        <f>'RelAftFlt-1'!A39</f>
        <v>0</v>
      </c>
      <c r="C40" s="113">
        <f>'RelAftFlt-1'!B32</f>
        <v>0</v>
      </c>
      <c r="D40" s="24" t="s">
        <v>910</v>
      </c>
      <c r="G40" s="109" t="b">
        <f t="shared" si="0"/>
        <v>0</v>
      </c>
      <c r="H40" s="110" t="str">
        <f t="shared" si="1"/>
        <v/>
      </c>
      <c r="I40" s="110" t="str">
        <f t="shared" si="2"/>
        <v/>
      </c>
      <c r="J40" s="110" t="str">
        <f t="shared" si="3"/>
        <v/>
      </c>
    </row>
    <row r="41" spans="1:13" x14ac:dyDescent="0.75">
      <c r="A41" s="111">
        <v>0</v>
      </c>
      <c r="B41" s="111">
        <f>'RelAftFlt-1'!A40</f>
        <v>0</v>
      </c>
      <c r="C41" s="113">
        <f>'RelAftFlt-1'!B33</f>
        <v>0</v>
      </c>
      <c r="D41" s="111" t="s">
        <v>906</v>
      </c>
      <c r="G41" s="109" t="b">
        <f t="shared" si="0"/>
        <v>0</v>
      </c>
      <c r="H41" s="110" t="str">
        <f t="shared" si="1"/>
        <v/>
      </c>
      <c r="I41" s="110" t="str">
        <f t="shared" si="2"/>
        <v/>
      </c>
      <c r="J41" s="110" t="str">
        <f t="shared" si="3"/>
        <v/>
      </c>
    </row>
    <row r="42" spans="1:13" x14ac:dyDescent="0.75">
      <c r="A42" s="111">
        <v>0</v>
      </c>
      <c r="B42" s="111">
        <f>'RelAftFlt-1'!A41</f>
        <v>0</v>
      </c>
      <c r="C42" s="113">
        <f>'RelAftFlt-1'!B34</f>
        <v>0</v>
      </c>
      <c r="D42" s="109" t="s">
        <v>911</v>
      </c>
      <c r="G42" s="109" t="b">
        <f t="shared" si="0"/>
        <v>0</v>
      </c>
      <c r="H42" s="110" t="str">
        <f t="shared" si="1"/>
        <v/>
      </c>
      <c r="I42" s="110" t="str">
        <f t="shared" si="2"/>
        <v/>
      </c>
      <c r="J42" s="110" t="str">
        <f t="shared" si="3"/>
        <v/>
      </c>
    </row>
    <row r="43" spans="1:13" x14ac:dyDescent="0.75">
      <c r="A43" s="111">
        <v>0</v>
      </c>
      <c r="B43" s="111">
        <f>'RelAftFlt-1'!A42</f>
        <v>0</v>
      </c>
      <c r="C43" s="113">
        <f>'RelAftFlt-1'!B35</f>
        <v>0</v>
      </c>
      <c r="D43" s="111" t="s">
        <v>907</v>
      </c>
      <c r="G43" s="109" t="b">
        <f t="shared" si="0"/>
        <v>0</v>
      </c>
      <c r="H43" s="110" t="str">
        <f t="shared" si="1"/>
        <v/>
      </c>
      <c r="I43" s="110" t="str">
        <f t="shared" si="2"/>
        <v/>
      </c>
      <c r="J43" s="110" t="str">
        <f t="shared" si="3"/>
        <v/>
      </c>
    </row>
    <row r="44" spans="1:13" ht="44.25" x14ac:dyDescent="0.75">
      <c r="A44" s="111">
        <v>0</v>
      </c>
      <c r="B44" s="111">
        <f>'RelAftFlt-1'!A43</f>
        <v>0</v>
      </c>
      <c r="C44" s="113">
        <f>'RelAftFlt-1'!B36</f>
        <v>0</v>
      </c>
      <c r="D44" s="112" t="s">
        <v>909</v>
      </c>
      <c r="G44" s="109" t="b">
        <f t="shared" si="0"/>
        <v>0</v>
      </c>
      <c r="H44" s="110" t="str">
        <f t="shared" si="1"/>
        <v/>
      </c>
      <c r="I44" s="110" t="str">
        <f t="shared" si="2"/>
        <v/>
      </c>
      <c r="J44" s="110" t="str">
        <f t="shared" si="3"/>
        <v/>
      </c>
    </row>
    <row r="45" spans="1:13" x14ac:dyDescent="0.75">
      <c r="A45" s="111">
        <v>0</v>
      </c>
      <c r="B45" s="111">
        <f>'RelAftFlt-1'!A44</f>
        <v>0</v>
      </c>
      <c r="C45" s="113">
        <f>'RelAftFlt-1'!B37</f>
        <v>0</v>
      </c>
      <c r="D45" s="142"/>
      <c r="G45" s="109" t="b">
        <f t="shared" si="0"/>
        <v>0</v>
      </c>
      <c r="H45" s="110" t="str">
        <f t="shared" si="1"/>
        <v/>
      </c>
      <c r="I45" s="110" t="str">
        <f t="shared" si="2"/>
        <v/>
      </c>
      <c r="J45" s="110" t="str">
        <f t="shared" si="3"/>
        <v/>
      </c>
    </row>
    <row r="46" spans="1:13" x14ac:dyDescent="0.75">
      <c r="A46" s="111">
        <v>0</v>
      </c>
      <c r="B46" s="111">
        <f>'RelAftFlt-1'!A45</f>
        <v>0</v>
      </c>
      <c r="C46" s="113">
        <f>'RelAftFlt-1'!B38</f>
        <v>0</v>
      </c>
      <c r="D46" s="142"/>
      <c r="G46" s="109" t="b">
        <f t="shared" si="0"/>
        <v>0</v>
      </c>
      <c r="H46" s="110" t="str">
        <f t="shared" si="1"/>
        <v/>
      </c>
      <c r="I46" s="110" t="str">
        <f t="shared" si="2"/>
        <v/>
      </c>
      <c r="J46" s="110" t="str">
        <f t="shared" si="3"/>
        <v/>
      </c>
    </row>
    <row r="47" spans="1:13" x14ac:dyDescent="0.75">
      <c r="A47" s="111">
        <v>0</v>
      </c>
      <c r="B47" s="111">
        <f>'RelAftFlt-1'!A46</f>
        <v>0</v>
      </c>
      <c r="C47" s="113">
        <f>'RelAftFlt-1'!B39</f>
        <v>0</v>
      </c>
      <c r="D47" s="142"/>
      <c r="G47" s="109" t="b">
        <f t="shared" si="0"/>
        <v>0</v>
      </c>
      <c r="H47" s="110" t="str">
        <f t="shared" si="1"/>
        <v/>
      </c>
      <c r="I47" s="110" t="str">
        <f t="shared" si="2"/>
        <v/>
      </c>
      <c r="J47" s="110" t="str">
        <f t="shared" si="3"/>
        <v/>
      </c>
    </row>
    <row r="48" spans="1:13" x14ac:dyDescent="0.75">
      <c r="A48" s="111">
        <v>0</v>
      </c>
      <c r="B48" s="111">
        <f>'RelAftFlt-1'!A47</f>
        <v>0</v>
      </c>
      <c r="C48" s="113">
        <f>'RelAftFlt-1'!B40</f>
        <v>0</v>
      </c>
      <c r="D48" s="143"/>
      <c r="G48" s="109" t="b">
        <f t="shared" si="0"/>
        <v>0</v>
      </c>
      <c r="H48" s="110" t="str">
        <f t="shared" si="1"/>
        <v/>
      </c>
      <c r="I48" s="110" t="str">
        <f t="shared" si="2"/>
        <v/>
      </c>
      <c r="J48" s="110" t="str">
        <f t="shared" si="3"/>
        <v/>
      </c>
    </row>
    <row r="49" spans="1:10" x14ac:dyDescent="0.75">
      <c r="A49" s="111">
        <v>0</v>
      </c>
      <c r="B49" s="111">
        <f>'RelAftFlt-1'!A48</f>
        <v>0</v>
      </c>
      <c r="C49" s="113">
        <f>'RelAftFlt-1'!B41</f>
        <v>0</v>
      </c>
      <c r="D49" s="143"/>
      <c r="G49" s="109" t="b">
        <f t="shared" si="0"/>
        <v>0</v>
      </c>
      <c r="H49" s="110" t="str">
        <f t="shared" si="1"/>
        <v/>
      </c>
      <c r="I49" s="110" t="str">
        <f t="shared" si="2"/>
        <v/>
      </c>
      <c r="J49" s="110" t="str">
        <f t="shared" si="3"/>
        <v/>
      </c>
    </row>
    <row r="50" spans="1:10" ht="29.5" x14ac:dyDescent="0.75">
      <c r="A50" s="111">
        <v>0</v>
      </c>
      <c r="B50" s="111">
        <f>'RelAftFlt-1'!A49</f>
        <v>0</v>
      </c>
      <c r="C50" s="113">
        <f>'RelAftFlt-1'!B42</f>
        <v>0</v>
      </c>
      <c r="D50" s="112" t="s">
        <v>908</v>
      </c>
      <c r="G50" s="109" t="b">
        <f t="shared" si="0"/>
        <v>0</v>
      </c>
      <c r="H50" s="110" t="str">
        <f t="shared" si="1"/>
        <v/>
      </c>
      <c r="I50" s="110" t="str">
        <f t="shared" si="2"/>
        <v/>
      </c>
      <c r="J50" s="110" t="str">
        <f t="shared" si="3"/>
        <v/>
      </c>
    </row>
    <row r="51" spans="1:10" x14ac:dyDescent="0.75">
      <c r="A51" s="111">
        <v>0</v>
      </c>
      <c r="B51" s="111">
        <f>'RelAftFlt-1'!A50</f>
        <v>0</v>
      </c>
      <c r="C51" s="113">
        <f>'RelAftFlt-1'!B43</f>
        <v>0</v>
      </c>
      <c r="D51" s="143"/>
      <c r="G51" s="109" t="b">
        <f t="shared" si="0"/>
        <v>0</v>
      </c>
      <c r="H51" s="110" t="str">
        <f t="shared" si="1"/>
        <v/>
      </c>
      <c r="I51" s="110" t="str">
        <f t="shared" si="2"/>
        <v/>
      </c>
      <c r="J51" s="110" t="str">
        <f t="shared" si="3"/>
        <v/>
      </c>
    </row>
    <row r="52" spans="1:10" x14ac:dyDescent="0.75">
      <c r="A52" s="111">
        <v>0</v>
      </c>
      <c r="B52" s="111">
        <f>'RelAftFlt-1'!A51</f>
        <v>0</v>
      </c>
      <c r="C52" s="113">
        <f>'RelAftFlt-1'!B44</f>
        <v>0</v>
      </c>
      <c r="D52" s="143"/>
      <c r="G52" s="109" t="b">
        <f t="shared" si="0"/>
        <v>0</v>
      </c>
      <c r="H52" s="110" t="str">
        <f t="shared" si="1"/>
        <v/>
      </c>
      <c r="I52" s="110" t="str">
        <f t="shared" si="2"/>
        <v/>
      </c>
      <c r="J52" s="110" t="str">
        <f t="shared" si="3"/>
        <v/>
      </c>
    </row>
    <row r="53" spans="1:10" x14ac:dyDescent="0.75">
      <c r="A53" s="111">
        <v>0</v>
      </c>
      <c r="B53" s="111">
        <f>'RelAftFlt-1'!A52</f>
        <v>0</v>
      </c>
      <c r="C53" s="113">
        <f>'RelAftFlt-1'!B45</f>
        <v>0</v>
      </c>
      <c r="D53" s="143"/>
      <c r="G53" s="109" t="b">
        <f t="shared" si="0"/>
        <v>0</v>
      </c>
      <c r="H53" s="110" t="str">
        <f t="shared" si="1"/>
        <v/>
      </c>
      <c r="I53" s="110" t="str">
        <f t="shared" si="2"/>
        <v/>
      </c>
      <c r="J53" s="110" t="str">
        <f t="shared" si="3"/>
        <v/>
      </c>
    </row>
    <row r="54" spans="1:10" x14ac:dyDescent="0.75">
      <c r="A54" s="111">
        <v>0</v>
      </c>
      <c r="B54" s="111">
        <f>'RelAftFlt-1'!A53</f>
        <v>0</v>
      </c>
      <c r="C54" s="113">
        <f>'RelAftFlt-1'!B46</f>
        <v>0</v>
      </c>
      <c r="D54" s="143"/>
      <c r="G54" s="109" t="b">
        <f t="shared" si="0"/>
        <v>0</v>
      </c>
      <c r="H54" s="110" t="str">
        <f t="shared" si="1"/>
        <v/>
      </c>
      <c r="I54" s="110" t="str">
        <f t="shared" si="2"/>
        <v/>
      </c>
      <c r="J54" s="110" t="str">
        <f t="shared" si="3"/>
        <v/>
      </c>
    </row>
    <row r="55" spans="1:10" x14ac:dyDescent="0.75">
      <c r="A55" s="111">
        <v>0</v>
      </c>
      <c r="B55" s="111">
        <f>'RelAftFlt-1'!A54</f>
        <v>0</v>
      </c>
      <c r="C55" s="113">
        <f>'RelAftFlt-1'!B47</f>
        <v>0</v>
      </c>
      <c r="D55" s="143"/>
      <c r="G55" s="109" t="b">
        <f t="shared" si="0"/>
        <v>0</v>
      </c>
      <c r="H55" s="110" t="str">
        <f t="shared" si="1"/>
        <v/>
      </c>
      <c r="I55" s="110" t="str">
        <f t="shared" si="2"/>
        <v/>
      </c>
      <c r="J55" s="110" t="str">
        <f t="shared" si="3"/>
        <v/>
      </c>
    </row>
    <row r="56" spans="1:10" x14ac:dyDescent="0.75">
      <c r="A56" s="111">
        <v>0</v>
      </c>
      <c r="B56" s="111">
        <f>'RelAftFlt-1'!A55</f>
        <v>0</v>
      </c>
      <c r="C56" s="113">
        <f>'RelAftFlt-1'!B48</f>
        <v>0</v>
      </c>
      <c r="D56" s="143"/>
      <c r="G56" s="109" t="b">
        <f t="shared" si="0"/>
        <v>0</v>
      </c>
      <c r="H56" s="110" t="str">
        <f t="shared" si="1"/>
        <v/>
      </c>
      <c r="I56" s="110" t="str">
        <f t="shared" si="2"/>
        <v/>
      </c>
      <c r="J56" s="110" t="str">
        <f t="shared" si="3"/>
        <v/>
      </c>
    </row>
    <row r="57" spans="1:10" x14ac:dyDescent="0.75">
      <c r="A57" s="111">
        <v>0</v>
      </c>
      <c r="B57" s="111">
        <f>'RelAftFlt-1'!A56</f>
        <v>0</v>
      </c>
      <c r="C57" s="113">
        <f>'RelAftFlt-1'!B49</f>
        <v>0</v>
      </c>
      <c r="G57" s="109" t="b">
        <f t="shared" si="0"/>
        <v>0</v>
      </c>
      <c r="H57" s="110" t="str">
        <f t="shared" si="1"/>
        <v/>
      </c>
      <c r="I57" s="110" t="str">
        <f t="shared" si="2"/>
        <v/>
      </c>
      <c r="J57" s="110" t="str">
        <f t="shared" si="3"/>
        <v/>
      </c>
    </row>
    <row r="58" spans="1:10" x14ac:dyDescent="0.75">
      <c r="A58" s="111">
        <v>0</v>
      </c>
      <c r="B58" s="111">
        <f>'RelAftFlt-1'!A57</f>
        <v>0</v>
      </c>
      <c r="C58" s="113">
        <f>'RelAftFlt-1'!B50</f>
        <v>0</v>
      </c>
      <c r="G58" s="109" t="b">
        <f t="shared" si="0"/>
        <v>0</v>
      </c>
      <c r="H58" s="110" t="str">
        <f t="shared" si="1"/>
        <v/>
      </c>
      <c r="I58" s="110" t="str">
        <f t="shared" si="2"/>
        <v/>
      </c>
      <c r="J58" s="110" t="str">
        <f t="shared" si="3"/>
        <v/>
      </c>
    </row>
    <row r="59" spans="1:10" x14ac:dyDescent="0.75">
      <c r="A59" s="111">
        <v>0</v>
      </c>
      <c r="B59" s="111">
        <f>'RelAftFlt-1'!A58</f>
        <v>0</v>
      </c>
      <c r="C59" s="113">
        <f>'RelAftFlt-1'!B51</f>
        <v>0</v>
      </c>
      <c r="G59" s="109" t="b">
        <f t="shared" si="0"/>
        <v>0</v>
      </c>
      <c r="H59" s="110" t="str">
        <f t="shared" si="1"/>
        <v/>
      </c>
      <c r="I59" s="110" t="str">
        <f t="shared" si="2"/>
        <v/>
      </c>
      <c r="J59" s="110" t="str">
        <f t="shared" si="3"/>
        <v/>
      </c>
    </row>
    <row r="60" spans="1:10" x14ac:dyDescent="0.75">
      <c r="A60" s="111">
        <v>0</v>
      </c>
      <c r="B60" s="111">
        <f>'RelAftFlt-1'!A59</f>
        <v>0</v>
      </c>
      <c r="C60" s="113">
        <f>'RelAftFlt-1'!B52</f>
        <v>0</v>
      </c>
      <c r="G60" s="109" t="b">
        <f t="shared" si="0"/>
        <v>0</v>
      </c>
      <c r="H60" s="110" t="str">
        <f t="shared" si="1"/>
        <v/>
      </c>
      <c r="I60" s="110" t="str">
        <f t="shared" si="2"/>
        <v/>
      </c>
      <c r="J60" s="110" t="str">
        <f t="shared" si="3"/>
        <v/>
      </c>
    </row>
    <row r="61" spans="1:10" x14ac:dyDescent="0.75">
      <c r="A61" s="111">
        <v>0</v>
      </c>
      <c r="B61" s="111">
        <f>'RelAftFlt-1'!A60</f>
        <v>0</v>
      </c>
      <c r="C61" s="113">
        <f>'RelAftFlt-1'!B53</f>
        <v>0</v>
      </c>
      <c r="G61" s="109" t="b">
        <f t="shared" si="0"/>
        <v>0</v>
      </c>
      <c r="H61" s="110" t="str">
        <f t="shared" si="1"/>
        <v/>
      </c>
      <c r="I61" s="110" t="str">
        <f t="shared" si="2"/>
        <v/>
      </c>
      <c r="J61" s="110" t="str">
        <f t="shared" si="3"/>
        <v/>
      </c>
    </row>
    <row r="62" spans="1:10" x14ac:dyDescent="0.75">
      <c r="A62" s="111">
        <v>0</v>
      </c>
      <c r="B62" s="111">
        <f>'RelAftFlt-1'!A61</f>
        <v>0</v>
      </c>
      <c r="C62" s="113">
        <f>'RelAftFlt-1'!B54</f>
        <v>0</v>
      </c>
      <c r="G62" s="109" t="b">
        <f t="shared" ref="G62:G69" si="11">IF(D62&gt;"",TRUE,FALSE)</f>
        <v>0</v>
      </c>
      <c r="H62" s="110" t="str">
        <f t="shared" ref="H62" si="12">IF(G62,CONCATENATE("* differential.element[",$B62,"].mapping[",$A62,"].identity = """,$F$1,""""),"")</f>
        <v/>
      </c>
      <c r="I62" s="110" t="str">
        <f t="shared" ref="I62" si="13">IF(G62,CONCATENATE("* differential.element[",$B62,"].mapping[",$A62,"].map = """,D62,""""),"")</f>
        <v/>
      </c>
    </row>
    <row r="63" spans="1:10" x14ac:dyDescent="0.75">
      <c r="A63" s="111">
        <v>0</v>
      </c>
      <c r="B63" s="111">
        <f>'RelAftFlt-1'!A62</f>
        <v>0</v>
      </c>
      <c r="C63" s="113">
        <f>'RelAftFlt-1'!B55</f>
        <v>0</v>
      </c>
      <c r="G63" s="109" t="b">
        <f t="shared" si="11"/>
        <v>0</v>
      </c>
      <c r="H63" s="110" t="str">
        <f t="shared" ref="H63:H69" si="14">IF(G63,CONCATENATE("* differential.element[",$B63,"].mapping[",$A63,"].identity = """,$F$1,""""),"")</f>
        <v/>
      </c>
      <c r="I63" s="110" t="str">
        <f t="shared" ref="I63:I69" si="15">IF(G63,CONCATENATE("* differential.element[",$B63,"].mapping[",$A63,"].map = """,D63,""""),"")</f>
        <v/>
      </c>
    </row>
    <row r="64" spans="1:10" x14ac:dyDescent="0.75">
      <c r="A64" s="111">
        <v>0</v>
      </c>
      <c r="B64" s="111">
        <f>'RelAftFlt-1'!A63</f>
        <v>0</v>
      </c>
      <c r="C64" s="113">
        <f>'RelAftFlt-1'!B56</f>
        <v>0</v>
      </c>
      <c r="G64" s="109" t="b">
        <f t="shared" si="11"/>
        <v>0</v>
      </c>
      <c r="H64" s="110" t="str">
        <f t="shared" si="14"/>
        <v/>
      </c>
      <c r="I64" s="110" t="str">
        <f t="shared" si="15"/>
        <v/>
      </c>
    </row>
    <row r="65" spans="1:9" x14ac:dyDescent="0.75">
      <c r="A65" s="111">
        <v>0</v>
      </c>
      <c r="B65" s="111">
        <f>'RelAftFlt-1'!A64</f>
        <v>0</v>
      </c>
      <c r="C65" s="113">
        <f>'RelAftFlt-1'!B57</f>
        <v>0</v>
      </c>
      <c r="G65" s="109" t="b">
        <f t="shared" si="11"/>
        <v>0</v>
      </c>
      <c r="H65" s="110" t="str">
        <f t="shared" si="14"/>
        <v/>
      </c>
      <c r="I65" s="110" t="str">
        <f t="shared" si="15"/>
        <v/>
      </c>
    </row>
    <row r="66" spans="1:9" x14ac:dyDescent="0.75">
      <c r="A66" s="111"/>
      <c r="B66" s="111"/>
      <c r="C66" s="113"/>
      <c r="G66" s="109" t="b">
        <f t="shared" si="11"/>
        <v>0</v>
      </c>
      <c r="H66" s="110" t="str">
        <f t="shared" si="14"/>
        <v/>
      </c>
      <c r="I66" s="110" t="str">
        <f t="shared" si="15"/>
        <v/>
      </c>
    </row>
    <row r="67" spans="1:9" x14ac:dyDescent="0.75">
      <c r="A67" s="111"/>
      <c r="B67" s="111"/>
      <c r="C67" s="113"/>
      <c r="G67" s="109" t="b">
        <f t="shared" si="11"/>
        <v>0</v>
      </c>
      <c r="H67" s="110" t="str">
        <f t="shared" si="14"/>
        <v/>
      </c>
      <c r="I67" s="110" t="str">
        <f t="shared" si="15"/>
        <v/>
      </c>
    </row>
    <row r="68" spans="1:9" x14ac:dyDescent="0.75">
      <c r="A68" s="111"/>
      <c r="B68" s="111"/>
      <c r="C68" s="113"/>
      <c r="G68" s="109" t="b">
        <f t="shared" si="11"/>
        <v>0</v>
      </c>
      <c r="H68" s="110" t="str">
        <f t="shared" si="14"/>
        <v/>
      </c>
      <c r="I68" s="110" t="str">
        <f t="shared" si="15"/>
        <v/>
      </c>
    </row>
    <row r="69" spans="1:9" x14ac:dyDescent="0.75">
      <c r="A69" s="111"/>
      <c r="B69" s="111"/>
      <c r="C69" s="113"/>
      <c r="G69" s="109" t="b">
        <f t="shared" si="11"/>
        <v>0</v>
      </c>
      <c r="H69" s="110" t="str">
        <f t="shared" si="14"/>
        <v/>
      </c>
      <c r="I69" s="110" t="str">
        <f t="shared" si="15"/>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3" sqref="D3:D3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INDEX('RelAftFlt-Map-1'!$H$7:$J$96,1+B3,C3)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INDEX('RelAftFlt-Map-1'!$H$7:$J$96,1+B4,C4)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1:4" x14ac:dyDescent="0.75">
      <c r="A5" s="111">
        <v>3</v>
      </c>
      <c r="B5" s="111">
        <f t="shared" si="0"/>
        <v>0</v>
      </c>
      <c r="C5" s="111">
        <f t="shared" si="1"/>
        <v>3</v>
      </c>
      <c r="D5" s="109" t="str" cm="1">
        <f t="array" ref="D5">INDEX('RelAftFlt-Map-1'!$H$7:$J$96,1+B5,C5)</f>
        <v/>
      </c>
    </row>
    <row r="6" spans="1:4" x14ac:dyDescent="0.75">
      <c r="A6" s="111">
        <v>4</v>
      </c>
      <c r="B6" s="111">
        <f t="shared" si="0"/>
        <v>1</v>
      </c>
      <c r="C6" s="111">
        <f t="shared" si="1"/>
        <v>1</v>
      </c>
      <c r="D6" s="109" t="str" cm="1">
        <f t="array" ref="D6">INDEX('RelAftFlt-Map-1'!$H$7:$J$96,1+B6,C6)</f>
        <v>* differential.element[1].mapping[0].identity = "fhir"</v>
      </c>
    </row>
    <row r="7" spans="1:4" x14ac:dyDescent="0.75">
      <c r="A7" s="111">
        <v>5</v>
      </c>
      <c r="B7" s="111">
        <f t="shared" si="0"/>
        <v>1</v>
      </c>
      <c r="C7" s="111">
        <f t="shared" si="1"/>
        <v>2</v>
      </c>
      <c r="D7" s="109" t="str" cm="1">
        <f t="array" ref="D7">INDEX('RelAftFlt-Map-1'!$H$7:$J$96,1+B7,C7)</f>
        <v>* differential.element[1].mapping[0].map = ".identifier"</v>
      </c>
    </row>
    <row r="8" spans="1:4" x14ac:dyDescent="0.75">
      <c r="A8" s="111">
        <v>6</v>
      </c>
      <c r="B8" s="111">
        <f t="shared" si="0"/>
        <v>1</v>
      </c>
      <c r="C8" s="111">
        <f t="shared" si="1"/>
        <v>3</v>
      </c>
      <c r="D8" s="109" t="str" cm="1">
        <f t="array" ref="D8">INDEX('RelAftFlt-Map-1'!$H$7:$J$96,1+B8,C8)</f>
        <v/>
      </c>
    </row>
    <row r="9" spans="1:4" x14ac:dyDescent="0.75">
      <c r="A9" s="111">
        <v>7</v>
      </c>
      <c r="B9" s="111">
        <f t="shared" si="0"/>
        <v>2</v>
      </c>
      <c r="C9" s="111">
        <f t="shared" si="1"/>
        <v>1</v>
      </c>
      <c r="D9" s="109" t="str" cm="1">
        <f t="array" ref="D9">INDEX('RelAftFlt-Map-1'!$H$7:$J$96,1+B9,C9)</f>
        <v>* differential.element[2].mapping[0].identity = "fhir"</v>
      </c>
    </row>
    <row r="10" spans="1:4" x14ac:dyDescent="0.75">
      <c r="A10" s="111">
        <v>8</v>
      </c>
      <c r="B10" s="111">
        <f t="shared" si="0"/>
        <v>2</v>
      </c>
      <c r="C10" s="111">
        <f t="shared" si="1"/>
        <v>2</v>
      </c>
      <c r="D10" s="109" t="str" cm="1">
        <f t="array" ref="D10">INDEX('RelAftFlt-Map-1'!$H$7:$J$96,1+B10,C10)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INDEX('RelAftFlt-Map-1'!$H$7:$J$96,1+B11,C11)</f>
        <v/>
      </c>
    </row>
    <row r="12" spans="1:4" x14ac:dyDescent="0.75">
      <c r="A12" s="111">
        <v>10</v>
      </c>
      <c r="B12" s="111">
        <f t="shared" si="0"/>
        <v>3</v>
      </c>
      <c r="C12" s="111">
        <f t="shared" si="1"/>
        <v>1</v>
      </c>
      <c r="D12" s="109" t="str" cm="1">
        <f t="array" ref="D12">INDEX('RelAftFlt-Map-1'!$H$7:$J$96,1+B12,C12)</f>
        <v>* differential.element[3].mapping[0].identity = "fhir"</v>
      </c>
    </row>
    <row r="13" spans="1:4" x14ac:dyDescent="0.75">
      <c r="A13" s="111">
        <v>11</v>
      </c>
      <c r="B13" s="111">
        <f t="shared" si="0"/>
        <v>3</v>
      </c>
      <c r="C13" s="111">
        <f t="shared" si="1"/>
        <v>2</v>
      </c>
      <c r="D13" s="109" t="str" cm="1">
        <f t="array" ref="D13">INDEX('RelAftFlt-Map-1'!$H$7:$J$96,1+B13,C13)</f>
        <v>* differential.element[3].mapping[0].map = ".extension('http://hl7.org/fhir/StructureDefinition/condition-assertedDate')"</v>
      </c>
    </row>
    <row r="14" spans="1:4" x14ac:dyDescent="0.75">
      <c r="A14" s="111">
        <v>12</v>
      </c>
      <c r="B14" s="111">
        <f t="shared" si="0"/>
        <v>3</v>
      </c>
      <c r="C14" s="111">
        <f t="shared" si="1"/>
        <v>3</v>
      </c>
      <c r="D14" s="109" t="str" cm="1">
        <f t="array" ref="D14">INDEX('RelAftFlt-Map-1'!$H$7:$J$96,1+B14,C14)</f>
        <v/>
      </c>
    </row>
    <row r="15" spans="1:4" x14ac:dyDescent="0.75">
      <c r="A15" s="111">
        <v>13</v>
      </c>
      <c r="B15" s="111">
        <f t="shared" si="0"/>
        <v>4</v>
      </c>
      <c r="C15" s="111">
        <f t="shared" si="1"/>
        <v>1</v>
      </c>
      <c r="D15" s="109" t="str" cm="1">
        <f t="array" ref="D15">INDEX('RelAftFlt-Map-1'!$H$7:$J$96,1+B15,C15)</f>
        <v>* differential.element[4].mapping[0].identity = "fhir"</v>
      </c>
    </row>
    <row r="16" spans="1:4" x14ac:dyDescent="0.75">
      <c r="A16" s="111">
        <v>14</v>
      </c>
      <c r="B16" s="111">
        <f t="shared" si="0"/>
        <v>4</v>
      </c>
      <c r="C16" s="111">
        <f t="shared" si="1"/>
        <v>2</v>
      </c>
      <c r="D16" s="109" t="str" cm="1">
        <f t="array" ref="D16">INDEX('RelAftFlt-Map-1'!$H$7:$J$96,1+B16,C16)</f>
        <v>* differential.element[4].mapping[0].map = ".extension('http://hl7.eu/fhir/ig/pcsp/StructureDefinition/condition-previousStatus').valueCodeableConcept OR Condition.where( clinicalStatus = #relapse or clinicalStatus = #recurrence).clinicalStatus"</v>
      </c>
    </row>
    <row r="17" spans="1:4" x14ac:dyDescent="0.75">
      <c r="A17" s="111">
        <v>15</v>
      </c>
      <c r="B17" s="111">
        <f t="shared" si="0"/>
        <v>4</v>
      </c>
      <c r="C17" s="111">
        <f t="shared" si="1"/>
        <v>3</v>
      </c>
      <c r="D17" s="109" t="str" cm="1">
        <f t="array" ref="D17">INDEX('RelAftFlt-Map-1'!$H$7:$J$96,1+B17,C17)</f>
        <v/>
      </c>
    </row>
    <row r="18" spans="1:4" x14ac:dyDescent="0.75">
      <c r="A18" s="111">
        <v>16</v>
      </c>
      <c r="B18" s="111">
        <f t="shared" si="0"/>
        <v>5</v>
      </c>
      <c r="C18" s="111">
        <f t="shared" si="1"/>
        <v>1</v>
      </c>
      <c r="D18" s="109" t="str" cm="1">
        <f t="array" ref="D18">INDEX('RelAftFlt-Map-1'!$H$7:$J$96,1+B18,C18)</f>
        <v>* differential.element[5].mapping[0].identity = "fhir"</v>
      </c>
    </row>
    <row r="19" spans="1:4" x14ac:dyDescent="0.75">
      <c r="A19" s="111">
        <v>17</v>
      </c>
      <c r="B19" s="111">
        <f t="shared" si="0"/>
        <v>5</v>
      </c>
      <c r="C19" s="111">
        <f t="shared" si="1"/>
        <v>2</v>
      </c>
      <c r="D19" s="109" t="str" cm="1">
        <f t="array" ref="D19">INDEX('RelAftFlt-Map-1'!$H$7:$J$96,1+B19,C19)</f>
        <v>* differential.element[5].mapping[0].map = ".bodySite..extension('http://hl7.eu/fhir/ig/pcsp/StructureDefinition/mcode-body-location-qualifier').valueCodeableConcept"</v>
      </c>
    </row>
    <row r="20" spans="1:4" x14ac:dyDescent="0.75">
      <c r="A20" s="111">
        <v>18</v>
      </c>
      <c r="B20" s="111">
        <f t="shared" si="0"/>
        <v>5</v>
      </c>
      <c r="C20" s="111">
        <f t="shared" si="1"/>
        <v>3</v>
      </c>
      <c r="D20" s="109" t="str" cm="1">
        <f t="array" ref="D20">INDEX('RelAftFlt-Map-1'!$H$7:$J$96,1+B20,C20)</f>
        <v/>
      </c>
    </row>
    <row r="21" spans="1:4" x14ac:dyDescent="0.75">
      <c r="A21" s="111">
        <v>19</v>
      </c>
      <c r="B21" s="111">
        <f t="shared" si="0"/>
        <v>6</v>
      </c>
      <c r="C21" s="111">
        <f t="shared" si="1"/>
        <v>1</v>
      </c>
      <c r="D21" s="109" t="str" cm="1">
        <f t="array" ref="D21">INDEX('RelAftFlt-Map-1'!$H$7:$J$96,1+B21,C21)</f>
        <v>* differential.element[6].mapping[0].identity = "fhir"</v>
      </c>
    </row>
    <row r="22" spans="1:4" x14ac:dyDescent="0.75">
      <c r="A22" s="111">
        <v>20</v>
      </c>
      <c r="B22" s="111">
        <f t="shared" si="0"/>
        <v>6</v>
      </c>
      <c r="C22" s="111">
        <f t="shared" si="1"/>
        <v>2</v>
      </c>
      <c r="D22" s="109" t="str" cm="1">
        <f t="array" ref="D22">INDEX('RelAftFlt-Map-1'!$H$7:$J$96,1+B22,C22)</f>
        <v>* differential.element[6].mapping[0].map = ".notes"</v>
      </c>
    </row>
    <row r="23" spans="1:4" x14ac:dyDescent="0.75">
      <c r="A23" s="111">
        <v>21</v>
      </c>
      <c r="B23" s="111">
        <f t="shared" si="0"/>
        <v>6</v>
      </c>
      <c r="C23" s="111">
        <f t="shared" si="1"/>
        <v>3</v>
      </c>
      <c r="D23" s="109" t="str" cm="1">
        <f t="array" ref="D23">INDEX('RelAftFlt-Map-1'!$H$7:$J$96,1+B23,C23)</f>
        <v/>
      </c>
    </row>
    <row r="24" spans="1:4" x14ac:dyDescent="0.75">
      <c r="A24" s="111">
        <v>22</v>
      </c>
      <c r="B24" s="111">
        <f t="shared" si="0"/>
        <v>7</v>
      </c>
      <c r="C24" s="111">
        <f t="shared" si="1"/>
        <v>1</v>
      </c>
      <c r="D24" s="109" t="str" cm="1">
        <f t="array" ref="D24">INDEX('RelAftFlt-Map-1'!$H$7:$J$96,1+B24,C24)</f>
        <v>* differential.element[6].mapping[1].identity = "fhir"</v>
      </c>
    </row>
    <row r="25" spans="1:4" x14ac:dyDescent="0.75">
      <c r="A25" s="111">
        <v>23</v>
      </c>
      <c r="B25" s="111">
        <f t="shared" si="0"/>
        <v>7</v>
      </c>
      <c r="C25" s="111">
        <f t="shared" si="1"/>
        <v>2</v>
      </c>
      <c r="D25" s="109" t="str" cm="1">
        <f t="array" ref="D25">INDEX('RelAftFlt-Map-1'!$H$7:$J$96,1+B25,C25)</f>
        <v>* differential.element[6].mapping[1].map = "Condition.conformsTo('http://hl7.eu/fhir/ig/pcsp/StructureDefinition/Condition-secondaryCancer-eu-pcsp').bodySite"</v>
      </c>
    </row>
    <row r="26" spans="1:4" x14ac:dyDescent="0.75">
      <c r="A26" s="111">
        <v>24</v>
      </c>
      <c r="B26" s="111">
        <f t="shared" si="0"/>
        <v>7</v>
      </c>
      <c r="C26" s="111">
        <f t="shared" si="1"/>
        <v>3</v>
      </c>
      <c r="D26" s="109" t="str" cm="1">
        <f t="array" ref="D26">INDEX('RelAftFlt-Map-1'!$H$7:$J$96,1+B26,C26)</f>
        <v/>
      </c>
    </row>
    <row r="27" spans="1:4" x14ac:dyDescent="0.75">
      <c r="A27" s="111">
        <v>25</v>
      </c>
      <c r="B27" s="111">
        <f t="shared" si="0"/>
        <v>8</v>
      </c>
      <c r="C27" s="111">
        <f t="shared" si="1"/>
        <v>1</v>
      </c>
      <c r="D27" s="109" t="str" cm="1">
        <f t="array" ref="D27">INDEX('RelAftFlt-Map-1'!$H$7:$J$96,1+B27,C27)</f>
        <v/>
      </c>
    </row>
    <row r="28" spans="1:4" x14ac:dyDescent="0.75">
      <c r="A28" s="111">
        <v>26</v>
      </c>
      <c r="B28" s="111">
        <f t="shared" si="0"/>
        <v>8</v>
      </c>
      <c r="C28" s="111">
        <f t="shared" si="1"/>
        <v>2</v>
      </c>
      <c r="D28" s="109" t="str" cm="1">
        <f t="array" ref="D28">INDEX('RelAftFlt-Map-1'!$H$7:$J$96,1+B28,C28)</f>
        <v/>
      </c>
    </row>
    <row r="29" spans="1:4" x14ac:dyDescent="0.75">
      <c r="A29" s="111">
        <v>27</v>
      </c>
      <c r="B29" s="111">
        <f t="shared" si="0"/>
        <v>8</v>
      </c>
      <c r="C29" s="111">
        <f t="shared" si="1"/>
        <v>3</v>
      </c>
      <c r="D29" s="109" t="str" cm="1">
        <f t="array" ref="D29">INDEX('RelAftFlt-Map-1'!$H$7:$J$96,1+B29,C29)</f>
        <v/>
      </c>
    </row>
    <row r="30" spans="1:4" x14ac:dyDescent="0.75">
      <c r="A30" s="111">
        <v>28</v>
      </c>
      <c r="B30" s="111">
        <f t="shared" si="0"/>
        <v>9</v>
      </c>
      <c r="C30" s="111">
        <f t="shared" si="1"/>
        <v>1</v>
      </c>
      <c r="D30" s="109" t="str" cm="1">
        <f t="array" ref="D30">INDEX('RelAftFlt-Map-1'!$H$7:$J$96,1+B30,C30)</f>
        <v/>
      </c>
    </row>
    <row r="31" spans="1:4" x14ac:dyDescent="0.75">
      <c r="A31" s="111">
        <v>29</v>
      </c>
      <c r="B31" s="111">
        <f t="shared" si="0"/>
        <v>9</v>
      </c>
      <c r="C31" s="111">
        <f t="shared" si="1"/>
        <v>2</v>
      </c>
      <c r="D31" s="109" t="str" cm="1">
        <f t="array" ref="D31">INDEX('RelAftFlt-Map-1'!$H$7:$J$96,1+B31,C31)</f>
        <v/>
      </c>
    </row>
    <row r="32" spans="1:4" x14ac:dyDescent="0.75">
      <c r="A32" s="111">
        <v>30</v>
      </c>
      <c r="B32" s="111">
        <f t="shared" si="0"/>
        <v>9</v>
      </c>
      <c r="C32" s="111">
        <f t="shared" si="1"/>
        <v>3</v>
      </c>
      <c r="D32" s="109" t="str" cm="1">
        <f t="array" ref="D32">INDEX('RelAftFlt-Map-1'!$H$7:$J$96,1+B32,C32)</f>
        <v/>
      </c>
    </row>
    <row r="33" spans="1:4" x14ac:dyDescent="0.75">
      <c r="A33" s="111">
        <v>31</v>
      </c>
      <c r="B33" s="111">
        <f t="shared" si="0"/>
        <v>10</v>
      </c>
      <c r="C33" s="111">
        <f t="shared" si="1"/>
        <v>1</v>
      </c>
      <c r="D33" s="109" t="str" cm="1">
        <f t="array" ref="D33">INDEX('RelAftFlt-Map-1'!$H$7:$J$96,1+B33,C33)</f>
        <v/>
      </c>
    </row>
    <row r="34" spans="1:4" x14ac:dyDescent="0.75">
      <c r="A34" s="111">
        <v>32</v>
      </c>
      <c r="B34" s="111">
        <f t="shared" si="0"/>
        <v>10</v>
      </c>
      <c r="C34" s="111">
        <f t="shared" si="1"/>
        <v>2</v>
      </c>
      <c r="D34" s="109" t="str" cm="1">
        <f t="array" ref="D34">INDEX('RelAftFlt-Map-1'!$H$7:$J$96,1+B34,C34)</f>
        <v/>
      </c>
    </row>
    <row r="35" spans="1:4" x14ac:dyDescent="0.75">
      <c r="A35" s="111">
        <v>33</v>
      </c>
      <c r="B35" s="111">
        <f t="shared" si="0"/>
        <v>10</v>
      </c>
      <c r="C35" s="111">
        <f t="shared" si="1"/>
        <v>3</v>
      </c>
      <c r="D35" s="109" t="str" cm="1">
        <f t="array" ref="D35">INDEX('RelAftFlt-Map-1'!$H$7:$J$96,1+B35,C35)</f>
        <v/>
      </c>
    </row>
    <row r="36" spans="1:4" x14ac:dyDescent="0.75">
      <c r="A36" s="111">
        <v>34</v>
      </c>
      <c r="B36" s="111">
        <f t="shared" si="0"/>
        <v>11</v>
      </c>
      <c r="C36" s="111">
        <f t="shared" si="1"/>
        <v>1</v>
      </c>
      <c r="D36" s="109" t="str" cm="1">
        <f t="array" ref="D36">INDEX('RelAftFlt-Map-1'!$H$7:$J$96,1+B36,C36)</f>
        <v/>
      </c>
    </row>
    <row r="37" spans="1:4" x14ac:dyDescent="0.75">
      <c r="A37" s="111">
        <v>35</v>
      </c>
      <c r="B37" s="111">
        <f t="shared" si="0"/>
        <v>11</v>
      </c>
      <c r="C37" s="111">
        <f t="shared" si="1"/>
        <v>2</v>
      </c>
      <c r="D37" s="109" t="str" cm="1">
        <f t="array" ref="D37">INDEX('RelAftFlt-Map-1'!$H$7:$J$96,1+B37,C37)</f>
        <v/>
      </c>
    </row>
    <row r="38" spans="1:4" x14ac:dyDescent="0.75">
      <c r="A38" s="111">
        <v>36</v>
      </c>
      <c r="B38" s="111">
        <f t="shared" si="0"/>
        <v>11</v>
      </c>
      <c r="C38" s="111">
        <f t="shared" si="1"/>
        <v>3</v>
      </c>
      <c r="D38" s="109" t="str" cm="1">
        <f t="array" ref="D38">INDEX('RelAftFlt-Map-1'!$H$7:$J$96,1+B38,C38)</f>
        <v/>
      </c>
    </row>
    <row r="39" spans="1:4" x14ac:dyDescent="0.75">
      <c r="A39" s="111">
        <v>37</v>
      </c>
      <c r="B39" s="111">
        <f t="shared" si="0"/>
        <v>12</v>
      </c>
      <c r="C39" s="111">
        <f t="shared" si="1"/>
        <v>1</v>
      </c>
      <c r="D39" s="109" t="str" cm="1">
        <f t="array" ref="D39">INDEX('RelAftFlt-Map-1'!$H$7:$J$96,1+B39,C39)</f>
        <v/>
      </c>
    </row>
    <row r="40" spans="1:4" x14ac:dyDescent="0.75">
      <c r="A40" s="111">
        <v>38</v>
      </c>
      <c r="B40" s="111">
        <f t="shared" si="0"/>
        <v>12</v>
      </c>
      <c r="C40" s="111">
        <f t="shared" si="1"/>
        <v>2</v>
      </c>
      <c r="D40" s="109" t="str" cm="1">
        <f t="array" ref="D40">INDEX('RelAftFlt-Map-1'!$H$7:$J$96,1+B40,C40)</f>
        <v/>
      </c>
    </row>
    <row r="41" spans="1:4" x14ac:dyDescent="0.75">
      <c r="A41" s="111">
        <v>39</v>
      </c>
      <c r="B41" s="111">
        <f t="shared" si="0"/>
        <v>12</v>
      </c>
      <c r="C41" s="111">
        <f t="shared" si="1"/>
        <v>3</v>
      </c>
      <c r="D41" s="109" t="str" cm="1">
        <f t="array" ref="D41">INDEX('RelAftFlt-Map-1'!$H$7:$J$96,1+B41,C41)</f>
        <v/>
      </c>
    </row>
    <row r="42" spans="1:4" x14ac:dyDescent="0.75">
      <c r="A42" s="111">
        <v>40</v>
      </c>
      <c r="B42" s="111">
        <f t="shared" si="0"/>
        <v>13</v>
      </c>
      <c r="C42" s="111">
        <f t="shared" si="1"/>
        <v>1</v>
      </c>
      <c r="D42" s="109" t="str" cm="1">
        <f t="array" ref="D42">INDEX('RelAftFlt-Map-1'!$H$7:$J$96,1+B42,C42)</f>
        <v/>
      </c>
    </row>
    <row r="43" spans="1:4" x14ac:dyDescent="0.75">
      <c r="A43" s="111">
        <v>41</v>
      </c>
      <c r="B43" s="111">
        <f t="shared" si="0"/>
        <v>13</v>
      </c>
      <c r="C43" s="111">
        <f t="shared" si="1"/>
        <v>2</v>
      </c>
      <c r="D43" s="109" t="str" cm="1">
        <f t="array" ref="D43">INDEX('RelAftFlt-Map-1'!$H$7:$J$96,1+B43,C43)</f>
        <v/>
      </c>
    </row>
    <row r="44" spans="1:4" x14ac:dyDescent="0.75">
      <c r="A44" s="111">
        <v>42</v>
      </c>
      <c r="B44" s="111">
        <f t="shared" si="0"/>
        <v>13</v>
      </c>
      <c r="C44" s="111">
        <f t="shared" si="1"/>
        <v>3</v>
      </c>
      <c r="D44" s="109" t="str" cm="1">
        <f t="array" ref="D44">INDEX('RelAftFlt-Map-1'!$H$7:$J$96,1+B44,C44)</f>
        <v/>
      </c>
    </row>
    <row r="45" spans="1:4" x14ac:dyDescent="0.75">
      <c r="A45" s="111">
        <v>43</v>
      </c>
      <c r="B45" s="111">
        <f t="shared" si="0"/>
        <v>14</v>
      </c>
      <c r="C45" s="111">
        <f t="shared" si="1"/>
        <v>1</v>
      </c>
      <c r="D45" s="109" t="str" cm="1">
        <f t="array" ref="D45">INDEX('RelAftFlt-Map-1'!$H$7:$J$96,1+B45,C45)</f>
        <v/>
      </c>
    </row>
    <row r="46" spans="1:4" x14ac:dyDescent="0.75">
      <c r="A46" s="111">
        <v>44</v>
      </c>
      <c r="B46" s="111">
        <f t="shared" si="0"/>
        <v>14</v>
      </c>
      <c r="C46" s="111">
        <f t="shared" si="1"/>
        <v>2</v>
      </c>
      <c r="D46" s="109" t="str" cm="1">
        <f t="array" ref="D46">INDEX('RelAftFlt-Map-1'!$H$7:$J$96,1+B46,C46)</f>
        <v/>
      </c>
    </row>
    <row r="47" spans="1:4" x14ac:dyDescent="0.75">
      <c r="A47" s="111">
        <v>45</v>
      </c>
      <c r="B47" s="111">
        <f t="shared" si="0"/>
        <v>14</v>
      </c>
      <c r="C47" s="111">
        <f t="shared" si="1"/>
        <v>3</v>
      </c>
      <c r="D47" s="109" t="str" cm="1">
        <f t="array" ref="D47">INDEX('RelAftFlt-Map-1'!$H$7:$J$96,1+B47,C47)</f>
        <v/>
      </c>
    </row>
    <row r="48" spans="1:4" x14ac:dyDescent="0.75">
      <c r="A48" s="111">
        <v>46</v>
      </c>
      <c r="B48" s="111">
        <f t="shared" si="0"/>
        <v>15</v>
      </c>
      <c r="C48" s="111">
        <f t="shared" si="1"/>
        <v>1</v>
      </c>
      <c r="D48" s="109" t="str" cm="1">
        <f t="array" ref="D48">INDEX('RelAftFlt-Map-1'!$H$7:$J$96,1+B48,C48)</f>
        <v/>
      </c>
    </row>
    <row r="49" spans="1:7" x14ac:dyDescent="0.75">
      <c r="A49" s="111">
        <v>47</v>
      </c>
      <c r="B49" s="111">
        <f t="shared" si="0"/>
        <v>15</v>
      </c>
      <c r="C49" s="111">
        <f t="shared" si="1"/>
        <v>2</v>
      </c>
      <c r="D49" s="109" t="str" cm="1">
        <f t="array" ref="D49">INDEX('RelAftFlt-Map-1'!$H$7:$J$96,1+B49,C49)</f>
        <v/>
      </c>
    </row>
    <row r="50" spans="1:7" x14ac:dyDescent="0.75">
      <c r="A50" s="111">
        <v>48</v>
      </c>
      <c r="B50" s="111">
        <f t="shared" si="0"/>
        <v>15</v>
      </c>
      <c r="C50" s="111">
        <f t="shared" si="1"/>
        <v>3</v>
      </c>
      <c r="D50" s="109" t="str" cm="1">
        <f t="array" ref="D50">INDEX('RelAftFlt-Map-1'!$H$7:$J$96,1+B50,C50)</f>
        <v/>
      </c>
    </row>
    <row r="51" spans="1:7" x14ac:dyDescent="0.75">
      <c r="A51" s="111">
        <v>49</v>
      </c>
      <c r="B51" s="111">
        <f t="shared" si="0"/>
        <v>16</v>
      </c>
      <c r="C51" s="111">
        <f t="shared" si="1"/>
        <v>1</v>
      </c>
      <c r="D51" s="109" t="str" cm="1">
        <f t="array" ref="D51">INDEX('RelAftFlt-Map-1'!$H$7:$J$96,1+B51,C51)</f>
        <v/>
      </c>
    </row>
    <row r="52" spans="1:7" x14ac:dyDescent="0.75">
      <c r="A52" s="111">
        <v>50</v>
      </c>
      <c r="B52" s="111">
        <f t="shared" si="0"/>
        <v>16</v>
      </c>
      <c r="C52" s="111">
        <f t="shared" si="1"/>
        <v>2</v>
      </c>
      <c r="D52" s="109" t="str" cm="1">
        <f t="array" ref="D52">INDEX('RelAftFlt-Map-1'!$H$7:$J$96,1+B52,C52)</f>
        <v/>
      </c>
    </row>
    <row r="53" spans="1:7" x14ac:dyDescent="0.75">
      <c r="A53" s="111">
        <v>51</v>
      </c>
      <c r="B53" s="111">
        <f t="shared" si="0"/>
        <v>16</v>
      </c>
      <c r="C53" s="111">
        <f t="shared" si="1"/>
        <v>3</v>
      </c>
      <c r="D53" s="109" t="str" cm="1">
        <f t="array" ref="D53">INDEX('RelAftFlt-Map-1'!$H$7:$J$96,1+B53,C53)</f>
        <v/>
      </c>
    </row>
    <row r="54" spans="1:7" x14ac:dyDescent="0.75">
      <c r="A54" s="111">
        <v>52</v>
      </c>
      <c r="B54" s="111">
        <f t="shared" si="0"/>
        <v>17</v>
      </c>
      <c r="C54" s="111">
        <f t="shared" si="1"/>
        <v>1</v>
      </c>
      <c r="D54" s="109" t="str" cm="1">
        <f t="array" ref="D54">INDEX('RelAftFlt-Map-1'!$H$7:$J$96,1+B54,C54)</f>
        <v/>
      </c>
    </row>
    <row r="55" spans="1:7" x14ac:dyDescent="0.75">
      <c r="A55" s="111">
        <v>53</v>
      </c>
      <c r="B55" s="111">
        <f t="shared" si="0"/>
        <v>17</v>
      </c>
      <c r="C55" s="111">
        <f t="shared" si="1"/>
        <v>2</v>
      </c>
      <c r="D55" s="109" t="str" cm="1">
        <f t="array" ref="D55">INDEX('RelAftFlt-Map-1'!$H$7:$J$96,1+B55,C55)</f>
        <v/>
      </c>
      <c r="G55" s="14"/>
    </row>
    <row r="56" spans="1:7" x14ac:dyDescent="0.75">
      <c r="A56" s="111">
        <v>54</v>
      </c>
      <c r="B56" s="111">
        <f t="shared" si="0"/>
        <v>17</v>
      </c>
      <c r="C56" s="111">
        <f t="shared" si="1"/>
        <v>3</v>
      </c>
      <c r="D56" s="109" t="str" cm="1">
        <f t="array" ref="D56">INDEX('RelAftFlt-Map-1'!$H$7:$J$96,1+B56,C56)</f>
        <v/>
      </c>
    </row>
    <row r="57" spans="1:7" x14ac:dyDescent="0.75">
      <c r="A57" s="111">
        <v>55</v>
      </c>
      <c r="B57" s="111">
        <f t="shared" si="0"/>
        <v>18</v>
      </c>
      <c r="C57" s="111">
        <f t="shared" si="1"/>
        <v>1</v>
      </c>
      <c r="D57" s="109" t="str" cm="1">
        <f t="array" ref="D57">INDEX('RelAftFlt-Map-1'!$H$7:$J$96,1+B57,C57)</f>
        <v/>
      </c>
    </row>
    <row r="58" spans="1:7" x14ac:dyDescent="0.75">
      <c r="A58" s="111">
        <v>56</v>
      </c>
      <c r="B58" s="111">
        <f t="shared" si="0"/>
        <v>18</v>
      </c>
      <c r="C58" s="111">
        <f t="shared" si="1"/>
        <v>2</v>
      </c>
      <c r="D58" s="109" t="str" cm="1">
        <f t="array" ref="D58">INDEX('RelAftFlt-Map-1'!$H$7:$J$96,1+B58,C58)</f>
        <v/>
      </c>
    </row>
    <row r="59" spans="1:7" x14ac:dyDescent="0.75">
      <c r="A59" s="111">
        <v>57</v>
      </c>
      <c r="B59" s="111">
        <f t="shared" si="0"/>
        <v>18</v>
      </c>
      <c r="C59" s="111">
        <f t="shared" si="1"/>
        <v>3</v>
      </c>
      <c r="D59" s="109" t="str" cm="1">
        <f t="array" ref="D59">INDEX('RelAftFlt-Map-1'!$H$7:$J$96,1+B59,C59)</f>
        <v/>
      </c>
    </row>
    <row r="60" spans="1:7" x14ac:dyDescent="0.75">
      <c r="A60" s="111">
        <v>58</v>
      </c>
      <c r="B60" s="111">
        <f t="shared" si="0"/>
        <v>19</v>
      </c>
      <c r="C60" s="111">
        <f t="shared" si="1"/>
        <v>1</v>
      </c>
      <c r="D60" s="109" t="str" cm="1">
        <f t="array" ref="D60">INDEX('RelAftFlt-Map-1'!$H$7:$J$96,1+B60,C60)</f>
        <v/>
      </c>
    </row>
    <row r="61" spans="1:7" x14ac:dyDescent="0.75">
      <c r="A61" s="111">
        <v>59</v>
      </c>
      <c r="B61" s="111">
        <f t="shared" si="0"/>
        <v>19</v>
      </c>
      <c r="C61" s="111">
        <f t="shared" si="1"/>
        <v>2</v>
      </c>
      <c r="D61" s="109" t="str" cm="1">
        <f t="array" ref="D61">INDEX('RelAftFlt-Map-1'!$H$7:$J$96,1+B61,C61)</f>
        <v/>
      </c>
    </row>
    <row r="62" spans="1:7" x14ac:dyDescent="0.75">
      <c r="A62" s="111">
        <v>60</v>
      </c>
      <c r="B62" s="111">
        <f t="shared" si="0"/>
        <v>19</v>
      </c>
      <c r="C62" s="111">
        <f t="shared" si="1"/>
        <v>3</v>
      </c>
      <c r="D62" s="109" t="str" cm="1">
        <f t="array" ref="D62">INDEX('RelAftFlt-Map-1'!$H$7:$J$96,1+B62,C62)</f>
        <v/>
      </c>
    </row>
    <row r="63" spans="1:7" x14ac:dyDescent="0.75">
      <c r="A63" s="111">
        <v>61</v>
      </c>
      <c r="B63" s="111">
        <f t="shared" si="0"/>
        <v>20</v>
      </c>
      <c r="C63" s="111">
        <f t="shared" si="1"/>
        <v>1</v>
      </c>
      <c r="D63" s="109" t="str" cm="1">
        <f t="array" ref="D63">INDEX('RelAftFlt-Map-1'!$H$7:$J$96,1+B63,C63)</f>
        <v/>
      </c>
    </row>
    <row r="64" spans="1:7" x14ac:dyDescent="0.75">
      <c r="A64" s="111">
        <v>62</v>
      </c>
      <c r="B64" s="111">
        <f t="shared" si="0"/>
        <v>20</v>
      </c>
      <c r="C64" s="111">
        <f t="shared" si="1"/>
        <v>2</v>
      </c>
      <c r="D64" s="109" t="str" cm="1">
        <f t="array" ref="D64">INDEX('RelAftFlt-Map-1'!$H$7:$J$96,1+B64,C64)</f>
        <v/>
      </c>
    </row>
    <row r="65" spans="1:4" x14ac:dyDescent="0.75">
      <c r="A65" s="111">
        <v>63</v>
      </c>
      <c r="B65" s="111">
        <f t="shared" si="0"/>
        <v>20</v>
      </c>
      <c r="C65" s="111">
        <f t="shared" si="1"/>
        <v>3</v>
      </c>
      <c r="D65" s="109" t="str" cm="1">
        <f t="array" ref="D65">INDEX('RelAftFlt-Map-1'!$H$7:$J$96,1+B65,C65)</f>
        <v/>
      </c>
    </row>
    <row r="66" spans="1:4" x14ac:dyDescent="0.75">
      <c r="A66" s="111">
        <v>64</v>
      </c>
      <c r="B66" s="111">
        <f t="shared" si="0"/>
        <v>21</v>
      </c>
      <c r="C66" s="111">
        <f t="shared" si="1"/>
        <v>1</v>
      </c>
      <c r="D66" s="109" t="str" cm="1">
        <f t="array" ref="D66">INDEX('RelAftFlt-Map-1'!$H$7:$J$96,1+B66,C66)</f>
        <v/>
      </c>
    </row>
    <row r="67" spans="1:4" x14ac:dyDescent="0.75">
      <c r="A67" s="111">
        <v>65</v>
      </c>
      <c r="B67" s="111">
        <f t="shared" si="0"/>
        <v>21</v>
      </c>
      <c r="C67" s="111">
        <f t="shared" si="1"/>
        <v>2</v>
      </c>
      <c r="D67" s="109" t="str" cm="1">
        <f t="array" ref="D67">INDEX('RelAftFlt-Map-1'!$H$7:$J$96,1+B67,C67)</f>
        <v/>
      </c>
    </row>
    <row r="68" spans="1:4" x14ac:dyDescent="0.75">
      <c r="A68" s="111">
        <v>66</v>
      </c>
      <c r="B68" s="111">
        <f t="shared" ref="B68:B131" si="2">IF(MOD(A68,3)=0,A68/3-1,INT(A68/3))</f>
        <v>21</v>
      </c>
      <c r="C68" s="111">
        <f t="shared" ref="C68:C131" si="3">IF(MOD(A68,3)=0,3,MOD(A68,3))</f>
        <v>3</v>
      </c>
      <c r="D68" s="109" t="str" cm="1">
        <f t="array" ref="D68">INDEX('RelAftFlt-Map-1'!$H$7:$J$96,1+B68,C68)</f>
        <v/>
      </c>
    </row>
    <row r="69" spans="1:4" x14ac:dyDescent="0.75">
      <c r="A69" s="111">
        <v>67</v>
      </c>
      <c r="B69" s="111">
        <f t="shared" si="2"/>
        <v>22</v>
      </c>
      <c r="C69" s="111">
        <f t="shared" si="3"/>
        <v>1</v>
      </c>
      <c r="D69" s="109" t="str" cm="1">
        <f t="array" ref="D69">INDEX('RelAftFlt-Map-1'!$H$7:$J$96,1+B69,C69)</f>
        <v/>
      </c>
    </row>
    <row r="70" spans="1:4" x14ac:dyDescent="0.75">
      <c r="A70" s="111">
        <v>68</v>
      </c>
      <c r="B70" s="111">
        <f t="shared" si="2"/>
        <v>22</v>
      </c>
      <c r="C70" s="111">
        <f t="shared" si="3"/>
        <v>2</v>
      </c>
      <c r="D70" s="109" t="str" cm="1">
        <f t="array" ref="D70">INDEX('RelAftFlt-Map-1'!$H$7:$J$96,1+B70,C70)</f>
        <v/>
      </c>
    </row>
    <row r="71" spans="1:4" x14ac:dyDescent="0.75">
      <c r="A71" s="111">
        <v>69</v>
      </c>
      <c r="B71" s="111">
        <f t="shared" si="2"/>
        <v>22</v>
      </c>
      <c r="C71" s="111">
        <f t="shared" si="3"/>
        <v>3</v>
      </c>
      <c r="D71" s="109" t="str" cm="1">
        <f t="array" ref="D71">INDEX('RelAftFlt-Map-1'!$H$7:$J$96,1+B71,C71)</f>
        <v/>
      </c>
    </row>
    <row r="72" spans="1:4" x14ac:dyDescent="0.75">
      <c r="A72" s="111">
        <v>70</v>
      </c>
      <c r="B72" s="111">
        <f t="shared" si="2"/>
        <v>23</v>
      </c>
      <c r="C72" s="111">
        <f t="shared" si="3"/>
        <v>1</v>
      </c>
      <c r="D72" s="109" t="str" cm="1">
        <f t="array" ref="D72">INDEX('RelAftFlt-Map-1'!$H$7:$J$96,1+B72,C72)</f>
        <v/>
      </c>
    </row>
    <row r="73" spans="1:4" x14ac:dyDescent="0.75">
      <c r="A73" s="111">
        <v>71</v>
      </c>
      <c r="B73" s="111">
        <f t="shared" si="2"/>
        <v>23</v>
      </c>
      <c r="C73" s="111">
        <f t="shared" si="3"/>
        <v>2</v>
      </c>
      <c r="D73" s="109" t="str" cm="1">
        <f t="array" ref="D73">INDEX('RelAftFlt-Map-1'!$H$7:$J$96,1+B73,C73)</f>
        <v/>
      </c>
    </row>
    <row r="74" spans="1:4" x14ac:dyDescent="0.75">
      <c r="A74" s="111">
        <v>72</v>
      </c>
      <c r="B74" s="111">
        <f t="shared" si="2"/>
        <v>23</v>
      </c>
      <c r="C74" s="111">
        <f t="shared" si="3"/>
        <v>3</v>
      </c>
      <c r="D74" s="109" t="str" cm="1">
        <f t="array" ref="D74">INDEX('RelAftFlt-Map-1'!$H$7:$J$96,1+B74,C74)</f>
        <v/>
      </c>
    </row>
    <row r="75" spans="1:4" x14ac:dyDescent="0.75">
      <c r="A75" s="111">
        <v>73</v>
      </c>
      <c r="B75" s="111">
        <f t="shared" si="2"/>
        <v>24</v>
      </c>
      <c r="C75" s="111">
        <f t="shared" si="3"/>
        <v>1</v>
      </c>
      <c r="D75" s="109" t="str" cm="1">
        <f t="array" ref="D75">INDEX('RelAftFlt-Map-1'!$H$7:$J$96,1+B75,C75)</f>
        <v/>
      </c>
    </row>
    <row r="76" spans="1:4" x14ac:dyDescent="0.75">
      <c r="A76" s="111">
        <v>74</v>
      </c>
      <c r="B76" s="111">
        <f t="shared" si="2"/>
        <v>24</v>
      </c>
      <c r="C76" s="111">
        <f t="shared" si="3"/>
        <v>2</v>
      </c>
      <c r="D76" s="109" t="str" cm="1">
        <f t="array" ref="D76">INDEX('RelAftFlt-Map-1'!$H$7:$J$96,1+B76,C76)</f>
        <v/>
      </c>
    </row>
    <row r="77" spans="1:4" x14ac:dyDescent="0.75">
      <c r="A77" s="111">
        <v>75</v>
      </c>
      <c r="B77" s="111">
        <f t="shared" si="2"/>
        <v>24</v>
      </c>
      <c r="C77" s="111">
        <f t="shared" si="3"/>
        <v>3</v>
      </c>
      <c r="D77" s="109" t="str" cm="1">
        <f t="array" ref="D77">INDEX('RelAftFlt-Map-1'!$H$7:$J$96,1+B77,C77)</f>
        <v/>
      </c>
    </row>
    <row r="78" spans="1:4" x14ac:dyDescent="0.75">
      <c r="A78" s="111">
        <v>76</v>
      </c>
      <c r="B78" s="111">
        <f t="shared" si="2"/>
        <v>25</v>
      </c>
      <c r="C78" s="111">
        <f t="shared" si="3"/>
        <v>1</v>
      </c>
      <c r="D78" s="109" t="str" cm="1">
        <f t="array" ref="D78">INDEX('RelAftFlt-Map-1'!$H$7:$J$96,1+B78,C78)</f>
        <v/>
      </c>
    </row>
    <row r="79" spans="1:4" x14ac:dyDescent="0.75">
      <c r="A79" s="111">
        <v>77</v>
      </c>
      <c r="B79" s="111">
        <f t="shared" si="2"/>
        <v>25</v>
      </c>
      <c r="C79" s="111">
        <f t="shared" si="3"/>
        <v>2</v>
      </c>
      <c r="D79" s="109" t="str" cm="1">
        <f t="array" ref="D79">INDEX('RelAftFlt-Map-1'!$H$7:$J$96,1+B79,C79)</f>
        <v/>
      </c>
    </row>
    <row r="80" spans="1:4" x14ac:dyDescent="0.75">
      <c r="A80" s="111">
        <v>78</v>
      </c>
      <c r="B80" s="111">
        <f t="shared" si="2"/>
        <v>25</v>
      </c>
      <c r="C80" s="111">
        <f t="shared" si="3"/>
        <v>3</v>
      </c>
      <c r="D80" s="109" t="str" cm="1">
        <f t="array" ref="D80">INDEX('RelAftFlt-Map-1'!$H$7:$J$96,1+B80,C80)</f>
        <v/>
      </c>
    </row>
    <row r="81" spans="1:4" x14ac:dyDescent="0.75">
      <c r="A81" s="111">
        <v>79</v>
      </c>
      <c r="B81" s="111">
        <f t="shared" si="2"/>
        <v>26</v>
      </c>
      <c r="C81" s="111">
        <f t="shared" si="3"/>
        <v>1</v>
      </c>
      <c r="D81" s="109" t="str" cm="1">
        <f t="array" ref="D81">INDEX('RelAftFlt-Map-1'!$H$7:$J$96,1+B81,C81)</f>
        <v/>
      </c>
    </row>
    <row r="82" spans="1:4" x14ac:dyDescent="0.75">
      <c r="A82" s="111">
        <v>80</v>
      </c>
      <c r="B82" s="111">
        <f t="shared" si="2"/>
        <v>26</v>
      </c>
      <c r="C82" s="111">
        <f t="shared" si="3"/>
        <v>2</v>
      </c>
      <c r="D82" s="109" t="str" cm="1">
        <f t="array" ref="D82">INDEX('RelAftFlt-Map-1'!$H$7:$J$96,1+B82,C82)</f>
        <v/>
      </c>
    </row>
    <row r="83" spans="1:4" x14ac:dyDescent="0.75">
      <c r="A83" s="111">
        <v>81</v>
      </c>
      <c r="B83" s="111">
        <f t="shared" si="2"/>
        <v>26</v>
      </c>
      <c r="C83" s="111">
        <f t="shared" si="3"/>
        <v>3</v>
      </c>
      <c r="D83" s="109" t="str" cm="1">
        <f t="array" ref="D83">INDEX('RelAftFlt-Map-1'!$H$7:$J$96,1+B83,C83)</f>
        <v/>
      </c>
    </row>
    <row r="84" spans="1:4" x14ac:dyDescent="0.75">
      <c r="A84" s="111">
        <v>82</v>
      </c>
      <c r="B84" s="111">
        <f t="shared" si="2"/>
        <v>27</v>
      </c>
      <c r="C84" s="111">
        <f t="shared" si="3"/>
        <v>1</v>
      </c>
      <c r="D84" s="109" t="str" cm="1">
        <f t="array" ref="D84">INDEX('RelAftFlt-Map-1'!$H$7:$J$96,1+B84,C84)</f>
        <v/>
      </c>
    </row>
    <row r="85" spans="1:4" x14ac:dyDescent="0.75">
      <c r="A85" s="111">
        <v>83</v>
      </c>
      <c r="B85" s="111">
        <f t="shared" si="2"/>
        <v>27</v>
      </c>
      <c r="C85" s="111">
        <f t="shared" si="3"/>
        <v>2</v>
      </c>
      <c r="D85" s="109" t="str" cm="1">
        <f t="array" ref="D85">INDEX('RelAftFlt-Map-1'!$H$7:$J$96,1+B85,C85)</f>
        <v/>
      </c>
    </row>
    <row r="86" spans="1:4" x14ac:dyDescent="0.75">
      <c r="A86" s="111">
        <v>84</v>
      </c>
      <c r="B86" s="111">
        <f t="shared" si="2"/>
        <v>27</v>
      </c>
      <c r="C86" s="111">
        <f t="shared" si="3"/>
        <v>3</v>
      </c>
      <c r="D86" s="109" t="str" cm="1">
        <f t="array" ref="D86">INDEX('RelAftFlt-Map-1'!$H$7:$J$96,1+B86,C86)</f>
        <v/>
      </c>
    </row>
    <row r="87" spans="1:4" x14ac:dyDescent="0.75">
      <c r="A87" s="111">
        <v>85</v>
      </c>
      <c r="B87" s="111">
        <f t="shared" si="2"/>
        <v>28</v>
      </c>
      <c r="C87" s="111">
        <f t="shared" si="3"/>
        <v>1</v>
      </c>
      <c r="D87" s="109" t="str" cm="1">
        <f t="array" ref="D87">INDEX('RelAftFlt-Map-1'!$H$7:$J$96,1+B87,C87)</f>
        <v/>
      </c>
    </row>
    <row r="88" spans="1:4" x14ac:dyDescent="0.75">
      <c r="A88" s="111">
        <v>86</v>
      </c>
      <c r="B88" s="111">
        <f t="shared" si="2"/>
        <v>28</v>
      </c>
      <c r="C88" s="111">
        <f t="shared" si="3"/>
        <v>2</v>
      </c>
      <c r="D88" s="109" t="str" cm="1">
        <f t="array" ref="D88">INDEX('RelAftFlt-Map-1'!$H$7:$J$96,1+B88,C88)</f>
        <v/>
      </c>
    </row>
    <row r="89" spans="1:4" x14ac:dyDescent="0.75">
      <c r="A89" s="111">
        <v>87</v>
      </c>
      <c r="B89" s="111">
        <f t="shared" si="2"/>
        <v>28</v>
      </c>
      <c r="C89" s="111">
        <f t="shared" si="3"/>
        <v>3</v>
      </c>
      <c r="D89" s="109" t="str" cm="1">
        <f t="array" ref="D89">INDEX('RelAftFlt-Map-1'!$H$7:$J$96,1+B89,C89)</f>
        <v/>
      </c>
    </row>
    <row r="90" spans="1:4" x14ac:dyDescent="0.75">
      <c r="A90" s="111">
        <v>88</v>
      </c>
      <c r="B90" s="111">
        <f t="shared" si="2"/>
        <v>29</v>
      </c>
      <c r="C90" s="111">
        <f t="shared" si="3"/>
        <v>1</v>
      </c>
      <c r="D90" s="109" t="str" cm="1">
        <f t="array" ref="D90">INDEX('RelAftFlt-Map-1'!$H$7:$J$96,1+B90,C90)</f>
        <v/>
      </c>
    </row>
    <row r="91" spans="1:4" x14ac:dyDescent="0.75">
      <c r="A91" s="111">
        <v>89</v>
      </c>
      <c r="B91" s="111">
        <f t="shared" si="2"/>
        <v>29</v>
      </c>
      <c r="C91" s="111">
        <f t="shared" si="3"/>
        <v>2</v>
      </c>
      <c r="D91" s="109" t="str" cm="1">
        <f t="array" ref="D91">INDEX('RelAftFlt-Map-1'!$H$7:$J$96,1+B91,C91)</f>
        <v/>
      </c>
    </row>
    <row r="92" spans="1:4" x14ac:dyDescent="0.75">
      <c r="A92" s="111">
        <v>90</v>
      </c>
      <c r="B92" s="111">
        <f t="shared" si="2"/>
        <v>29</v>
      </c>
      <c r="C92" s="111">
        <f t="shared" si="3"/>
        <v>3</v>
      </c>
      <c r="D92" s="109" t="str" cm="1">
        <f t="array" ref="D92">INDEX('RelAftFlt-Map-1'!$H$7:$J$96,1+B92,C92)</f>
        <v/>
      </c>
    </row>
    <row r="93" spans="1:4" x14ac:dyDescent="0.75">
      <c r="A93" s="111">
        <v>91</v>
      </c>
      <c r="B93" s="111">
        <f t="shared" si="2"/>
        <v>30</v>
      </c>
      <c r="C93" s="111">
        <f t="shared" si="3"/>
        <v>1</v>
      </c>
      <c r="D93" s="109" t="str" cm="1">
        <f t="array" ref="D93">INDEX('RelAftFlt-Map-1'!$H$7:$J$96,1+B93,C93)</f>
        <v/>
      </c>
    </row>
    <row r="94" spans="1:4" x14ac:dyDescent="0.75">
      <c r="A94" s="111">
        <v>92</v>
      </c>
      <c r="B94" s="111">
        <f t="shared" si="2"/>
        <v>30</v>
      </c>
      <c r="C94" s="111">
        <f t="shared" si="3"/>
        <v>2</v>
      </c>
      <c r="D94" s="109" t="str" cm="1">
        <f t="array" ref="D94">INDEX('RelAftFlt-Map-1'!$H$7:$J$96,1+B94,C94)</f>
        <v/>
      </c>
    </row>
    <row r="95" spans="1:4" x14ac:dyDescent="0.75">
      <c r="A95" s="111">
        <v>93</v>
      </c>
      <c r="B95" s="111">
        <f t="shared" si="2"/>
        <v>30</v>
      </c>
      <c r="C95" s="111">
        <f t="shared" si="3"/>
        <v>3</v>
      </c>
      <c r="D95" s="109" t="str" cm="1">
        <f t="array" ref="D95">INDEX('RelAftFlt-Map-1'!$H$7:$J$96,1+B95,C95)</f>
        <v/>
      </c>
    </row>
    <row r="96" spans="1:4" x14ac:dyDescent="0.75">
      <c r="A96" s="111">
        <v>94</v>
      </c>
      <c r="B96" s="111">
        <f t="shared" si="2"/>
        <v>31</v>
      </c>
      <c r="C96" s="111">
        <f t="shared" si="3"/>
        <v>1</v>
      </c>
      <c r="D96" s="109" t="str" cm="1">
        <f t="array" ref="D96">INDEX('RelAftFlt-Map-1'!$H$7:$J$96,1+B96,C96)</f>
        <v/>
      </c>
    </row>
    <row r="97" spans="1:4" x14ac:dyDescent="0.75">
      <c r="A97" s="111">
        <v>95</v>
      </c>
      <c r="B97" s="111">
        <f t="shared" si="2"/>
        <v>31</v>
      </c>
      <c r="C97" s="111">
        <f t="shared" si="3"/>
        <v>2</v>
      </c>
      <c r="D97" s="109" t="str" cm="1">
        <f t="array" ref="D97">INDEX('RelAftFlt-Map-1'!$H$7:$J$96,1+B97,C97)</f>
        <v/>
      </c>
    </row>
    <row r="98" spans="1:4" x14ac:dyDescent="0.75">
      <c r="A98" s="111">
        <v>96</v>
      </c>
      <c r="B98" s="111">
        <f t="shared" si="2"/>
        <v>31</v>
      </c>
      <c r="C98" s="111">
        <f t="shared" si="3"/>
        <v>3</v>
      </c>
      <c r="D98" s="109" t="str" cm="1">
        <f t="array" ref="D98">INDEX('RelAftFlt-Map-1'!$H$7:$J$96,1+B98,C98)</f>
        <v/>
      </c>
    </row>
    <row r="99" spans="1:4" x14ac:dyDescent="0.75">
      <c r="A99" s="111">
        <v>97</v>
      </c>
      <c r="B99" s="111">
        <f t="shared" si="2"/>
        <v>32</v>
      </c>
      <c r="C99" s="111">
        <f t="shared" si="3"/>
        <v>1</v>
      </c>
      <c r="D99" s="109" t="str" cm="1">
        <f t="array" ref="D99">INDEX('RelAftFlt-Map-1'!$H$7:$J$96,1+B99,C99)</f>
        <v/>
      </c>
    </row>
    <row r="100" spans="1:4" x14ac:dyDescent="0.75">
      <c r="A100" s="111">
        <v>98</v>
      </c>
      <c r="B100" s="111">
        <f t="shared" si="2"/>
        <v>32</v>
      </c>
      <c r="C100" s="111">
        <f t="shared" si="3"/>
        <v>2</v>
      </c>
      <c r="D100" s="109" t="str" cm="1">
        <f t="array" ref="D100">INDEX('RelAftFlt-Map-1'!$H$7:$J$96,1+B100,C100)</f>
        <v/>
      </c>
    </row>
    <row r="101" spans="1:4" x14ac:dyDescent="0.75">
      <c r="A101" s="111">
        <v>99</v>
      </c>
      <c r="B101" s="111">
        <f t="shared" si="2"/>
        <v>32</v>
      </c>
      <c r="C101" s="111">
        <f t="shared" si="3"/>
        <v>3</v>
      </c>
      <c r="D101" s="109" t="str" cm="1">
        <f t="array" ref="D101">INDEX('RelAftFlt-Map-1'!$H$7:$J$96,1+B101,C101)</f>
        <v/>
      </c>
    </row>
    <row r="102" spans="1:4" x14ac:dyDescent="0.75">
      <c r="A102" s="111">
        <v>100</v>
      </c>
      <c r="B102" s="111">
        <f t="shared" si="2"/>
        <v>33</v>
      </c>
      <c r="C102" s="111">
        <f t="shared" si="3"/>
        <v>1</v>
      </c>
      <c r="D102" s="109" t="str" cm="1">
        <f t="array" ref="D102">INDEX('RelAftFlt-Map-1'!$H$7:$J$96,1+B102,C102)</f>
        <v/>
      </c>
    </row>
    <row r="103" spans="1:4" x14ac:dyDescent="0.75">
      <c r="A103" s="111">
        <v>101</v>
      </c>
      <c r="B103" s="111">
        <f t="shared" si="2"/>
        <v>33</v>
      </c>
      <c r="C103" s="111">
        <f t="shared" si="3"/>
        <v>2</v>
      </c>
      <c r="D103" s="109" t="str" cm="1">
        <f t="array" ref="D103">INDEX('RelAftFlt-Map-1'!$H$7:$J$96,1+B103,C103)</f>
        <v/>
      </c>
    </row>
    <row r="104" spans="1:4" x14ac:dyDescent="0.75">
      <c r="A104" s="111">
        <v>102</v>
      </c>
      <c r="B104" s="111">
        <f t="shared" si="2"/>
        <v>33</v>
      </c>
      <c r="C104" s="111">
        <f t="shared" si="3"/>
        <v>3</v>
      </c>
      <c r="D104" s="109" t="str" cm="1">
        <f t="array" ref="D104">INDEX('RelAftFlt-Map-1'!$H$7:$J$96,1+B104,C104)</f>
        <v/>
      </c>
    </row>
    <row r="105" spans="1:4" x14ac:dyDescent="0.75">
      <c r="A105" s="111">
        <v>103</v>
      </c>
      <c r="B105" s="111">
        <f t="shared" si="2"/>
        <v>34</v>
      </c>
      <c r="C105" s="111">
        <f t="shared" si="3"/>
        <v>1</v>
      </c>
      <c r="D105" s="109" t="str" cm="1">
        <f t="array" ref="D105">INDEX('RelAftFlt-Map-1'!$H$7:$J$96,1+B105,C105)</f>
        <v/>
      </c>
    </row>
    <row r="106" spans="1:4" x14ac:dyDescent="0.75">
      <c r="A106" s="111">
        <v>104</v>
      </c>
      <c r="B106" s="111">
        <f t="shared" si="2"/>
        <v>34</v>
      </c>
      <c r="C106" s="111">
        <f t="shared" si="3"/>
        <v>2</v>
      </c>
      <c r="D106" s="109" t="str" cm="1">
        <f t="array" ref="D106">INDEX('RelAftFlt-Map-1'!$H$7:$J$96,1+B106,C106)</f>
        <v/>
      </c>
    </row>
    <row r="107" spans="1:4" x14ac:dyDescent="0.75">
      <c r="A107" s="111">
        <v>105</v>
      </c>
      <c r="B107" s="111">
        <f t="shared" si="2"/>
        <v>34</v>
      </c>
      <c r="C107" s="111">
        <f t="shared" si="3"/>
        <v>3</v>
      </c>
      <c r="D107" s="109" t="str" cm="1">
        <f t="array" ref="D107">INDEX('RelAftFlt-Map-1'!$H$7:$J$96,1+B107,C107)</f>
        <v/>
      </c>
    </row>
    <row r="108" spans="1:4" x14ac:dyDescent="0.75">
      <c r="A108" s="111">
        <v>106</v>
      </c>
      <c r="B108" s="111">
        <f t="shared" si="2"/>
        <v>35</v>
      </c>
      <c r="C108" s="111">
        <f t="shared" si="3"/>
        <v>1</v>
      </c>
      <c r="D108" s="109" t="str" cm="1">
        <f t="array" ref="D108">INDEX('RelAftFlt-Map-1'!$H$7:$J$96,1+B108,C108)</f>
        <v/>
      </c>
    </row>
    <row r="109" spans="1:4" x14ac:dyDescent="0.75">
      <c r="A109" s="111">
        <v>107</v>
      </c>
      <c r="B109" s="111">
        <f t="shared" si="2"/>
        <v>35</v>
      </c>
      <c r="C109" s="111">
        <f t="shared" si="3"/>
        <v>2</v>
      </c>
      <c r="D109" s="109" t="str" cm="1">
        <f t="array" ref="D109">INDEX('RelAftFlt-Map-1'!$H$7:$J$96,1+B109,C109)</f>
        <v/>
      </c>
    </row>
    <row r="110" spans="1:4" x14ac:dyDescent="0.75">
      <c r="A110" s="111">
        <v>108</v>
      </c>
      <c r="B110" s="111">
        <f t="shared" si="2"/>
        <v>35</v>
      </c>
      <c r="C110" s="111">
        <f t="shared" si="3"/>
        <v>3</v>
      </c>
      <c r="D110" s="109" t="str" cm="1">
        <f t="array" ref="D110">INDEX('RelAftFlt-Map-1'!$H$7:$J$96,1+B110,C110)</f>
        <v/>
      </c>
    </row>
    <row r="111" spans="1:4" x14ac:dyDescent="0.75">
      <c r="A111" s="111">
        <v>109</v>
      </c>
      <c r="B111" s="111">
        <f t="shared" si="2"/>
        <v>36</v>
      </c>
      <c r="C111" s="111">
        <f t="shared" si="3"/>
        <v>1</v>
      </c>
      <c r="D111" s="109" t="str" cm="1">
        <f t="array" ref="D111">INDEX('RelAftFlt-Map-1'!$H$7:$J$96,1+B111,C111)</f>
        <v/>
      </c>
    </row>
    <row r="112" spans="1:4" x14ac:dyDescent="0.75">
      <c r="A112" s="111">
        <v>110</v>
      </c>
      <c r="B112" s="111">
        <f t="shared" si="2"/>
        <v>36</v>
      </c>
      <c r="C112" s="111">
        <f t="shared" si="3"/>
        <v>2</v>
      </c>
      <c r="D112" s="109" t="str" cm="1">
        <f t="array" ref="D112">INDEX('RelAftFlt-Map-1'!$H$7:$J$96,1+B112,C112)</f>
        <v/>
      </c>
    </row>
    <row r="113" spans="1:4" x14ac:dyDescent="0.75">
      <c r="A113" s="111">
        <v>111</v>
      </c>
      <c r="B113" s="111">
        <f t="shared" si="2"/>
        <v>36</v>
      </c>
      <c r="C113" s="111">
        <f t="shared" si="3"/>
        <v>3</v>
      </c>
      <c r="D113" s="109" t="str" cm="1">
        <f t="array" ref="D113">INDEX('RelAftFlt-Map-1'!$H$7:$J$96,1+B113,C113)</f>
        <v/>
      </c>
    </row>
    <row r="114" spans="1:4" x14ac:dyDescent="0.75">
      <c r="A114" s="111">
        <v>112</v>
      </c>
      <c r="B114" s="111">
        <f t="shared" si="2"/>
        <v>37</v>
      </c>
      <c r="C114" s="111">
        <f t="shared" si="3"/>
        <v>1</v>
      </c>
      <c r="D114" s="109" t="str" cm="1">
        <f t="array" ref="D114">INDEX('RelAftFlt-Map-1'!$H$7:$J$96,1+B114,C114)</f>
        <v/>
      </c>
    </row>
    <row r="115" spans="1:4" x14ac:dyDescent="0.75">
      <c r="A115" s="111">
        <v>113</v>
      </c>
      <c r="B115" s="111">
        <f t="shared" si="2"/>
        <v>37</v>
      </c>
      <c r="C115" s="111">
        <f t="shared" si="3"/>
        <v>2</v>
      </c>
      <c r="D115" s="109" t="str" cm="1">
        <f t="array" ref="D115">INDEX('RelAftFlt-Map-1'!$H$7:$J$96,1+B115,C115)</f>
        <v/>
      </c>
    </row>
    <row r="116" spans="1:4" x14ac:dyDescent="0.75">
      <c r="A116" s="111">
        <v>114</v>
      </c>
      <c r="B116" s="111">
        <f t="shared" si="2"/>
        <v>37</v>
      </c>
      <c r="C116" s="111">
        <f t="shared" si="3"/>
        <v>3</v>
      </c>
      <c r="D116" s="109" t="str" cm="1">
        <f t="array" ref="D116">INDEX('RelAftFlt-Map-1'!$H$7:$J$96,1+B116,C116)</f>
        <v/>
      </c>
    </row>
    <row r="117" spans="1:4" x14ac:dyDescent="0.75">
      <c r="A117" s="111">
        <v>115</v>
      </c>
      <c r="B117" s="111">
        <f t="shared" si="2"/>
        <v>38</v>
      </c>
      <c r="C117" s="111">
        <f t="shared" si="3"/>
        <v>1</v>
      </c>
      <c r="D117" s="109" t="str" cm="1">
        <f t="array" ref="D117">INDEX('RelAftFlt-Map-1'!$H$7:$J$96,1+B117,C117)</f>
        <v/>
      </c>
    </row>
    <row r="118" spans="1:4" x14ac:dyDescent="0.75">
      <c r="A118" s="111">
        <v>116</v>
      </c>
      <c r="B118" s="111">
        <f t="shared" si="2"/>
        <v>38</v>
      </c>
      <c r="C118" s="111">
        <f t="shared" si="3"/>
        <v>2</v>
      </c>
      <c r="D118" s="109" t="str" cm="1">
        <f t="array" ref="D118">INDEX('RelAftFlt-Map-1'!$H$7:$J$96,1+B118,C118)</f>
        <v/>
      </c>
    </row>
    <row r="119" spans="1:4" x14ac:dyDescent="0.75">
      <c r="A119" s="111">
        <v>117</v>
      </c>
      <c r="B119" s="111">
        <f t="shared" si="2"/>
        <v>38</v>
      </c>
      <c r="C119" s="111">
        <f t="shared" si="3"/>
        <v>3</v>
      </c>
      <c r="D119" s="109" t="str" cm="1">
        <f t="array" ref="D119">INDEX('RelAftFlt-Map-1'!$H$7:$J$96,1+B119,C119)</f>
        <v/>
      </c>
    </row>
    <row r="120" spans="1:4" x14ac:dyDescent="0.75">
      <c r="A120" s="111">
        <v>118</v>
      </c>
      <c r="B120" s="111">
        <f t="shared" si="2"/>
        <v>39</v>
      </c>
      <c r="C120" s="111">
        <f t="shared" si="3"/>
        <v>1</v>
      </c>
      <c r="D120" s="109" t="str" cm="1">
        <f t="array" ref="D120">INDEX('RelAftFlt-Map-1'!$H$7:$J$96,1+B120,C120)</f>
        <v/>
      </c>
    </row>
    <row r="121" spans="1:4" x14ac:dyDescent="0.75">
      <c r="A121" s="111">
        <v>119</v>
      </c>
      <c r="B121" s="111">
        <f t="shared" si="2"/>
        <v>39</v>
      </c>
      <c r="C121" s="111">
        <f t="shared" si="3"/>
        <v>2</v>
      </c>
      <c r="D121" s="109" t="str" cm="1">
        <f t="array" ref="D121">INDEX('RelAftFlt-Map-1'!$H$7:$J$96,1+B121,C121)</f>
        <v/>
      </c>
    </row>
    <row r="122" spans="1:4" x14ac:dyDescent="0.75">
      <c r="A122" s="111">
        <v>120</v>
      </c>
      <c r="B122" s="111">
        <f t="shared" si="2"/>
        <v>39</v>
      </c>
      <c r="C122" s="111">
        <f t="shared" si="3"/>
        <v>3</v>
      </c>
      <c r="D122" s="109" t="str" cm="1">
        <f t="array" ref="D122">INDEX('RelAftFlt-Map-1'!$H$7:$J$96,1+B122,C122)</f>
        <v/>
      </c>
    </row>
    <row r="123" spans="1:4" x14ac:dyDescent="0.75">
      <c r="A123" s="111">
        <v>121</v>
      </c>
      <c r="B123" s="111">
        <f t="shared" si="2"/>
        <v>40</v>
      </c>
      <c r="C123" s="111">
        <f t="shared" si="3"/>
        <v>1</v>
      </c>
      <c r="D123" s="109" t="str" cm="1">
        <f t="array" ref="D123">INDEX('RelAftFlt-Map-1'!$H$7:$J$96,1+B123,C123)</f>
        <v/>
      </c>
    </row>
    <row r="124" spans="1:4" x14ac:dyDescent="0.75">
      <c r="A124" s="111">
        <v>122</v>
      </c>
      <c r="B124" s="111">
        <f t="shared" si="2"/>
        <v>40</v>
      </c>
      <c r="C124" s="111">
        <f t="shared" si="3"/>
        <v>2</v>
      </c>
      <c r="D124" s="109" t="str" cm="1">
        <f t="array" ref="D124">INDEX('RelAftFlt-Map-1'!$H$7:$J$96,1+B124,C124)</f>
        <v/>
      </c>
    </row>
    <row r="125" spans="1:4" x14ac:dyDescent="0.75">
      <c r="A125" s="111">
        <v>123</v>
      </c>
      <c r="B125" s="111">
        <f t="shared" si="2"/>
        <v>40</v>
      </c>
      <c r="C125" s="111">
        <f t="shared" si="3"/>
        <v>3</v>
      </c>
      <c r="D125" s="109" t="str" cm="1">
        <f t="array" ref="D125">INDEX('RelAftFlt-Map-1'!$H$7:$J$96,1+B125,C125)</f>
        <v/>
      </c>
    </row>
    <row r="126" spans="1:4" x14ac:dyDescent="0.75">
      <c r="A126" s="111">
        <v>124</v>
      </c>
      <c r="B126" s="111">
        <f t="shared" si="2"/>
        <v>41</v>
      </c>
      <c r="C126" s="111">
        <f t="shared" si="3"/>
        <v>1</v>
      </c>
      <c r="D126" s="109" t="str" cm="1">
        <f t="array" ref="D126">INDEX('RelAftFlt-Map-1'!$H$7:$J$96,1+B126,C126)</f>
        <v/>
      </c>
    </row>
    <row r="127" spans="1:4" x14ac:dyDescent="0.75">
      <c r="A127" s="111">
        <v>125</v>
      </c>
      <c r="B127" s="111">
        <f t="shared" si="2"/>
        <v>41</v>
      </c>
      <c r="C127" s="111">
        <f t="shared" si="3"/>
        <v>2</v>
      </c>
      <c r="D127" s="109" t="str" cm="1">
        <f t="array" ref="D127">INDEX('RelAftFlt-Map-1'!$H$7:$J$96,1+B127,C127)</f>
        <v/>
      </c>
    </row>
    <row r="128" spans="1:4" x14ac:dyDescent="0.75">
      <c r="A128" s="111">
        <v>126</v>
      </c>
      <c r="B128" s="111">
        <f t="shared" si="2"/>
        <v>41</v>
      </c>
      <c r="C128" s="111">
        <f t="shared" si="3"/>
        <v>3</v>
      </c>
      <c r="D128" s="109" t="str" cm="1">
        <f t="array" ref="D128">INDEX('RelAftFlt-Map-1'!$H$7:$J$96,1+B128,C128)</f>
        <v/>
      </c>
    </row>
    <row r="129" spans="1:4" x14ac:dyDescent="0.75">
      <c r="A129" s="111">
        <v>127</v>
      </c>
      <c r="B129" s="111">
        <f t="shared" si="2"/>
        <v>42</v>
      </c>
      <c r="C129" s="111">
        <f t="shared" si="3"/>
        <v>1</v>
      </c>
      <c r="D129" s="109" t="str" cm="1">
        <f t="array" ref="D129">INDEX('RelAftFlt-Map-1'!$H$7:$J$96,1+B129,C129)</f>
        <v/>
      </c>
    </row>
    <row r="130" spans="1:4" x14ac:dyDescent="0.75">
      <c r="A130" s="111">
        <v>128</v>
      </c>
      <c r="B130" s="111">
        <f t="shared" si="2"/>
        <v>42</v>
      </c>
      <c r="C130" s="111">
        <f t="shared" si="3"/>
        <v>2</v>
      </c>
      <c r="D130" s="109" t="str" cm="1">
        <f t="array" ref="D130">INDEX('RelAftFlt-Map-1'!$H$7:$J$96,1+B130,C130)</f>
        <v/>
      </c>
    </row>
    <row r="131" spans="1:4" x14ac:dyDescent="0.75">
      <c r="A131" s="111">
        <v>129</v>
      </c>
      <c r="B131" s="111">
        <f t="shared" si="2"/>
        <v>42</v>
      </c>
      <c r="C131" s="111">
        <f t="shared" si="3"/>
        <v>3</v>
      </c>
      <c r="D131" s="109" t="str" cm="1">
        <f t="array" ref="D131">INDEX('RelAftFlt-Map-1'!$H$7:$J$96,1+B131,C131)</f>
        <v/>
      </c>
    </row>
    <row r="132" spans="1:4" x14ac:dyDescent="0.75">
      <c r="A132" s="111">
        <v>130</v>
      </c>
      <c r="B132" s="111">
        <f t="shared" ref="B132:B195" si="4">IF(MOD(A132,3)=0,A132/3-1,INT(A132/3))</f>
        <v>43</v>
      </c>
      <c r="C132" s="111">
        <f t="shared" ref="C132:C195" si="5">IF(MOD(A132,3)=0,3,MOD(A132,3))</f>
        <v>1</v>
      </c>
      <c r="D132" s="109" t="str" cm="1">
        <f t="array" ref="D132">INDEX('RelAftFlt-Map-1'!$H$7:$J$96,1+B132,C132)</f>
        <v/>
      </c>
    </row>
    <row r="133" spans="1:4" x14ac:dyDescent="0.75">
      <c r="A133" s="111">
        <v>131</v>
      </c>
      <c r="B133" s="111">
        <f t="shared" si="4"/>
        <v>43</v>
      </c>
      <c r="C133" s="111">
        <f t="shared" si="5"/>
        <v>2</v>
      </c>
      <c r="D133" s="109" t="str" cm="1">
        <f t="array" ref="D133">INDEX('RelAftFlt-Map-1'!$H$7:$J$96,1+B133,C133)</f>
        <v/>
      </c>
    </row>
    <row r="134" spans="1:4" x14ac:dyDescent="0.75">
      <c r="A134" s="111">
        <v>132</v>
      </c>
      <c r="B134" s="111">
        <f t="shared" si="4"/>
        <v>43</v>
      </c>
      <c r="C134" s="111">
        <f t="shared" si="5"/>
        <v>3</v>
      </c>
      <c r="D134" s="109" t="str" cm="1">
        <f t="array" ref="D134">INDEX('RelAftFlt-Map-1'!$H$7:$J$96,1+B134,C134)</f>
        <v/>
      </c>
    </row>
    <row r="135" spans="1:4" x14ac:dyDescent="0.75">
      <c r="A135" s="111">
        <v>133</v>
      </c>
      <c r="B135" s="111">
        <f t="shared" si="4"/>
        <v>44</v>
      </c>
      <c r="C135" s="111">
        <f t="shared" si="5"/>
        <v>1</v>
      </c>
      <c r="D135" s="109" t="str" cm="1">
        <f t="array" ref="D135">INDEX('RelAftFlt-Map-1'!$H$7:$J$96,1+B135,C135)</f>
        <v/>
      </c>
    </row>
    <row r="136" spans="1:4" x14ac:dyDescent="0.75">
      <c r="A136" s="111">
        <v>134</v>
      </c>
      <c r="B136" s="111">
        <f t="shared" si="4"/>
        <v>44</v>
      </c>
      <c r="C136" s="111">
        <f t="shared" si="5"/>
        <v>2</v>
      </c>
      <c r="D136" s="109" t="str" cm="1">
        <f t="array" ref="D136">INDEX('RelAftFlt-Map-1'!$H$7:$J$96,1+B136,C136)</f>
        <v/>
      </c>
    </row>
    <row r="137" spans="1:4" x14ac:dyDescent="0.75">
      <c r="A137" s="111">
        <v>135</v>
      </c>
      <c r="B137" s="111">
        <f t="shared" si="4"/>
        <v>44</v>
      </c>
      <c r="C137" s="111">
        <f t="shared" si="5"/>
        <v>3</v>
      </c>
      <c r="D137" s="109" t="str" cm="1">
        <f t="array" ref="D137">INDEX('RelAftFlt-Map-1'!$H$7:$J$96,1+B137,C137)</f>
        <v/>
      </c>
    </row>
    <row r="138" spans="1:4" x14ac:dyDescent="0.75">
      <c r="A138" s="111">
        <v>136</v>
      </c>
      <c r="B138" s="111">
        <f t="shared" si="4"/>
        <v>45</v>
      </c>
      <c r="C138" s="111">
        <f t="shared" si="5"/>
        <v>1</v>
      </c>
      <c r="D138" s="109" t="str" cm="1">
        <f t="array" ref="D138">INDEX('RelAftFlt-Map-1'!$H$7:$J$96,1+B138,C138)</f>
        <v/>
      </c>
    </row>
    <row r="139" spans="1:4" x14ac:dyDescent="0.75">
      <c r="A139" s="111">
        <v>137</v>
      </c>
      <c r="B139" s="111">
        <f t="shared" si="4"/>
        <v>45</v>
      </c>
      <c r="C139" s="111">
        <f t="shared" si="5"/>
        <v>2</v>
      </c>
      <c r="D139" s="109" t="str" cm="1">
        <f t="array" ref="D139">INDEX('RelAftFlt-Map-1'!$H$7:$J$96,1+B139,C139)</f>
        <v/>
      </c>
    </row>
    <row r="140" spans="1:4" x14ac:dyDescent="0.75">
      <c r="A140" s="111">
        <v>138</v>
      </c>
      <c r="B140" s="111">
        <f t="shared" si="4"/>
        <v>45</v>
      </c>
      <c r="C140" s="111">
        <f t="shared" si="5"/>
        <v>3</v>
      </c>
      <c r="D140" s="109" t="str" cm="1">
        <f t="array" ref="D140">INDEX('RelAftFlt-Map-1'!$H$7:$J$96,1+B140,C140)</f>
        <v/>
      </c>
    </row>
    <row r="141" spans="1:4" x14ac:dyDescent="0.75">
      <c r="A141" s="111">
        <v>139</v>
      </c>
      <c r="B141" s="111">
        <f t="shared" si="4"/>
        <v>46</v>
      </c>
      <c r="C141" s="111">
        <f t="shared" si="5"/>
        <v>1</v>
      </c>
      <c r="D141" s="109" t="str" cm="1">
        <f t="array" ref="D141">INDEX('RelAftFlt-Map-1'!$H$7:$J$96,1+B141,C141)</f>
        <v/>
      </c>
    </row>
    <row r="142" spans="1:4" x14ac:dyDescent="0.75">
      <c r="A142" s="111">
        <v>140</v>
      </c>
      <c r="B142" s="111">
        <f t="shared" si="4"/>
        <v>46</v>
      </c>
      <c r="C142" s="111">
        <f t="shared" si="5"/>
        <v>2</v>
      </c>
      <c r="D142" s="109" t="str" cm="1">
        <f t="array" ref="D142">INDEX('RelAftFlt-Map-1'!$H$7:$J$96,1+B142,C142)</f>
        <v/>
      </c>
    </row>
    <row r="143" spans="1:4" x14ac:dyDescent="0.75">
      <c r="A143" s="111">
        <v>141</v>
      </c>
      <c r="B143" s="111">
        <f t="shared" si="4"/>
        <v>46</v>
      </c>
      <c r="C143" s="111">
        <f t="shared" si="5"/>
        <v>3</v>
      </c>
      <c r="D143" s="109" t="str" cm="1">
        <f t="array" ref="D143">INDEX('RelAftFlt-Map-1'!$H$7:$J$96,1+B143,C143)</f>
        <v/>
      </c>
    </row>
    <row r="144" spans="1:4" x14ac:dyDescent="0.75">
      <c r="A144" s="111">
        <v>142</v>
      </c>
      <c r="B144" s="111">
        <f t="shared" si="4"/>
        <v>47</v>
      </c>
      <c r="C144" s="111">
        <f t="shared" si="5"/>
        <v>1</v>
      </c>
      <c r="D144" s="109" t="str" cm="1">
        <f t="array" ref="D144">INDEX('RelAftFlt-Map-1'!$H$7:$J$96,1+B144,C144)</f>
        <v/>
      </c>
    </row>
    <row r="145" spans="1:4" x14ac:dyDescent="0.75">
      <c r="A145" s="111">
        <v>143</v>
      </c>
      <c r="B145" s="111">
        <f t="shared" si="4"/>
        <v>47</v>
      </c>
      <c r="C145" s="111">
        <f t="shared" si="5"/>
        <v>2</v>
      </c>
      <c r="D145" s="109" t="str" cm="1">
        <f t="array" ref="D145">INDEX('RelAftFlt-Map-1'!$H$7:$J$96,1+B145,C145)</f>
        <v/>
      </c>
    </row>
    <row r="146" spans="1:4" x14ac:dyDescent="0.75">
      <c r="A146" s="111">
        <v>144</v>
      </c>
      <c r="B146" s="111">
        <f t="shared" si="4"/>
        <v>47</v>
      </c>
      <c r="C146" s="111">
        <f t="shared" si="5"/>
        <v>3</v>
      </c>
      <c r="D146" s="109" t="str" cm="1">
        <f t="array" ref="D146">INDEX('RelAftFlt-Map-1'!$H$7:$J$96,1+B146,C146)</f>
        <v/>
      </c>
    </row>
    <row r="147" spans="1:4" x14ac:dyDescent="0.75">
      <c r="A147" s="111">
        <v>145</v>
      </c>
      <c r="B147" s="111">
        <f t="shared" si="4"/>
        <v>48</v>
      </c>
      <c r="C147" s="111">
        <f t="shared" si="5"/>
        <v>1</v>
      </c>
      <c r="D147" s="109" t="str" cm="1">
        <f t="array" ref="D147">INDEX('RelAftFlt-Map-1'!$H$7:$J$96,1+B147,C147)</f>
        <v/>
      </c>
    </row>
    <row r="148" spans="1:4" x14ac:dyDescent="0.75">
      <c r="A148" s="111">
        <v>146</v>
      </c>
      <c r="B148" s="111">
        <f t="shared" si="4"/>
        <v>48</v>
      </c>
      <c r="C148" s="111">
        <f t="shared" si="5"/>
        <v>2</v>
      </c>
      <c r="D148" s="109" t="str" cm="1">
        <f t="array" ref="D148">INDEX('RelAftFlt-Map-1'!$H$7:$J$96,1+B148,C148)</f>
        <v/>
      </c>
    </row>
    <row r="149" spans="1:4" x14ac:dyDescent="0.75">
      <c r="A149" s="111">
        <v>147</v>
      </c>
      <c r="B149" s="111">
        <f t="shared" si="4"/>
        <v>48</v>
      </c>
      <c r="C149" s="111">
        <f t="shared" si="5"/>
        <v>3</v>
      </c>
      <c r="D149" s="109" t="str" cm="1">
        <f t="array" ref="D149">INDEX('RelAftFlt-Map-1'!$H$7:$J$96,1+B149,C149)</f>
        <v/>
      </c>
    </row>
    <row r="150" spans="1:4" x14ac:dyDescent="0.75">
      <c r="A150" s="111">
        <v>148</v>
      </c>
      <c r="B150" s="111">
        <f t="shared" si="4"/>
        <v>49</v>
      </c>
      <c r="C150" s="111">
        <f t="shared" si="5"/>
        <v>1</v>
      </c>
      <c r="D150" s="109" t="str" cm="1">
        <f t="array" ref="D150">INDEX('RelAftFlt-Map-1'!$H$7:$J$96,1+B150,C150)</f>
        <v/>
      </c>
    </row>
    <row r="151" spans="1:4" x14ac:dyDescent="0.75">
      <c r="A151" s="111">
        <v>149</v>
      </c>
      <c r="B151" s="111">
        <f t="shared" si="4"/>
        <v>49</v>
      </c>
      <c r="C151" s="111">
        <f t="shared" si="5"/>
        <v>2</v>
      </c>
      <c r="D151" s="109" t="str" cm="1">
        <f t="array" ref="D151">INDEX('RelAftFlt-Map-1'!$H$7:$J$96,1+B151,C151)</f>
        <v/>
      </c>
    </row>
    <row r="152" spans="1:4" x14ac:dyDescent="0.75">
      <c r="A152" s="111">
        <v>150</v>
      </c>
      <c r="B152" s="111">
        <f t="shared" si="4"/>
        <v>49</v>
      </c>
      <c r="C152" s="111">
        <f t="shared" si="5"/>
        <v>3</v>
      </c>
      <c r="D152" s="109" t="str" cm="1">
        <f t="array" ref="D152">INDEX('RelAftFlt-Map-1'!$H$7:$J$96,1+B152,C152)</f>
        <v/>
      </c>
    </row>
    <row r="153" spans="1:4" x14ac:dyDescent="0.75">
      <c r="A153" s="111">
        <v>151</v>
      </c>
      <c r="B153" s="111">
        <f t="shared" si="4"/>
        <v>50</v>
      </c>
      <c r="C153" s="111">
        <f t="shared" si="5"/>
        <v>1</v>
      </c>
      <c r="D153" s="109" t="str" cm="1">
        <f t="array" ref="D153">INDEX('RelAftFlt-Map-1'!$H$7:$J$96,1+B153,C153)</f>
        <v/>
      </c>
    </row>
    <row r="154" spans="1:4" x14ac:dyDescent="0.75">
      <c r="A154" s="111">
        <v>152</v>
      </c>
      <c r="B154" s="111">
        <f t="shared" si="4"/>
        <v>50</v>
      </c>
      <c r="C154" s="111">
        <f t="shared" si="5"/>
        <v>2</v>
      </c>
      <c r="D154" s="109" t="str" cm="1">
        <f t="array" ref="D154">INDEX('RelAftFlt-Map-1'!$H$7:$J$96,1+B154,C154)</f>
        <v/>
      </c>
    </row>
    <row r="155" spans="1:4" x14ac:dyDescent="0.75">
      <c r="A155" s="111">
        <v>153</v>
      </c>
      <c r="B155" s="111">
        <f t="shared" si="4"/>
        <v>50</v>
      </c>
      <c r="C155" s="111">
        <f t="shared" si="5"/>
        <v>3</v>
      </c>
      <c r="D155" s="109" t="str" cm="1">
        <f t="array" ref="D155">INDEX('RelAftFlt-Map-1'!$H$7:$J$96,1+B155,C155)</f>
        <v/>
      </c>
    </row>
    <row r="156" spans="1:4" x14ac:dyDescent="0.75">
      <c r="A156" s="111">
        <v>154</v>
      </c>
      <c r="B156" s="111">
        <f t="shared" si="4"/>
        <v>51</v>
      </c>
      <c r="C156" s="111">
        <f t="shared" si="5"/>
        <v>1</v>
      </c>
      <c r="D156" s="109" t="str" cm="1">
        <f t="array" ref="D156">INDEX('RelAftFlt-Map-1'!$H$7:$J$96,1+B156,C156)</f>
        <v/>
      </c>
    </row>
    <row r="157" spans="1:4" x14ac:dyDescent="0.75">
      <c r="A157" s="111">
        <v>155</v>
      </c>
      <c r="B157" s="111">
        <f t="shared" si="4"/>
        <v>51</v>
      </c>
      <c r="C157" s="111">
        <f t="shared" si="5"/>
        <v>2</v>
      </c>
      <c r="D157" s="109" t="str" cm="1">
        <f t="array" ref="D157">INDEX('RelAftFlt-Map-1'!$H$7:$J$96,1+B157,C157)</f>
        <v/>
      </c>
    </row>
    <row r="158" spans="1:4" x14ac:dyDescent="0.75">
      <c r="A158" s="111">
        <v>156</v>
      </c>
      <c r="B158" s="111">
        <f t="shared" si="4"/>
        <v>51</v>
      </c>
      <c r="C158" s="111">
        <f t="shared" si="5"/>
        <v>3</v>
      </c>
      <c r="D158" s="109" t="str" cm="1">
        <f t="array" ref="D158">INDEX('RelAftFlt-Map-1'!$H$7:$J$96,1+B158,C158)</f>
        <v/>
      </c>
    </row>
    <row r="159" spans="1:4" x14ac:dyDescent="0.75">
      <c r="A159" s="111">
        <v>157</v>
      </c>
      <c r="B159" s="111">
        <f t="shared" si="4"/>
        <v>52</v>
      </c>
      <c r="C159" s="111">
        <f t="shared" si="5"/>
        <v>1</v>
      </c>
      <c r="D159" s="109" t="str" cm="1">
        <f t="array" ref="D159">INDEX('RelAftFlt-Map-1'!$H$7:$J$96,1+B159,C159)</f>
        <v/>
      </c>
    </row>
    <row r="160" spans="1:4" x14ac:dyDescent="0.75">
      <c r="A160" s="111">
        <v>158</v>
      </c>
      <c r="B160" s="111">
        <f t="shared" si="4"/>
        <v>52</v>
      </c>
      <c r="C160" s="111">
        <f t="shared" si="5"/>
        <v>2</v>
      </c>
      <c r="D160" s="109" t="str" cm="1">
        <f t="array" ref="D160">INDEX('RelAftFlt-Map-1'!$H$7:$J$96,1+B160,C160)</f>
        <v/>
      </c>
    </row>
    <row r="161" spans="1:4" x14ac:dyDescent="0.75">
      <c r="A161" s="111">
        <v>159</v>
      </c>
      <c r="B161" s="111">
        <f t="shared" si="4"/>
        <v>52</v>
      </c>
      <c r="C161" s="111">
        <f t="shared" si="5"/>
        <v>3</v>
      </c>
      <c r="D161" s="109" t="str" cm="1">
        <f t="array" ref="D161">INDEX('RelAftFlt-Map-1'!$H$7:$J$96,1+B161,C161)</f>
        <v/>
      </c>
    </row>
    <row r="162" spans="1:4" x14ac:dyDescent="0.75">
      <c r="A162" s="111">
        <v>160</v>
      </c>
      <c r="B162" s="111">
        <f t="shared" si="4"/>
        <v>53</v>
      </c>
      <c r="C162" s="111">
        <f t="shared" si="5"/>
        <v>1</v>
      </c>
      <c r="D162" s="109" t="str" cm="1">
        <f t="array" ref="D162">INDEX('RelAftFlt-Map-1'!$H$7:$J$96,1+B162,C162)</f>
        <v/>
      </c>
    </row>
    <row r="163" spans="1:4" x14ac:dyDescent="0.75">
      <c r="A163" s="111">
        <v>161</v>
      </c>
      <c r="B163" s="111">
        <f t="shared" si="4"/>
        <v>53</v>
      </c>
      <c r="C163" s="111">
        <f t="shared" si="5"/>
        <v>2</v>
      </c>
      <c r="D163" s="109" t="str" cm="1">
        <f t="array" ref="D163">INDEX('RelAftFlt-Map-1'!$H$7:$J$96,1+B163,C163)</f>
        <v/>
      </c>
    </row>
    <row r="164" spans="1:4" x14ac:dyDescent="0.75">
      <c r="A164" s="111">
        <v>162</v>
      </c>
      <c r="B164" s="111">
        <f t="shared" si="4"/>
        <v>53</v>
      </c>
      <c r="C164" s="111">
        <f t="shared" si="5"/>
        <v>3</v>
      </c>
      <c r="D164" s="109" t="str" cm="1">
        <f t="array" ref="D164">INDEX('RelAftFlt-Map-1'!$H$7:$J$96,1+B164,C164)</f>
        <v/>
      </c>
    </row>
    <row r="165" spans="1:4" x14ac:dyDescent="0.75">
      <c r="A165" s="111">
        <v>163</v>
      </c>
      <c r="B165" s="111">
        <f t="shared" si="4"/>
        <v>54</v>
      </c>
      <c r="C165" s="111">
        <f t="shared" si="5"/>
        <v>1</v>
      </c>
      <c r="D165" s="109" t="str" cm="1">
        <f t="array" ref="D165">INDEX('RelAftFlt-Map-1'!$H$7:$J$96,1+B165,C165)</f>
        <v/>
      </c>
    </row>
    <row r="166" spans="1:4" x14ac:dyDescent="0.75">
      <c r="A166" s="111">
        <v>164</v>
      </c>
      <c r="B166" s="111">
        <f t="shared" si="4"/>
        <v>54</v>
      </c>
      <c r="C166" s="111">
        <f t="shared" si="5"/>
        <v>2</v>
      </c>
      <c r="D166" s="109" t="str" cm="1">
        <f t="array" ref="D166">INDEX('RelAftFlt-Map-1'!$H$7:$J$96,1+B166,C166)</f>
        <v/>
      </c>
    </row>
    <row r="167" spans="1:4" x14ac:dyDescent="0.75">
      <c r="A167" s="111">
        <v>165</v>
      </c>
      <c r="B167" s="111">
        <f t="shared" si="4"/>
        <v>54</v>
      </c>
      <c r="C167" s="111">
        <f t="shared" si="5"/>
        <v>3</v>
      </c>
      <c r="D167" s="109" t="str" cm="1">
        <f t="array" ref="D167">INDEX('RelAftFlt-Map-1'!$H$7:$J$96,1+B167,C167)</f>
        <v/>
      </c>
    </row>
    <row r="168" spans="1:4" x14ac:dyDescent="0.75">
      <c r="A168" s="111">
        <v>166</v>
      </c>
      <c r="B168" s="111">
        <f t="shared" si="4"/>
        <v>55</v>
      </c>
      <c r="C168" s="111">
        <f t="shared" si="5"/>
        <v>1</v>
      </c>
      <c r="D168" s="109" t="str" cm="1">
        <f t="array" ref="D168">INDEX('RelAftFlt-Map-1'!$H$7:$J$96,1+B168,C168)</f>
        <v/>
      </c>
    </row>
    <row r="169" spans="1:4" x14ac:dyDescent="0.75">
      <c r="A169" s="111">
        <v>167</v>
      </c>
      <c r="B169" s="111">
        <f t="shared" si="4"/>
        <v>55</v>
      </c>
      <c r="C169" s="111">
        <f t="shared" si="5"/>
        <v>2</v>
      </c>
      <c r="D169" s="109" t="str" cm="1">
        <f t="array" ref="D169">INDEX('RelAftFlt-Map-1'!$H$7:$J$96,1+B169,C169)</f>
        <v/>
      </c>
    </row>
    <row r="170" spans="1:4" x14ac:dyDescent="0.75">
      <c r="A170" s="111">
        <v>168</v>
      </c>
      <c r="B170" s="111">
        <f t="shared" si="4"/>
        <v>55</v>
      </c>
      <c r="C170" s="111">
        <f t="shared" si="5"/>
        <v>3</v>
      </c>
      <c r="D170" s="109" cm="1">
        <f t="array" ref="D170">INDEX('RelAftFlt-Map-1'!$H$7:$J$96,1+B170,C170)</f>
        <v>0</v>
      </c>
    </row>
    <row r="171" spans="1:4" x14ac:dyDescent="0.75">
      <c r="A171" s="111">
        <v>169</v>
      </c>
      <c r="B171" s="111">
        <f t="shared" si="4"/>
        <v>56</v>
      </c>
      <c r="C171" s="111">
        <f t="shared" si="5"/>
        <v>1</v>
      </c>
      <c r="D171" s="109" t="str" cm="1">
        <f t="array" ref="D171">INDEX('RelAftFlt-Map-1'!$H$7:$J$96,1+B171,C171)</f>
        <v/>
      </c>
    </row>
    <row r="172" spans="1:4" x14ac:dyDescent="0.75">
      <c r="A172" s="111">
        <v>170</v>
      </c>
      <c r="B172" s="111">
        <f t="shared" si="4"/>
        <v>56</v>
      </c>
      <c r="C172" s="111">
        <f t="shared" si="5"/>
        <v>2</v>
      </c>
      <c r="D172" s="109" t="str" cm="1">
        <f t="array" ref="D172">INDEX('RelAftFlt-Map-1'!$H$7:$J$96,1+B172,C172)</f>
        <v/>
      </c>
    </row>
    <row r="173" spans="1:4" x14ac:dyDescent="0.75">
      <c r="A173" s="111">
        <v>171</v>
      </c>
      <c r="B173" s="111">
        <f t="shared" si="4"/>
        <v>56</v>
      </c>
      <c r="C173" s="111">
        <f t="shared" si="5"/>
        <v>3</v>
      </c>
      <c r="D173" s="109" cm="1">
        <f t="array" ref="D173">INDEX('RelAftFlt-Map-1'!$H$7:$J$96,1+B173,C173)</f>
        <v>0</v>
      </c>
    </row>
    <row r="174" spans="1:4" x14ac:dyDescent="0.75">
      <c r="A174" s="111">
        <v>172</v>
      </c>
      <c r="B174" s="111">
        <f t="shared" si="4"/>
        <v>57</v>
      </c>
      <c r="C174" s="111">
        <f t="shared" si="5"/>
        <v>1</v>
      </c>
      <c r="D174" s="109" t="str" cm="1">
        <f t="array" ref="D174">INDEX('RelAftFlt-Map-1'!$H$7:$J$96,1+B174,C174)</f>
        <v/>
      </c>
    </row>
    <row r="175" spans="1:4" x14ac:dyDescent="0.75">
      <c r="A175" s="111">
        <v>173</v>
      </c>
      <c r="B175" s="111">
        <f t="shared" si="4"/>
        <v>57</v>
      </c>
      <c r="C175" s="111">
        <f t="shared" si="5"/>
        <v>2</v>
      </c>
      <c r="D175" s="109" t="str" cm="1">
        <f t="array" ref="D175">INDEX('RelAftFlt-Map-1'!$H$7:$J$96,1+B175,C175)</f>
        <v/>
      </c>
    </row>
    <row r="176" spans="1:4" x14ac:dyDescent="0.75">
      <c r="A176" s="111">
        <v>174</v>
      </c>
      <c r="B176" s="111">
        <f t="shared" si="4"/>
        <v>57</v>
      </c>
      <c r="C176" s="111">
        <f t="shared" si="5"/>
        <v>3</v>
      </c>
      <c r="D176" s="109" cm="1">
        <f t="array" ref="D176">INDEX('RelAftFlt-Map-1'!$H$7:$J$96,1+B176,C176)</f>
        <v>0</v>
      </c>
    </row>
    <row r="177" spans="1:4" x14ac:dyDescent="0.75">
      <c r="A177" s="111">
        <v>175</v>
      </c>
      <c r="B177" s="111">
        <f t="shared" si="4"/>
        <v>58</v>
      </c>
      <c r="C177" s="111">
        <f t="shared" si="5"/>
        <v>1</v>
      </c>
      <c r="D177" s="109" t="str" cm="1">
        <f t="array" ref="D177">INDEX('RelAftFlt-Map-1'!$H$7:$J$96,1+B177,C177)</f>
        <v/>
      </c>
    </row>
    <row r="178" spans="1:4" x14ac:dyDescent="0.75">
      <c r="A178" s="111">
        <v>176</v>
      </c>
      <c r="B178" s="111">
        <f t="shared" si="4"/>
        <v>58</v>
      </c>
      <c r="C178" s="111">
        <f t="shared" si="5"/>
        <v>2</v>
      </c>
      <c r="D178" s="109" t="str" cm="1">
        <f t="array" ref="D178">INDEX('RelAftFlt-Map-1'!$H$7:$J$96,1+B178,C178)</f>
        <v/>
      </c>
    </row>
    <row r="179" spans="1:4" x14ac:dyDescent="0.75">
      <c r="A179" s="111">
        <v>177</v>
      </c>
      <c r="B179" s="111">
        <f t="shared" si="4"/>
        <v>58</v>
      </c>
      <c r="C179" s="111">
        <f t="shared" si="5"/>
        <v>3</v>
      </c>
      <c r="D179" s="109" cm="1">
        <f t="array" ref="D179">INDEX('RelAftFlt-Map-1'!$H$7:$J$96,1+B179,C179)</f>
        <v>0</v>
      </c>
    </row>
    <row r="180" spans="1:4" x14ac:dyDescent="0.75">
      <c r="A180" s="111">
        <v>178</v>
      </c>
      <c r="B180" s="111">
        <f t="shared" si="4"/>
        <v>59</v>
      </c>
      <c r="C180" s="111">
        <f t="shared" si="5"/>
        <v>1</v>
      </c>
      <c r="D180" s="109" t="str" cm="1">
        <f t="array" ref="D180">INDEX('RelAftFlt-Map-1'!$H$7:$J$96,1+B180,C180)</f>
        <v/>
      </c>
    </row>
    <row r="181" spans="1:4" x14ac:dyDescent="0.75">
      <c r="A181" s="111">
        <v>179</v>
      </c>
      <c r="B181" s="111">
        <f t="shared" si="4"/>
        <v>59</v>
      </c>
      <c r="C181" s="111">
        <f t="shared" si="5"/>
        <v>2</v>
      </c>
      <c r="D181" s="109" t="str" cm="1">
        <f t="array" ref="D181">INDEX('RelAftFlt-Map-1'!$H$7:$J$96,1+B181,C181)</f>
        <v/>
      </c>
    </row>
    <row r="182" spans="1:4" x14ac:dyDescent="0.75">
      <c r="A182" s="111">
        <v>180</v>
      </c>
      <c r="B182" s="111">
        <f t="shared" si="4"/>
        <v>59</v>
      </c>
      <c r="C182" s="111">
        <f t="shared" si="5"/>
        <v>3</v>
      </c>
      <c r="D182" s="109" cm="1">
        <f t="array" ref="D182">INDEX('RelAftFlt-Map-1'!$H$7:$J$96,1+B182,C182)</f>
        <v>0</v>
      </c>
    </row>
    <row r="183" spans="1:4" x14ac:dyDescent="0.75">
      <c r="A183" s="111">
        <v>181</v>
      </c>
      <c r="B183" s="111">
        <f t="shared" si="4"/>
        <v>60</v>
      </c>
      <c r="C183" s="111">
        <f t="shared" si="5"/>
        <v>1</v>
      </c>
      <c r="D183" s="109" t="str" cm="1">
        <f t="array" ref="D183">INDEX('RelAftFlt-Map-1'!$H$7:$J$96,1+B183,C183)</f>
        <v/>
      </c>
    </row>
    <row r="184" spans="1:4" x14ac:dyDescent="0.75">
      <c r="A184" s="111">
        <v>182</v>
      </c>
      <c r="B184" s="111">
        <f t="shared" si="4"/>
        <v>60</v>
      </c>
      <c r="C184" s="111">
        <f t="shared" si="5"/>
        <v>2</v>
      </c>
      <c r="D184" s="109" t="str" cm="1">
        <f t="array" ref="D184">INDEX('RelAftFlt-Map-1'!$H$7:$J$96,1+B184,C184)</f>
        <v/>
      </c>
    </row>
    <row r="185" spans="1:4" x14ac:dyDescent="0.75">
      <c r="A185" s="111">
        <v>183</v>
      </c>
      <c r="B185" s="111">
        <f t="shared" si="4"/>
        <v>60</v>
      </c>
      <c r="C185" s="111">
        <f t="shared" si="5"/>
        <v>3</v>
      </c>
      <c r="D185" s="109" cm="1">
        <f t="array" ref="D185">INDEX('RelAftFlt-Map-1'!$H$7:$J$96,1+B185,C185)</f>
        <v>0</v>
      </c>
    </row>
    <row r="186" spans="1:4" x14ac:dyDescent="0.75">
      <c r="A186" s="111">
        <v>184</v>
      </c>
      <c r="B186" s="111">
        <f t="shared" si="4"/>
        <v>61</v>
      </c>
      <c r="C186" s="111">
        <f t="shared" si="5"/>
        <v>1</v>
      </c>
      <c r="D186" s="109" t="str" cm="1">
        <f t="array" ref="D186">INDEX('RelAftFlt-Map-1'!$H$7:$J$96,1+B186,C186)</f>
        <v/>
      </c>
    </row>
    <row r="187" spans="1:4" x14ac:dyDescent="0.75">
      <c r="A187" s="111">
        <v>185</v>
      </c>
      <c r="B187" s="111">
        <f t="shared" si="4"/>
        <v>61</v>
      </c>
      <c r="C187" s="111">
        <f t="shared" si="5"/>
        <v>2</v>
      </c>
      <c r="D187" s="109" t="str" cm="1">
        <f t="array" ref="D187">INDEX('RelAftFlt-Map-1'!$H$7:$J$96,1+B187,C187)</f>
        <v/>
      </c>
    </row>
    <row r="188" spans="1:4" x14ac:dyDescent="0.75">
      <c r="A188" s="111">
        <v>186</v>
      </c>
      <c r="B188" s="111">
        <f t="shared" si="4"/>
        <v>61</v>
      </c>
      <c r="C188" s="111">
        <f t="shared" si="5"/>
        <v>3</v>
      </c>
      <c r="D188" s="109" cm="1">
        <f t="array" ref="D188">INDEX('RelAftFlt-Map-1'!$H$7:$J$96,1+B188,C188)</f>
        <v>0</v>
      </c>
    </row>
    <row r="189" spans="1:4" x14ac:dyDescent="0.75">
      <c r="A189" s="111">
        <v>187</v>
      </c>
      <c r="B189" s="111">
        <f t="shared" si="4"/>
        <v>62</v>
      </c>
      <c r="C189" s="111">
        <f t="shared" si="5"/>
        <v>1</v>
      </c>
      <c r="D189" s="109" t="str" cm="1">
        <f t="array" ref="D189">INDEX('RelAftFlt-Map-1'!$H$7:$J$96,1+B189,C189)</f>
        <v/>
      </c>
    </row>
    <row r="190" spans="1:4" x14ac:dyDescent="0.75">
      <c r="A190" s="111">
        <v>188</v>
      </c>
      <c r="B190" s="111">
        <f t="shared" si="4"/>
        <v>62</v>
      </c>
      <c r="C190" s="111">
        <f t="shared" si="5"/>
        <v>2</v>
      </c>
      <c r="D190" s="109" t="str" cm="1">
        <f t="array" ref="D190">INDEX('RelAftFlt-Map-1'!$H$7:$J$96,1+B190,C190)</f>
        <v/>
      </c>
    </row>
    <row r="191" spans="1:4" x14ac:dyDescent="0.75">
      <c r="A191" s="111">
        <v>189</v>
      </c>
      <c r="B191" s="111">
        <f t="shared" si="4"/>
        <v>62</v>
      </c>
      <c r="C191" s="111">
        <f t="shared" si="5"/>
        <v>3</v>
      </c>
      <c r="D191" s="109" cm="1">
        <f t="array" ref="D191">INDEX('RelAftFlt-Map-1'!$H$7:$J$96,1+B191,C191)</f>
        <v>0</v>
      </c>
    </row>
    <row r="192" spans="1:4" x14ac:dyDescent="0.75">
      <c r="A192" s="111">
        <v>190</v>
      </c>
      <c r="B192" s="111">
        <f t="shared" si="4"/>
        <v>63</v>
      </c>
      <c r="C192" s="111">
        <f t="shared" si="5"/>
        <v>1</v>
      </c>
      <c r="D192" s="109" cm="1">
        <f t="array" ref="D192">INDEX('RelAftFlt-Map-1'!$H$7:$J$96,1+B192,C192)</f>
        <v>0</v>
      </c>
    </row>
    <row r="193" spans="1:4" x14ac:dyDescent="0.75">
      <c r="A193" s="111">
        <v>191</v>
      </c>
      <c r="B193" s="111">
        <f t="shared" si="4"/>
        <v>63</v>
      </c>
      <c r="C193" s="111">
        <f t="shared" si="5"/>
        <v>2</v>
      </c>
      <c r="D193" s="109" cm="1">
        <f t="array" ref="D193">INDEX('RelAftFlt-Map-1'!$H$7:$J$96,1+B193,C193)</f>
        <v>0</v>
      </c>
    </row>
    <row r="194" spans="1:4" x14ac:dyDescent="0.75">
      <c r="A194" s="111">
        <v>192</v>
      </c>
      <c r="B194" s="111">
        <f t="shared" si="4"/>
        <v>63</v>
      </c>
      <c r="C194" s="111">
        <f t="shared" si="5"/>
        <v>3</v>
      </c>
      <c r="D194" s="109" cm="1">
        <f t="array" ref="D194">INDEX('RelAftFlt-Map-1'!$H$7:$J$96,1+B194,C194)</f>
        <v>0</v>
      </c>
    </row>
    <row r="195" spans="1:4" x14ac:dyDescent="0.75">
      <c r="A195" s="111">
        <v>193</v>
      </c>
      <c r="B195" s="111">
        <f t="shared" si="4"/>
        <v>64</v>
      </c>
      <c r="C195" s="111">
        <f t="shared" si="5"/>
        <v>1</v>
      </c>
      <c r="D195" s="109" cm="1">
        <f t="array" ref="D195">INDEX('RelAftFlt-Map-1'!$H$7:$J$96,1+B195,C195)</f>
        <v>0</v>
      </c>
    </row>
    <row r="196" spans="1:4" x14ac:dyDescent="0.75">
      <c r="A196" s="111">
        <v>194</v>
      </c>
      <c r="B196" s="111">
        <f t="shared" ref="B196:B259" si="6">IF(MOD(A196,3)=0,A196/3-1,INT(A196/3))</f>
        <v>64</v>
      </c>
      <c r="C196" s="111">
        <f t="shared" ref="C196:C259" si="7">IF(MOD(A196,3)=0,3,MOD(A196,3))</f>
        <v>2</v>
      </c>
      <c r="D196" s="109" cm="1">
        <f t="array" ref="D196">INDEX('RelAftFlt-Map-1'!$H$7:$J$96,1+B196,C196)</f>
        <v>0</v>
      </c>
    </row>
    <row r="197" spans="1:4" x14ac:dyDescent="0.75">
      <c r="A197" s="111">
        <v>195</v>
      </c>
      <c r="B197" s="111">
        <f t="shared" si="6"/>
        <v>64</v>
      </c>
      <c r="C197" s="111">
        <f t="shared" si="7"/>
        <v>3</v>
      </c>
      <c r="D197" s="109" cm="1">
        <f t="array" ref="D197">INDEX('RelAftFlt-Map-1'!$H$7:$J$96,1+B197,C197)</f>
        <v>0</v>
      </c>
    </row>
    <row r="198" spans="1:4" x14ac:dyDescent="0.75">
      <c r="A198" s="111">
        <v>196</v>
      </c>
      <c r="B198" s="111">
        <f t="shared" si="6"/>
        <v>65</v>
      </c>
      <c r="C198" s="111">
        <f t="shared" si="7"/>
        <v>1</v>
      </c>
      <c r="D198" s="109" cm="1">
        <f t="array" ref="D198">INDEX('RelAftFlt-Map-1'!$H$7:$J$96,1+B198,C198)</f>
        <v>0</v>
      </c>
    </row>
    <row r="199" spans="1:4" x14ac:dyDescent="0.75">
      <c r="A199" s="111">
        <v>197</v>
      </c>
      <c r="B199" s="111">
        <f t="shared" si="6"/>
        <v>65</v>
      </c>
      <c r="C199" s="111">
        <f t="shared" si="7"/>
        <v>2</v>
      </c>
      <c r="D199" s="109" cm="1">
        <f t="array" ref="D199">INDEX('RelAftFlt-Map-1'!$H$7:$J$96,1+B199,C199)</f>
        <v>0</v>
      </c>
    </row>
    <row r="200" spans="1:4" x14ac:dyDescent="0.75">
      <c r="A200" s="111">
        <v>198</v>
      </c>
      <c r="B200" s="111">
        <f t="shared" si="6"/>
        <v>65</v>
      </c>
      <c r="C200" s="111">
        <f t="shared" si="7"/>
        <v>3</v>
      </c>
      <c r="D200" s="109" cm="1">
        <f t="array" ref="D200">INDEX('RelAftFlt-Map-1'!$H$7:$J$96,1+B200,C200)</f>
        <v>0</v>
      </c>
    </row>
    <row r="201" spans="1:4" x14ac:dyDescent="0.75">
      <c r="A201" s="111">
        <v>199</v>
      </c>
      <c r="B201" s="111">
        <f t="shared" si="6"/>
        <v>66</v>
      </c>
      <c r="C201" s="111">
        <f t="shared" si="7"/>
        <v>1</v>
      </c>
      <c r="D201" s="109" cm="1">
        <f t="array" ref="D201">INDEX('RelAftFlt-Map-1'!$H$7:$J$96,1+B201,C201)</f>
        <v>0</v>
      </c>
    </row>
    <row r="202" spans="1:4" x14ac:dyDescent="0.75">
      <c r="A202" s="111">
        <v>200</v>
      </c>
      <c r="B202" s="111">
        <f t="shared" si="6"/>
        <v>66</v>
      </c>
      <c r="C202" s="111">
        <f t="shared" si="7"/>
        <v>2</v>
      </c>
      <c r="D202" s="109" cm="1">
        <f t="array" ref="D202">INDEX('RelAftFlt-Map-1'!$H$7:$J$96,1+B202,C202)</f>
        <v>0</v>
      </c>
    </row>
    <row r="203" spans="1:4" x14ac:dyDescent="0.75">
      <c r="A203" s="111">
        <v>201</v>
      </c>
      <c r="B203" s="111">
        <f t="shared" si="6"/>
        <v>66</v>
      </c>
      <c r="C203" s="111">
        <f t="shared" si="7"/>
        <v>3</v>
      </c>
      <c r="D203" s="109" cm="1">
        <f t="array" ref="D203">INDEX('RelAftFlt-Map-1'!$H$7:$J$96,1+B203,C203)</f>
        <v>0</v>
      </c>
    </row>
    <row r="204" spans="1:4" x14ac:dyDescent="0.75">
      <c r="A204" s="111">
        <v>202</v>
      </c>
      <c r="B204" s="111">
        <f t="shared" si="6"/>
        <v>67</v>
      </c>
      <c r="C204" s="111">
        <f t="shared" si="7"/>
        <v>1</v>
      </c>
      <c r="D204" s="109" cm="1">
        <f t="array" ref="D204">INDEX('RelAftFlt-Map-1'!$H$7:$J$96,1+B204,C204)</f>
        <v>0</v>
      </c>
    </row>
    <row r="205" spans="1:4" x14ac:dyDescent="0.75">
      <c r="A205" s="111">
        <v>203</v>
      </c>
      <c r="B205" s="111">
        <f t="shared" si="6"/>
        <v>67</v>
      </c>
      <c r="C205" s="111">
        <f t="shared" si="7"/>
        <v>2</v>
      </c>
      <c r="D205" s="109" cm="1">
        <f t="array" ref="D205">INDEX('RelAftFlt-Map-1'!$H$7:$J$96,1+B205,C205)</f>
        <v>0</v>
      </c>
    </row>
    <row r="206" spans="1:4" x14ac:dyDescent="0.75">
      <c r="A206" s="111">
        <v>204</v>
      </c>
      <c r="B206" s="111">
        <f t="shared" si="6"/>
        <v>67</v>
      </c>
      <c r="C206" s="111">
        <f t="shared" si="7"/>
        <v>3</v>
      </c>
      <c r="D206" s="109" cm="1">
        <f t="array" ref="D206">INDEX('RelAftFlt-Map-1'!$H$7:$J$96,1+B206,C206)</f>
        <v>0</v>
      </c>
    </row>
    <row r="207" spans="1:4" x14ac:dyDescent="0.75">
      <c r="A207" s="111">
        <v>205</v>
      </c>
      <c r="B207" s="111">
        <f t="shared" si="6"/>
        <v>68</v>
      </c>
      <c r="C207" s="111">
        <f t="shared" si="7"/>
        <v>1</v>
      </c>
      <c r="D207" s="109" cm="1">
        <f t="array" ref="D207">INDEX('RelAftFlt-Map-1'!$H$7:$J$96,1+B207,C207)</f>
        <v>0</v>
      </c>
    </row>
    <row r="208" spans="1:4" x14ac:dyDescent="0.75">
      <c r="A208" s="111">
        <v>206</v>
      </c>
      <c r="B208" s="111">
        <f t="shared" si="6"/>
        <v>68</v>
      </c>
      <c r="C208" s="111">
        <f t="shared" si="7"/>
        <v>2</v>
      </c>
      <c r="D208" s="109" cm="1">
        <f t="array" ref="D208">INDEX('RelAftFlt-Map-1'!$H$7:$J$96,1+B208,C208)</f>
        <v>0</v>
      </c>
    </row>
    <row r="209" spans="1:4" x14ac:dyDescent="0.75">
      <c r="A209" s="111">
        <v>207</v>
      </c>
      <c r="B209" s="111">
        <f t="shared" si="6"/>
        <v>68</v>
      </c>
      <c r="C209" s="111">
        <f t="shared" si="7"/>
        <v>3</v>
      </c>
      <c r="D209" s="109" cm="1">
        <f t="array" ref="D209">INDEX('RelAftFlt-Map-1'!$H$7:$J$96,1+B209,C209)</f>
        <v>0</v>
      </c>
    </row>
    <row r="210" spans="1:4" x14ac:dyDescent="0.75">
      <c r="A210" s="111">
        <v>208</v>
      </c>
      <c r="B210" s="111">
        <f t="shared" si="6"/>
        <v>69</v>
      </c>
      <c r="C210" s="111">
        <f t="shared" si="7"/>
        <v>1</v>
      </c>
      <c r="D210" s="109" cm="1">
        <f t="array" ref="D210">INDEX('RelAftFlt-Map-1'!$H$7:$J$96,1+B210,C210)</f>
        <v>0</v>
      </c>
    </row>
    <row r="211" spans="1:4" x14ac:dyDescent="0.75">
      <c r="A211" s="111">
        <v>209</v>
      </c>
      <c r="B211" s="111">
        <f t="shared" si="6"/>
        <v>69</v>
      </c>
      <c r="C211" s="111">
        <f t="shared" si="7"/>
        <v>2</v>
      </c>
      <c r="D211" s="109" cm="1">
        <f t="array" ref="D211">INDEX('RelAftFlt-Map-1'!$H$7:$J$96,1+B211,C211)</f>
        <v>0</v>
      </c>
    </row>
    <row r="212" spans="1:4" x14ac:dyDescent="0.75">
      <c r="A212" s="111">
        <v>210</v>
      </c>
      <c r="B212" s="111">
        <f t="shared" si="6"/>
        <v>69</v>
      </c>
      <c r="C212" s="111">
        <f t="shared" si="7"/>
        <v>3</v>
      </c>
      <c r="D212" s="109" cm="1">
        <f t="array" ref="D212">INDEX('RelAftFlt-Map-1'!$H$7:$J$96,1+B212,C212)</f>
        <v>0</v>
      </c>
    </row>
    <row r="213" spans="1:4" x14ac:dyDescent="0.75">
      <c r="A213" s="111">
        <v>211</v>
      </c>
      <c r="B213" s="111">
        <f t="shared" si="6"/>
        <v>70</v>
      </c>
      <c r="C213" s="111">
        <f t="shared" si="7"/>
        <v>1</v>
      </c>
      <c r="D213" s="109" cm="1">
        <f t="array" ref="D213">INDEX('RelAftFlt-Map-1'!$H$7:$J$96,1+B213,C213)</f>
        <v>0</v>
      </c>
    </row>
    <row r="214" spans="1:4" x14ac:dyDescent="0.75">
      <c r="A214" s="111">
        <v>212</v>
      </c>
      <c r="B214" s="111">
        <f t="shared" si="6"/>
        <v>70</v>
      </c>
      <c r="C214" s="111">
        <f t="shared" si="7"/>
        <v>2</v>
      </c>
      <c r="D214" s="109" cm="1">
        <f t="array" ref="D214">INDEX('RelAftFlt-Map-1'!$H$7:$J$96,1+B214,C214)</f>
        <v>0</v>
      </c>
    </row>
    <row r="215" spans="1:4" x14ac:dyDescent="0.75">
      <c r="A215" s="111">
        <v>213</v>
      </c>
      <c r="B215" s="111">
        <f t="shared" si="6"/>
        <v>70</v>
      </c>
      <c r="C215" s="111">
        <f t="shared" si="7"/>
        <v>3</v>
      </c>
      <c r="D215" s="109" cm="1">
        <f t="array" ref="D215">INDEX('RelAftFlt-Map-1'!$H$7:$J$96,1+B215,C215)</f>
        <v>0</v>
      </c>
    </row>
    <row r="216" spans="1:4" x14ac:dyDescent="0.75">
      <c r="A216" s="111">
        <v>214</v>
      </c>
      <c r="B216" s="111">
        <f t="shared" si="6"/>
        <v>71</v>
      </c>
      <c r="C216" s="111">
        <f t="shared" si="7"/>
        <v>1</v>
      </c>
      <c r="D216" s="109" cm="1">
        <f t="array" ref="D216">INDEX('RelAftFlt-Map-1'!$H$7:$J$96,1+B216,C216)</f>
        <v>0</v>
      </c>
    </row>
    <row r="217" spans="1:4" x14ac:dyDescent="0.75">
      <c r="A217" s="111">
        <v>215</v>
      </c>
      <c r="B217" s="111">
        <f t="shared" si="6"/>
        <v>71</v>
      </c>
      <c r="C217" s="111">
        <f t="shared" si="7"/>
        <v>2</v>
      </c>
      <c r="D217" s="109" cm="1">
        <f t="array" ref="D217">INDEX('RelAftFlt-Map-1'!$H$7:$J$96,1+B217,C217)</f>
        <v>0</v>
      </c>
    </row>
    <row r="218" spans="1:4" x14ac:dyDescent="0.75">
      <c r="A218" s="111">
        <v>216</v>
      </c>
      <c r="B218" s="111">
        <f t="shared" si="6"/>
        <v>71</v>
      </c>
      <c r="C218" s="111">
        <f t="shared" si="7"/>
        <v>3</v>
      </c>
      <c r="D218" s="109" cm="1">
        <f t="array" ref="D218">INDEX('RelAftFlt-Map-1'!$H$7:$J$96,1+B218,C218)</f>
        <v>0</v>
      </c>
    </row>
    <row r="219" spans="1:4" x14ac:dyDescent="0.75">
      <c r="A219" s="111">
        <v>217</v>
      </c>
      <c r="B219" s="111">
        <f t="shared" si="6"/>
        <v>72</v>
      </c>
      <c r="C219" s="111">
        <f t="shared" si="7"/>
        <v>1</v>
      </c>
      <c r="D219" s="109" cm="1">
        <f t="array" ref="D219">INDEX('RelAftFlt-Map-1'!$H$7:$J$96,1+B219,C219)</f>
        <v>0</v>
      </c>
    </row>
    <row r="220" spans="1:4" x14ac:dyDescent="0.75">
      <c r="A220" s="111">
        <v>218</v>
      </c>
      <c r="B220" s="111">
        <f t="shared" si="6"/>
        <v>72</v>
      </c>
      <c r="C220" s="111">
        <f t="shared" si="7"/>
        <v>2</v>
      </c>
      <c r="D220" s="109" cm="1">
        <f t="array" ref="D220">INDEX('RelAftFlt-Map-1'!$H$7:$J$96,1+B220,C220)</f>
        <v>0</v>
      </c>
    </row>
    <row r="221" spans="1:4" x14ac:dyDescent="0.75">
      <c r="A221" s="111">
        <v>219</v>
      </c>
      <c r="B221" s="111">
        <f t="shared" si="6"/>
        <v>72</v>
      </c>
      <c r="C221" s="111">
        <f t="shared" si="7"/>
        <v>3</v>
      </c>
      <c r="D221" s="109" cm="1">
        <f t="array" ref="D221">INDEX('RelAftFlt-Map-1'!$H$7:$J$96,1+B221,C221)</f>
        <v>0</v>
      </c>
    </row>
    <row r="222" spans="1:4" x14ac:dyDescent="0.75">
      <c r="A222" s="111">
        <v>220</v>
      </c>
      <c r="B222" s="111">
        <f t="shared" si="6"/>
        <v>73</v>
      </c>
      <c r="C222" s="111">
        <f t="shared" si="7"/>
        <v>1</v>
      </c>
      <c r="D222" s="109" cm="1">
        <f t="array" ref="D222">INDEX('RelAftFlt-Map-1'!$H$7:$J$96,1+B222,C222)</f>
        <v>0</v>
      </c>
    </row>
    <row r="223" spans="1:4" x14ac:dyDescent="0.75">
      <c r="A223" s="111">
        <v>221</v>
      </c>
      <c r="B223" s="111">
        <f t="shared" si="6"/>
        <v>73</v>
      </c>
      <c r="C223" s="111">
        <f t="shared" si="7"/>
        <v>2</v>
      </c>
      <c r="D223" s="109" cm="1">
        <f t="array" ref="D223">INDEX('RelAftFlt-Map-1'!$H$7:$J$96,1+B223,C223)</f>
        <v>0</v>
      </c>
    </row>
    <row r="224" spans="1:4" x14ac:dyDescent="0.75">
      <c r="A224" s="111">
        <v>222</v>
      </c>
      <c r="B224" s="111">
        <f t="shared" si="6"/>
        <v>73</v>
      </c>
      <c r="C224" s="111">
        <f t="shared" si="7"/>
        <v>3</v>
      </c>
      <c r="D224" s="109" cm="1">
        <f t="array" ref="D224">INDEX('RelAftFlt-Map-1'!$H$7:$J$96,1+B224,C224)</f>
        <v>0</v>
      </c>
    </row>
    <row r="225" spans="1:4" x14ac:dyDescent="0.75">
      <c r="A225" s="111">
        <v>223</v>
      </c>
      <c r="B225" s="111">
        <f t="shared" si="6"/>
        <v>74</v>
      </c>
      <c r="C225" s="111">
        <f t="shared" si="7"/>
        <v>1</v>
      </c>
      <c r="D225" s="109" cm="1">
        <f t="array" ref="D225">INDEX('RelAftFlt-Map-1'!$H$7:$J$96,1+B225,C225)</f>
        <v>0</v>
      </c>
    </row>
    <row r="226" spans="1:4" x14ac:dyDescent="0.75">
      <c r="A226" s="111">
        <v>224</v>
      </c>
      <c r="B226" s="111">
        <f t="shared" si="6"/>
        <v>74</v>
      </c>
      <c r="C226" s="111">
        <f t="shared" si="7"/>
        <v>2</v>
      </c>
      <c r="D226" s="109" cm="1">
        <f t="array" ref="D226">INDEX('RelAftFlt-Map-1'!$H$7:$J$96,1+B226,C226)</f>
        <v>0</v>
      </c>
    </row>
    <row r="227" spans="1:4" x14ac:dyDescent="0.75">
      <c r="A227" s="111">
        <v>225</v>
      </c>
      <c r="B227" s="111">
        <f t="shared" si="6"/>
        <v>74</v>
      </c>
      <c r="C227" s="111">
        <f t="shared" si="7"/>
        <v>3</v>
      </c>
      <c r="D227" s="109" cm="1">
        <f t="array" ref="D227">INDEX('RelAftFlt-Map-1'!$H$7:$J$96,1+B227,C227)</f>
        <v>0</v>
      </c>
    </row>
    <row r="228" spans="1:4" x14ac:dyDescent="0.75">
      <c r="A228" s="111">
        <v>226</v>
      </c>
      <c r="B228" s="111">
        <f t="shared" si="6"/>
        <v>75</v>
      </c>
      <c r="C228" s="111">
        <f t="shared" si="7"/>
        <v>1</v>
      </c>
      <c r="D228" s="109" cm="1">
        <f t="array" ref="D228">INDEX('RelAftFlt-Map-1'!$H$7:$J$96,1+B228,C228)</f>
        <v>0</v>
      </c>
    </row>
    <row r="229" spans="1:4" x14ac:dyDescent="0.75">
      <c r="A229" s="111">
        <v>227</v>
      </c>
      <c r="B229" s="111">
        <f t="shared" si="6"/>
        <v>75</v>
      </c>
      <c r="C229" s="111">
        <f t="shared" si="7"/>
        <v>2</v>
      </c>
      <c r="D229" s="109" cm="1">
        <f t="array" ref="D229">INDEX('RelAftFlt-Map-1'!$H$7:$J$96,1+B229,C229)</f>
        <v>0</v>
      </c>
    </row>
    <row r="230" spans="1:4" x14ac:dyDescent="0.75">
      <c r="A230" s="111">
        <v>228</v>
      </c>
      <c r="B230" s="111">
        <f t="shared" si="6"/>
        <v>75</v>
      </c>
      <c r="C230" s="111">
        <f t="shared" si="7"/>
        <v>3</v>
      </c>
      <c r="D230" s="109" cm="1">
        <f t="array" ref="D230">INDEX('RelAftFlt-Map-1'!$H$7:$J$96,1+B230,C230)</f>
        <v>0</v>
      </c>
    </row>
    <row r="231" spans="1:4" x14ac:dyDescent="0.75">
      <c r="A231" s="111">
        <v>229</v>
      </c>
      <c r="B231" s="111">
        <f t="shared" si="6"/>
        <v>76</v>
      </c>
      <c r="C231" s="111">
        <f t="shared" si="7"/>
        <v>1</v>
      </c>
      <c r="D231" s="109" cm="1">
        <f t="array" ref="D231">INDEX('RelAftFlt-Map-1'!$H$7:$J$96,1+B231,C231)</f>
        <v>0</v>
      </c>
    </row>
    <row r="232" spans="1:4" x14ac:dyDescent="0.75">
      <c r="A232" s="111">
        <v>230</v>
      </c>
      <c r="B232" s="111">
        <f t="shared" si="6"/>
        <v>76</v>
      </c>
      <c r="C232" s="111">
        <f t="shared" si="7"/>
        <v>2</v>
      </c>
      <c r="D232" s="109" cm="1">
        <f t="array" ref="D232">INDEX('RelAftFlt-Map-1'!$H$7:$J$96,1+B232,C232)</f>
        <v>0</v>
      </c>
    </row>
    <row r="233" spans="1:4" x14ac:dyDescent="0.75">
      <c r="A233" s="111">
        <v>231</v>
      </c>
      <c r="B233" s="111">
        <f t="shared" si="6"/>
        <v>76</v>
      </c>
      <c r="C233" s="111">
        <f t="shared" si="7"/>
        <v>3</v>
      </c>
      <c r="D233" s="109" cm="1">
        <f t="array" ref="D233">INDEX('RelAftFlt-Map-1'!$H$7:$J$96,1+B233,C233)</f>
        <v>0</v>
      </c>
    </row>
    <row r="234" spans="1:4" x14ac:dyDescent="0.75">
      <c r="A234" s="111">
        <v>232</v>
      </c>
      <c r="B234" s="111">
        <f t="shared" si="6"/>
        <v>77</v>
      </c>
      <c r="C234" s="111">
        <f t="shared" si="7"/>
        <v>1</v>
      </c>
      <c r="D234" s="109" cm="1">
        <f t="array" ref="D234">INDEX('RelAftFlt-Map-1'!$H$7:$J$96,1+B234,C234)</f>
        <v>0</v>
      </c>
    </row>
    <row r="235" spans="1:4" x14ac:dyDescent="0.75">
      <c r="A235" s="111">
        <v>233</v>
      </c>
      <c r="B235" s="111">
        <f t="shared" si="6"/>
        <v>77</v>
      </c>
      <c r="C235" s="111">
        <f t="shared" si="7"/>
        <v>2</v>
      </c>
      <c r="D235" s="109" cm="1">
        <f t="array" ref="D235">INDEX('RelAftFlt-Map-1'!$H$7:$J$96,1+B235,C235)</f>
        <v>0</v>
      </c>
    </row>
    <row r="236" spans="1:4" x14ac:dyDescent="0.75">
      <c r="A236" s="111">
        <v>234</v>
      </c>
      <c r="B236" s="111">
        <f t="shared" si="6"/>
        <v>77</v>
      </c>
      <c r="C236" s="111">
        <f t="shared" si="7"/>
        <v>3</v>
      </c>
      <c r="D236" s="109" cm="1">
        <f t="array" ref="D236">INDEX('RelAftFlt-Map-1'!$H$7:$J$96,1+B236,C236)</f>
        <v>0</v>
      </c>
    </row>
    <row r="237" spans="1:4" x14ac:dyDescent="0.75">
      <c r="A237" s="111">
        <v>235</v>
      </c>
      <c r="B237" s="111">
        <f t="shared" si="6"/>
        <v>78</v>
      </c>
      <c r="C237" s="111">
        <f t="shared" si="7"/>
        <v>1</v>
      </c>
      <c r="D237" s="109" cm="1">
        <f t="array" ref="D237">INDEX('RelAftFlt-Map-1'!$H$7:$J$96,1+B237,C237)</f>
        <v>0</v>
      </c>
    </row>
    <row r="238" spans="1:4" x14ac:dyDescent="0.75">
      <c r="A238" s="111">
        <v>236</v>
      </c>
      <c r="B238" s="111">
        <f t="shared" si="6"/>
        <v>78</v>
      </c>
      <c r="C238" s="111">
        <f t="shared" si="7"/>
        <v>2</v>
      </c>
      <c r="D238" s="109" cm="1">
        <f t="array" ref="D238">INDEX('RelAftFlt-Map-1'!$H$7:$J$96,1+B238,C238)</f>
        <v>0</v>
      </c>
    </row>
    <row r="239" spans="1:4" x14ac:dyDescent="0.75">
      <c r="A239" s="111">
        <v>237</v>
      </c>
      <c r="B239" s="111">
        <f t="shared" si="6"/>
        <v>78</v>
      </c>
      <c r="C239" s="111">
        <f t="shared" si="7"/>
        <v>3</v>
      </c>
      <c r="D239" s="109" cm="1">
        <f t="array" ref="D239">INDEX('RelAftFlt-Map-1'!$H$7:$J$96,1+B239,C239)</f>
        <v>0</v>
      </c>
    </row>
    <row r="240" spans="1:4" x14ac:dyDescent="0.75">
      <c r="A240" s="111">
        <v>238</v>
      </c>
      <c r="B240" s="111">
        <f t="shared" si="6"/>
        <v>79</v>
      </c>
      <c r="C240" s="111">
        <f t="shared" si="7"/>
        <v>1</v>
      </c>
      <c r="D240" s="109" cm="1">
        <f t="array" ref="D240">INDEX('RelAftFlt-Map-1'!$H$7:$J$96,1+B240,C240)</f>
        <v>0</v>
      </c>
    </row>
    <row r="241" spans="1:4" x14ac:dyDescent="0.75">
      <c r="A241" s="111">
        <v>239</v>
      </c>
      <c r="B241" s="111">
        <f t="shared" si="6"/>
        <v>79</v>
      </c>
      <c r="C241" s="111">
        <f t="shared" si="7"/>
        <v>2</v>
      </c>
      <c r="D241" s="109" cm="1">
        <f t="array" ref="D241">INDEX('RelAftFlt-Map-1'!$H$7:$J$96,1+B241,C241)</f>
        <v>0</v>
      </c>
    </row>
    <row r="242" spans="1:4" x14ac:dyDescent="0.75">
      <c r="A242" s="111">
        <v>240</v>
      </c>
      <c r="B242" s="111">
        <f t="shared" si="6"/>
        <v>79</v>
      </c>
      <c r="C242" s="111">
        <f t="shared" si="7"/>
        <v>3</v>
      </c>
      <c r="D242" s="109" cm="1">
        <f t="array" ref="D242">INDEX('RelAftFlt-Map-1'!$H$7:$J$96,1+B242,C242)</f>
        <v>0</v>
      </c>
    </row>
    <row r="243" spans="1:4" x14ac:dyDescent="0.75">
      <c r="A243" s="111">
        <v>241</v>
      </c>
      <c r="B243" s="111">
        <f t="shared" si="6"/>
        <v>80</v>
      </c>
      <c r="C243" s="111">
        <f t="shared" si="7"/>
        <v>1</v>
      </c>
      <c r="D243" s="109" cm="1">
        <f t="array" ref="D243">INDEX('RelAftFlt-Map-1'!$H$7:$J$96,1+B243,C243)</f>
        <v>0</v>
      </c>
    </row>
    <row r="244" spans="1:4" x14ac:dyDescent="0.75">
      <c r="A244" s="111">
        <v>242</v>
      </c>
      <c r="B244" s="111">
        <f t="shared" si="6"/>
        <v>80</v>
      </c>
      <c r="C244" s="111">
        <f t="shared" si="7"/>
        <v>2</v>
      </c>
      <c r="D244" s="109" cm="1">
        <f t="array" ref="D244">INDEX('RelAftFlt-Map-1'!$H$7:$J$96,1+B244,C244)</f>
        <v>0</v>
      </c>
    </row>
    <row r="245" spans="1:4" x14ac:dyDescent="0.75">
      <c r="A245" s="111">
        <v>243</v>
      </c>
      <c r="B245" s="111">
        <f t="shared" si="6"/>
        <v>80</v>
      </c>
      <c r="C245" s="111">
        <f t="shared" si="7"/>
        <v>3</v>
      </c>
      <c r="D245" s="109" cm="1">
        <f t="array" ref="D245">INDEX('RelAftFlt-Map-1'!$H$7:$J$96,1+B245,C245)</f>
        <v>0</v>
      </c>
    </row>
    <row r="246" spans="1:4" x14ac:dyDescent="0.75">
      <c r="A246" s="111">
        <v>244</v>
      </c>
      <c r="B246" s="111">
        <f t="shared" si="6"/>
        <v>81</v>
      </c>
      <c r="C246" s="111">
        <f t="shared" si="7"/>
        <v>1</v>
      </c>
      <c r="D246" s="109" cm="1">
        <f t="array" ref="D246">INDEX('RelAftFlt-Map-1'!$H$7:$J$96,1+B246,C246)</f>
        <v>0</v>
      </c>
    </row>
    <row r="247" spans="1:4" x14ac:dyDescent="0.75">
      <c r="A247" s="111">
        <v>245</v>
      </c>
      <c r="B247" s="111">
        <f t="shared" si="6"/>
        <v>81</v>
      </c>
      <c r="C247" s="111">
        <f t="shared" si="7"/>
        <v>2</v>
      </c>
      <c r="D247" s="109" cm="1">
        <f t="array" ref="D247">INDEX('RelAftFlt-Map-1'!$H$7:$J$96,1+B247,C247)</f>
        <v>0</v>
      </c>
    </row>
    <row r="248" spans="1:4" x14ac:dyDescent="0.75">
      <c r="A248" s="111">
        <v>246</v>
      </c>
      <c r="B248" s="111">
        <f t="shared" si="6"/>
        <v>81</v>
      </c>
      <c r="C248" s="111">
        <f t="shared" si="7"/>
        <v>3</v>
      </c>
      <c r="D248" s="109" cm="1">
        <f t="array" ref="D248">INDEX('RelAftFlt-Map-1'!$H$7:$J$96,1+B248,C248)</f>
        <v>0</v>
      </c>
    </row>
    <row r="249" spans="1:4" x14ac:dyDescent="0.75">
      <c r="A249" s="111">
        <v>247</v>
      </c>
      <c r="B249" s="111">
        <f t="shared" si="6"/>
        <v>82</v>
      </c>
      <c r="C249" s="111">
        <f t="shared" si="7"/>
        <v>1</v>
      </c>
      <c r="D249" s="109" cm="1">
        <f t="array" ref="D249">INDEX('RelAftFlt-Map-1'!$H$7:$J$96,1+B249,C249)</f>
        <v>0</v>
      </c>
    </row>
    <row r="250" spans="1:4" x14ac:dyDescent="0.75">
      <c r="A250" s="111">
        <v>248</v>
      </c>
      <c r="B250" s="111">
        <f t="shared" si="6"/>
        <v>82</v>
      </c>
      <c r="C250" s="111">
        <f t="shared" si="7"/>
        <v>2</v>
      </c>
      <c r="D250" s="109" cm="1">
        <f t="array" ref="D250">INDEX('RelAftFlt-Map-1'!$H$7:$J$96,1+B250,C250)</f>
        <v>0</v>
      </c>
    </row>
    <row r="251" spans="1:4" x14ac:dyDescent="0.75">
      <c r="A251" s="111">
        <v>249</v>
      </c>
      <c r="B251" s="111">
        <f t="shared" si="6"/>
        <v>82</v>
      </c>
      <c r="C251" s="111">
        <f t="shared" si="7"/>
        <v>3</v>
      </c>
      <c r="D251" s="109" cm="1">
        <f t="array" ref="D251">INDEX('RelAftFlt-Map-1'!$H$7:$J$96,1+B251,C251)</f>
        <v>0</v>
      </c>
    </row>
    <row r="252" spans="1:4" x14ac:dyDescent="0.75">
      <c r="A252" s="111">
        <v>250</v>
      </c>
      <c r="B252" s="111">
        <f t="shared" si="6"/>
        <v>83</v>
      </c>
      <c r="C252" s="111">
        <f t="shared" si="7"/>
        <v>1</v>
      </c>
      <c r="D252" s="109" cm="1">
        <f t="array" ref="D252">INDEX('RelAftFlt-Map-1'!$H$7:$J$96,1+B252,C252)</f>
        <v>0</v>
      </c>
    </row>
    <row r="253" spans="1:4" x14ac:dyDescent="0.75">
      <c r="A253" s="111">
        <v>251</v>
      </c>
      <c r="B253" s="111">
        <f t="shared" si="6"/>
        <v>83</v>
      </c>
      <c r="C253" s="111">
        <f t="shared" si="7"/>
        <v>2</v>
      </c>
      <c r="D253" s="109" cm="1">
        <f t="array" ref="D253">INDEX('RelAftFlt-Map-1'!$H$7:$J$96,1+B253,C253)</f>
        <v>0</v>
      </c>
    </row>
    <row r="254" spans="1:4" x14ac:dyDescent="0.75">
      <c r="A254" s="111">
        <v>252</v>
      </c>
      <c r="B254" s="111">
        <f t="shared" si="6"/>
        <v>83</v>
      </c>
      <c r="C254" s="111">
        <f t="shared" si="7"/>
        <v>3</v>
      </c>
      <c r="D254" s="109" cm="1">
        <f t="array" ref="D254">INDEX('RelAftFlt-Map-1'!$H$7:$J$96,1+B254,C254)</f>
        <v>0</v>
      </c>
    </row>
    <row r="255" spans="1:4" x14ac:dyDescent="0.75">
      <c r="A255" s="111">
        <v>253</v>
      </c>
      <c r="B255" s="111">
        <f t="shared" si="6"/>
        <v>84</v>
      </c>
      <c r="C255" s="111">
        <f t="shared" si="7"/>
        <v>1</v>
      </c>
      <c r="D255" s="109" cm="1">
        <f t="array" ref="D255">INDEX('RelAftFlt-Map-1'!$H$7:$J$96,1+B255,C255)</f>
        <v>0</v>
      </c>
    </row>
    <row r="256" spans="1:4" x14ac:dyDescent="0.75">
      <c r="A256" s="111">
        <v>254</v>
      </c>
      <c r="B256" s="111">
        <f t="shared" si="6"/>
        <v>84</v>
      </c>
      <c r="C256" s="111">
        <f t="shared" si="7"/>
        <v>2</v>
      </c>
      <c r="D256" s="109" cm="1">
        <f t="array" ref="D256">INDEX('RelAftFlt-Map-1'!$H$7:$J$96,1+B256,C256)</f>
        <v>0</v>
      </c>
    </row>
    <row r="257" spans="1:4" x14ac:dyDescent="0.75">
      <c r="A257" s="111">
        <v>255</v>
      </c>
      <c r="B257" s="111">
        <f t="shared" si="6"/>
        <v>84</v>
      </c>
      <c r="C257" s="111">
        <f t="shared" si="7"/>
        <v>3</v>
      </c>
      <c r="D257" s="109" cm="1">
        <f t="array" ref="D257">INDEX('RelAftFlt-Map-1'!$H$7:$J$96,1+B257,C257)</f>
        <v>0</v>
      </c>
    </row>
    <row r="258" spans="1:4" x14ac:dyDescent="0.75">
      <c r="A258" s="111">
        <v>256</v>
      </c>
      <c r="B258" s="111">
        <f t="shared" si="6"/>
        <v>85</v>
      </c>
      <c r="C258" s="111">
        <f t="shared" si="7"/>
        <v>1</v>
      </c>
      <c r="D258" s="109" cm="1">
        <f t="array" ref="D258">INDEX('RelAftFlt-Map-1'!$H$7:$J$96,1+B258,C258)</f>
        <v>0</v>
      </c>
    </row>
    <row r="259" spans="1:4" x14ac:dyDescent="0.75">
      <c r="A259" s="111">
        <v>257</v>
      </c>
      <c r="B259" s="111">
        <f t="shared" si="6"/>
        <v>85</v>
      </c>
      <c r="C259" s="111">
        <f t="shared" si="7"/>
        <v>2</v>
      </c>
      <c r="D259" s="109" cm="1">
        <f t="array" ref="D259">INDEX('RelAftFlt-Map-1'!$H$7:$J$96,1+B259,C259)</f>
        <v>0</v>
      </c>
    </row>
    <row r="260" spans="1:4" x14ac:dyDescent="0.75">
      <c r="A260" s="111">
        <v>258</v>
      </c>
      <c r="B260" s="111">
        <f t="shared" ref="B260:B323" si="8">IF(MOD(A260,3)=0,A260/3-1,INT(A260/3))</f>
        <v>85</v>
      </c>
      <c r="C260" s="111">
        <f t="shared" ref="C260:C323" si="9">IF(MOD(A260,3)=0,3,MOD(A260,3))</f>
        <v>3</v>
      </c>
      <c r="D260" s="109" cm="1">
        <f t="array" ref="D260">INDEX('RelAftFlt-Map-1'!$H$7:$J$96,1+B260,C260)</f>
        <v>0</v>
      </c>
    </row>
    <row r="261" spans="1:4" x14ac:dyDescent="0.75">
      <c r="A261" s="111">
        <v>259</v>
      </c>
      <c r="B261" s="111">
        <f t="shared" si="8"/>
        <v>86</v>
      </c>
      <c r="C261" s="111">
        <f t="shared" si="9"/>
        <v>1</v>
      </c>
      <c r="D261" s="109" cm="1">
        <f t="array" ref="D261">INDEX('RelAftFlt-Map-1'!$H$7:$J$96,1+B261,C261)</f>
        <v>0</v>
      </c>
    </row>
    <row r="262" spans="1:4" x14ac:dyDescent="0.75">
      <c r="A262" s="111">
        <v>260</v>
      </c>
      <c r="B262" s="111">
        <f t="shared" si="8"/>
        <v>86</v>
      </c>
      <c r="C262" s="111">
        <f t="shared" si="9"/>
        <v>2</v>
      </c>
      <c r="D262" s="109" cm="1">
        <f t="array" ref="D262">INDEX('RelAftFlt-Map-1'!$H$7:$J$96,1+B262,C262)</f>
        <v>0</v>
      </c>
    </row>
    <row r="263" spans="1:4" x14ac:dyDescent="0.75">
      <c r="A263" s="111">
        <v>261</v>
      </c>
      <c r="B263" s="111">
        <f t="shared" si="8"/>
        <v>86</v>
      </c>
      <c r="C263" s="111">
        <f t="shared" si="9"/>
        <v>3</v>
      </c>
      <c r="D263" s="109" cm="1">
        <f t="array" ref="D263">INDEX('RelAftFlt-Map-1'!$H$7:$J$96,1+B263,C263)</f>
        <v>0</v>
      </c>
    </row>
    <row r="264" spans="1:4" x14ac:dyDescent="0.75">
      <c r="A264" s="111">
        <v>262</v>
      </c>
      <c r="B264" s="111">
        <f t="shared" si="8"/>
        <v>87</v>
      </c>
      <c r="C264" s="111">
        <f t="shared" si="9"/>
        <v>1</v>
      </c>
      <c r="D264" s="109" cm="1">
        <f t="array" ref="D264">INDEX('RelAftFlt-Map-1'!$H$7:$J$96,1+B264,C264)</f>
        <v>0</v>
      </c>
    </row>
    <row r="265" spans="1:4" x14ac:dyDescent="0.75">
      <c r="A265" s="111">
        <v>263</v>
      </c>
      <c r="B265" s="111">
        <f t="shared" si="8"/>
        <v>87</v>
      </c>
      <c r="C265" s="111">
        <f t="shared" si="9"/>
        <v>2</v>
      </c>
      <c r="D265" s="109" cm="1">
        <f t="array" ref="D265">INDEX('RelAftFlt-Map-1'!$H$7:$J$96,1+B265,C265)</f>
        <v>0</v>
      </c>
    </row>
    <row r="266" spans="1:4" x14ac:dyDescent="0.75">
      <c r="A266" s="111">
        <v>264</v>
      </c>
      <c r="B266" s="111">
        <f t="shared" si="8"/>
        <v>87</v>
      </c>
      <c r="C266" s="111">
        <f t="shared" si="9"/>
        <v>3</v>
      </c>
      <c r="D266" s="109" cm="1">
        <f t="array" ref="D266">INDEX('RelAftFlt-Map-1'!$H$7:$J$96,1+B266,C266)</f>
        <v>0</v>
      </c>
    </row>
    <row r="267" spans="1:4" x14ac:dyDescent="0.75">
      <c r="A267" s="111">
        <v>265</v>
      </c>
      <c r="B267" s="111">
        <f t="shared" si="8"/>
        <v>88</v>
      </c>
      <c r="C267" s="111">
        <f t="shared" si="9"/>
        <v>1</v>
      </c>
      <c r="D267" s="109" cm="1">
        <f t="array" ref="D267">INDEX('RelAftFlt-Map-1'!$H$7:$J$96,1+B267,C267)</f>
        <v>0</v>
      </c>
    </row>
    <row r="268" spans="1:4" x14ac:dyDescent="0.75">
      <c r="A268" s="111">
        <v>266</v>
      </c>
      <c r="B268" s="111">
        <f t="shared" si="8"/>
        <v>88</v>
      </c>
      <c r="C268" s="111">
        <f t="shared" si="9"/>
        <v>2</v>
      </c>
      <c r="D268" s="109" cm="1">
        <f t="array" ref="D268">INDEX('RelAftFlt-Map-1'!$H$7:$J$96,1+B268,C268)</f>
        <v>0</v>
      </c>
    </row>
    <row r="269" spans="1:4" x14ac:dyDescent="0.75">
      <c r="A269" s="111">
        <v>267</v>
      </c>
      <c r="B269" s="111">
        <f t="shared" si="8"/>
        <v>88</v>
      </c>
      <c r="C269" s="111">
        <f t="shared" si="9"/>
        <v>3</v>
      </c>
      <c r="D269" s="109" cm="1">
        <f t="array" ref="D269">INDEX('RelAftFlt-Map-1'!$H$7:$J$96,1+B269,C269)</f>
        <v>0</v>
      </c>
    </row>
    <row r="270" spans="1:4" x14ac:dyDescent="0.75">
      <c r="A270" s="111">
        <v>268</v>
      </c>
      <c r="B270" s="111">
        <f t="shared" si="8"/>
        <v>89</v>
      </c>
      <c r="C270" s="111">
        <f t="shared" si="9"/>
        <v>1</v>
      </c>
      <c r="D270" s="109" cm="1">
        <f t="array" ref="D270">INDEX('RelAftFlt-Map-1'!$H$7:$J$96,1+B270,C270)</f>
        <v>0</v>
      </c>
    </row>
    <row r="271" spans="1:4" x14ac:dyDescent="0.75">
      <c r="A271" s="111">
        <v>269</v>
      </c>
      <c r="B271" s="111">
        <f t="shared" si="8"/>
        <v>89</v>
      </c>
      <c r="C271" s="111">
        <f t="shared" si="9"/>
        <v>2</v>
      </c>
      <c r="D271" s="109" cm="1">
        <f t="array" ref="D271">INDEX('RelAftFlt-Map-1'!$H$7:$J$96,1+B271,C271)</f>
        <v>0</v>
      </c>
    </row>
    <row r="272" spans="1:4" x14ac:dyDescent="0.75">
      <c r="A272" s="111">
        <v>270</v>
      </c>
      <c r="B272" s="111">
        <f t="shared" si="8"/>
        <v>89</v>
      </c>
      <c r="C272" s="111">
        <f t="shared" si="9"/>
        <v>3</v>
      </c>
      <c r="D272" s="109" cm="1">
        <f t="array" ref="D272">INDEX('RelAftFlt-Map-1'!$H$7:$J$96,1+B272,C272)</f>
        <v>0</v>
      </c>
    </row>
    <row r="273" spans="1:4" x14ac:dyDescent="0.75">
      <c r="A273" s="111">
        <v>271</v>
      </c>
      <c r="B273" s="111">
        <f t="shared" si="8"/>
        <v>90</v>
      </c>
      <c r="C273" s="111">
        <f t="shared" si="9"/>
        <v>1</v>
      </c>
      <c r="D273" s="109" t="e" cm="1">
        <f t="array" ref="D273">INDEX('RelAftFlt-Map-1'!$H$7:$J$96,1+B273,C273)</f>
        <v>#REF!</v>
      </c>
    </row>
    <row r="274" spans="1:4" x14ac:dyDescent="0.75">
      <c r="A274" s="111">
        <v>272</v>
      </c>
      <c r="B274" s="111">
        <f t="shared" si="8"/>
        <v>90</v>
      </c>
      <c r="C274" s="111">
        <f t="shared" si="9"/>
        <v>2</v>
      </c>
      <c r="D274" s="109" t="e" cm="1">
        <f t="array" ref="D274">INDEX('RelAftFlt-Map-1'!$H$7:$J$96,1+B274,C274)</f>
        <v>#REF!</v>
      </c>
    </row>
    <row r="275" spans="1:4" x14ac:dyDescent="0.75">
      <c r="A275" s="111">
        <v>273</v>
      </c>
      <c r="B275" s="111">
        <f t="shared" si="8"/>
        <v>90</v>
      </c>
      <c r="C275" s="111">
        <f t="shared" si="9"/>
        <v>3</v>
      </c>
      <c r="D275" s="109" t="e" cm="1">
        <f t="array" ref="D275">INDEX('RelAftFlt-Map-1'!$H$7:$J$96,1+B275,C275)</f>
        <v>#REF!</v>
      </c>
    </row>
    <row r="276" spans="1:4" x14ac:dyDescent="0.75">
      <c r="A276" s="111">
        <v>274</v>
      </c>
      <c r="B276" s="111">
        <f t="shared" si="8"/>
        <v>91</v>
      </c>
      <c r="C276" s="111">
        <f t="shared" si="9"/>
        <v>1</v>
      </c>
      <c r="D276" s="109" t="e" cm="1">
        <f t="array" ref="D276">INDEX('RelAftFlt-Map-1'!$H$7:$J$96,1+B276,C276)</f>
        <v>#REF!</v>
      </c>
    </row>
    <row r="277" spans="1:4" x14ac:dyDescent="0.75">
      <c r="A277" s="111">
        <v>275</v>
      </c>
      <c r="B277" s="111">
        <f t="shared" si="8"/>
        <v>91</v>
      </c>
      <c r="C277" s="111">
        <f t="shared" si="9"/>
        <v>2</v>
      </c>
      <c r="D277" s="109" t="e" cm="1">
        <f t="array" ref="D277">INDEX('RelAftFlt-Map-1'!$H$7:$J$96,1+B277,C277)</f>
        <v>#REF!</v>
      </c>
    </row>
    <row r="278" spans="1:4" x14ac:dyDescent="0.75">
      <c r="A278" s="111">
        <v>276</v>
      </c>
      <c r="B278" s="111">
        <f t="shared" si="8"/>
        <v>91</v>
      </c>
      <c r="C278" s="111">
        <f t="shared" si="9"/>
        <v>3</v>
      </c>
      <c r="D278" s="109" t="e" cm="1">
        <f t="array" ref="D278">INDEX('RelAftFlt-Map-1'!$H$7:$J$96,1+B278,C278)</f>
        <v>#REF!</v>
      </c>
    </row>
    <row r="279" spans="1:4" x14ac:dyDescent="0.75">
      <c r="A279" s="111">
        <v>277</v>
      </c>
      <c r="B279" s="111">
        <f t="shared" si="8"/>
        <v>92</v>
      </c>
      <c r="C279" s="111">
        <f t="shared" si="9"/>
        <v>1</v>
      </c>
      <c r="D279" s="109" t="e" cm="1">
        <f t="array" ref="D279">INDEX('RelAftFlt-Map-1'!$H$7:$J$96,1+B279,C279)</f>
        <v>#REF!</v>
      </c>
    </row>
    <row r="280" spans="1:4" x14ac:dyDescent="0.75">
      <c r="A280" s="111">
        <v>278</v>
      </c>
      <c r="B280" s="111">
        <f t="shared" si="8"/>
        <v>92</v>
      </c>
      <c r="C280" s="111">
        <f t="shared" si="9"/>
        <v>2</v>
      </c>
      <c r="D280" s="109" t="e" cm="1">
        <f t="array" ref="D280">INDEX('RelAftFlt-Map-1'!$H$7:$J$96,1+B280,C280)</f>
        <v>#REF!</v>
      </c>
    </row>
    <row r="281" spans="1:4" x14ac:dyDescent="0.75">
      <c r="A281" s="111">
        <v>279</v>
      </c>
      <c r="B281" s="111">
        <f t="shared" si="8"/>
        <v>92</v>
      </c>
      <c r="C281" s="111">
        <f t="shared" si="9"/>
        <v>3</v>
      </c>
      <c r="D281" s="109" t="e" cm="1">
        <f t="array" ref="D281">INDEX('RelAftFlt-Map-1'!$H$7:$J$96,1+B281,C281)</f>
        <v>#REF!</v>
      </c>
    </row>
    <row r="282" spans="1:4" x14ac:dyDescent="0.75">
      <c r="A282" s="111">
        <v>280</v>
      </c>
      <c r="B282" s="111">
        <f t="shared" si="8"/>
        <v>93</v>
      </c>
      <c r="C282" s="111">
        <f t="shared" si="9"/>
        <v>1</v>
      </c>
      <c r="D282" s="109" t="e" cm="1">
        <f t="array" ref="D282">INDEX('RelAftFlt-Map-1'!$H$7:$J$96,1+B282,C282)</f>
        <v>#REF!</v>
      </c>
    </row>
    <row r="283" spans="1:4" x14ac:dyDescent="0.75">
      <c r="A283" s="111">
        <v>281</v>
      </c>
      <c r="B283" s="111">
        <f t="shared" si="8"/>
        <v>93</v>
      </c>
      <c r="C283" s="111">
        <f t="shared" si="9"/>
        <v>2</v>
      </c>
      <c r="D283" s="109" t="e" cm="1">
        <f t="array" ref="D283">INDEX('RelAftFlt-Map-1'!$H$7:$J$96,1+B283,C283)</f>
        <v>#REF!</v>
      </c>
    </row>
    <row r="284" spans="1:4" x14ac:dyDescent="0.75">
      <c r="A284" s="111">
        <v>282</v>
      </c>
      <c r="B284" s="111">
        <f t="shared" si="8"/>
        <v>93</v>
      </c>
      <c r="C284" s="111">
        <f t="shared" si="9"/>
        <v>3</v>
      </c>
      <c r="D284" s="109" t="e" cm="1">
        <f t="array" ref="D284">INDEX('RelAftFlt-Map-1'!$H$7:$J$96,1+B284,C284)</f>
        <v>#REF!</v>
      </c>
    </row>
    <row r="285" spans="1:4" x14ac:dyDescent="0.75">
      <c r="A285" s="111">
        <v>283</v>
      </c>
      <c r="B285" s="111">
        <f t="shared" si="8"/>
        <v>94</v>
      </c>
      <c r="C285" s="111">
        <f t="shared" si="9"/>
        <v>1</v>
      </c>
      <c r="D285" s="109" t="e" cm="1">
        <f t="array" ref="D285">INDEX('RelAftFlt-Map-1'!$H$7:$J$96,1+B285,C285)</f>
        <v>#REF!</v>
      </c>
    </row>
    <row r="286" spans="1:4" x14ac:dyDescent="0.75">
      <c r="A286" s="111">
        <v>284</v>
      </c>
      <c r="B286" s="111">
        <f t="shared" si="8"/>
        <v>94</v>
      </c>
      <c r="C286" s="111">
        <f t="shared" si="9"/>
        <v>2</v>
      </c>
      <c r="D286" s="109" t="e" cm="1">
        <f t="array" ref="D286">INDEX('RelAftFlt-Map-1'!$H$7:$J$96,1+B286,C286)</f>
        <v>#REF!</v>
      </c>
    </row>
    <row r="287" spans="1:4" x14ac:dyDescent="0.75">
      <c r="A287" s="111">
        <v>285</v>
      </c>
      <c r="B287" s="111">
        <f t="shared" si="8"/>
        <v>94</v>
      </c>
      <c r="C287" s="111">
        <f t="shared" si="9"/>
        <v>3</v>
      </c>
      <c r="D287" s="109" t="e" cm="1">
        <f t="array" ref="D287">INDEX('RelAftFlt-Map-1'!$H$7:$J$96,1+B287,C287)</f>
        <v>#REF!</v>
      </c>
    </row>
    <row r="288" spans="1:4" x14ac:dyDescent="0.75">
      <c r="A288" s="111">
        <v>286</v>
      </c>
      <c r="B288" s="111">
        <f t="shared" si="8"/>
        <v>95</v>
      </c>
      <c r="C288" s="111">
        <f t="shared" si="9"/>
        <v>1</v>
      </c>
      <c r="D288" s="109" t="e" cm="1">
        <f t="array" ref="D288">INDEX('RelAftFlt-Map-1'!$H$7:$J$96,1+B288,C288)</f>
        <v>#REF!</v>
      </c>
    </row>
    <row r="289" spans="1:4" x14ac:dyDescent="0.75">
      <c r="A289" s="111">
        <v>287</v>
      </c>
      <c r="B289" s="111">
        <f t="shared" si="8"/>
        <v>95</v>
      </c>
      <c r="C289" s="111">
        <f t="shared" si="9"/>
        <v>2</v>
      </c>
      <c r="D289" s="109" t="e" cm="1">
        <f t="array" ref="D289">INDEX('RelAftFlt-Map-1'!$H$7:$J$96,1+B289,C289)</f>
        <v>#REF!</v>
      </c>
    </row>
    <row r="290" spans="1:4" x14ac:dyDescent="0.75">
      <c r="A290" s="111">
        <v>288</v>
      </c>
      <c r="B290" s="111">
        <f t="shared" si="8"/>
        <v>95</v>
      </c>
      <c r="C290" s="111">
        <f t="shared" si="9"/>
        <v>3</v>
      </c>
      <c r="D290" s="109" t="e" cm="1">
        <f t="array" ref="D290">INDEX('RelAftFlt-Map-1'!$H$7:$J$96,1+B290,C290)</f>
        <v>#REF!</v>
      </c>
    </row>
    <row r="291" spans="1:4" x14ac:dyDescent="0.75">
      <c r="A291" s="111">
        <v>289</v>
      </c>
      <c r="B291" s="111">
        <f t="shared" si="8"/>
        <v>96</v>
      </c>
      <c r="C291" s="111">
        <f t="shared" si="9"/>
        <v>1</v>
      </c>
      <c r="D291" s="109" t="e" cm="1">
        <f t="array" ref="D291">INDEX('RelAftFlt-Map-1'!$H$7:$J$96,1+B291,C291)</f>
        <v>#REF!</v>
      </c>
    </row>
    <row r="292" spans="1:4" x14ac:dyDescent="0.75">
      <c r="A292" s="111">
        <v>290</v>
      </c>
      <c r="B292" s="111">
        <f t="shared" si="8"/>
        <v>96</v>
      </c>
      <c r="C292" s="111">
        <f t="shared" si="9"/>
        <v>2</v>
      </c>
      <c r="D292" s="109" t="e" cm="1">
        <f t="array" ref="D292">INDEX('RelAftFlt-Map-1'!$H$7:$J$96,1+B292,C292)</f>
        <v>#REF!</v>
      </c>
    </row>
    <row r="293" spans="1:4" x14ac:dyDescent="0.75">
      <c r="A293" s="111">
        <v>291</v>
      </c>
      <c r="B293" s="111">
        <f t="shared" si="8"/>
        <v>96</v>
      </c>
      <c r="C293" s="111">
        <f t="shared" si="9"/>
        <v>3</v>
      </c>
      <c r="D293" s="109" t="e" cm="1">
        <f t="array" ref="D293">INDEX('RelAftFlt-Map-1'!$H$7:$J$96,1+B293,C293)</f>
        <v>#REF!</v>
      </c>
    </row>
    <row r="294" spans="1:4" x14ac:dyDescent="0.75">
      <c r="A294" s="111">
        <v>292</v>
      </c>
      <c r="B294" s="111">
        <f t="shared" si="8"/>
        <v>97</v>
      </c>
      <c r="C294" s="111">
        <f t="shared" si="9"/>
        <v>1</v>
      </c>
      <c r="D294" s="109" t="e" cm="1">
        <f t="array" ref="D294">INDEX('RelAftFlt-Map-1'!$H$7:$J$96,1+B294,C294)</f>
        <v>#REF!</v>
      </c>
    </row>
    <row r="295" spans="1:4" x14ac:dyDescent="0.75">
      <c r="A295" s="111">
        <v>293</v>
      </c>
      <c r="B295" s="111">
        <f t="shared" si="8"/>
        <v>97</v>
      </c>
      <c r="C295" s="111">
        <f t="shared" si="9"/>
        <v>2</v>
      </c>
      <c r="D295" s="109" t="e" cm="1">
        <f t="array" ref="D295">INDEX('RelAftFlt-Map-1'!$H$7:$J$96,1+B295,C295)</f>
        <v>#REF!</v>
      </c>
    </row>
    <row r="296" spans="1:4" x14ac:dyDescent="0.75">
      <c r="A296" s="111">
        <v>294</v>
      </c>
      <c r="B296" s="111">
        <f t="shared" si="8"/>
        <v>97</v>
      </c>
      <c r="C296" s="111">
        <f t="shared" si="9"/>
        <v>3</v>
      </c>
      <c r="D296" s="109" t="e" cm="1">
        <f t="array" ref="D296">INDEX('RelAftFlt-Map-1'!$H$7:$J$96,1+B296,C296)</f>
        <v>#REF!</v>
      </c>
    </row>
    <row r="297" spans="1:4" x14ac:dyDescent="0.75">
      <c r="A297" s="111">
        <v>295</v>
      </c>
      <c r="B297" s="111">
        <f t="shared" si="8"/>
        <v>98</v>
      </c>
      <c r="C297" s="111">
        <f t="shared" si="9"/>
        <v>1</v>
      </c>
      <c r="D297" s="109" t="e" cm="1">
        <f t="array" ref="D297">INDEX('RelAftFlt-Map-1'!$H$7:$J$96,1+B297,C297)</f>
        <v>#REF!</v>
      </c>
    </row>
    <row r="298" spans="1:4" x14ac:dyDescent="0.75">
      <c r="A298" s="111">
        <v>296</v>
      </c>
      <c r="B298" s="111">
        <f t="shared" si="8"/>
        <v>98</v>
      </c>
      <c r="C298" s="111">
        <f t="shared" si="9"/>
        <v>2</v>
      </c>
      <c r="D298" s="109" t="e" cm="1">
        <f t="array" ref="D298">INDEX('RelAftFlt-Map-1'!$H$7:$J$96,1+B298,C298)</f>
        <v>#REF!</v>
      </c>
    </row>
    <row r="299" spans="1:4" x14ac:dyDescent="0.75">
      <c r="A299" s="111">
        <v>297</v>
      </c>
      <c r="B299" s="111">
        <f t="shared" si="8"/>
        <v>98</v>
      </c>
      <c r="C299" s="111">
        <f t="shared" si="9"/>
        <v>3</v>
      </c>
      <c r="D299" s="109" t="e" cm="1">
        <f t="array" ref="D299">INDEX('RelAftFlt-Map-1'!$H$7:$J$96,1+B299,C299)</f>
        <v>#REF!</v>
      </c>
    </row>
    <row r="300" spans="1:4" x14ac:dyDescent="0.75">
      <c r="A300" s="111">
        <v>298</v>
      </c>
      <c r="B300" s="111">
        <f t="shared" si="8"/>
        <v>99</v>
      </c>
      <c r="C300" s="111">
        <f t="shared" si="9"/>
        <v>1</v>
      </c>
      <c r="D300" s="109" t="e" cm="1">
        <f t="array" ref="D300">INDEX('RelAftFlt-Map-1'!$H$7:$J$96,1+B300,C300)</f>
        <v>#REF!</v>
      </c>
    </row>
    <row r="301" spans="1:4" x14ac:dyDescent="0.75">
      <c r="A301" s="111">
        <v>299</v>
      </c>
      <c r="B301" s="111">
        <f t="shared" si="8"/>
        <v>99</v>
      </c>
      <c r="C301" s="111">
        <f t="shared" si="9"/>
        <v>2</v>
      </c>
      <c r="D301" s="109" t="e" cm="1">
        <f t="array" ref="D301">INDEX('RelAftFlt-Map-1'!$H$7:$J$96,1+B301,C301)</f>
        <v>#REF!</v>
      </c>
    </row>
    <row r="302" spans="1:4" x14ac:dyDescent="0.75">
      <c r="A302" s="111">
        <v>300</v>
      </c>
      <c r="B302" s="111">
        <f t="shared" si="8"/>
        <v>99</v>
      </c>
      <c r="C302" s="111">
        <f t="shared" si="9"/>
        <v>3</v>
      </c>
      <c r="D302" s="109" t="e" cm="1">
        <f t="array" ref="D302">INDEX('RelAftFlt-Map-1'!$H$7:$J$96,1+B302,C302)</f>
        <v>#REF!</v>
      </c>
    </row>
    <row r="303" spans="1:4" x14ac:dyDescent="0.75">
      <c r="A303" s="111">
        <v>301</v>
      </c>
      <c r="B303" s="111">
        <f t="shared" si="8"/>
        <v>100</v>
      </c>
      <c r="C303" s="111">
        <f t="shared" si="9"/>
        <v>1</v>
      </c>
      <c r="D303" s="109" t="e" cm="1">
        <f t="array" ref="D303">INDEX('RelAftFlt-Map-1'!$H$7:$J$96,1+B303,C303)</f>
        <v>#REF!</v>
      </c>
    </row>
    <row r="304" spans="1:4" x14ac:dyDescent="0.75">
      <c r="A304" s="111">
        <v>302</v>
      </c>
      <c r="B304" s="111">
        <f t="shared" si="8"/>
        <v>100</v>
      </c>
      <c r="C304" s="111">
        <f t="shared" si="9"/>
        <v>2</v>
      </c>
      <c r="D304" s="109" t="e" cm="1">
        <f t="array" ref="D304">INDEX('RelAftFlt-Map-1'!$H$7:$J$96,1+B304,C304)</f>
        <v>#REF!</v>
      </c>
    </row>
    <row r="305" spans="1:4" x14ac:dyDescent="0.75">
      <c r="A305" s="111">
        <v>303</v>
      </c>
      <c r="B305" s="111">
        <f t="shared" si="8"/>
        <v>100</v>
      </c>
      <c r="C305" s="111">
        <f t="shared" si="9"/>
        <v>3</v>
      </c>
      <c r="D305" s="109" t="e" cm="1">
        <f t="array" ref="D305">INDEX('RelAftFlt-Map-1'!$H$7:$J$96,1+B305,C305)</f>
        <v>#REF!</v>
      </c>
    </row>
    <row r="306" spans="1:4" x14ac:dyDescent="0.75">
      <c r="A306" s="111">
        <v>304</v>
      </c>
      <c r="B306" s="111">
        <f t="shared" si="8"/>
        <v>101</v>
      </c>
      <c r="C306" s="111">
        <f t="shared" si="9"/>
        <v>1</v>
      </c>
      <c r="D306" s="109" t="e" cm="1">
        <f t="array" ref="D306">INDEX('RelAftFlt-Map-1'!$H$7:$J$96,1+B306,C306)</f>
        <v>#REF!</v>
      </c>
    </row>
    <row r="307" spans="1:4" x14ac:dyDescent="0.75">
      <c r="A307" s="111">
        <v>305</v>
      </c>
      <c r="B307" s="111">
        <f t="shared" si="8"/>
        <v>101</v>
      </c>
      <c r="C307" s="111">
        <f t="shared" si="9"/>
        <v>2</v>
      </c>
      <c r="D307" s="109" t="e" cm="1">
        <f t="array" ref="D307">INDEX('RelAftFlt-Map-1'!$H$7:$J$96,1+B307,C307)</f>
        <v>#REF!</v>
      </c>
    </row>
    <row r="308" spans="1:4" x14ac:dyDescent="0.75">
      <c r="A308" s="111">
        <v>306</v>
      </c>
      <c r="B308" s="111">
        <f t="shared" si="8"/>
        <v>101</v>
      </c>
      <c r="C308" s="111">
        <f t="shared" si="9"/>
        <v>3</v>
      </c>
      <c r="D308" s="109" t="e" cm="1">
        <f t="array" ref="D308">INDEX('RelAftFlt-Map-1'!$H$7:$J$96,1+B308,C308)</f>
        <v>#REF!</v>
      </c>
    </row>
    <row r="309" spans="1:4" x14ac:dyDescent="0.75">
      <c r="A309" s="111">
        <v>307</v>
      </c>
      <c r="B309" s="111">
        <f t="shared" si="8"/>
        <v>102</v>
      </c>
      <c r="C309" s="111">
        <f t="shared" si="9"/>
        <v>1</v>
      </c>
      <c r="D309" s="109" t="e" cm="1">
        <f t="array" ref="D309">INDEX('RelAftFlt-Map-1'!$H$7:$J$96,1+B309,C309)</f>
        <v>#REF!</v>
      </c>
    </row>
    <row r="310" spans="1:4" x14ac:dyDescent="0.75">
      <c r="A310" s="111">
        <v>308</v>
      </c>
      <c r="B310" s="111">
        <f t="shared" si="8"/>
        <v>102</v>
      </c>
      <c r="C310" s="111">
        <f t="shared" si="9"/>
        <v>2</v>
      </c>
      <c r="D310" s="109" t="e" cm="1">
        <f t="array" ref="D310">INDEX('RelAftFlt-Map-1'!$H$7:$J$96,1+B310,C310)</f>
        <v>#REF!</v>
      </c>
    </row>
    <row r="311" spans="1:4" x14ac:dyDescent="0.75">
      <c r="A311" s="111">
        <v>309</v>
      </c>
      <c r="B311" s="111">
        <f t="shared" si="8"/>
        <v>102</v>
      </c>
      <c r="C311" s="111">
        <f t="shared" si="9"/>
        <v>3</v>
      </c>
      <c r="D311" s="109" t="e" cm="1">
        <f t="array" ref="D311">INDEX('RelAftFlt-Map-1'!$H$7:$J$96,1+B311,C311)</f>
        <v>#REF!</v>
      </c>
    </row>
    <row r="312" spans="1:4" x14ac:dyDescent="0.75">
      <c r="A312" s="111">
        <v>310</v>
      </c>
      <c r="B312" s="111">
        <f t="shared" si="8"/>
        <v>103</v>
      </c>
      <c r="C312" s="111">
        <f t="shared" si="9"/>
        <v>1</v>
      </c>
      <c r="D312" s="109" t="e" cm="1">
        <f t="array" ref="D312">INDEX('RelAftFlt-Map-1'!$H$7:$J$96,1+B312,C312)</f>
        <v>#REF!</v>
      </c>
    </row>
    <row r="313" spans="1:4" x14ac:dyDescent="0.75">
      <c r="A313" s="111">
        <v>311</v>
      </c>
      <c r="B313" s="111">
        <f t="shared" si="8"/>
        <v>103</v>
      </c>
      <c r="C313" s="111">
        <f t="shared" si="9"/>
        <v>2</v>
      </c>
      <c r="D313" s="109" t="e" cm="1">
        <f t="array" ref="D313">INDEX('RelAftFlt-Map-1'!$H$7:$J$96,1+B313,C313)</f>
        <v>#REF!</v>
      </c>
    </row>
    <row r="314" spans="1:4" x14ac:dyDescent="0.75">
      <c r="A314" s="111">
        <v>312</v>
      </c>
      <c r="B314" s="111">
        <f t="shared" si="8"/>
        <v>103</v>
      </c>
      <c r="C314" s="111">
        <f t="shared" si="9"/>
        <v>3</v>
      </c>
      <c r="D314" s="109" t="e" cm="1">
        <f t="array" ref="D314">INDEX('RelAftFlt-Map-1'!$H$7:$J$96,1+B314,C314)</f>
        <v>#REF!</v>
      </c>
    </row>
    <row r="315" spans="1:4" x14ac:dyDescent="0.75">
      <c r="A315" s="111">
        <v>313</v>
      </c>
      <c r="B315" s="111">
        <f t="shared" si="8"/>
        <v>104</v>
      </c>
      <c r="C315" s="111">
        <f t="shared" si="9"/>
        <v>1</v>
      </c>
      <c r="D315" s="109" t="e" cm="1">
        <f t="array" ref="D315">INDEX('RelAftFlt-Map-1'!$H$7:$J$96,1+B315,C315)</f>
        <v>#REF!</v>
      </c>
    </row>
    <row r="316" spans="1:4" x14ac:dyDescent="0.75">
      <c r="A316" s="111">
        <v>314</v>
      </c>
      <c r="B316" s="111">
        <f t="shared" si="8"/>
        <v>104</v>
      </c>
      <c r="C316" s="111">
        <f t="shared" si="9"/>
        <v>2</v>
      </c>
      <c r="D316" s="109" t="e" cm="1">
        <f t="array" ref="D316">INDEX('RelAftFlt-Map-1'!$H$7:$J$96,1+B316,C316)</f>
        <v>#REF!</v>
      </c>
    </row>
    <row r="317" spans="1:4" x14ac:dyDescent="0.75">
      <c r="A317" s="111">
        <v>315</v>
      </c>
      <c r="B317" s="111">
        <f t="shared" si="8"/>
        <v>104</v>
      </c>
      <c r="C317" s="111">
        <f t="shared" si="9"/>
        <v>3</v>
      </c>
      <c r="D317" s="109" t="e" cm="1">
        <f t="array" ref="D317">INDEX('RelAftFlt-Map-1'!$H$7:$J$96,1+B317,C317)</f>
        <v>#REF!</v>
      </c>
    </row>
    <row r="318" spans="1:4" x14ac:dyDescent="0.75">
      <c r="A318" s="111">
        <v>316</v>
      </c>
      <c r="B318" s="111">
        <f t="shared" si="8"/>
        <v>105</v>
      </c>
      <c r="C318" s="111">
        <f t="shared" si="9"/>
        <v>1</v>
      </c>
      <c r="D318" s="109" t="e" cm="1">
        <f t="array" ref="D318">INDEX('RelAftFlt-Map-1'!$H$7:$J$96,1+B318,C318)</f>
        <v>#REF!</v>
      </c>
    </row>
    <row r="319" spans="1:4" x14ac:dyDescent="0.75">
      <c r="A319" s="111">
        <v>317</v>
      </c>
      <c r="B319" s="111">
        <f t="shared" si="8"/>
        <v>105</v>
      </c>
      <c r="C319" s="111">
        <f t="shared" si="9"/>
        <v>2</v>
      </c>
      <c r="D319" s="109" t="e" cm="1">
        <f t="array" ref="D319">INDEX('RelAftFlt-Map-1'!$H$7:$J$96,1+B319,C319)</f>
        <v>#REF!</v>
      </c>
    </row>
    <row r="320" spans="1:4" x14ac:dyDescent="0.75">
      <c r="A320" s="111">
        <v>318</v>
      </c>
      <c r="B320" s="111">
        <f t="shared" si="8"/>
        <v>105</v>
      </c>
      <c r="C320" s="111">
        <f t="shared" si="9"/>
        <v>3</v>
      </c>
      <c r="D320" s="109" t="e" cm="1">
        <f t="array" ref="D320">INDEX('RelAftFlt-Map-1'!$H$7:$J$96,1+B320,C320)</f>
        <v>#REF!</v>
      </c>
    </row>
    <row r="321" spans="1:4" x14ac:dyDescent="0.75">
      <c r="A321" s="111">
        <v>319</v>
      </c>
      <c r="B321" s="111">
        <f t="shared" si="8"/>
        <v>106</v>
      </c>
      <c r="C321" s="111">
        <f t="shared" si="9"/>
        <v>1</v>
      </c>
      <c r="D321" s="109" t="e" cm="1">
        <f t="array" ref="D321">INDEX('RelAftFlt-Map-1'!$H$7:$J$96,1+B321,C321)</f>
        <v>#REF!</v>
      </c>
    </row>
    <row r="322" spans="1:4" x14ac:dyDescent="0.75">
      <c r="A322" s="111">
        <v>320</v>
      </c>
      <c r="B322" s="111">
        <f t="shared" si="8"/>
        <v>106</v>
      </c>
      <c r="C322" s="111">
        <f t="shared" si="9"/>
        <v>2</v>
      </c>
      <c r="D322" s="109" t="e" cm="1">
        <f t="array" ref="D322">INDEX('RelAftFlt-Map-1'!$H$7:$J$96,1+B322,C322)</f>
        <v>#REF!</v>
      </c>
    </row>
    <row r="323" spans="1:4" x14ac:dyDescent="0.75">
      <c r="A323" s="111">
        <v>321</v>
      </c>
      <c r="B323" s="111">
        <f t="shared" si="8"/>
        <v>106</v>
      </c>
      <c r="C323" s="111">
        <f t="shared" si="9"/>
        <v>3</v>
      </c>
      <c r="D323" s="109" t="e" cm="1">
        <f t="array" ref="D323">INDEX('RelAftFlt-Map-1'!$H$7:$J$96,1+B323,C323)</f>
        <v>#REF!</v>
      </c>
    </row>
    <row r="324" spans="1:4" x14ac:dyDescent="0.75">
      <c r="A324" s="111">
        <v>322</v>
      </c>
      <c r="B324" s="111">
        <f t="shared" ref="B324:B387" si="10">IF(MOD(A324,3)=0,A324/3-1,INT(A324/3))</f>
        <v>107</v>
      </c>
      <c r="C324" s="111">
        <f t="shared" ref="C324:C387" si="11">IF(MOD(A324,3)=0,3,MOD(A324,3))</f>
        <v>1</v>
      </c>
      <c r="D324" s="109" t="e" cm="1">
        <f t="array" ref="D324">INDEX('RelAftFlt-Map-1'!$H$7:$J$96,1+B324,C324)</f>
        <v>#REF!</v>
      </c>
    </row>
    <row r="325" spans="1:4" x14ac:dyDescent="0.75">
      <c r="A325" s="111">
        <v>323</v>
      </c>
      <c r="B325" s="111">
        <f t="shared" si="10"/>
        <v>107</v>
      </c>
      <c r="C325" s="111">
        <f t="shared" si="11"/>
        <v>2</v>
      </c>
      <c r="D325" s="109" t="e" cm="1">
        <f t="array" ref="D325">INDEX('RelAftFlt-Map-1'!$H$7:$J$96,1+B325,C325)</f>
        <v>#REF!</v>
      </c>
    </row>
    <row r="326" spans="1:4" x14ac:dyDescent="0.75">
      <c r="A326" s="111">
        <v>324</v>
      </c>
      <c r="B326" s="111">
        <f t="shared" si="10"/>
        <v>107</v>
      </c>
      <c r="C326" s="111">
        <f t="shared" si="11"/>
        <v>3</v>
      </c>
      <c r="D326" s="109" t="e" cm="1">
        <f t="array" ref="D326">INDEX('RelAftFlt-Map-1'!$H$7:$J$96,1+B326,C326)</f>
        <v>#REF!</v>
      </c>
    </row>
    <row r="327" spans="1:4" x14ac:dyDescent="0.75">
      <c r="A327" s="111">
        <v>325</v>
      </c>
      <c r="B327" s="111">
        <f t="shared" si="10"/>
        <v>108</v>
      </c>
      <c r="C327" s="111">
        <f t="shared" si="11"/>
        <v>1</v>
      </c>
      <c r="D327" s="109" t="e" cm="1">
        <f t="array" ref="D327">INDEX('RelAftFlt-Map-1'!$H$7:$J$96,1+B327,C327)</f>
        <v>#REF!</v>
      </c>
    </row>
    <row r="328" spans="1:4" x14ac:dyDescent="0.75">
      <c r="A328" s="111">
        <v>326</v>
      </c>
      <c r="B328" s="111">
        <f t="shared" si="10"/>
        <v>108</v>
      </c>
      <c r="C328" s="111">
        <f t="shared" si="11"/>
        <v>2</v>
      </c>
      <c r="D328" s="109" t="e" cm="1">
        <f t="array" ref="D328">INDEX('RelAftFlt-Map-1'!$H$7:$J$96,1+B328,C328)</f>
        <v>#REF!</v>
      </c>
    </row>
    <row r="329" spans="1:4" x14ac:dyDescent="0.75">
      <c r="A329" s="111">
        <v>327</v>
      </c>
      <c r="B329" s="111">
        <f t="shared" si="10"/>
        <v>108</v>
      </c>
      <c r="C329" s="111">
        <f t="shared" si="11"/>
        <v>3</v>
      </c>
      <c r="D329" s="109" t="e" cm="1">
        <f t="array" ref="D329">INDEX('RelAftFlt-Map-1'!$H$7:$J$96,1+B329,C329)</f>
        <v>#REF!</v>
      </c>
    </row>
    <row r="330" spans="1:4" x14ac:dyDescent="0.75">
      <c r="A330" s="111">
        <v>328</v>
      </c>
      <c r="B330" s="111">
        <f t="shared" si="10"/>
        <v>109</v>
      </c>
      <c r="C330" s="111">
        <f t="shared" si="11"/>
        <v>1</v>
      </c>
      <c r="D330" s="109" t="e" cm="1">
        <f t="array" ref="D330">INDEX('RelAftFlt-Map-1'!$H$7:$J$96,1+B330,C330)</f>
        <v>#REF!</v>
      </c>
    </row>
    <row r="331" spans="1:4" x14ac:dyDescent="0.75">
      <c r="A331" s="111">
        <v>329</v>
      </c>
      <c r="B331" s="111">
        <f t="shared" si="10"/>
        <v>109</v>
      </c>
      <c r="C331" s="111">
        <f t="shared" si="11"/>
        <v>2</v>
      </c>
      <c r="D331" s="109" t="e" cm="1">
        <f t="array" ref="D331">INDEX('RelAftFlt-Map-1'!$H$7:$J$96,1+B331,C331)</f>
        <v>#REF!</v>
      </c>
    </row>
    <row r="332" spans="1:4" x14ac:dyDescent="0.75">
      <c r="A332" s="111">
        <v>330</v>
      </c>
      <c r="B332" s="111">
        <f t="shared" si="10"/>
        <v>109</v>
      </c>
      <c r="C332" s="111">
        <f t="shared" si="11"/>
        <v>3</v>
      </c>
      <c r="D332" s="109" t="e" cm="1">
        <f t="array" ref="D332">INDEX('RelAftFlt-Map-1'!$H$7:$J$96,1+B332,C332)</f>
        <v>#REF!</v>
      </c>
    </row>
    <row r="333" spans="1:4" x14ac:dyDescent="0.75">
      <c r="A333" s="111">
        <v>331</v>
      </c>
      <c r="B333" s="111">
        <f t="shared" si="10"/>
        <v>110</v>
      </c>
      <c r="C333" s="111">
        <f t="shared" si="11"/>
        <v>1</v>
      </c>
      <c r="D333" s="109" t="e" cm="1">
        <f t="array" ref="D333">INDEX('RelAftFlt-Map-1'!$H$7:$J$96,1+B333,C333)</f>
        <v>#REF!</v>
      </c>
    </row>
    <row r="334" spans="1:4" x14ac:dyDescent="0.75">
      <c r="A334" s="111">
        <v>332</v>
      </c>
      <c r="B334" s="111">
        <f t="shared" si="10"/>
        <v>110</v>
      </c>
      <c r="C334" s="111">
        <f t="shared" si="11"/>
        <v>2</v>
      </c>
      <c r="D334" s="109" t="e" cm="1">
        <f t="array" ref="D334">INDEX('RelAftFlt-Map-1'!$H$7:$J$96,1+B334,C334)</f>
        <v>#REF!</v>
      </c>
    </row>
    <row r="335" spans="1:4" x14ac:dyDescent="0.75">
      <c r="A335" s="111">
        <v>333</v>
      </c>
      <c r="B335" s="111">
        <f t="shared" si="10"/>
        <v>110</v>
      </c>
      <c r="C335" s="111">
        <f t="shared" si="11"/>
        <v>3</v>
      </c>
      <c r="D335" s="109" t="e" cm="1">
        <f t="array" ref="D335">INDEX('RelAftFlt-Map-1'!$H$7:$J$96,1+B335,C335)</f>
        <v>#REF!</v>
      </c>
    </row>
    <row r="336" spans="1:4" x14ac:dyDescent="0.75">
      <c r="A336" s="111">
        <v>334</v>
      </c>
      <c r="B336" s="111">
        <f t="shared" si="10"/>
        <v>111</v>
      </c>
      <c r="C336" s="111">
        <f t="shared" si="11"/>
        <v>1</v>
      </c>
      <c r="D336" s="109" t="e" cm="1">
        <f t="array" ref="D336">INDEX('RelAftFlt-Map-1'!$H$7:$J$96,1+B336,C336)</f>
        <v>#REF!</v>
      </c>
    </row>
    <row r="337" spans="1:4" x14ac:dyDescent="0.75">
      <c r="A337" s="111">
        <v>335</v>
      </c>
      <c r="B337" s="111">
        <f t="shared" si="10"/>
        <v>111</v>
      </c>
      <c r="C337" s="111">
        <f t="shared" si="11"/>
        <v>2</v>
      </c>
      <c r="D337" s="109" t="e" cm="1">
        <f t="array" ref="D337">INDEX('RelAftFlt-Map-1'!$H$7:$J$96,1+B337,C337)</f>
        <v>#REF!</v>
      </c>
    </row>
    <row r="338" spans="1:4" x14ac:dyDescent="0.75">
      <c r="A338" s="111">
        <v>336</v>
      </c>
      <c r="B338" s="111">
        <f t="shared" si="10"/>
        <v>111</v>
      </c>
      <c r="C338" s="111">
        <f t="shared" si="11"/>
        <v>3</v>
      </c>
      <c r="D338" s="109" t="e" cm="1">
        <f t="array" ref="D338">INDEX('RelAftFlt-Map-1'!$H$7:$J$96,1+B338,C338)</f>
        <v>#REF!</v>
      </c>
    </row>
    <row r="339" spans="1:4" x14ac:dyDescent="0.75">
      <c r="A339" s="111">
        <v>337</v>
      </c>
      <c r="B339" s="111">
        <f t="shared" si="10"/>
        <v>112</v>
      </c>
      <c r="C339" s="111">
        <f t="shared" si="11"/>
        <v>1</v>
      </c>
      <c r="D339" s="109" t="e" cm="1">
        <f t="array" ref="D339">INDEX('RelAftFlt-Map-1'!$H$7:$J$96,1+B339,C339)</f>
        <v>#REF!</v>
      </c>
    </row>
    <row r="340" spans="1:4" x14ac:dyDescent="0.75">
      <c r="A340" s="111">
        <v>338</v>
      </c>
      <c r="B340" s="111">
        <f t="shared" si="10"/>
        <v>112</v>
      </c>
      <c r="C340" s="111">
        <f t="shared" si="11"/>
        <v>2</v>
      </c>
      <c r="D340" s="109" t="e" cm="1">
        <f t="array" ref="D340">INDEX('RelAftFlt-Map-1'!$H$7:$J$96,1+B340,C340)</f>
        <v>#REF!</v>
      </c>
    </row>
    <row r="341" spans="1:4" x14ac:dyDescent="0.75">
      <c r="A341" s="111">
        <v>339</v>
      </c>
      <c r="B341" s="111">
        <f t="shared" si="10"/>
        <v>112</v>
      </c>
      <c r="C341" s="111">
        <f t="shared" si="11"/>
        <v>3</v>
      </c>
      <c r="D341" s="109" t="e" cm="1">
        <f t="array" ref="D341">INDEX('RelAftFlt-Map-1'!$H$7:$J$96,1+B341,C341)</f>
        <v>#REF!</v>
      </c>
    </row>
    <row r="342" spans="1:4" x14ac:dyDescent="0.75">
      <c r="A342" s="111">
        <v>340</v>
      </c>
      <c r="B342" s="111">
        <f t="shared" si="10"/>
        <v>113</v>
      </c>
      <c r="C342" s="111">
        <f t="shared" si="11"/>
        <v>1</v>
      </c>
      <c r="D342" s="109" t="e" cm="1">
        <f t="array" ref="D342">INDEX('RelAftFlt-Map-1'!$H$7:$J$96,1+B342,C342)</f>
        <v>#REF!</v>
      </c>
    </row>
    <row r="343" spans="1:4" x14ac:dyDescent="0.75">
      <c r="A343" s="111">
        <v>341</v>
      </c>
      <c r="B343" s="111">
        <f t="shared" si="10"/>
        <v>113</v>
      </c>
      <c r="C343" s="111">
        <f t="shared" si="11"/>
        <v>2</v>
      </c>
      <c r="D343" s="109" t="e" cm="1">
        <f t="array" ref="D343">INDEX('RelAftFlt-Map-1'!$H$7:$J$96,1+B343,C343)</f>
        <v>#REF!</v>
      </c>
    </row>
    <row r="344" spans="1:4" x14ac:dyDescent="0.75">
      <c r="A344" s="111">
        <v>342</v>
      </c>
      <c r="B344" s="111">
        <f t="shared" si="10"/>
        <v>113</v>
      </c>
      <c r="C344" s="111">
        <f t="shared" si="11"/>
        <v>3</v>
      </c>
      <c r="D344" s="109" t="e" cm="1">
        <f t="array" ref="D344">INDEX('RelAftFlt-Map-1'!$H$7:$J$96,1+B344,C344)</f>
        <v>#REF!</v>
      </c>
    </row>
    <row r="345" spans="1:4" x14ac:dyDescent="0.75">
      <c r="A345" s="111">
        <v>343</v>
      </c>
      <c r="B345" s="111">
        <f t="shared" si="10"/>
        <v>114</v>
      </c>
      <c r="C345" s="111">
        <f t="shared" si="11"/>
        <v>1</v>
      </c>
      <c r="D345" s="109" t="e" cm="1">
        <f t="array" ref="D345">INDEX('RelAftFlt-Map-1'!$H$7:$J$96,1+B345,C345)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B7" sqref="B7:B46"/>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855</v>
      </c>
      <c r="N1" s="109" t="s">
        <v>39</v>
      </c>
    </row>
    <row r="2" spans="1:14" ht="15.5" thickBot="1" x14ac:dyDescent="0.9">
      <c r="C2" s="105" t="str">
        <f>'Flt-1'!B2</f>
        <v>http://hl7.eu/fhir/ig/pcsp</v>
      </c>
      <c r="D2" s="16" t="s">
        <v>846</v>
      </c>
      <c r="E2" s="35"/>
      <c r="G2" s="52" t="s">
        <v>856</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http://hl7.eu/fhir/ig/pcsp/RelapseAfterFLT</v>
      </c>
    </row>
    <row r="6" spans="1:14" x14ac:dyDescent="0.75">
      <c r="D6" s="109" t="s">
        <v>37</v>
      </c>
      <c r="M6" s="44"/>
      <c r="N6" s="109" t="str">
        <f>CONCATENATE("Target: """,D4,"""")</f>
        <v>Target: ""</v>
      </c>
    </row>
    <row r="7" spans="1:14" ht="14.75" customHeight="1" x14ac:dyDescent="0.75">
      <c r="A7" s="111">
        <v>0</v>
      </c>
      <c r="B7" s="111">
        <f>'RelAftFlt-1'!A6</f>
        <v>0</v>
      </c>
      <c r="C7" s="24" t="str">
        <f>'RelAftFlt-1'!B6</f>
        <v>RelapseAfterFLT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'RelAftFlt-1'!A7</f>
        <v>1</v>
      </c>
      <c r="C8" s="24" t="str">
        <f>'RelAftFlt-1'!B7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'RelAftFlt-1'!A8</f>
        <v>2</v>
      </c>
      <c r="C9" s="24" t="str">
        <f>'RelAftFlt-1'!B8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'RelAftFlt-1'!A9</f>
        <v>3</v>
      </c>
      <c r="C10" s="24" t="str">
        <f>'RelAftFlt-1'!B9</f>
        <v>date</v>
      </c>
      <c r="D10" s="113"/>
      <c r="H10" s="109" t="b">
        <f t="shared" si="0"/>
        <v>0</v>
      </c>
      <c r="I10" s="110" t="str">
        <f t="shared" si="1"/>
        <v/>
      </c>
      <c r="J10" s="110" t="str">
        <f t="shared" si="2"/>
        <v/>
      </c>
      <c r="K10" s="110" t="str">
        <f t="shared" si="4"/>
        <v/>
      </c>
      <c r="M10" s="44"/>
      <c r="N10" s="109" t="str">
        <f t="shared" si="3"/>
        <v>* date -&gt; ""</v>
      </c>
    </row>
    <row r="11" spans="1:14" x14ac:dyDescent="0.75">
      <c r="A11" s="111">
        <v>0</v>
      </c>
      <c r="B11" s="111">
        <f>'RelAftFlt-1'!A10</f>
        <v>4</v>
      </c>
      <c r="C11" s="24" t="str">
        <f>'RelAftFlt-1'!B10</f>
        <v>type</v>
      </c>
      <c r="D11" s="113"/>
      <c r="H11" s="109" t="b">
        <f t="shared" si="0"/>
        <v>0</v>
      </c>
      <c r="I11" s="110" t="str">
        <f t="shared" si="1"/>
        <v/>
      </c>
      <c r="J11" s="110" t="str">
        <f t="shared" si="2"/>
        <v/>
      </c>
      <c r="K11" s="110" t="str">
        <f t="shared" si="4"/>
        <v/>
      </c>
      <c r="M11" s="44"/>
      <c r="N11" s="109" t="str">
        <f t="shared" si="3"/>
        <v>* type -&gt; ""</v>
      </c>
    </row>
    <row r="12" spans="1:14" x14ac:dyDescent="0.75">
      <c r="A12" s="111">
        <v>0</v>
      </c>
      <c r="B12" s="111">
        <f>'RelAftFlt-1'!A11</f>
        <v>5</v>
      </c>
      <c r="C12" s="24" t="str">
        <f>'RelAftFlt-1'!B11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'RelAftFlt-1'!A12</f>
        <v>6</v>
      </c>
      <c r="C13" s="24" t="str">
        <f>'RelAftFlt-1'!B12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'RelAftFlt-1'!A13</f>
        <v>0</v>
      </c>
      <c r="C14" s="24">
        <f>'RelAftFlt-1'!B13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'RelAftFlt-1'!A14</f>
        <v>0</v>
      </c>
      <c r="C15" s="24">
        <f>'RelAftFlt-1'!B14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'RelAftFlt-1'!A15</f>
        <v>0</v>
      </c>
      <c r="C16" s="24">
        <f>'RelAftFlt-1'!B15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'RelAftFlt-1'!A16</f>
        <v>0</v>
      </c>
      <c r="C17" s="24">
        <f>'RelAftFlt-1'!B16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'RelAftFlt-1'!A17</f>
        <v>0</v>
      </c>
      <c r="C18" s="24">
        <f>'RelAftFlt-1'!B17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'RelAftFlt-1'!A18</f>
        <v>0</v>
      </c>
      <c r="C19" s="24">
        <f>'RelAftFlt-1'!B18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'RelAftFlt-1'!A19</f>
        <v>0</v>
      </c>
      <c r="C20" s="24">
        <f>'RelAftFlt-1'!B19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'RelAftFlt-1'!A20</f>
        <v>0</v>
      </c>
      <c r="C21" s="24">
        <f>'RelAftFlt-1'!B20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'RelAftFlt-1'!A21</f>
        <v>0</v>
      </c>
      <c r="C22" s="24">
        <f>'RelAftFlt-1'!B21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'RelAftFlt-1'!A22</f>
        <v>0</v>
      </c>
      <c r="C23" s="24">
        <f>'RelAftFlt-1'!B22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'RelAftFlt-1'!A23</f>
        <v>0</v>
      </c>
      <c r="C24" s="24">
        <f>'RelAftFlt-1'!B23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'RelAftFlt-1'!A24</f>
        <v>0</v>
      </c>
      <c r="C25" s="24">
        <f>'RelAftFlt-1'!B24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'RelAftFlt-1'!A25</f>
        <v>0</v>
      </c>
      <c r="C26" s="24">
        <f>'RelAftFlt-1'!B25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'RelAftFlt-1'!A26</f>
        <v>0</v>
      </c>
      <c r="C27" s="24">
        <f>'RelAftFlt-1'!B26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'RelAftFlt-1'!A27</f>
        <v>0</v>
      </c>
      <c r="C28" s="24">
        <f>'RelAftFlt-1'!B27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'RelAftFlt-1'!A28</f>
        <v>0</v>
      </c>
      <c r="C29" s="24">
        <f>'RelAftFlt-1'!B28</f>
        <v>0</v>
      </c>
      <c r="D29" s="111"/>
      <c r="H29" s="109" t="b">
        <f t="shared" si="0"/>
        <v>0</v>
      </c>
      <c r="I29" s="110" t="str">
        <f t="shared" si="1"/>
        <v/>
      </c>
      <c r="J29" s="110" t="str">
        <f t="shared" si="2"/>
        <v/>
      </c>
      <c r="K29" s="110" t="str">
        <f t="shared" si="4"/>
        <v/>
      </c>
      <c r="N29" s="109" t="str">
        <f t="shared" si="3"/>
        <v>* 0 -&gt; ""</v>
      </c>
    </row>
    <row r="30" spans="1:14" x14ac:dyDescent="0.75">
      <c r="A30" s="111">
        <v>0</v>
      </c>
      <c r="B30" s="111">
        <f>'RelAftFlt-1'!A29</f>
        <v>0</v>
      </c>
      <c r="C30" s="24">
        <f>'RelAftFlt-1'!B29</f>
        <v>0</v>
      </c>
      <c r="D30" s="24"/>
      <c r="H30" s="109" t="b">
        <f t="shared" si="0"/>
        <v>0</v>
      </c>
      <c r="I30" s="110" t="str">
        <f t="shared" si="1"/>
        <v/>
      </c>
      <c r="J30" s="110" t="str">
        <f t="shared" si="2"/>
        <v/>
      </c>
      <c r="K30" s="110" t="str">
        <f t="shared" si="4"/>
        <v/>
      </c>
      <c r="N30" s="109" t="str">
        <f t="shared" si="3"/>
        <v>* 0 -&gt; ""</v>
      </c>
    </row>
    <row r="31" spans="1:14" x14ac:dyDescent="0.75">
      <c r="A31" s="111">
        <v>0</v>
      </c>
      <c r="B31" s="111">
        <f>'RelAftFlt-1'!A30</f>
        <v>0</v>
      </c>
      <c r="C31" s="24">
        <f>'RelAftFlt-1'!B30</f>
        <v>0</v>
      </c>
      <c r="D31" s="111"/>
      <c r="H31" s="109" t="b">
        <f t="shared" si="0"/>
        <v>0</v>
      </c>
      <c r="I31" s="110" t="str">
        <f t="shared" si="1"/>
        <v/>
      </c>
      <c r="J31" s="110" t="str">
        <f t="shared" si="2"/>
        <v/>
      </c>
      <c r="K31" s="110" t="str">
        <f t="shared" si="4"/>
        <v/>
      </c>
      <c r="N31" s="109" t="str">
        <f t="shared" si="3"/>
        <v>* 0 -&gt; ""</v>
      </c>
    </row>
    <row r="32" spans="1:14" x14ac:dyDescent="0.75">
      <c r="A32" s="111">
        <v>0</v>
      </c>
      <c r="B32" s="111">
        <f>'RelAftFlt-1'!A31</f>
        <v>0</v>
      </c>
      <c r="C32" s="24">
        <f>'RelAftFlt-1'!B31</f>
        <v>0</v>
      </c>
      <c r="D32" s="111"/>
      <c r="H32" s="109" t="b">
        <f t="shared" si="0"/>
        <v>0</v>
      </c>
      <c r="I32" s="110" t="str">
        <f t="shared" si="1"/>
        <v/>
      </c>
      <c r="J32" s="110" t="str">
        <f t="shared" si="2"/>
        <v/>
      </c>
      <c r="K32" s="110" t="str">
        <f t="shared" si="4"/>
        <v/>
      </c>
      <c r="N32" s="109" t="str">
        <f t="shared" si="3"/>
        <v>* 0 -&gt; ""</v>
      </c>
    </row>
    <row r="33" spans="1:14" x14ac:dyDescent="0.75">
      <c r="A33" s="111">
        <v>0</v>
      </c>
      <c r="B33" s="111">
        <f>'RelAftFlt-1'!A32</f>
        <v>0</v>
      </c>
      <c r="C33" s="24">
        <f>'RelAftFlt-1'!B32</f>
        <v>0</v>
      </c>
      <c r="D33" s="111"/>
      <c r="H33" s="109" t="b">
        <f t="shared" si="0"/>
        <v>0</v>
      </c>
      <c r="I33" s="110" t="str">
        <f t="shared" si="1"/>
        <v/>
      </c>
      <c r="J33" s="110" t="str">
        <f t="shared" si="2"/>
        <v/>
      </c>
      <c r="K33" s="110" t="str">
        <f t="shared" si="4"/>
        <v/>
      </c>
      <c r="N33" s="109" t="str">
        <f t="shared" si="3"/>
        <v>* 0 -&gt; ""</v>
      </c>
    </row>
    <row r="34" spans="1:14" x14ac:dyDescent="0.75">
      <c r="A34" s="111">
        <v>0</v>
      </c>
      <c r="B34" s="111">
        <f>'RelAftFlt-1'!A33</f>
        <v>0</v>
      </c>
      <c r="C34" s="24">
        <f>'RelAftFlt-1'!B33</f>
        <v>0</v>
      </c>
      <c r="D34" s="111"/>
      <c r="H34" s="109" t="b">
        <f t="shared" si="0"/>
        <v>0</v>
      </c>
      <c r="I34" s="110" t="str">
        <f t="shared" si="1"/>
        <v/>
      </c>
      <c r="J34" s="110" t="str">
        <f t="shared" si="2"/>
        <v/>
      </c>
      <c r="K34" s="110" t="str">
        <f t="shared" si="4"/>
        <v/>
      </c>
      <c r="N34" s="109" t="str">
        <f t="shared" si="3"/>
        <v>* 0 -&gt; ""</v>
      </c>
    </row>
    <row r="35" spans="1:14" x14ac:dyDescent="0.75">
      <c r="A35" s="111">
        <v>0</v>
      </c>
      <c r="B35" s="111">
        <f>'RelAftFlt-1'!A34</f>
        <v>0</v>
      </c>
      <c r="C35" s="24">
        <f>'RelAftFlt-1'!B34</f>
        <v>0</v>
      </c>
      <c r="D35" s="24"/>
      <c r="H35" s="109" t="b">
        <f t="shared" si="0"/>
        <v>0</v>
      </c>
      <c r="I35" s="110" t="str">
        <f t="shared" si="1"/>
        <v/>
      </c>
      <c r="J35" s="110" t="str">
        <f t="shared" si="2"/>
        <v/>
      </c>
      <c r="K35" s="110" t="str">
        <f t="shared" si="4"/>
        <v/>
      </c>
      <c r="N35" s="109" t="str">
        <f t="shared" si="3"/>
        <v>* 0 -&gt; ""</v>
      </c>
    </row>
    <row r="36" spans="1:14" x14ac:dyDescent="0.75">
      <c r="A36" s="111">
        <v>0</v>
      </c>
      <c r="B36" s="111">
        <f>'RelAftFlt-1'!A35</f>
        <v>0</v>
      </c>
      <c r="C36" s="24">
        <f>'RelAftFlt-1'!B35</f>
        <v>0</v>
      </c>
      <c r="D36" s="111"/>
      <c r="H36" s="109" t="b">
        <f t="shared" si="0"/>
        <v>0</v>
      </c>
      <c r="I36" s="110" t="str">
        <f t="shared" si="1"/>
        <v/>
      </c>
      <c r="J36" s="110" t="str">
        <f t="shared" si="2"/>
        <v/>
      </c>
      <c r="K36" s="110" t="str">
        <f t="shared" si="4"/>
        <v/>
      </c>
      <c r="N36" s="109" t="str">
        <f t="shared" si="3"/>
        <v>* 0 -&gt; ""</v>
      </c>
    </row>
    <row r="37" spans="1:14" x14ac:dyDescent="0.75">
      <c r="A37" s="111">
        <v>0</v>
      </c>
      <c r="B37" s="111">
        <f>'RelAftFlt-1'!A36</f>
        <v>0</v>
      </c>
      <c r="C37" s="24">
        <f>'RelAftFlt-1'!B36</f>
        <v>0</v>
      </c>
      <c r="D37" s="111"/>
      <c r="H37" s="109" t="b">
        <f t="shared" si="0"/>
        <v>0</v>
      </c>
      <c r="I37" s="110" t="str">
        <f t="shared" si="1"/>
        <v/>
      </c>
      <c r="J37" s="110" t="str">
        <f t="shared" si="2"/>
        <v/>
      </c>
      <c r="K37" s="110" t="str">
        <f t="shared" si="4"/>
        <v/>
      </c>
      <c r="N37" s="109" t="str">
        <f t="shared" si="3"/>
        <v>* 0 -&gt; ""</v>
      </c>
    </row>
    <row r="38" spans="1:14" x14ac:dyDescent="0.75">
      <c r="A38" s="111">
        <v>0</v>
      </c>
      <c r="B38" s="111">
        <f>'RelAftFlt-1'!A37</f>
        <v>0</v>
      </c>
      <c r="C38" s="24">
        <f>'RelAftFlt-1'!B37</f>
        <v>0</v>
      </c>
      <c r="D38" s="111"/>
      <c r="H38" s="109" t="b">
        <f t="shared" si="0"/>
        <v>0</v>
      </c>
      <c r="I38" s="110" t="str">
        <f t="shared" si="1"/>
        <v/>
      </c>
      <c r="J38" s="110" t="str">
        <f t="shared" si="2"/>
        <v/>
      </c>
      <c r="K38" s="110" t="str">
        <f t="shared" si="4"/>
        <v/>
      </c>
      <c r="N38" s="109" t="str">
        <f t="shared" si="3"/>
        <v>* 0 -&gt; ""</v>
      </c>
    </row>
    <row r="39" spans="1:14" x14ac:dyDescent="0.75">
      <c r="A39" s="111">
        <v>0</v>
      </c>
      <c r="B39" s="111">
        <f>'RelAftFlt-1'!A38</f>
        <v>0</v>
      </c>
      <c r="C39" s="24">
        <f>'RelAftFlt-1'!B38</f>
        <v>0</v>
      </c>
      <c r="D39" s="111"/>
      <c r="H39" s="109" t="b">
        <f t="shared" si="0"/>
        <v>0</v>
      </c>
      <c r="I39" s="110" t="str">
        <f t="shared" si="1"/>
        <v/>
      </c>
      <c r="J39" s="110" t="str">
        <f t="shared" si="2"/>
        <v/>
      </c>
      <c r="K39" s="110" t="str">
        <f t="shared" si="4"/>
        <v/>
      </c>
      <c r="N39" s="109" t="str">
        <f t="shared" si="3"/>
        <v>* 0 -&gt; ""</v>
      </c>
    </row>
    <row r="40" spans="1:14" x14ac:dyDescent="0.75">
      <c r="A40" s="111">
        <v>0</v>
      </c>
      <c r="B40" s="111">
        <f>'RelAftFlt-1'!A39</f>
        <v>0</v>
      </c>
      <c r="C40" s="24">
        <f>'RelAftFlt-1'!B39</f>
        <v>0</v>
      </c>
      <c r="D40" s="111"/>
      <c r="H40" s="109" t="b">
        <f t="shared" si="0"/>
        <v>0</v>
      </c>
      <c r="I40" s="110" t="str">
        <f t="shared" si="1"/>
        <v/>
      </c>
      <c r="J40" s="110" t="str">
        <f t="shared" si="2"/>
        <v/>
      </c>
      <c r="K40" s="110" t="str">
        <f t="shared" si="4"/>
        <v/>
      </c>
      <c r="N40" s="109" t="str">
        <f t="shared" si="3"/>
        <v>* 0 -&gt; ""</v>
      </c>
    </row>
    <row r="41" spans="1:14" x14ac:dyDescent="0.75">
      <c r="A41" s="111">
        <v>0</v>
      </c>
      <c r="B41" s="111">
        <f>'RelAftFlt-1'!A40</f>
        <v>0</v>
      </c>
      <c r="C41" s="24">
        <f>'RelAftFlt-1'!B40</f>
        <v>0</v>
      </c>
      <c r="D41" s="45"/>
      <c r="H41" s="109" t="b">
        <f t="shared" si="0"/>
        <v>0</v>
      </c>
      <c r="I41" s="110" t="str">
        <f t="shared" si="1"/>
        <v/>
      </c>
      <c r="J41" s="110" t="str">
        <f t="shared" si="2"/>
        <v/>
      </c>
      <c r="K41" s="110" t="str">
        <f t="shared" si="4"/>
        <v/>
      </c>
      <c r="N41" s="109" t="str">
        <f t="shared" si="3"/>
        <v>* 0 -&gt; ""</v>
      </c>
    </row>
    <row r="42" spans="1:14" x14ac:dyDescent="0.75">
      <c r="A42" s="111">
        <v>0</v>
      </c>
      <c r="B42" s="111">
        <f>'RelAftFlt-1'!A41</f>
        <v>0</v>
      </c>
      <c r="C42" s="24">
        <f>'RelAftFlt-1'!B41</f>
        <v>0</v>
      </c>
      <c r="D42" s="111"/>
      <c r="H42" s="109" t="b">
        <f t="shared" si="0"/>
        <v>0</v>
      </c>
      <c r="I42" s="110" t="str">
        <f t="shared" si="1"/>
        <v/>
      </c>
      <c r="J42" s="110" t="str">
        <f t="shared" si="2"/>
        <v/>
      </c>
      <c r="K42" s="110" t="str">
        <f t="shared" si="4"/>
        <v/>
      </c>
    </row>
    <row r="43" spans="1:14" x14ac:dyDescent="0.75">
      <c r="A43" s="111">
        <v>0</v>
      </c>
      <c r="B43" s="111">
        <f>'RelAftFlt-1'!A42</f>
        <v>0</v>
      </c>
      <c r="C43" s="24">
        <f>'RelAftFlt-1'!B42</f>
        <v>0</v>
      </c>
      <c r="D43" s="111"/>
      <c r="H43" s="109" t="b">
        <f t="shared" si="0"/>
        <v>0</v>
      </c>
      <c r="I43" s="110" t="str">
        <f t="shared" si="1"/>
        <v/>
      </c>
      <c r="J43" s="110" t="str">
        <f t="shared" si="2"/>
        <v/>
      </c>
      <c r="K43" s="110" t="str">
        <f t="shared" si="4"/>
        <v/>
      </c>
    </row>
    <row r="44" spans="1:14" x14ac:dyDescent="0.75">
      <c r="A44" s="111">
        <v>0</v>
      </c>
      <c r="B44" s="111">
        <f>'RelAftFlt-1'!A43</f>
        <v>0</v>
      </c>
      <c r="C44" s="24">
        <f>'RelAftFlt-1'!B43</f>
        <v>0</v>
      </c>
      <c r="D44" s="111"/>
      <c r="H44" s="109" t="b">
        <f t="shared" si="0"/>
        <v>0</v>
      </c>
      <c r="I44" s="110" t="str">
        <f t="shared" si="1"/>
        <v/>
      </c>
      <c r="J44" s="110" t="str">
        <f t="shared" si="2"/>
        <v/>
      </c>
      <c r="K44" s="110" t="str">
        <f t="shared" si="4"/>
        <v/>
      </c>
    </row>
    <row r="45" spans="1:14" x14ac:dyDescent="0.75">
      <c r="A45" s="111">
        <v>0</v>
      </c>
      <c r="B45" s="111">
        <f>'RelAftFlt-1'!A44</f>
        <v>0</v>
      </c>
      <c r="C45" s="24">
        <f>'RelAftFlt-1'!B44</f>
        <v>0</v>
      </c>
      <c r="D45" s="111"/>
      <c r="H45" s="109" t="b">
        <f t="shared" si="0"/>
        <v>0</v>
      </c>
      <c r="I45" s="110" t="str">
        <f t="shared" si="1"/>
        <v/>
      </c>
      <c r="J45" s="110" t="str">
        <f t="shared" si="2"/>
        <v/>
      </c>
      <c r="K45" s="110" t="str">
        <f t="shared" si="4"/>
        <v/>
      </c>
    </row>
    <row r="46" spans="1:14" x14ac:dyDescent="0.75">
      <c r="A46" s="111">
        <v>0</v>
      </c>
      <c r="B46" s="111">
        <f>'RelAftFlt-1'!A45</f>
        <v>0</v>
      </c>
      <c r="C46" s="24">
        <f>'RelAftFlt-1'!B45</f>
        <v>0</v>
      </c>
      <c r="H46" s="109" t="b">
        <f t="shared" si="0"/>
        <v>0</v>
      </c>
      <c r="I46" s="110" t="str">
        <f t="shared" si="1"/>
        <v/>
      </c>
      <c r="J46" s="110" t="str">
        <f t="shared" si="2"/>
        <v/>
      </c>
      <c r="K46" s="110" t="str">
        <f t="shared" si="4"/>
        <v/>
      </c>
    </row>
    <row r="47" spans="1:14" x14ac:dyDescent="0.75">
      <c r="A47" s="111">
        <v>0</v>
      </c>
      <c r="B47" s="111" t="e">
        <f>'RelAftFlt-1'!#REF!</f>
        <v>#REF!</v>
      </c>
      <c r="C47" s="24">
        <f>'RelAftFlt-1'!B46</f>
        <v>0</v>
      </c>
      <c r="H47" s="109" t="b">
        <f t="shared" si="0"/>
        <v>0</v>
      </c>
      <c r="I47" s="110" t="str">
        <f t="shared" si="1"/>
        <v/>
      </c>
      <c r="J47" s="110" t="str">
        <f t="shared" si="2"/>
        <v/>
      </c>
      <c r="K47" s="110" t="str">
        <f t="shared" si="4"/>
        <v/>
      </c>
    </row>
    <row r="48" spans="1:14" x14ac:dyDescent="0.75">
      <c r="A48" s="111">
        <v>0</v>
      </c>
      <c r="B48" s="111" t="e">
        <f>'RelAftFlt-1'!#REF!</f>
        <v>#REF!</v>
      </c>
      <c r="C48" s="113" t="e">
        <f>'RelAftFlt-1'!#REF!</f>
        <v>#REF!</v>
      </c>
      <c r="H48" s="109" t="b">
        <f t="shared" si="0"/>
        <v>0</v>
      </c>
      <c r="I48" s="110" t="str">
        <f t="shared" si="1"/>
        <v/>
      </c>
      <c r="J48" s="110" t="str">
        <f t="shared" si="2"/>
        <v/>
      </c>
      <c r="K48" s="110" t="str">
        <f t="shared" si="4"/>
        <v/>
      </c>
    </row>
    <row r="49" spans="1:11" x14ac:dyDescent="0.75">
      <c r="A49" s="111">
        <v>0</v>
      </c>
      <c r="B49" s="111" t="e">
        <f>'RelAftFlt-1'!#REF!</f>
        <v>#REF!</v>
      </c>
      <c r="C49" s="113" t="e">
        <f>'RelAftFlt-1'!#REF!</f>
        <v>#REF!</v>
      </c>
      <c r="H49" s="109" t="b">
        <f t="shared" si="0"/>
        <v>0</v>
      </c>
      <c r="I49" s="110" t="str">
        <f t="shared" si="1"/>
        <v/>
      </c>
      <c r="J49" s="110" t="str">
        <f t="shared" si="2"/>
        <v/>
      </c>
      <c r="K49" s="110" t="str">
        <f t="shared" si="4"/>
        <v/>
      </c>
    </row>
    <row r="50" spans="1:11" x14ac:dyDescent="0.75">
      <c r="A50" s="111">
        <v>0</v>
      </c>
      <c r="B50" s="111" t="e">
        <f>'RelAftFlt-1'!#REF!</f>
        <v>#REF!</v>
      </c>
      <c r="C50" s="113" t="e">
        <f>'RelAftFlt-1'!#REF!</f>
        <v>#REF!</v>
      </c>
      <c r="H50" s="109" t="b">
        <f t="shared" si="0"/>
        <v>0</v>
      </c>
      <c r="I50" s="110" t="str">
        <f t="shared" si="1"/>
        <v/>
      </c>
      <c r="J50" s="110" t="str">
        <f t="shared" si="2"/>
        <v/>
      </c>
      <c r="K50" s="110" t="str">
        <f t="shared" si="4"/>
        <v/>
      </c>
    </row>
    <row r="51" spans="1:11" x14ac:dyDescent="0.75">
      <c r="A51" s="111">
        <v>0</v>
      </c>
      <c r="B51" s="111" t="e">
        <f>'RelAftFlt-1'!#REF!</f>
        <v>#REF!</v>
      </c>
      <c r="C51" s="113" t="e">
        <f>'RelAftFlt-1'!#REF!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'RelAftFlt-1'!#REF!</f>
        <v>#REF!</v>
      </c>
      <c r="C52" s="113" t="e">
        <f>'RelAftFlt-1'!#REF!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'RelAftFlt-1'!#REF!</f>
        <v>#REF!</v>
      </c>
      <c r="C53" s="113" t="e">
        <f>'RelAftFlt-1'!#REF!</f>
        <v>#REF!</v>
      </c>
      <c r="H53" s="109" t="b">
        <f t="shared" si="5"/>
        <v>0</v>
      </c>
      <c r="I53" s="110" t="str">
        <f t="shared" si="1"/>
        <v/>
      </c>
      <c r="J53" s="110" t="str">
        <f t="shared" si="6"/>
        <v/>
      </c>
    </row>
    <row r="54" spans="1:11" x14ac:dyDescent="0.75">
      <c r="A54" s="111">
        <v>0</v>
      </c>
      <c r="B54" s="111" t="e">
        <f>'RelAftFlt-1'!#REF!</f>
        <v>#REF!</v>
      </c>
      <c r="C54" s="113" t="e">
        <f>'RelAftFlt-1'!#REF!</f>
        <v>#REF!</v>
      </c>
      <c r="H54" s="109" t="b">
        <f t="shared" si="5"/>
        <v>0</v>
      </c>
      <c r="I54" s="110" t="str">
        <f t="shared" si="1"/>
        <v/>
      </c>
      <c r="J54" s="110" t="str">
        <f t="shared" si="6"/>
        <v/>
      </c>
    </row>
    <row r="55" spans="1:11" x14ac:dyDescent="0.75">
      <c r="A55" s="111">
        <v>0</v>
      </c>
      <c r="B55" s="111" t="e">
        <f>'RelAftFlt-1'!#REF!</f>
        <v>#REF!</v>
      </c>
      <c r="C55" s="113" t="e">
        <f>'RelAftFlt-1'!#REF!</f>
        <v>#REF!</v>
      </c>
      <c r="H55" s="109" t="b">
        <f t="shared" si="5"/>
        <v>0</v>
      </c>
      <c r="I55" s="110" t="str">
        <f t="shared" si="1"/>
        <v/>
      </c>
      <c r="J55" s="110" t="str">
        <f t="shared" si="6"/>
        <v/>
      </c>
    </row>
    <row r="56" spans="1:11" x14ac:dyDescent="0.75">
      <c r="A56" s="111">
        <v>0</v>
      </c>
      <c r="B56" s="111" t="e">
        <f>'RelAftFlt-1'!#REF!</f>
        <v>#REF!</v>
      </c>
      <c r="C56" s="113" t="e">
        <f>'RelAftFlt-1'!#REF!</f>
        <v>#REF!</v>
      </c>
      <c r="H56" s="109" t="b">
        <f t="shared" si="5"/>
        <v>0</v>
      </c>
      <c r="I56" s="110" t="str">
        <f t="shared" si="1"/>
        <v/>
      </c>
      <c r="J56" s="110" t="str">
        <f t="shared" si="6"/>
        <v/>
      </c>
    </row>
    <row r="57" spans="1:11" x14ac:dyDescent="0.75">
      <c r="A57" s="111">
        <v>0</v>
      </c>
      <c r="B57" s="111" t="e">
        <f>'RelAftFlt-1'!#REF!</f>
        <v>#REF!</v>
      </c>
      <c r="C57" s="113" t="e">
        <f>'RelAftFlt-1'!#REF!</f>
        <v>#REF!</v>
      </c>
      <c r="H57" s="109" t="b">
        <f t="shared" si="5"/>
        <v>0</v>
      </c>
      <c r="I57" s="110" t="str">
        <f t="shared" si="1"/>
        <v/>
      </c>
      <c r="J57" s="110" t="str">
        <f t="shared" si="6"/>
        <v/>
      </c>
    </row>
    <row r="58" spans="1:11" x14ac:dyDescent="0.75">
      <c r="A58" s="111">
        <v>0</v>
      </c>
      <c r="B58" s="111" t="e">
        <f>'RelAftFlt-1'!#REF!</f>
        <v>#REF!</v>
      </c>
      <c r="C58" s="113" t="e">
        <f>'RelAftFlt-1'!#REF!</f>
        <v>#REF!</v>
      </c>
      <c r="H58" s="109" t="b">
        <f t="shared" si="5"/>
        <v>0</v>
      </c>
      <c r="I58" s="110" t="str">
        <f t="shared" si="1"/>
        <v/>
      </c>
      <c r="J58" s="110" t="str">
        <f t="shared" si="6"/>
        <v/>
      </c>
    </row>
    <row r="59" spans="1:11" x14ac:dyDescent="0.75">
      <c r="A59" s="111">
        <v>0</v>
      </c>
      <c r="B59" s="111" t="e">
        <f>'RelAftFlt-1'!#REF!</f>
        <v>#REF!</v>
      </c>
      <c r="C59" s="113" t="e">
        <f>'RelAftFlt-1'!#REF!</f>
        <v>#REF!</v>
      </c>
      <c r="H59" s="109" t="b">
        <f t="shared" si="5"/>
        <v>0</v>
      </c>
      <c r="I59" s="110" t="str">
        <f t="shared" si="1"/>
        <v/>
      </c>
      <c r="J59" s="110" t="str">
        <f t="shared" si="6"/>
        <v/>
      </c>
    </row>
    <row r="60" spans="1:11" x14ac:dyDescent="0.75">
      <c r="A60" s="111">
        <v>0</v>
      </c>
      <c r="B60" s="111">
        <f>'RelAftFlt-1'!A22</f>
        <v>0</v>
      </c>
      <c r="C60" s="113">
        <f>'RelAftFlt-1'!B22</f>
        <v>0</v>
      </c>
      <c r="H60" s="109" t="b">
        <f t="shared" si="5"/>
        <v>0</v>
      </c>
      <c r="I60" s="110" t="str">
        <f t="shared" si="1"/>
        <v/>
      </c>
      <c r="J60" s="110" t="str">
        <f t="shared" si="6"/>
        <v/>
      </c>
    </row>
    <row r="61" spans="1:11" x14ac:dyDescent="0.75">
      <c r="A61" s="111">
        <v>0</v>
      </c>
      <c r="B61" s="111">
        <f>'RelAftFlt-1'!A23</f>
        <v>0</v>
      </c>
      <c r="C61" s="113">
        <f>'RelAftFlt-1'!B23</f>
        <v>0</v>
      </c>
      <c r="H61" s="109" t="b">
        <f t="shared" si="5"/>
        <v>0</v>
      </c>
      <c r="I61" s="110" t="str">
        <f t="shared" si="1"/>
        <v/>
      </c>
      <c r="J61" s="110" t="str">
        <f t="shared" si="6"/>
        <v/>
      </c>
    </row>
    <row r="62" spans="1:11" x14ac:dyDescent="0.75">
      <c r="A62" s="111">
        <v>0</v>
      </c>
      <c r="B62" s="111">
        <f>'RelAftFlt-1'!A24</f>
        <v>0</v>
      </c>
      <c r="C62" s="113">
        <f>'RelAftFlt-1'!B24</f>
        <v>0</v>
      </c>
      <c r="H62" s="109" t="b">
        <f t="shared" si="5"/>
        <v>0</v>
      </c>
      <c r="I62" s="110" t="str">
        <f t="shared" si="1"/>
        <v/>
      </c>
      <c r="J62" s="110" t="str">
        <f t="shared" si="6"/>
        <v/>
      </c>
    </row>
    <row r="63" spans="1:11" x14ac:dyDescent="0.75">
      <c r="A63" s="111">
        <v>0</v>
      </c>
      <c r="B63" s="111">
        <f>'RelAftFlt-1'!A25</f>
        <v>0</v>
      </c>
      <c r="C63" s="113">
        <f>'RelAftFlt-1'!B25</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'RelAftFlt-1'!A42</f>
        <v>0</v>
      </c>
      <c r="C80" s="113">
        <f>'RelAftFlt-1'!B42</f>
        <v>0</v>
      </c>
    </row>
    <row r="81" spans="1:3" x14ac:dyDescent="0.75">
      <c r="A81" s="111">
        <v>0</v>
      </c>
      <c r="B81" s="111">
        <f>'RelAftFlt-1'!A43</f>
        <v>0</v>
      </c>
      <c r="C81" s="113">
        <f>'RelAftFlt-1'!B43</f>
        <v>0</v>
      </c>
    </row>
    <row r="82" spans="1:3" x14ac:dyDescent="0.75">
      <c r="A82" s="111">
        <v>0</v>
      </c>
      <c r="B82" s="111">
        <f>'RelAftFlt-1'!A44</f>
        <v>0</v>
      </c>
      <c r="C82" s="113">
        <f>'RelAftFlt-1'!B44</f>
        <v>0</v>
      </c>
    </row>
    <row r="83" spans="1:3" x14ac:dyDescent="0.75">
      <c r="A83" s="111">
        <v>0</v>
      </c>
      <c r="B83" s="111">
        <f>'RelAftFlt-1'!A45</f>
        <v>0</v>
      </c>
      <c r="C83" s="113">
        <f>'RelAftFlt-1'!B45</f>
        <v>0</v>
      </c>
    </row>
    <row r="84" spans="1:3" x14ac:dyDescent="0.75">
      <c r="A84" s="111">
        <v>0</v>
      </c>
      <c r="B84" s="111">
        <f>'RelAftFlt-1'!A46</f>
        <v>0</v>
      </c>
      <c r="C84" s="113">
        <f>'RelAftFlt-1'!B46</f>
        <v>0</v>
      </c>
    </row>
    <row r="85" spans="1:3" x14ac:dyDescent="0.75">
      <c r="A85" s="111">
        <v>0</v>
      </c>
      <c r="B85" s="111">
        <f>'RelAftFlt-1'!A47</f>
        <v>0</v>
      </c>
      <c r="C85" s="113">
        <f>'RelAftFlt-1'!B47</f>
        <v>0</v>
      </c>
    </row>
    <row r="86" spans="1:3" x14ac:dyDescent="0.75">
      <c r="A86" s="111">
        <v>0</v>
      </c>
      <c r="B86" s="111">
        <f>'RelAftFlt-1'!A48</f>
        <v>0</v>
      </c>
      <c r="C86" s="113">
        <f>'RelAftFlt-1'!B48</f>
        <v>0</v>
      </c>
    </row>
    <row r="87" spans="1:3" x14ac:dyDescent="0.75">
      <c r="A87" s="111">
        <v>0</v>
      </c>
      <c r="B87" s="111">
        <f>'RelAftFlt-1'!A49</f>
        <v>0</v>
      </c>
      <c r="C87" s="113">
        <f>'RelAftFlt-1'!B49</f>
        <v>0</v>
      </c>
    </row>
    <row r="88" spans="1:3" x14ac:dyDescent="0.75">
      <c r="A88" s="111">
        <v>0</v>
      </c>
      <c r="B88" s="111">
        <f>'RelAftFlt-1'!A50</f>
        <v>0</v>
      </c>
      <c r="C88" s="113">
        <f>'RelAftFlt-1'!B50</f>
        <v>0</v>
      </c>
    </row>
    <row r="89" spans="1:3" x14ac:dyDescent="0.75">
      <c r="A89" s="111">
        <v>0</v>
      </c>
      <c r="B89" s="111">
        <f>'RelAftFlt-1'!A51</f>
        <v>0</v>
      </c>
      <c r="C89" s="113">
        <f>'RelAftFlt-1'!B51</f>
        <v>0</v>
      </c>
    </row>
    <row r="90" spans="1:3" x14ac:dyDescent="0.75">
      <c r="A90" s="111">
        <v>0</v>
      </c>
      <c r="B90" s="111">
        <f>'RelAftFlt-1'!A52</f>
        <v>0</v>
      </c>
      <c r="C90" s="113">
        <f>'RelAftFlt-1'!B52</f>
        <v>0</v>
      </c>
    </row>
    <row r="91" spans="1:3" x14ac:dyDescent="0.75">
      <c r="A91" s="111">
        <v>0</v>
      </c>
      <c r="B91" s="111">
        <f>'RelAftFlt-1'!A53</f>
        <v>0</v>
      </c>
      <c r="C91" s="113">
        <f>'RelAftFlt-1'!B53</f>
        <v>0</v>
      </c>
    </row>
    <row r="92" spans="1:3" x14ac:dyDescent="0.75">
      <c r="A92" s="111">
        <v>0</v>
      </c>
      <c r="B92" s="111">
        <f>'RelAftFlt-1'!A54</f>
        <v>0</v>
      </c>
      <c r="C92" s="113">
        <f>'RelAftFlt-1'!B54</f>
        <v>0</v>
      </c>
    </row>
    <row r="93" spans="1:3" x14ac:dyDescent="0.75">
      <c r="B93" s="109">
        <f>'Sug-1'!A83</f>
        <v>0</v>
      </c>
      <c r="C93" s="109">
        <f>'Sug-1'!B83</f>
        <v>0</v>
      </c>
    </row>
    <row r="94" spans="1:3" x14ac:dyDescent="0.75">
      <c r="B94" s="109">
        <f>'Sug-1'!A84</f>
        <v>0</v>
      </c>
      <c r="C94" s="109">
        <f>'Sug-1'!B84</f>
        <v>0</v>
      </c>
    </row>
    <row r="95" spans="1:3" x14ac:dyDescent="0.75">
      <c r="B95" s="109">
        <f>'Sug-1'!A85</f>
        <v>0</v>
      </c>
      <c r="C95" s="109">
        <f>'Sug-1'!B85</f>
        <v>0</v>
      </c>
    </row>
    <row r="96" spans="1: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INDEX('RelAftFlt-Map2-1'!$I$7:$K$100,1+B3,C3)</f>
        <v/>
      </c>
      <c r="E3" s="109" t="str">
        <f>INDEX('RelAftFlt-Map2-1'!$I$8:$K$17,1,1)</f>
        <v/>
      </c>
    </row>
    <row r="4" spans="1:5" x14ac:dyDescent="0.75">
      <c r="A4" s="111">
        <v>2</v>
      </c>
      <c r="B4" s="111">
        <f t="shared" ref="B4:B67" si="0">IF(MOD(A4,3)=0,A4/3-1,INT(A4/3))</f>
        <v>0</v>
      </c>
      <c r="C4" s="111">
        <f t="shared" ref="C4:C67" si="1">IF(MOD(A4,3)=0,3,MOD(A4,3))</f>
        <v>2</v>
      </c>
      <c r="D4" s="109" t="str" cm="1">
        <f t="array" ref="D4">INDEX('RelAftFlt-Map2-1'!$I$7:$K$100,1+B4,C4)</f>
        <v/>
      </c>
    </row>
    <row r="5" spans="1:5" x14ac:dyDescent="0.75">
      <c r="A5" s="111">
        <v>3</v>
      </c>
      <c r="B5" s="111">
        <f t="shared" si="0"/>
        <v>0</v>
      </c>
      <c r="C5" s="111">
        <f t="shared" si="1"/>
        <v>3</v>
      </c>
      <c r="D5" s="109" t="str" cm="1">
        <f t="array" ref="D5">INDEX('RelAftFlt-Map2-1'!$I$7:$K$100,1+B5,C5)</f>
        <v/>
      </c>
    </row>
    <row r="6" spans="1:5" x14ac:dyDescent="0.75">
      <c r="A6" s="111">
        <v>4</v>
      </c>
      <c r="B6" s="111">
        <f t="shared" si="0"/>
        <v>1</v>
      </c>
      <c r="C6" s="111">
        <f t="shared" si="1"/>
        <v>1</v>
      </c>
      <c r="D6" s="109" t="str" cm="1">
        <f t="array" ref="D6">INDEX('RelAftFlt-Map2-1'!$I$7:$K$100,1+B6,C6)</f>
        <v/>
      </c>
    </row>
    <row r="7" spans="1:5" x14ac:dyDescent="0.75">
      <c r="A7" s="111">
        <v>5</v>
      </c>
      <c r="B7" s="111">
        <f t="shared" si="0"/>
        <v>1</v>
      </c>
      <c r="C7" s="111">
        <f t="shared" si="1"/>
        <v>2</v>
      </c>
      <c r="D7" s="109" t="str" cm="1">
        <f t="array" ref="D7">INDEX('RelAftFlt-Map2-1'!$I$7:$K$100,1+B7,C7)</f>
        <v/>
      </c>
    </row>
    <row r="8" spans="1:5" x14ac:dyDescent="0.75">
      <c r="A8" s="111">
        <v>6</v>
      </c>
      <c r="B8" s="111">
        <f t="shared" si="0"/>
        <v>1</v>
      </c>
      <c r="C8" s="111">
        <f t="shared" si="1"/>
        <v>3</v>
      </c>
      <c r="D8" s="109" t="str" cm="1">
        <f t="array" ref="D8">INDEX('RelAftFlt-Map2-1'!$I$7:$K$100,1+B8,C8)</f>
        <v/>
      </c>
    </row>
    <row r="9" spans="1:5" x14ac:dyDescent="0.75">
      <c r="A9" s="111">
        <v>7</v>
      </c>
      <c r="B9" s="111">
        <f t="shared" si="0"/>
        <v>2</v>
      </c>
      <c r="C9" s="111">
        <f t="shared" si="1"/>
        <v>1</v>
      </c>
      <c r="D9" s="109" t="str" cm="1">
        <f t="array" ref="D9">INDEX('RelAftFlt-Map2-1'!$I$7:$K$100,1+B9,C9)</f>
        <v/>
      </c>
    </row>
    <row r="10" spans="1:5" x14ac:dyDescent="0.75">
      <c r="A10" s="111">
        <v>8</v>
      </c>
      <c r="B10" s="111">
        <f t="shared" si="0"/>
        <v>2</v>
      </c>
      <c r="C10" s="111">
        <f t="shared" si="1"/>
        <v>2</v>
      </c>
      <c r="D10" s="109" t="str" cm="1">
        <f t="array" ref="D10">INDEX('RelAftFlt-Map2-1'!$I$7:$K$100,1+B10,C10)</f>
        <v/>
      </c>
    </row>
    <row r="11" spans="1:5" x14ac:dyDescent="0.75">
      <c r="A11" s="111">
        <v>9</v>
      </c>
      <c r="B11" s="111">
        <f t="shared" si="0"/>
        <v>2</v>
      </c>
      <c r="C11" s="111">
        <f t="shared" si="1"/>
        <v>3</v>
      </c>
      <c r="D11" s="109" t="str" cm="1">
        <f t="array" ref="D11">INDEX('RelAftFlt-Map2-1'!$I$7:$K$100,1+B11,C11)</f>
        <v/>
      </c>
    </row>
    <row r="12" spans="1:5" x14ac:dyDescent="0.75">
      <c r="A12" s="111">
        <v>10</v>
      </c>
      <c r="B12" s="111">
        <f t="shared" si="0"/>
        <v>3</v>
      </c>
      <c r="C12" s="111">
        <f t="shared" si="1"/>
        <v>1</v>
      </c>
      <c r="D12" s="109" t="str" cm="1">
        <f t="array" ref="D12">INDEX('RelAftFlt-Map2-1'!$I$7:$K$100,1+B12,C12)</f>
        <v/>
      </c>
    </row>
    <row r="13" spans="1:5" x14ac:dyDescent="0.75">
      <c r="A13" s="111">
        <v>11</v>
      </c>
      <c r="B13" s="111">
        <f t="shared" si="0"/>
        <v>3</v>
      </c>
      <c r="C13" s="111">
        <f t="shared" si="1"/>
        <v>2</v>
      </c>
      <c r="D13" s="109" t="str" cm="1">
        <f t="array" ref="D13">INDEX('RelAftFlt-Map2-1'!$I$7:$K$100,1+B13,C13)</f>
        <v/>
      </c>
    </row>
    <row r="14" spans="1:5" x14ac:dyDescent="0.75">
      <c r="A14" s="111">
        <v>12</v>
      </c>
      <c r="B14" s="111">
        <f t="shared" si="0"/>
        <v>3</v>
      </c>
      <c r="C14" s="111">
        <f t="shared" si="1"/>
        <v>3</v>
      </c>
      <c r="D14" s="109" t="str" cm="1">
        <f t="array" ref="D14">INDEX('RelAftFlt-Map2-1'!$I$7:$K$100,1+B14,C14)</f>
        <v/>
      </c>
    </row>
    <row r="15" spans="1:5" x14ac:dyDescent="0.75">
      <c r="A15" s="111">
        <v>13</v>
      </c>
      <c r="B15" s="111">
        <f t="shared" si="0"/>
        <v>4</v>
      </c>
      <c r="C15" s="111">
        <f t="shared" si="1"/>
        <v>1</v>
      </c>
      <c r="D15" s="109" t="str" cm="1">
        <f t="array" ref="D15">INDEX('RelAftFlt-Map2-1'!$I$7:$K$100,1+B15,C15)</f>
        <v/>
      </c>
    </row>
    <row r="16" spans="1:5" x14ac:dyDescent="0.75">
      <c r="A16" s="111">
        <v>14</v>
      </c>
      <c r="B16" s="111">
        <f t="shared" si="0"/>
        <v>4</v>
      </c>
      <c r="C16" s="111">
        <f t="shared" si="1"/>
        <v>2</v>
      </c>
      <c r="D16" s="109" t="str" cm="1">
        <f t="array" ref="D16">INDEX('RelAftFlt-Map2-1'!$I$7:$K$100,1+B16,C16)</f>
        <v/>
      </c>
    </row>
    <row r="17" spans="1:4" x14ac:dyDescent="0.75">
      <c r="A17" s="111">
        <v>15</v>
      </c>
      <c r="B17" s="111">
        <f t="shared" si="0"/>
        <v>4</v>
      </c>
      <c r="C17" s="111">
        <f t="shared" si="1"/>
        <v>3</v>
      </c>
      <c r="D17" s="109" t="str" cm="1">
        <f t="array" ref="D17">INDEX('RelAftFlt-Map2-1'!$I$7:$K$100,1+B17,C17)</f>
        <v/>
      </c>
    </row>
    <row r="18" spans="1:4" x14ac:dyDescent="0.75">
      <c r="A18" s="111">
        <v>16</v>
      </c>
      <c r="B18" s="111">
        <f t="shared" si="0"/>
        <v>5</v>
      </c>
      <c r="C18" s="111">
        <f t="shared" si="1"/>
        <v>1</v>
      </c>
      <c r="D18" s="109" t="str" cm="1">
        <f t="array" ref="D18">INDEX('RelAftFlt-Map2-1'!$I$7:$K$100,1+B18,C18)</f>
        <v/>
      </c>
    </row>
    <row r="19" spans="1:4" x14ac:dyDescent="0.75">
      <c r="A19" s="111">
        <v>17</v>
      </c>
      <c r="B19" s="111">
        <f t="shared" si="0"/>
        <v>5</v>
      </c>
      <c r="C19" s="111">
        <f t="shared" si="1"/>
        <v>2</v>
      </c>
      <c r="D19" s="109" t="str" cm="1">
        <f t="array" ref="D19">INDEX('RelAftFlt-Map2-1'!$I$7:$K$100,1+B19,C19)</f>
        <v/>
      </c>
    </row>
    <row r="20" spans="1:4" x14ac:dyDescent="0.75">
      <c r="A20" s="111">
        <v>18</v>
      </c>
      <c r="B20" s="111">
        <f t="shared" si="0"/>
        <v>5</v>
      </c>
      <c r="C20" s="111">
        <f t="shared" si="1"/>
        <v>3</v>
      </c>
      <c r="D20" s="109" t="str" cm="1">
        <f t="array" ref="D20">INDEX('RelAftFlt-Map2-1'!$I$7:$K$100,1+B20,C20)</f>
        <v/>
      </c>
    </row>
    <row r="21" spans="1:4" x14ac:dyDescent="0.75">
      <c r="A21" s="111">
        <v>19</v>
      </c>
      <c r="B21" s="111">
        <f t="shared" si="0"/>
        <v>6</v>
      </c>
      <c r="C21" s="111">
        <f t="shared" si="1"/>
        <v>1</v>
      </c>
      <c r="D21" s="109" t="str" cm="1">
        <f t="array" ref="D21">INDEX('RelAftFlt-Map2-1'!$I$7:$K$100,1+B21,C21)</f>
        <v/>
      </c>
    </row>
    <row r="22" spans="1:4" x14ac:dyDescent="0.75">
      <c r="A22" s="111">
        <v>20</v>
      </c>
      <c r="B22" s="111">
        <f t="shared" si="0"/>
        <v>6</v>
      </c>
      <c r="C22" s="111">
        <f t="shared" si="1"/>
        <v>2</v>
      </c>
      <c r="D22" s="109" t="str" cm="1">
        <f t="array" ref="D22">INDEX('RelAftFlt-Map2-1'!$I$7:$K$100,1+B22,C22)</f>
        <v/>
      </c>
    </row>
    <row r="23" spans="1:4" x14ac:dyDescent="0.75">
      <c r="A23" s="111">
        <v>21</v>
      </c>
      <c r="B23" s="111">
        <f t="shared" si="0"/>
        <v>6</v>
      </c>
      <c r="C23" s="111">
        <f t="shared" si="1"/>
        <v>3</v>
      </c>
      <c r="D23" s="109" t="str" cm="1">
        <f t="array" ref="D23">INDEX('RelAftFlt-Map2-1'!$I$7:$K$100,1+B23,C23)</f>
        <v/>
      </c>
    </row>
    <row r="24" spans="1:4" x14ac:dyDescent="0.75">
      <c r="A24" s="111">
        <v>22</v>
      </c>
      <c r="B24" s="111">
        <f t="shared" si="0"/>
        <v>7</v>
      </c>
      <c r="C24" s="111">
        <f t="shared" si="1"/>
        <v>1</v>
      </c>
      <c r="D24" s="109" t="str" cm="1">
        <f t="array" ref="D24">INDEX('RelAftFlt-Map2-1'!$I$7:$K$100,1+B24,C24)</f>
        <v/>
      </c>
    </row>
    <row r="25" spans="1:4" x14ac:dyDescent="0.75">
      <c r="A25" s="111">
        <v>23</v>
      </c>
      <c r="B25" s="111">
        <f t="shared" si="0"/>
        <v>7</v>
      </c>
      <c r="C25" s="111">
        <f t="shared" si="1"/>
        <v>2</v>
      </c>
      <c r="D25" s="109" t="str" cm="1">
        <f t="array" ref="D25">INDEX('RelAftFlt-Map2-1'!$I$7:$K$100,1+B25,C25)</f>
        <v/>
      </c>
    </row>
    <row r="26" spans="1:4" x14ac:dyDescent="0.75">
      <c r="A26" s="111">
        <v>24</v>
      </c>
      <c r="B26" s="111">
        <f t="shared" si="0"/>
        <v>7</v>
      </c>
      <c r="C26" s="111">
        <f t="shared" si="1"/>
        <v>3</v>
      </c>
      <c r="D26" s="109" t="str" cm="1">
        <f t="array" ref="D26">INDEX('RelAftFlt-Map2-1'!$I$7:$K$100,1+B26,C26)</f>
        <v/>
      </c>
    </row>
    <row r="27" spans="1:4" x14ac:dyDescent="0.75">
      <c r="A27" s="111">
        <v>25</v>
      </c>
      <c r="B27" s="111">
        <f t="shared" si="0"/>
        <v>8</v>
      </c>
      <c r="C27" s="111">
        <f t="shared" si="1"/>
        <v>1</v>
      </c>
      <c r="D27" s="109" t="str" cm="1">
        <f t="array" ref="D27">INDEX('RelAftFlt-Map2-1'!$I$7:$K$100,1+B27,C27)</f>
        <v/>
      </c>
    </row>
    <row r="28" spans="1:4" x14ac:dyDescent="0.75">
      <c r="A28" s="111">
        <v>26</v>
      </c>
      <c r="B28" s="111">
        <f t="shared" si="0"/>
        <v>8</v>
      </c>
      <c r="C28" s="111">
        <f t="shared" si="1"/>
        <v>2</v>
      </c>
      <c r="D28" s="109" t="str" cm="1">
        <f t="array" ref="D28">INDEX('RelAftFlt-Map2-1'!$I$7:$K$100,1+B28,C28)</f>
        <v/>
      </c>
    </row>
    <row r="29" spans="1:4" x14ac:dyDescent="0.75">
      <c r="A29" s="111">
        <v>27</v>
      </c>
      <c r="B29" s="111">
        <f t="shared" si="0"/>
        <v>8</v>
      </c>
      <c r="C29" s="111">
        <f t="shared" si="1"/>
        <v>3</v>
      </c>
      <c r="D29" s="109" t="str" cm="1">
        <f t="array" ref="D29">INDEX('RelAftFlt-Map2-1'!$I$7:$K$100,1+B29,C29)</f>
        <v/>
      </c>
    </row>
    <row r="30" spans="1:4" x14ac:dyDescent="0.75">
      <c r="A30" s="111">
        <v>28</v>
      </c>
      <c r="B30" s="111">
        <f t="shared" si="0"/>
        <v>9</v>
      </c>
      <c r="C30" s="111">
        <f t="shared" si="1"/>
        <v>1</v>
      </c>
      <c r="D30" s="109" t="str" cm="1">
        <f t="array" ref="D30">INDEX('RelAftFlt-Map2-1'!$I$7:$K$100,1+B30,C30)</f>
        <v/>
      </c>
    </row>
    <row r="31" spans="1:4" x14ac:dyDescent="0.75">
      <c r="A31" s="111">
        <v>29</v>
      </c>
      <c r="B31" s="111">
        <f t="shared" si="0"/>
        <v>9</v>
      </c>
      <c r="C31" s="111">
        <f t="shared" si="1"/>
        <v>2</v>
      </c>
      <c r="D31" s="109" t="str" cm="1">
        <f t="array" ref="D31">INDEX('RelAftFlt-Map2-1'!$I$7:$K$100,1+B31,C31)</f>
        <v/>
      </c>
    </row>
    <row r="32" spans="1:4" x14ac:dyDescent="0.75">
      <c r="A32" s="111">
        <v>30</v>
      </c>
      <c r="B32" s="111">
        <f t="shared" si="0"/>
        <v>9</v>
      </c>
      <c r="C32" s="111">
        <f t="shared" si="1"/>
        <v>3</v>
      </c>
      <c r="D32" s="109" t="str" cm="1">
        <f t="array" ref="D32">INDEX('RelAftFlt-Map2-1'!$I$7:$K$100,1+B32,C32)</f>
        <v/>
      </c>
    </row>
    <row r="33" spans="1:4" x14ac:dyDescent="0.75">
      <c r="A33" s="111">
        <v>31</v>
      </c>
      <c r="B33" s="111">
        <f t="shared" si="0"/>
        <v>10</v>
      </c>
      <c r="C33" s="111">
        <f t="shared" si="1"/>
        <v>1</v>
      </c>
      <c r="D33" s="109" t="str" cm="1">
        <f t="array" ref="D33">INDEX('RelAftFlt-Map2-1'!$I$7:$K$100,1+B33,C33)</f>
        <v/>
      </c>
    </row>
    <row r="34" spans="1:4" x14ac:dyDescent="0.75">
      <c r="A34" s="111">
        <v>32</v>
      </c>
      <c r="B34" s="111">
        <f t="shared" si="0"/>
        <v>10</v>
      </c>
      <c r="C34" s="111">
        <f t="shared" si="1"/>
        <v>2</v>
      </c>
      <c r="D34" s="109" t="str" cm="1">
        <f t="array" ref="D34">INDEX('RelAftFlt-Map2-1'!$I$7:$K$100,1+B34,C34)</f>
        <v/>
      </c>
    </row>
    <row r="35" spans="1:4" x14ac:dyDescent="0.75">
      <c r="A35" s="111">
        <v>33</v>
      </c>
      <c r="B35" s="111">
        <f t="shared" si="0"/>
        <v>10</v>
      </c>
      <c r="C35" s="111">
        <f t="shared" si="1"/>
        <v>3</v>
      </c>
      <c r="D35" s="109" t="str" cm="1">
        <f t="array" ref="D35">INDEX('RelAftFlt-Map2-1'!$I$7:$K$100,1+B35,C35)</f>
        <v/>
      </c>
    </row>
    <row r="36" spans="1:4" x14ac:dyDescent="0.75">
      <c r="A36" s="111">
        <v>34</v>
      </c>
      <c r="B36" s="111">
        <f t="shared" si="0"/>
        <v>11</v>
      </c>
      <c r="C36" s="111">
        <f t="shared" si="1"/>
        <v>1</v>
      </c>
      <c r="D36" s="109" t="str" cm="1">
        <f t="array" ref="D36">INDEX('RelAftFlt-Map2-1'!$I$7:$K$100,1+B36,C36)</f>
        <v/>
      </c>
    </row>
    <row r="37" spans="1:4" x14ac:dyDescent="0.75">
      <c r="A37" s="111">
        <v>35</v>
      </c>
      <c r="B37" s="111">
        <f t="shared" si="0"/>
        <v>11</v>
      </c>
      <c r="C37" s="111">
        <f t="shared" si="1"/>
        <v>2</v>
      </c>
      <c r="D37" s="109" t="str" cm="1">
        <f t="array" ref="D37">INDEX('RelAftFlt-Map2-1'!$I$7:$K$100,1+B37,C37)</f>
        <v/>
      </c>
    </row>
    <row r="38" spans="1:4" x14ac:dyDescent="0.75">
      <c r="A38" s="111">
        <v>36</v>
      </c>
      <c r="B38" s="111">
        <f t="shared" si="0"/>
        <v>11</v>
      </c>
      <c r="C38" s="111">
        <f t="shared" si="1"/>
        <v>3</v>
      </c>
      <c r="D38" s="109" t="str" cm="1">
        <f t="array" ref="D38">INDEX('RelAftFlt-Map2-1'!$I$7:$K$100,1+B38,C38)</f>
        <v/>
      </c>
    </row>
    <row r="39" spans="1:4" x14ac:dyDescent="0.75">
      <c r="A39" s="111">
        <v>37</v>
      </c>
      <c r="B39" s="111">
        <f t="shared" si="0"/>
        <v>12</v>
      </c>
      <c r="C39" s="111">
        <f t="shared" si="1"/>
        <v>1</v>
      </c>
      <c r="D39" s="109" t="str" cm="1">
        <f t="array" ref="D39">INDEX('RelAftFlt-Map2-1'!$I$7:$K$100,1+B39,C39)</f>
        <v/>
      </c>
    </row>
    <row r="40" spans="1:4" x14ac:dyDescent="0.75">
      <c r="A40" s="111">
        <v>38</v>
      </c>
      <c r="B40" s="111">
        <f t="shared" si="0"/>
        <v>12</v>
      </c>
      <c r="C40" s="111">
        <f t="shared" si="1"/>
        <v>2</v>
      </c>
      <c r="D40" s="109" t="str" cm="1">
        <f t="array" ref="D40">INDEX('RelAftFlt-Map2-1'!$I$7:$K$100,1+B40,C40)</f>
        <v/>
      </c>
    </row>
    <row r="41" spans="1:4" x14ac:dyDescent="0.75">
      <c r="A41" s="111">
        <v>39</v>
      </c>
      <c r="B41" s="111">
        <f t="shared" si="0"/>
        <v>12</v>
      </c>
      <c r="C41" s="111">
        <f t="shared" si="1"/>
        <v>3</v>
      </c>
      <c r="D41" s="109" t="str" cm="1">
        <f t="array" ref="D41">INDEX('RelAftFlt-Map2-1'!$I$7:$K$100,1+B41,C41)</f>
        <v/>
      </c>
    </row>
    <row r="42" spans="1:4" x14ac:dyDescent="0.75">
      <c r="A42" s="111">
        <v>40</v>
      </c>
      <c r="B42" s="111">
        <f t="shared" si="0"/>
        <v>13</v>
      </c>
      <c r="C42" s="111">
        <f t="shared" si="1"/>
        <v>1</v>
      </c>
      <c r="D42" s="109" t="str" cm="1">
        <f t="array" ref="D42">INDEX('RelAftFlt-Map2-1'!$I$7:$K$100,1+B42,C42)</f>
        <v/>
      </c>
    </row>
    <row r="43" spans="1:4" x14ac:dyDescent="0.75">
      <c r="A43" s="111">
        <v>41</v>
      </c>
      <c r="B43" s="111">
        <f t="shared" si="0"/>
        <v>13</v>
      </c>
      <c r="C43" s="111">
        <f t="shared" si="1"/>
        <v>2</v>
      </c>
      <c r="D43" s="109" t="str" cm="1">
        <f t="array" ref="D43">INDEX('RelAftFlt-Map2-1'!$I$7:$K$100,1+B43,C43)</f>
        <v/>
      </c>
    </row>
    <row r="44" spans="1:4" x14ac:dyDescent="0.75">
      <c r="A44" s="111">
        <v>42</v>
      </c>
      <c r="B44" s="111">
        <f t="shared" si="0"/>
        <v>13</v>
      </c>
      <c r="C44" s="111">
        <f t="shared" si="1"/>
        <v>3</v>
      </c>
      <c r="D44" s="109" t="str" cm="1">
        <f t="array" ref="D44">INDEX('RelAftFlt-Map2-1'!$I$7:$K$100,1+B44,C44)</f>
        <v/>
      </c>
    </row>
    <row r="45" spans="1:4" x14ac:dyDescent="0.75">
      <c r="A45" s="111">
        <v>43</v>
      </c>
      <c r="B45" s="111">
        <f t="shared" si="0"/>
        <v>14</v>
      </c>
      <c r="C45" s="111">
        <f t="shared" si="1"/>
        <v>1</v>
      </c>
      <c r="D45" s="109" t="str" cm="1">
        <f t="array" ref="D45">INDEX('RelAftFlt-Map2-1'!$I$7:$K$100,1+B45,C45)</f>
        <v/>
      </c>
    </row>
    <row r="46" spans="1:4" x14ac:dyDescent="0.75">
      <c r="A46" s="111">
        <v>44</v>
      </c>
      <c r="B46" s="111">
        <f t="shared" si="0"/>
        <v>14</v>
      </c>
      <c r="C46" s="111">
        <f t="shared" si="1"/>
        <v>2</v>
      </c>
      <c r="D46" s="109" t="str" cm="1">
        <f t="array" ref="D46">INDEX('RelAftFlt-Map2-1'!$I$7:$K$100,1+B46,C46)</f>
        <v/>
      </c>
    </row>
    <row r="47" spans="1:4" x14ac:dyDescent="0.75">
      <c r="A47" s="111">
        <v>45</v>
      </c>
      <c r="B47" s="111">
        <f t="shared" si="0"/>
        <v>14</v>
      </c>
      <c r="C47" s="111">
        <f t="shared" si="1"/>
        <v>3</v>
      </c>
      <c r="D47" s="109" t="str" cm="1">
        <f t="array" ref="D47">INDEX('RelAftFlt-Map2-1'!$I$7:$K$100,1+B47,C47)</f>
        <v/>
      </c>
    </row>
    <row r="48" spans="1:4" x14ac:dyDescent="0.75">
      <c r="A48" s="111">
        <v>46</v>
      </c>
      <c r="B48" s="111">
        <f t="shared" si="0"/>
        <v>15</v>
      </c>
      <c r="C48" s="111">
        <f t="shared" si="1"/>
        <v>1</v>
      </c>
      <c r="D48" s="109" t="str" cm="1">
        <f t="array" ref="D48">INDEX('RelAftFlt-Map2-1'!$I$7:$K$100,1+B48,C48)</f>
        <v/>
      </c>
    </row>
    <row r="49" spans="1:7" x14ac:dyDescent="0.75">
      <c r="A49" s="111">
        <v>47</v>
      </c>
      <c r="B49" s="111">
        <f t="shared" si="0"/>
        <v>15</v>
      </c>
      <c r="C49" s="111">
        <f t="shared" si="1"/>
        <v>2</v>
      </c>
      <c r="D49" s="109" t="str" cm="1">
        <f t="array" ref="D49">INDEX('RelAftFlt-Map2-1'!$I$7:$K$100,1+B49,C49)</f>
        <v/>
      </c>
    </row>
    <row r="50" spans="1:7" x14ac:dyDescent="0.75">
      <c r="A50" s="111">
        <v>48</v>
      </c>
      <c r="B50" s="111">
        <f t="shared" si="0"/>
        <v>15</v>
      </c>
      <c r="C50" s="111">
        <f t="shared" si="1"/>
        <v>3</v>
      </c>
      <c r="D50" s="109" t="str" cm="1">
        <f t="array" ref="D50">INDEX('RelAftFlt-Map2-1'!$I$7:$K$100,1+B50,C50)</f>
        <v/>
      </c>
    </row>
    <row r="51" spans="1:7" x14ac:dyDescent="0.75">
      <c r="A51" s="111">
        <v>49</v>
      </c>
      <c r="B51" s="111">
        <f t="shared" si="0"/>
        <v>16</v>
      </c>
      <c r="C51" s="111">
        <f t="shared" si="1"/>
        <v>1</v>
      </c>
      <c r="D51" s="109" t="str" cm="1">
        <f t="array" ref="D51">INDEX('RelAftFlt-Map2-1'!$I$7:$K$100,1+B51,C51)</f>
        <v/>
      </c>
    </row>
    <row r="52" spans="1:7" x14ac:dyDescent="0.75">
      <c r="A52" s="111">
        <v>50</v>
      </c>
      <c r="B52" s="111">
        <f t="shared" si="0"/>
        <v>16</v>
      </c>
      <c r="C52" s="111">
        <f t="shared" si="1"/>
        <v>2</v>
      </c>
      <c r="D52" s="109" t="str" cm="1">
        <f t="array" ref="D52">INDEX('RelAftFlt-Map2-1'!$I$7:$K$100,1+B52,C52)</f>
        <v/>
      </c>
    </row>
    <row r="53" spans="1:7" x14ac:dyDescent="0.75">
      <c r="A53" s="111">
        <v>51</v>
      </c>
      <c r="B53" s="111">
        <f t="shared" si="0"/>
        <v>16</v>
      </c>
      <c r="C53" s="111">
        <f t="shared" si="1"/>
        <v>3</v>
      </c>
      <c r="D53" s="109" t="str" cm="1">
        <f t="array" ref="D53">INDEX('RelAftFlt-Map2-1'!$I$7:$K$100,1+B53,C53)</f>
        <v/>
      </c>
    </row>
    <row r="54" spans="1:7" x14ac:dyDescent="0.75">
      <c r="A54" s="111">
        <v>52</v>
      </c>
      <c r="B54" s="111">
        <f t="shared" si="0"/>
        <v>17</v>
      </c>
      <c r="C54" s="111">
        <f t="shared" si="1"/>
        <v>1</v>
      </c>
      <c r="D54" s="109" t="str" cm="1">
        <f t="array" ref="D54">INDEX('RelAftFlt-Map2-1'!$I$7:$K$100,1+B54,C54)</f>
        <v/>
      </c>
    </row>
    <row r="55" spans="1:7" x14ac:dyDescent="0.75">
      <c r="A55" s="111">
        <v>53</v>
      </c>
      <c r="B55" s="111">
        <f t="shared" si="0"/>
        <v>17</v>
      </c>
      <c r="C55" s="111">
        <f t="shared" si="1"/>
        <v>2</v>
      </c>
      <c r="D55" s="109" t="str" cm="1">
        <f t="array" ref="D55">INDEX('RelAftFlt-Map2-1'!$I$7:$K$100,1+B55,C55)</f>
        <v/>
      </c>
      <c r="G55" s="14"/>
    </row>
    <row r="56" spans="1:7" x14ac:dyDescent="0.75">
      <c r="A56" s="111">
        <v>54</v>
      </c>
      <c r="B56" s="111">
        <f t="shared" si="0"/>
        <v>17</v>
      </c>
      <c r="C56" s="111">
        <f t="shared" si="1"/>
        <v>3</v>
      </c>
      <c r="D56" s="109" t="str" cm="1">
        <f t="array" ref="D56">INDEX('RelAftFlt-Map2-1'!$I$7:$K$100,1+B56,C56)</f>
        <v/>
      </c>
    </row>
    <row r="57" spans="1:7" x14ac:dyDescent="0.75">
      <c r="A57" s="111">
        <v>55</v>
      </c>
      <c r="B57" s="111">
        <f t="shared" si="0"/>
        <v>18</v>
      </c>
      <c r="C57" s="111">
        <f t="shared" si="1"/>
        <v>1</v>
      </c>
      <c r="D57" s="109" t="str" cm="1">
        <f t="array" ref="D57">INDEX('RelAftFlt-Map2-1'!$I$7:$K$100,1+B57,C57)</f>
        <v/>
      </c>
    </row>
    <row r="58" spans="1:7" x14ac:dyDescent="0.75">
      <c r="A58" s="111">
        <v>56</v>
      </c>
      <c r="B58" s="111">
        <f t="shared" si="0"/>
        <v>18</v>
      </c>
      <c r="C58" s="111">
        <f t="shared" si="1"/>
        <v>2</v>
      </c>
      <c r="D58" s="109" t="str" cm="1">
        <f t="array" ref="D58">INDEX('RelAftFlt-Map2-1'!$I$7:$K$100,1+B58,C58)</f>
        <v/>
      </c>
    </row>
    <row r="59" spans="1:7" x14ac:dyDescent="0.75">
      <c r="A59" s="111">
        <v>57</v>
      </c>
      <c r="B59" s="111">
        <f t="shared" si="0"/>
        <v>18</v>
      </c>
      <c r="C59" s="111">
        <f t="shared" si="1"/>
        <v>3</v>
      </c>
      <c r="D59" s="109" t="str" cm="1">
        <f t="array" ref="D59">INDEX('RelAftFlt-Map2-1'!$I$7:$K$100,1+B59,C59)</f>
        <v/>
      </c>
    </row>
    <row r="60" spans="1:7" x14ac:dyDescent="0.75">
      <c r="A60" s="111">
        <v>58</v>
      </c>
      <c r="B60" s="111">
        <f t="shared" si="0"/>
        <v>19</v>
      </c>
      <c r="C60" s="111">
        <f t="shared" si="1"/>
        <v>1</v>
      </c>
      <c r="D60" s="109" t="str" cm="1">
        <f t="array" ref="D60">INDEX('RelAftFlt-Map2-1'!$I$7:$K$100,1+B60,C60)</f>
        <v/>
      </c>
    </row>
    <row r="61" spans="1:7" x14ac:dyDescent="0.75">
      <c r="A61" s="111">
        <v>59</v>
      </c>
      <c r="B61" s="111">
        <f t="shared" si="0"/>
        <v>19</v>
      </c>
      <c r="C61" s="111">
        <f t="shared" si="1"/>
        <v>2</v>
      </c>
      <c r="D61" s="109" t="str" cm="1">
        <f t="array" ref="D61">INDEX('RelAftFlt-Map2-1'!$I$7:$K$100,1+B61,C61)</f>
        <v/>
      </c>
    </row>
    <row r="62" spans="1:7" x14ac:dyDescent="0.75">
      <c r="A62" s="111">
        <v>60</v>
      </c>
      <c r="B62" s="111">
        <f t="shared" si="0"/>
        <v>19</v>
      </c>
      <c r="C62" s="111">
        <f t="shared" si="1"/>
        <v>3</v>
      </c>
      <c r="D62" s="109" t="str" cm="1">
        <f t="array" ref="D62">INDEX('RelAftFlt-Map2-1'!$I$7:$K$100,1+B62,C62)</f>
        <v/>
      </c>
    </row>
    <row r="63" spans="1:7" x14ac:dyDescent="0.75">
      <c r="A63" s="111">
        <v>61</v>
      </c>
      <c r="B63" s="111">
        <f t="shared" si="0"/>
        <v>20</v>
      </c>
      <c r="C63" s="111">
        <f t="shared" si="1"/>
        <v>1</v>
      </c>
      <c r="D63" s="109" t="str" cm="1">
        <f t="array" ref="D63">INDEX('RelAftFlt-Map2-1'!$I$7:$K$100,1+B63,C63)</f>
        <v/>
      </c>
    </row>
    <row r="64" spans="1:7" x14ac:dyDescent="0.75">
      <c r="A64" s="111">
        <v>62</v>
      </c>
      <c r="B64" s="111">
        <f t="shared" si="0"/>
        <v>20</v>
      </c>
      <c r="C64" s="111">
        <f t="shared" si="1"/>
        <v>2</v>
      </c>
      <c r="D64" s="109" t="str" cm="1">
        <f t="array" ref="D64">INDEX('RelAftFlt-Map2-1'!$I$7:$K$100,1+B64,C64)</f>
        <v/>
      </c>
    </row>
    <row r="65" spans="1:4" x14ac:dyDescent="0.75">
      <c r="A65" s="111">
        <v>63</v>
      </c>
      <c r="B65" s="111">
        <f t="shared" si="0"/>
        <v>20</v>
      </c>
      <c r="C65" s="111">
        <f t="shared" si="1"/>
        <v>3</v>
      </c>
      <c r="D65" s="109" t="str" cm="1">
        <f t="array" ref="D65">INDEX('RelAftFlt-Map2-1'!$I$7:$K$100,1+B65,C65)</f>
        <v/>
      </c>
    </row>
    <row r="66" spans="1:4" x14ac:dyDescent="0.75">
      <c r="A66" s="111">
        <v>64</v>
      </c>
      <c r="B66" s="111">
        <f t="shared" si="0"/>
        <v>21</v>
      </c>
      <c r="C66" s="111">
        <f t="shared" si="1"/>
        <v>1</v>
      </c>
      <c r="D66" s="109" t="str" cm="1">
        <f t="array" ref="D66">INDEX('RelAftFlt-Map2-1'!$I$7:$K$100,1+B66,C66)</f>
        <v/>
      </c>
    </row>
    <row r="67" spans="1:4" x14ac:dyDescent="0.75">
      <c r="A67" s="111">
        <v>65</v>
      </c>
      <c r="B67" s="111">
        <f t="shared" si="0"/>
        <v>21</v>
      </c>
      <c r="C67" s="111">
        <f t="shared" si="1"/>
        <v>2</v>
      </c>
      <c r="D67" s="109" t="str" cm="1">
        <f t="array" ref="D67">INDEX('RelAftFlt-Map2-1'!$I$7:$K$100,1+B67,C67)</f>
        <v/>
      </c>
    </row>
    <row r="68" spans="1:4" x14ac:dyDescent="0.75">
      <c r="A68" s="111">
        <v>66</v>
      </c>
      <c r="B68" s="111">
        <f t="shared" ref="B68:B131" si="2">IF(MOD(A68,3)=0,A68/3-1,INT(A68/3))</f>
        <v>21</v>
      </c>
      <c r="C68" s="111">
        <f t="shared" ref="C68:C131" si="3">IF(MOD(A68,3)=0,3,MOD(A68,3))</f>
        <v>3</v>
      </c>
      <c r="D68" s="109" t="str" cm="1">
        <f t="array" ref="D68">INDEX('RelAftFlt-Map2-1'!$I$7:$K$100,1+B68,C68)</f>
        <v/>
      </c>
    </row>
    <row r="69" spans="1:4" x14ac:dyDescent="0.75">
      <c r="A69" s="111">
        <v>67</v>
      </c>
      <c r="B69" s="111">
        <f t="shared" si="2"/>
        <v>22</v>
      </c>
      <c r="C69" s="111">
        <f t="shared" si="3"/>
        <v>1</v>
      </c>
      <c r="D69" s="109" t="str" cm="1">
        <f t="array" ref="D69">INDEX('RelAftFlt-Map2-1'!$I$7:$K$100,1+B69,C69)</f>
        <v/>
      </c>
    </row>
    <row r="70" spans="1:4" x14ac:dyDescent="0.75">
      <c r="A70" s="111">
        <v>68</v>
      </c>
      <c r="B70" s="111">
        <f t="shared" si="2"/>
        <v>22</v>
      </c>
      <c r="C70" s="111">
        <f t="shared" si="3"/>
        <v>2</v>
      </c>
      <c r="D70" s="109" t="str" cm="1">
        <f t="array" ref="D70">INDEX('RelAftFlt-Map2-1'!$I$7:$K$100,1+B70,C70)</f>
        <v/>
      </c>
    </row>
    <row r="71" spans="1:4" x14ac:dyDescent="0.75">
      <c r="A71" s="111">
        <v>69</v>
      </c>
      <c r="B71" s="111">
        <f t="shared" si="2"/>
        <v>22</v>
      </c>
      <c r="C71" s="111">
        <f t="shared" si="3"/>
        <v>3</v>
      </c>
      <c r="D71" s="109" t="str" cm="1">
        <f t="array" ref="D71">INDEX('RelAftFlt-Map2-1'!$I$7:$K$100,1+B71,C71)</f>
        <v/>
      </c>
    </row>
    <row r="72" spans="1:4" x14ac:dyDescent="0.75">
      <c r="A72" s="111">
        <v>70</v>
      </c>
      <c r="B72" s="111">
        <f t="shared" si="2"/>
        <v>23</v>
      </c>
      <c r="C72" s="111">
        <f t="shared" si="3"/>
        <v>1</v>
      </c>
      <c r="D72" s="109" t="str" cm="1">
        <f t="array" ref="D72">INDEX('RelAftFlt-Map2-1'!$I$7:$K$100,1+B72,C72)</f>
        <v/>
      </c>
    </row>
    <row r="73" spans="1:4" x14ac:dyDescent="0.75">
      <c r="A73" s="111">
        <v>71</v>
      </c>
      <c r="B73" s="111">
        <f t="shared" si="2"/>
        <v>23</v>
      </c>
      <c r="C73" s="111">
        <f t="shared" si="3"/>
        <v>2</v>
      </c>
      <c r="D73" s="109" t="str" cm="1">
        <f t="array" ref="D73">INDEX('RelAftFlt-Map2-1'!$I$7:$K$100,1+B73,C73)</f>
        <v/>
      </c>
    </row>
    <row r="74" spans="1:4" x14ac:dyDescent="0.75">
      <c r="A74" s="111">
        <v>72</v>
      </c>
      <c r="B74" s="111">
        <f t="shared" si="2"/>
        <v>23</v>
      </c>
      <c r="C74" s="111">
        <f t="shared" si="3"/>
        <v>3</v>
      </c>
      <c r="D74" s="109" t="str" cm="1">
        <f t="array" ref="D74">INDEX('RelAftFlt-Map2-1'!$I$7:$K$100,1+B74,C74)</f>
        <v/>
      </c>
    </row>
    <row r="75" spans="1:4" x14ac:dyDescent="0.75">
      <c r="A75" s="111">
        <v>73</v>
      </c>
      <c r="B75" s="111">
        <f t="shared" si="2"/>
        <v>24</v>
      </c>
      <c r="C75" s="111">
        <f t="shared" si="3"/>
        <v>1</v>
      </c>
      <c r="D75" s="109" t="str" cm="1">
        <f t="array" ref="D75">INDEX('RelAftFlt-Map2-1'!$I$7:$K$100,1+B75,C75)</f>
        <v/>
      </c>
    </row>
    <row r="76" spans="1:4" x14ac:dyDescent="0.75">
      <c r="A76" s="111">
        <v>74</v>
      </c>
      <c r="B76" s="111">
        <f t="shared" si="2"/>
        <v>24</v>
      </c>
      <c r="C76" s="111">
        <f t="shared" si="3"/>
        <v>2</v>
      </c>
      <c r="D76" s="109" t="str" cm="1">
        <f t="array" ref="D76">INDEX('RelAftFlt-Map2-1'!$I$7:$K$100,1+B76,C76)</f>
        <v/>
      </c>
    </row>
    <row r="77" spans="1:4" x14ac:dyDescent="0.75">
      <c r="A77" s="111">
        <v>75</v>
      </c>
      <c r="B77" s="111">
        <f t="shared" si="2"/>
        <v>24</v>
      </c>
      <c r="C77" s="111">
        <f t="shared" si="3"/>
        <v>3</v>
      </c>
      <c r="D77" s="109" t="str" cm="1">
        <f t="array" ref="D77">INDEX('RelAftFlt-Map2-1'!$I$7:$K$100,1+B77,C77)</f>
        <v/>
      </c>
    </row>
    <row r="78" spans="1:4" x14ac:dyDescent="0.75">
      <c r="A78" s="111">
        <v>76</v>
      </c>
      <c r="B78" s="111">
        <f t="shared" si="2"/>
        <v>25</v>
      </c>
      <c r="C78" s="111">
        <f t="shared" si="3"/>
        <v>1</v>
      </c>
      <c r="D78" s="109" t="str" cm="1">
        <f t="array" ref="D78">INDEX('RelAftFlt-Map2-1'!$I$7:$K$100,1+B78,C78)</f>
        <v/>
      </c>
    </row>
    <row r="79" spans="1:4" x14ac:dyDescent="0.75">
      <c r="A79" s="111">
        <v>77</v>
      </c>
      <c r="B79" s="111">
        <f t="shared" si="2"/>
        <v>25</v>
      </c>
      <c r="C79" s="111">
        <f t="shared" si="3"/>
        <v>2</v>
      </c>
      <c r="D79" s="109" t="str" cm="1">
        <f t="array" ref="D79">INDEX('RelAftFlt-Map2-1'!$I$7:$K$100,1+B79,C79)</f>
        <v/>
      </c>
    </row>
    <row r="80" spans="1:4" x14ac:dyDescent="0.75">
      <c r="A80" s="111">
        <v>78</v>
      </c>
      <c r="B80" s="111">
        <f t="shared" si="2"/>
        <v>25</v>
      </c>
      <c r="C80" s="111">
        <f t="shared" si="3"/>
        <v>3</v>
      </c>
      <c r="D80" s="109" t="str" cm="1">
        <f t="array" ref="D80">INDEX('RelAftFlt-Map2-1'!$I$7:$K$100,1+B80,C80)</f>
        <v/>
      </c>
    </row>
    <row r="81" spans="1:4" x14ac:dyDescent="0.75">
      <c r="A81" s="111">
        <v>79</v>
      </c>
      <c r="B81" s="111">
        <f t="shared" si="2"/>
        <v>26</v>
      </c>
      <c r="C81" s="111">
        <f t="shared" si="3"/>
        <v>1</v>
      </c>
      <c r="D81" s="109" t="str" cm="1">
        <f t="array" ref="D81">INDEX('RelAftFlt-Map2-1'!$I$7:$K$100,1+B81,C81)</f>
        <v/>
      </c>
    </row>
    <row r="82" spans="1:4" x14ac:dyDescent="0.75">
      <c r="A82" s="111">
        <v>80</v>
      </c>
      <c r="B82" s="111">
        <f t="shared" si="2"/>
        <v>26</v>
      </c>
      <c r="C82" s="111">
        <f t="shared" si="3"/>
        <v>2</v>
      </c>
      <c r="D82" s="109" t="str" cm="1">
        <f t="array" ref="D82">INDEX('RelAftFlt-Map2-1'!$I$7:$K$100,1+B82,C82)</f>
        <v/>
      </c>
    </row>
    <row r="83" spans="1:4" x14ac:dyDescent="0.75">
      <c r="A83" s="111">
        <v>81</v>
      </c>
      <c r="B83" s="111">
        <f t="shared" si="2"/>
        <v>26</v>
      </c>
      <c r="C83" s="111">
        <f t="shared" si="3"/>
        <v>3</v>
      </c>
      <c r="D83" s="109" t="str" cm="1">
        <f t="array" ref="D83">INDEX('RelAftFlt-Map2-1'!$I$7:$K$100,1+B83,C83)</f>
        <v/>
      </c>
    </row>
    <row r="84" spans="1:4" x14ac:dyDescent="0.75">
      <c r="A84" s="111">
        <v>82</v>
      </c>
      <c r="B84" s="111">
        <f t="shared" si="2"/>
        <v>27</v>
      </c>
      <c r="C84" s="111">
        <f t="shared" si="3"/>
        <v>1</v>
      </c>
      <c r="D84" s="109" t="str" cm="1">
        <f t="array" ref="D84">INDEX('RelAftFlt-Map2-1'!$I$7:$K$100,1+B84,C84)</f>
        <v/>
      </c>
    </row>
    <row r="85" spans="1:4" x14ac:dyDescent="0.75">
      <c r="A85" s="111">
        <v>83</v>
      </c>
      <c r="B85" s="111">
        <f t="shared" si="2"/>
        <v>27</v>
      </c>
      <c r="C85" s="111">
        <f t="shared" si="3"/>
        <v>2</v>
      </c>
      <c r="D85" s="109" t="str" cm="1">
        <f t="array" ref="D85">INDEX('RelAftFlt-Map2-1'!$I$7:$K$100,1+B85,C85)</f>
        <v/>
      </c>
    </row>
    <row r="86" spans="1:4" x14ac:dyDescent="0.75">
      <c r="A86" s="111">
        <v>84</v>
      </c>
      <c r="B86" s="111">
        <f t="shared" si="2"/>
        <v>27</v>
      </c>
      <c r="C86" s="111">
        <f t="shared" si="3"/>
        <v>3</v>
      </c>
      <c r="D86" s="109" t="str" cm="1">
        <f t="array" ref="D86">INDEX('RelAftFlt-Map2-1'!$I$7:$K$100,1+B86,C86)</f>
        <v/>
      </c>
    </row>
    <row r="87" spans="1:4" x14ac:dyDescent="0.75">
      <c r="A87" s="111">
        <v>85</v>
      </c>
      <c r="B87" s="111">
        <f t="shared" si="2"/>
        <v>28</v>
      </c>
      <c r="C87" s="111">
        <f t="shared" si="3"/>
        <v>1</v>
      </c>
      <c r="D87" s="109" t="str" cm="1">
        <f t="array" ref="D87">INDEX('RelAftFlt-Map2-1'!$I$7:$K$100,1+B87,C87)</f>
        <v/>
      </c>
    </row>
    <row r="88" spans="1:4" x14ac:dyDescent="0.75">
      <c r="A88" s="111">
        <v>86</v>
      </c>
      <c r="B88" s="111">
        <f t="shared" si="2"/>
        <v>28</v>
      </c>
      <c r="C88" s="111">
        <f t="shared" si="3"/>
        <v>2</v>
      </c>
      <c r="D88" s="109" t="str" cm="1">
        <f t="array" ref="D88">INDEX('RelAftFlt-Map2-1'!$I$7:$K$100,1+B88,C88)</f>
        <v/>
      </c>
    </row>
    <row r="89" spans="1:4" x14ac:dyDescent="0.75">
      <c r="A89" s="111">
        <v>87</v>
      </c>
      <c r="B89" s="111">
        <f t="shared" si="2"/>
        <v>28</v>
      </c>
      <c r="C89" s="111">
        <f t="shared" si="3"/>
        <v>3</v>
      </c>
      <c r="D89" s="109" t="str" cm="1">
        <f t="array" ref="D89">INDEX('RelAftFlt-Map2-1'!$I$7:$K$100,1+B89,C89)</f>
        <v/>
      </c>
    </row>
    <row r="90" spans="1:4" x14ac:dyDescent="0.75">
      <c r="A90" s="111">
        <v>88</v>
      </c>
      <c r="B90" s="111">
        <f t="shared" si="2"/>
        <v>29</v>
      </c>
      <c r="C90" s="111">
        <f t="shared" si="3"/>
        <v>1</v>
      </c>
      <c r="D90" s="109" t="str" cm="1">
        <f t="array" ref="D90">INDEX('RelAftFlt-Map2-1'!$I$7:$K$100,1+B90,C90)</f>
        <v/>
      </c>
    </row>
    <row r="91" spans="1:4" x14ac:dyDescent="0.75">
      <c r="A91" s="111">
        <v>89</v>
      </c>
      <c r="B91" s="111">
        <f t="shared" si="2"/>
        <v>29</v>
      </c>
      <c r="C91" s="111">
        <f t="shared" si="3"/>
        <v>2</v>
      </c>
      <c r="D91" s="109" t="str" cm="1">
        <f t="array" ref="D91">INDEX('RelAftFlt-Map2-1'!$I$7:$K$100,1+B91,C91)</f>
        <v/>
      </c>
    </row>
    <row r="92" spans="1:4" x14ac:dyDescent="0.75">
      <c r="A92" s="111">
        <v>90</v>
      </c>
      <c r="B92" s="111">
        <f t="shared" si="2"/>
        <v>29</v>
      </c>
      <c r="C92" s="111">
        <f t="shared" si="3"/>
        <v>3</v>
      </c>
      <c r="D92" s="109" t="str" cm="1">
        <f t="array" ref="D92">INDEX('RelAftFlt-Map2-1'!$I$7:$K$100,1+B92,C92)</f>
        <v/>
      </c>
    </row>
    <row r="93" spans="1:4" x14ac:dyDescent="0.75">
      <c r="A93" s="111">
        <v>91</v>
      </c>
      <c r="B93" s="111">
        <f t="shared" si="2"/>
        <v>30</v>
      </c>
      <c r="C93" s="111">
        <f t="shared" si="3"/>
        <v>1</v>
      </c>
      <c r="D93" s="109" t="str" cm="1">
        <f t="array" ref="D93">INDEX('RelAftFlt-Map2-1'!$I$7:$K$100,1+B93,C93)</f>
        <v/>
      </c>
    </row>
    <row r="94" spans="1:4" x14ac:dyDescent="0.75">
      <c r="A94" s="111">
        <v>92</v>
      </c>
      <c r="B94" s="111">
        <f t="shared" si="2"/>
        <v>30</v>
      </c>
      <c r="C94" s="111">
        <f t="shared" si="3"/>
        <v>2</v>
      </c>
      <c r="D94" s="109" t="str" cm="1">
        <f t="array" ref="D94">INDEX('RelAftFlt-Map2-1'!$I$7:$K$100,1+B94,C94)</f>
        <v/>
      </c>
    </row>
    <row r="95" spans="1:4" x14ac:dyDescent="0.75">
      <c r="A95" s="111">
        <v>93</v>
      </c>
      <c r="B95" s="111">
        <f t="shared" si="2"/>
        <v>30</v>
      </c>
      <c r="C95" s="111">
        <f t="shared" si="3"/>
        <v>3</v>
      </c>
      <c r="D95" s="109" t="str" cm="1">
        <f t="array" ref="D95">INDEX('RelAftFlt-Map2-1'!$I$7:$K$100,1+B95,C95)</f>
        <v/>
      </c>
    </row>
    <row r="96" spans="1:4" x14ac:dyDescent="0.75">
      <c r="A96" s="111">
        <v>94</v>
      </c>
      <c r="B96" s="111">
        <f t="shared" si="2"/>
        <v>31</v>
      </c>
      <c r="C96" s="111">
        <f t="shared" si="3"/>
        <v>1</v>
      </c>
      <c r="D96" s="109" t="str" cm="1">
        <f t="array" ref="D96">INDEX('RelAftFlt-Map2-1'!$I$7:$K$100,1+B96,C96)</f>
        <v/>
      </c>
    </row>
    <row r="97" spans="1:4" x14ac:dyDescent="0.75">
      <c r="A97" s="111">
        <v>95</v>
      </c>
      <c r="B97" s="111">
        <f t="shared" si="2"/>
        <v>31</v>
      </c>
      <c r="C97" s="111">
        <f t="shared" si="3"/>
        <v>2</v>
      </c>
      <c r="D97" s="109" t="str" cm="1">
        <f t="array" ref="D97">INDEX('RelAftFlt-Map2-1'!$I$7:$K$100,1+B97,C97)</f>
        <v/>
      </c>
    </row>
    <row r="98" spans="1:4" x14ac:dyDescent="0.75">
      <c r="A98" s="111">
        <v>96</v>
      </c>
      <c r="B98" s="111">
        <f t="shared" si="2"/>
        <v>31</v>
      </c>
      <c r="C98" s="111">
        <f t="shared" si="3"/>
        <v>3</v>
      </c>
      <c r="D98" s="109" t="str" cm="1">
        <f t="array" ref="D98">INDEX('RelAftFlt-Map2-1'!$I$7:$K$100,1+B98,C98)</f>
        <v/>
      </c>
    </row>
    <row r="99" spans="1:4" x14ac:dyDescent="0.75">
      <c r="A99" s="111">
        <v>97</v>
      </c>
      <c r="B99" s="111">
        <f t="shared" si="2"/>
        <v>32</v>
      </c>
      <c r="C99" s="111">
        <f t="shared" si="3"/>
        <v>1</v>
      </c>
      <c r="D99" s="109" t="str" cm="1">
        <f t="array" ref="D99">INDEX('RelAftFlt-Map2-1'!$I$7:$K$100,1+B99,C99)</f>
        <v/>
      </c>
    </row>
    <row r="100" spans="1:4" x14ac:dyDescent="0.75">
      <c r="A100" s="111">
        <v>98</v>
      </c>
      <c r="B100" s="111">
        <f t="shared" si="2"/>
        <v>32</v>
      </c>
      <c r="C100" s="111">
        <f t="shared" si="3"/>
        <v>2</v>
      </c>
      <c r="D100" s="109" t="str" cm="1">
        <f t="array" ref="D100">INDEX('RelAftFlt-Map2-1'!$I$7:$K$100,1+B100,C100)</f>
        <v/>
      </c>
    </row>
    <row r="101" spans="1:4" x14ac:dyDescent="0.75">
      <c r="A101" s="111">
        <v>99</v>
      </c>
      <c r="B101" s="111">
        <f t="shared" si="2"/>
        <v>32</v>
      </c>
      <c r="C101" s="111">
        <f t="shared" si="3"/>
        <v>3</v>
      </c>
      <c r="D101" s="109" t="str" cm="1">
        <f t="array" ref="D101">INDEX('RelAftFlt-Map2-1'!$I$7:$K$100,1+B101,C101)</f>
        <v/>
      </c>
    </row>
    <row r="102" spans="1:4" x14ac:dyDescent="0.75">
      <c r="A102" s="111">
        <v>100</v>
      </c>
      <c r="B102" s="111">
        <f t="shared" si="2"/>
        <v>33</v>
      </c>
      <c r="C102" s="111">
        <f t="shared" si="3"/>
        <v>1</v>
      </c>
      <c r="D102" s="109" t="str" cm="1">
        <f t="array" ref="D102">INDEX('RelAftFlt-Map2-1'!$I$7:$K$100,1+B102,C102)</f>
        <v/>
      </c>
    </row>
    <row r="103" spans="1:4" x14ac:dyDescent="0.75">
      <c r="A103" s="111">
        <v>101</v>
      </c>
      <c r="B103" s="111">
        <f t="shared" si="2"/>
        <v>33</v>
      </c>
      <c r="C103" s="111">
        <f t="shared" si="3"/>
        <v>2</v>
      </c>
      <c r="D103" s="109" t="str" cm="1">
        <f t="array" ref="D103">INDEX('RelAftFlt-Map2-1'!$I$7:$K$100,1+B103,C103)</f>
        <v/>
      </c>
    </row>
    <row r="104" spans="1:4" x14ac:dyDescent="0.75">
      <c r="A104" s="111">
        <v>102</v>
      </c>
      <c r="B104" s="111">
        <f t="shared" si="2"/>
        <v>33</v>
      </c>
      <c r="C104" s="111">
        <f t="shared" si="3"/>
        <v>3</v>
      </c>
      <c r="D104" s="109" t="str" cm="1">
        <f t="array" ref="D104">INDEX('RelAftFlt-Map2-1'!$I$7:$K$100,1+B104,C104)</f>
        <v/>
      </c>
    </row>
    <row r="105" spans="1:4" x14ac:dyDescent="0.75">
      <c r="A105" s="111">
        <v>103</v>
      </c>
      <c r="B105" s="111">
        <f t="shared" si="2"/>
        <v>34</v>
      </c>
      <c r="C105" s="111">
        <f t="shared" si="3"/>
        <v>1</v>
      </c>
      <c r="D105" s="109" t="str" cm="1">
        <f t="array" ref="D105">INDEX('RelAftFlt-Map2-1'!$I$7:$K$100,1+B105,C105)</f>
        <v/>
      </c>
    </row>
    <row r="106" spans="1:4" x14ac:dyDescent="0.75">
      <c r="A106" s="111">
        <v>104</v>
      </c>
      <c r="B106" s="111">
        <f t="shared" si="2"/>
        <v>34</v>
      </c>
      <c r="C106" s="111">
        <f t="shared" si="3"/>
        <v>2</v>
      </c>
      <c r="D106" s="109" t="str" cm="1">
        <f t="array" ref="D106">INDEX('RelAftFlt-Map2-1'!$I$7:$K$100,1+B106,C106)</f>
        <v/>
      </c>
    </row>
    <row r="107" spans="1:4" x14ac:dyDescent="0.75">
      <c r="A107" s="111">
        <v>105</v>
      </c>
      <c r="B107" s="111">
        <f t="shared" si="2"/>
        <v>34</v>
      </c>
      <c r="C107" s="111">
        <f t="shared" si="3"/>
        <v>3</v>
      </c>
      <c r="D107" s="109" t="str" cm="1">
        <f t="array" ref="D107">INDEX('RelAftFlt-Map2-1'!$I$7:$K$100,1+B107,C107)</f>
        <v/>
      </c>
    </row>
    <row r="108" spans="1:4" x14ac:dyDescent="0.75">
      <c r="A108" s="111">
        <v>106</v>
      </c>
      <c r="B108" s="111">
        <f t="shared" si="2"/>
        <v>35</v>
      </c>
      <c r="C108" s="111">
        <f t="shared" si="3"/>
        <v>1</v>
      </c>
      <c r="D108" s="109" t="str" cm="1">
        <f t="array" ref="D108">INDEX('RelAftFlt-Map2-1'!$I$7:$K$100,1+B108,C108)</f>
        <v/>
      </c>
    </row>
    <row r="109" spans="1:4" x14ac:dyDescent="0.75">
      <c r="A109" s="111">
        <v>107</v>
      </c>
      <c r="B109" s="111">
        <f t="shared" si="2"/>
        <v>35</v>
      </c>
      <c r="C109" s="111">
        <f t="shared" si="3"/>
        <v>2</v>
      </c>
      <c r="D109" s="109" t="str" cm="1">
        <f t="array" ref="D109">INDEX('RelAftFlt-Map2-1'!$I$7:$K$100,1+B109,C109)</f>
        <v/>
      </c>
    </row>
    <row r="110" spans="1:4" x14ac:dyDescent="0.75">
      <c r="A110" s="111">
        <v>108</v>
      </c>
      <c r="B110" s="111">
        <f t="shared" si="2"/>
        <v>35</v>
      </c>
      <c r="C110" s="111">
        <f t="shared" si="3"/>
        <v>3</v>
      </c>
      <c r="D110" s="109" t="str" cm="1">
        <f t="array" ref="D110">INDEX('RelAftFlt-Map2-1'!$I$7:$K$100,1+B110,C110)</f>
        <v/>
      </c>
    </row>
    <row r="111" spans="1:4" x14ac:dyDescent="0.75">
      <c r="A111" s="111">
        <v>109</v>
      </c>
      <c r="B111" s="111">
        <f t="shared" si="2"/>
        <v>36</v>
      </c>
      <c r="C111" s="111">
        <f t="shared" si="3"/>
        <v>1</v>
      </c>
      <c r="D111" s="109" t="str" cm="1">
        <f t="array" ref="D111">INDEX('RelAftFlt-Map2-1'!$I$7:$K$100,1+B111,C111)</f>
        <v/>
      </c>
    </row>
    <row r="112" spans="1:4" x14ac:dyDescent="0.75">
      <c r="A112" s="111">
        <v>110</v>
      </c>
      <c r="B112" s="111">
        <f t="shared" si="2"/>
        <v>36</v>
      </c>
      <c r="C112" s="111">
        <f t="shared" si="3"/>
        <v>2</v>
      </c>
      <c r="D112" s="109" t="str" cm="1">
        <f t="array" ref="D112">INDEX('RelAftFlt-Map2-1'!$I$7:$K$100,1+B112,C112)</f>
        <v/>
      </c>
    </row>
    <row r="113" spans="1:4" x14ac:dyDescent="0.75">
      <c r="A113" s="111">
        <v>111</v>
      </c>
      <c r="B113" s="111">
        <f t="shared" si="2"/>
        <v>36</v>
      </c>
      <c r="C113" s="111">
        <f t="shared" si="3"/>
        <v>3</v>
      </c>
      <c r="D113" s="109" t="str" cm="1">
        <f t="array" ref="D113">INDEX('RelAftFlt-Map2-1'!$I$7:$K$100,1+B113,C113)</f>
        <v/>
      </c>
    </row>
    <row r="114" spans="1:4" x14ac:dyDescent="0.75">
      <c r="A114" s="111">
        <v>112</v>
      </c>
      <c r="B114" s="111">
        <f t="shared" si="2"/>
        <v>37</v>
      </c>
      <c r="C114" s="111">
        <f t="shared" si="3"/>
        <v>1</v>
      </c>
      <c r="D114" s="109" t="str" cm="1">
        <f t="array" ref="D114">INDEX('RelAftFlt-Map2-1'!$I$7:$K$100,1+B114,C114)</f>
        <v/>
      </c>
    </row>
    <row r="115" spans="1:4" x14ac:dyDescent="0.75">
      <c r="A115" s="111">
        <v>113</v>
      </c>
      <c r="B115" s="111">
        <f t="shared" si="2"/>
        <v>37</v>
      </c>
      <c r="C115" s="111">
        <f t="shared" si="3"/>
        <v>2</v>
      </c>
      <c r="D115" s="109" t="str" cm="1">
        <f t="array" ref="D115">INDEX('RelAftFlt-Map2-1'!$I$7:$K$100,1+B115,C115)</f>
        <v/>
      </c>
    </row>
    <row r="116" spans="1:4" x14ac:dyDescent="0.75">
      <c r="A116" s="111">
        <v>114</v>
      </c>
      <c r="B116" s="111">
        <f t="shared" si="2"/>
        <v>37</v>
      </c>
      <c r="C116" s="111">
        <f t="shared" si="3"/>
        <v>3</v>
      </c>
      <c r="D116" s="109" t="str" cm="1">
        <f t="array" ref="D116">INDEX('RelAftFlt-Map2-1'!$I$7:$K$100,1+B116,C116)</f>
        <v/>
      </c>
    </row>
    <row r="117" spans="1:4" x14ac:dyDescent="0.75">
      <c r="A117" s="111">
        <v>115</v>
      </c>
      <c r="B117" s="111">
        <f t="shared" si="2"/>
        <v>38</v>
      </c>
      <c r="C117" s="111">
        <f t="shared" si="3"/>
        <v>1</v>
      </c>
      <c r="D117" s="109" t="str" cm="1">
        <f t="array" ref="D117">INDEX('RelAftFlt-Map2-1'!$I$7:$K$100,1+B117,C117)</f>
        <v/>
      </c>
    </row>
    <row r="118" spans="1:4" x14ac:dyDescent="0.75">
      <c r="A118" s="111">
        <v>116</v>
      </c>
      <c r="B118" s="111">
        <f t="shared" si="2"/>
        <v>38</v>
      </c>
      <c r="C118" s="111">
        <f t="shared" si="3"/>
        <v>2</v>
      </c>
      <c r="D118" s="109" t="str" cm="1">
        <f t="array" ref="D118">INDEX('RelAftFlt-Map2-1'!$I$7:$K$100,1+B118,C118)</f>
        <v/>
      </c>
    </row>
    <row r="119" spans="1:4" x14ac:dyDescent="0.75">
      <c r="A119" s="111">
        <v>117</v>
      </c>
      <c r="B119" s="111">
        <f t="shared" si="2"/>
        <v>38</v>
      </c>
      <c r="C119" s="111">
        <f t="shared" si="3"/>
        <v>3</v>
      </c>
      <c r="D119" s="109" t="str" cm="1">
        <f t="array" ref="D119">INDEX('RelAftFlt-Map2-1'!$I$7:$K$100,1+B119,C119)</f>
        <v/>
      </c>
    </row>
    <row r="120" spans="1:4" x14ac:dyDescent="0.75">
      <c r="A120" s="111">
        <v>118</v>
      </c>
      <c r="B120" s="111">
        <f t="shared" si="2"/>
        <v>39</v>
      </c>
      <c r="C120" s="111">
        <f t="shared" si="3"/>
        <v>1</v>
      </c>
      <c r="D120" s="109" t="str" cm="1">
        <f t="array" ref="D120">INDEX('RelAftFlt-Map2-1'!$I$7:$K$100,1+B120,C120)</f>
        <v/>
      </c>
    </row>
    <row r="121" spans="1:4" x14ac:dyDescent="0.75">
      <c r="A121" s="111">
        <v>119</v>
      </c>
      <c r="B121" s="111">
        <f t="shared" si="2"/>
        <v>39</v>
      </c>
      <c r="C121" s="111">
        <f t="shared" si="3"/>
        <v>2</v>
      </c>
      <c r="D121" s="109" t="str" cm="1">
        <f t="array" ref="D121">INDEX('RelAftFlt-Map2-1'!$I$7:$K$100,1+B121,C121)</f>
        <v/>
      </c>
    </row>
    <row r="122" spans="1:4" x14ac:dyDescent="0.75">
      <c r="A122" s="111">
        <v>120</v>
      </c>
      <c r="B122" s="111">
        <f t="shared" si="2"/>
        <v>39</v>
      </c>
      <c r="C122" s="111">
        <f t="shared" si="3"/>
        <v>3</v>
      </c>
      <c r="D122" s="109" t="str" cm="1">
        <f t="array" ref="D122">INDEX('RelAftFlt-Map2-1'!$I$7:$K$100,1+B122,C122)</f>
        <v/>
      </c>
    </row>
    <row r="123" spans="1:4" x14ac:dyDescent="0.75">
      <c r="A123" s="111">
        <v>121</v>
      </c>
      <c r="B123" s="111">
        <f t="shared" si="2"/>
        <v>40</v>
      </c>
      <c r="C123" s="111">
        <f t="shared" si="3"/>
        <v>1</v>
      </c>
      <c r="D123" s="109" t="str" cm="1">
        <f t="array" ref="D123">INDEX('RelAftFlt-Map2-1'!$I$7:$K$100,1+B123,C123)</f>
        <v/>
      </c>
    </row>
    <row r="124" spans="1:4" x14ac:dyDescent="0.75">
      <c r="A124" s="111">
        <v>122</v>
      </c>
      <c r="B124" s="111">
        <f t="shared" si="2"/>
        <v>40</v>
      </c>
      <c r="C124" s="111">
        <f t="shared" si="3"/>
        <v>2</v>
      </c>
      <c r="D124" s="109" t="str" cm="1">
        <f t="array" ref="D124">INDEX('RelAftFlt-Map2-1'!$I$7:$K$100,1+B124,C124)</f>
        <v/>
      </c>
    </row>
    <row r="125" spans="1:4" x14ac:dyDescent="0.75">
      <c r="A125" s="111">
        <v>123</v>
      </c>
      <c r="B125" s="111">
        <f t="shared" si="2"/>
        <v>40</v>
      </c>
      <c r="C125" s="111">
        <f t="shared" si="3"/>
        <v>3</v>
      </c>
      <c r="D125" s="109" t="str" cm="1">
        <f t="array" ref="D125">INDEX('RelAftFlt-Map2-1'!$I$7:$K$100,1+B125,C125)</f>
        <v/>
      </c>
    </row>
    <row r="126" spans="1:4" x14ac:dyDescent="0.75">
      <c r="A126" s="111">
        <v>124</v>
      </c>
      <c r="B126" s="111">
        <f t="shared" si="2"/>
        <v>41</v>
      </c>
      <c r="C126" s="111">
        <f t="shared" si="3"/>
        <v>1</v>
      </c>
      <c r="D126" s="109" t="str" cm="1">
        <f t="array" ref="D126">INDEX('RelAftFlt-Map2-1'!$I$7:$K$100,1+B126,C126)</f>
        <v/>
      </c>
    </row>
    <row r="127" spans="1:4" x14ac:dyDescent="0.75">
      <c r="A127" s="111">
        <v>125</v>
      </c>
      <c r="B127" s="111">
        <f t="shared" si="2"/>
        <v>41</v>
      </c>
      <c r="C127" s="111">
        <f t="shared" si="3"/>
        <v>2</v>
      </c>
      <c r="D127" s="109" t="str" cm="1">
        <f t="array" ref="D127">INDEX('RelAftFlt-Map2-1'!$I$7:$K$100,1+B127,C127)</f>
        <v/>
      </c>
    </row>
    <row r="128" spans="1:4" x14ac:dyDescent="0.75">
      <c r="A128" s="111">
        <v>126</v>
      </c>
      <c r="B128" s="111">
        <f t="shared" si="2"/>
        <v>41</v>
      </c>
      <c r="C128" s="111">
        <f t="shared" si="3"/>
        <v>3</v>
      </c>
      <c r="D128" s="109" t="str" cm="1">
        <f t="array" ref="D128">INDEX('RelAftFlt-Map2-1'!$I$7:$K$100,1+B128,C128)</f>
        <v/>
      </c>
    </row>
    <row r="129" spans="1:4" x14ac:dyDescent="0.75">
      <c r="A129" s="111">
        <v>127</v>
      </c>
      <c r="B129" s="111">
        <f t="shared" si="2"/>
        <v>42</v>
      </c>
      <c r="C129" s="111">
        <f t="shared" si="3"/>
        <v>1</v>
      </c>
      <c r="D129" s="109" t="str" cm="1">
        <f t="array" ref="D129">INDEX('RelAftFlt-Map2-1'!$I$7:$K$100,1+B129,C129)</f>
        <v/>
      </c>
    </row>
    <row r="130" spans="1:4" x14ac:dyDescent="0.75">
      <c r="A130" s="111">
        <v>128</v>
      </c>
      <c r="B130" s="111">
        <f t="shared" si="2"/>
        <v>42</v>
      </c>
      <c r="C130" s="111">
        <f t="shared" si="3"/>
        <v>2</v>
      </c>
      <c r="D130" s="109" t="str" cm="1">
        <f t="array" ref="D130">INDEX('RelAftFlt-Map2-1'!$I$7:$K$100,1+B130,C130)</f>
        <v/>
      </c>
    </row>
    <row r="131" spans="1:4" x14ac:dyDescent="0.75">
      <c r="A131" s="111">
        <v>129</v>
      </c>
      <c r="B131" s="111">
        <f t="shared" si="2"/>
        <v>42</v>
      </c>
      <c r="C131" s="111">
        <f t="shared" si="3"/>
        <v>3</v>
      </c>
      <c r="D131" s="109" t="str" cm="1">
        <f t="array" ref="D131">INDEX('RelAftFlt-Map2-1'!$I$7:$K$100,1+B131,C131)</f>
        <v/>
      </c>
    </row>
    <row r="132" spans="1:4" x14ac:dyDescent="0.75">
      <c r="A132" s="111">
        <v>130</v>
      </c>
      <c r="B132" s="111">
        <f t="shared" ref="B132:B195" si="4">IF(MOD(A132,3)=0,A132/3-1,INT(A132/3))</f>
        <v>43</v>
      </c>
      <c r="C132" s="111">
        <f t="shared" ref="C132:C195" si="5">IF(MOD(A132,3)=0,3,MOD(A132,3))</f>
        <v>1</v>
      </c>
      <c r="D132" s="109" t="str" cm="1">
        <f t="array" ref="D132">INDEX('RelAftFlt-Map2-1'!$I$7:$K$100,1+B132,C132)</f>
        <v/>
      </c>
    </row>
    <row r="133" spans="1:4" x14ac:dyDescent="0.75">
      <c r="A133" s="111">
        <v>131</v>
      </c>
      <c r="B133" s="111">
        <f t="shared" si="4"/>
        <v>43</v>
      </c>
      <c r="C133" s="111">
        <f t="shared" si="5"/>
        <v>2</v>
      </c>
      <c r="D133" s="109" t="str" cm="1">
        <f t="array" ref="D133">INDEX('RelAftFlt-Map2-1'!$I$7:$K$100,1+B133,C133)</f>
        <v/>
      </c>
    </row>
    <row r="134" spans="1:4" x14ac:dyDescent="0.75">
      <c r="A134" s="111">
        <v>132</v>
      </c>
      <c r="B134" s="111">
        <f t="shared" si="4"/>
        <v>43</v>
      </c>
      <c r="C134" s="111">
        <f t="shared" si="5"/>
        <v>3</v>
      </c>
      <c r="D134" s="109" t="str" cm="1">
        <f t="array" ref="D134">INDEX('RelAftFlt-Map2-1'!$I$7:$K$100,1+B134,C134)</f>
        <v/>
      </c>
    </row>
    <row r="135" spans="1:4" x14ac:dyDescent="0.75">
      <c r="A135" s="111">
        <v>133</v>
      </c>
      <c r="B135" s="111">
        <f t="shared" si="4"/>
        <v>44</v>
      </c>
      <c r="C135" s="111">
        <f t="shared" si="5"/>
        <v>1</v>
      </c>
      <c r="D135" s="109" t="str" cm="1">
        <f t="array" ref="D135">INDEX('RelAftFlt-Map2-1'!$I$7:$K$100,1+B135,C135)</f>
        <v/>
      </c>
    </row>
    <row r="136" spans="1:4" x14ac:dyDescent="0.75">
      <c r="A136" s="111">
        <v>134</v>
      </c>
      <c r="B136" s="111">
        <f t="shared" si="4"/>
        <v>44</v>
      </c>
      <c r="C136" s="111">
        <f t="shared" si="5"/>
        <v>2</v>
      </c>
      <c r="D136" s="109" t="str" cm="1">
        <f t="array" ref="D136">INDEX('RelAftFlt-Map2-1'!$I$7:$K$100,1+B136,C136)</f>
        <v/>
      </c>
    </row>
    <row r="137" spans="1:4" x14ac:dyDescent="0.75">
      <c r="A137" s="111">
        <v>135</v>
      </c>
      <c r="B137" s="111">
        <f t="shared" si="4"/>
        <v>44</v>
      </c>
      <c r="C137" s="111">
        <f t="shared" si="5"/>
        <v>3</v>
      </c>
      <c r="D137" s="109" cm="1">
        <f t="array" ref="D137">INDEX('RelAftFlt-Map2-1'!$I$7:$K$100,1+B137,C137)</f>
        <v>0</v>
      </c>
    </row>
    <row r="138" spans="1:4" x14ac:dyDescent="0.75">
      <c r="A138" s="111">
        <v>136</v>
      </c>
      <c r="B138" s="111">
        <f t="shared" si="4"/>
        <v>45</v>
      </c>
      <c r="C138" s="111">
        <f t="shared" si="5"/>
        <v>1</v>
      </c>
      <c r="D138" s="109" t="str" cm="1">
        <f t="array" ref="D138">INDEX('RelAftFlt-Map2-1'!$I$7:$K$100,1+B138,C138)</f>
        <v/>
      </c>
    </row>
    <row r="139" spans="1:4" x14ac:dyDescent="0.75">
      <c r="A139" s="111">
        <v>137</v>
      </c>
      <c r="B139" s="111">
        <f t="shared" si="4"/>
        <v>45</v>
      </c>
      <c r="C139" s="111">
        <f t="shared" si="5"/>
        <v>2</v>
      </c>
      <c r="D139" s="109" t="str" cm="1">
        <f t="array" ref="D139">INDEX('RelAftFlt-Map2-1'!$I$7:$K$100,1+B139,C139)</f>
        <v/>
      </c>
    </row>
    <row r="140" spans="1:4" x14ac:dyDescent="0.75">
      <c r="A140" s="111">
        <v>138</v>
      </c>
      <c r="B140" s="111">
        <f t="shared" si="4"/>
        <v>45</v>
      </c>
      <c r="C140" s="111">
        <f t="shared" si="5"/>
        <v>3</v>
      </c>
      <c r="D140" s="109" cm="1">
        <f t="array" ref="D140">INDEX('RelAftFlt-Map2-1'!$I$7:$K$100,1+B140,C140)</f>
        <v>0</v>
      </c>
    </row>
    <row r="141" spans="1:4" x14ac:dyDescent="0.75">
      <c r="A141" s="111">
        <v>139</v>
      </c>
      <c r="B141" s="111">
        <f t="shared" si="4"/>
        <v>46</v>
      </c>
      <c r="C141" s="111">
        <f t="shared" si="5"/>
        <v>1</v>
      </c>
      <c r="D141" s="109" t="str" cm="1">
        <f t="array" ref="D141">INDEX('RelAftFlt-Map2-1'!$I$7:$K$100,1+B141,C141)</f>
        <v/>
      </c>
    </row>
    <row r="142" spans="1:4" x14ac:dyDescent="0.75">
      <c r="A142" s="111">
        <v>140</v>
      </c>
      <c r="B142" s="111">
        <f t="shared" si="4"/>
        <v>46</v>
      </c>
      <c r="C142" s="111">
        <f t="shared" si="5"/>
        <v>2</v>
      </c>
      <c r="D142" s="109" t="str" cm="1">
        <f t="array" ref="D142">INDEX('RelAftFlt-Map2-1'!$I$7:$K$100,1+B142,C142)</f>
        <v/>
      </c>
    </row>
    <row r="143" spans="1:4" x14ac:dyDescent="0.75">
      <c r="A143" s="111">
        <v>141</v>
      </c>
      <c r="B143" s="111">
        <f t="shared" si="4"/>
        <v>46</v>
      </c>
      <c r="C143" s="111">
        <f t="shared" si="5"/>
        <v>3</v>
      </c>
      <c r="D143" s="109" cm="1">
        <f t="array" ref="D143">INDEX('RelAftFlt-Map2-1'!$I$7:$K$100,1+B143,C143)</f>
        <v>0</v>
      </c>
    </row>
    <row r="144" spans="1:4" x14ac:dyDescent="0.75">
      <c r="A144" s="111">
        <v>142</v>
      </c>
      <c r="B144" s="111">
        <f t="shared" si="4"/>
        <v>47</v>
      </c>
      <c r="C144" s="111">
        <f t="shared" si="5"/>
        <v>1</v>
      </c>
      <c r="D144" s="109" t="str" cm="1">
        <f t="array" ref="D144">INDEX('RelAftFlt-Map2-1'!$I$7:$K$100,1+B144,C144)</f>
        <v/>
      </c>
    </row>
    <row r="145" spans="1:4" x14ac:dyDescent="0.75">
      <c r="A145" s="111">
        <v>143</v>
      </c>
      <c r="B145" s="111">
        <f t="shared" si="4"/>
        <v>47</v>
      </c>
      <c r="C145" s="111">
        <f t="shared" si="5"/>
        <v>2</v>
      </c>
      <c r="D145" s="109" t="str" cm="1">
        <f t="array" ref="D145">INDEX('RelAftFlt-Map2-1'!$I$7:$K$100,1+B145,C145)</f>
        <v/>
      </c>
    </row>
    <row r="146" spans="1:4" x14ac:dyDescent="0.75">
      <c r="A146" s="111">
        <v>144</v>
      </c>
      <c r="B146" s="111">
        <f t="shared" si="4"/>
        <v>47</v>
      </c>
      <c r="C146" s="111">
        <f t="shared" si="5"/>
        <v>3</v>
      </c>
      <c r="D146" s="109" cm="1">
        <f t="array" ref="D146">INDEX('RelAftFlt-Map2-1'!$I$7:$K$100,1+B146,C146)</f>
        <v>0</v>
      </c>
    </row>
    <row r="147" spans="1:4" x14ac:dyDescent="0.75">
      <c r="A147" s="111">
        <v>145</v>
      </c>
      <c r="B147" s="111">
        <f t="shared" si="4"/>
        <v>48</v>
      </c>
      <c r="C147" s="111">
        <f t="shared" si="5"/>
        <v>1</v>
      </c>
      <c r="D147" s="109" t="str" cm="1">
        <f t="array" ref="D147">INDEX('RelAftFlt-Map2-1'!$I$7:$K$100,1+B147,C147)</f>
        <v/>
      </c>
    </row>
    <row r="148" spans="1:4" x14ac:dyDescent="0.75">
      <c r="A148" s="111">
        <v>146</v>
      </c>
      <c r="B148" s="111">
        <f t="shared" si="4"/>
        <v>48</v>
      </c>
      <c r="C148" s="111">
        <f t="shared" si="5"/>
        <v>2</v>
      </c>
      <c r="D148" s="109" t="str" cm="1">
        <f t="array" ref="D148">INDEX('RelAftFlt-Map2-1'!$I$7:$K$100,1+B148,C148)</f>
        <v/>
      </c>
    </row>
    <row r="149" spans="1:4" x14ac:dyDescent="0.75">
      <c r="A149" s="111">
        <v>147</v>
      </c>
      <c r="B149" s="111">
        <f t="shared" si="4"/>
        <v>48</v>
      </c>
      <c r="C149" s="111">
        <f t="shared" si="5"/>
        <v>3</v>
      </c>
      <c r="D149" s="109" cm="1">
        <f t="array" ref="D149">INDEX('RelAftFlt-Map2-1'!$I$7:$K$100,1+B149,C149)</f>
        <v>0</v>
      </c>
    </row>
    <row r="150" spans="1:4" x14ac:dyDescent="0.75">
      <c r="A150" s="111">
        <v>148</v>
      </c>
      <c r="B150" s="111">
        <f t="shared" si="4"/>
        <v>49</v>
      </c>
      <c r="C150" s="111">
        <f t="shared" si="5"/>
        <v>1</v>
      </c>
      <c r="D150" s="109" t="str" cm="1">
        <f t="array" ref="D150">INDEX('RelAftFlt-Map2-1'!$I$7:$K$100,1+B150,C150)</f>
        <v/>
      </c>
    </row>
    <row r="151" spans="1:4" x14ac:dyDescent="0.75">
      <c r="A151" s="111">
        <v>149</v>
      </c>
      <c r="B151" s="111">
        <f t="shared" si="4"/>
        <v>49</v>
      </c>
      <c r="C151" s="111">
        <f t="shared" si="5"/>
        <v>2</v>
      </c>
      <c r="D151" s="109" t="str" cm="1">
        <f t="array" ref="D151">INDEX('RelAftFlt-Map2-1'!$I$7:$K$100,1+B151,C151)</f>
        <v/>
      </c>
    </row>
    <row r="152" spans="1:4" x14ac:dyDescent="0.75">
      <c r="A152" s="111">
        <v>150</v>
      </c>
      <c r="B152" s="111">
        <f t="shared" si="4"/>
        <v>49</v>
      </c>
      <c r="C152" s="111">
        <f t="shared" si="5"/>
        <v>3</v>
      </c>
      <c r="D152" s="109" cm="1">
        <f t="array" ref="D152">INDEX('RelAftFlt-Map2-1'!$I$7:$K$100,1+B152,C152)</f>
        <v>0</v>
      </c>
    </row>
    <row r="153" spans="1:4" x14ac:dyDescent="0.75">
      <c r="A153" s="111">
        <v>151</v>
      </c>
      <c r="B153" s="111">
        <f t="shared" si="4"/>
        <v>50</v>
      </c>
      <c r="C153" s="111">
        <f t="shared" si="5"/>
        <v>1</v>
      </c>
      <c r="D153" s="109" t="str" cm="1">
        <f t="array" ref="D153">INDEX('RelAftFlt-Map2-1'!$I$7:$K$100,1+B153,C153)</f>
        <v/>
      </c>
    </row>
    <row r="154" spans="1:4" x14ac:dyDescent="0.75">
      <c r="A154" s="111">
        <v>152</v>
      </c>
      <c r="B154" s="111">
        <f t="shared" si="4"/>
        <v>50</v>
      </c>
      <c r="C154" s="111">
        <f t="shared" si="5"/>
        <v>2</v>
      </c>
      <c r="D154" s="109" t="str" cm="1">
        <f t="array" ref="D154">INDEX('RelAftFlt-Map2-1'!$I$7:$K$100,1+B154,C154)</f>
        <v/>
      </c>
    </row>
    <row r="155" spans="1:4" x14ac:dyDescent="0.75">
      <c r="A155" s="111">
        <v>153</v>
      </c>
      <c r="B155" s="111">
        <f t="shared" si="4"/>
        <v>50</v>
      </c>
      <c r="C155" s="111">
        <f t="shared" si="5"/>
        <v>3</v>
      </c>
      <c r="D155" s="109" cm="1">
        <f t="array" ref="D155">INDEX('RelAftFlt-Map2-1'!$I$7:$K$100,1+B155,C155)</f>
        <v>0</v>
      </c>
    </row>
    <row r="156" spans="1:4" x14ac:dyDescent="0.75">
      <c r="A156" s="111">
        <v>154</v>
      </c>
      <c r="B156" s="111">
        <f t="shared" si="4"/>
        <v>51</v>
      </c>
      <c r="C156" s="111">
        <f t="shared" si="5"/>
        <v>1</v>
      </c>
      <c r="D156" s="109" t="str" cm="1">
        <f t="array" ref="D156">INDEX('RelAftFlt-Map2-1'!$I$7:$K$100,1+B156,C156)</f>
        <v/>
      </c>
    </row>
    <row r="157" spans="1:4" x14ac:dyDescent="0.75">
      <c r="A157" s="111">
        <v>155</v>
      </c>
      <c r="B157" s="111">
        <f t="shared" si="4"/>
        <v>51</v>
      </c>
      <c r="C157" s="111">
        <f t="shared" si="5"/>
        <v>2</v>
      </c>
      <c r="D157" s="109" t="str" cm="1">
        <f t="array" ref="D157">INDEX('RelAftFlt-Map2-1'!$I$7:$K$100,1+B157,C157)</f>
        <v/>
      </c>
    </row>
    <row r="158" spans="1:4" x14ac:dyDescent="0.75">
      <c r="A158" s="111">
        <v>156</v>
      </c>
      <c r="B158" s="111">
        <f t="shared" si="4"/>
        <v>51</v>
      </c>
      <c r="C158" s="111">
        <f t="shared" si="5"/>
        <v>3</v>
      </c>
      <c r="D158" s="109" cm="1">
        <f t="array" ref="D158">INDEX('RelAftFlt-Map2-1'!$I$7:$K$100,1+B158,C158)</f>
        <v>0</v>
      </c>
    </row>
    <row r="159" spans="1:4" x14ac:dyDescent="0.75">
      <c r="A159" s="111">
        <v>157</v>
      </c>
      <c r="B159" s="111">
        <f t="shared" si="4"/>
        <v>52</v>
      </c>
      <c r="C159" s="111">
        <f t="shared" si="5"/>
        <v>1</v>
      </c>
      <c r="D159" s="109" t="str" cm="1">
        <f t="array" ref="D159">INDEX('RelAftFlt-Map2-1'!$I$7:$K$100,1+B159,C159)</f>
        <v/>
      </c>
    </row>
    <row r="160" spans="1:4" x14ac:dyDescent="0.75">
      <c r="A160" s="111">
        <v>158</v>
      </c>
      <c r="B160" s="111">
        <f t="shared" si="4"/>
        <v>52</v>
      </c>
      <c r="C160" s="111">
        <f t="shared" si="5"/>
        <v>2</v>
      </c>
      <c r="D160" s="109" t="str" cm="1">
        <f t="array" ref="D160">INDEX('RelAftFlt-Map2-1'!$I$7:$K$100,1+B160,C160)</f>
        <v/>
      </c>
    </row>
    <row r="161" spans="1:4" x14ac:dyDescent="0.75">
      <c r="A161" s="111">
        <v>159</v>
      </c>
      <c r="B161" s="111">
        <f t="shared" si="4"/>
        <v>52</v>
      </c>
      <c r="C161" s="111">
        <f t="shared" si="5"/>
        <v>3</v>
      </c>
      <c r="D161" s="109" cm="1">
        <f t="array" ref="D161">INDEX('RelAftFlt-Map2-1'!$I$7:$K$100,1+B161,C161)</f>
        <v>0</v>
      </c>
    </row>
    <row r="162" spans="1:4" x14ac:dyDescent="0.75">
      <c r="A162" s="111">
        <v>160</v>
      </c>
      <c r="B162" s="111">
        <f t="shared" si="4"/>
        <v>53</v>
      </c>
      <c r="C162" s="111">
        <f t="shared" si="5"/>
        <v>1</v>
      </c>
      <c r="D162" s="109" t="str" cm="1">
        <f t="array" ref="D162">INDEX('RelAftFlt-Map2-1'!$I$7:$K$100,1+B162,C162)</f>
        <v/>
      </c>
    </row>
    <row r="163" spans="1:4" x14ac:dyDescent="0.75">
      <c r="A163" s="111">
        <v>161</v>
      </c>
      <c r="B163" s="111">
        <f t="shared" si="4"/>
        <v>53</v>
      </c>
      <c r="C163" s="111">
        <f t="shared" si="5"/>
        <v>2</v>
      </c>
      <c r="D163" s="109" t="str" cm="1">
        <f t="array" ref="D163">INDEX('RelAftFlt-Map2-1'!$I$7:$K$100,1+B163,C163)</f>
        <v/>
      </c>
    </row>
    <row r="164" spans="1:4" x14ac:dyDescent="0.75">
      <c r="A164" s="111">
        <v>162</v>
      </c>
      <c r="B164" s="111">
        <f t="shared" si="4"/>
        <v>53</v>
      </c>
      <c r="C164" s="111">
        <f t="shared" si="5"/>
        <v>3</v>
      </c>
      <c r="D164" s="109" cm="1">
        <f t="array" ref="D164">INDEX('RelAftFlt-Map2-1'!$I$7:$K$100,1+B164,C164)</f>
        <v>0</v>
      </c>
    </row>
    <row r="165" spans="1:4" x14ac:dyDescent="0.75">
      <c r="A165" s="111">
        <v>163</v>
      </c>
      <c r="B165" s="111">
        <f t="shared" si="4"/>
        <v>54</v>
      </c>
      <c r="C165" s="111">
        <f t="shared" si="5"/>
        <v>1</v>
      </c>
      <c r="D165" s="109" t="str" cm="1">
        <f t="array" ref="D165">INDEX('RelAftFlt-Map2-1'!$I$7:$K$100,1+B165,C165)</f>
        <v/>
      </c>
    </row>
    <row r="166" spans="1:4" x14ac:dyDescent="0.75">
      <c r="A166" s="111">
        <v>164</v>
      </c>
      <c r="B166" s="111">
        <f t="shared" si="4"/>
        <v>54</v>
      </c>
      <c r="C166" s="111">
        <f t="shared" si="5"/>
        <v>2</v>
      </c>
      <c r="D166" s="109" t="str" cm="1">
        <f t="array" ref="D166">INDEX('RelAftFlt-Map2-1'!$I$7:$K$100,1+B166,C166)</f>
        <v/>
      </c>
    </row>
    <row r="167" spans="1:4" x14ac:dyDescent="0.75">
      <c r="A167" s="111">
        <v>165</v>
      </c>
      <c r="B167" s="111">
        <f t="shared" si="4"/>
        <v>54</v>
      </c>
      <c r="C167" s="111">
        <f t="shared" si="5"/>
        <v>3</v>
      </c>
      <c r="D167" s="109" cm="1">
        <f t="array" ref="D167">INDEX('RelAftFlt-Map2-1'!$I$7:$K$100,1+B167,C167)</f>
        <v>0</v>
      </c>
    </row>
    <row r="168" spans="1:4" x14ac:dyDescent="0.75">
      <c r="A168" s="111">
        <v>166</v>
      </c>
      <c r="B168" s="111">
        <f t="shared" si="4"/>
        <v>55</v>
      </c>
      <c r="C168" s="111">
        <f t="shared" si="5"/>
        <v>1</v>
      </c>
      <c r="D168" s="109" t="str" cm="1">
        <f t="array" ref="D168">INDEX('RelAftFlt-Map2-1'!$I$7:$K$100,1+B168,C168)</f>
        <v/>
      </c>
    </row>
    <row r="169" spans="1:4" x14ac:dyDescent="0.75">
      <c r="A169" s="111">
        <v>167</v>
      </c>
      <c r="B169" s="111">
        <f t="shared" si="4"/>
        <v>55</v>
      </c>
      <c r="C169" s="111">
        <f t="shared" si="5"/>
        <v>2</v>
      </c>
      <c r="D169" s="109" t="str" cm="1">
        <f t="array" ref="D169">INDEX('RelAftFlt-Map2-1'!$I$7:$K$100,1+B169,C169)</f>
        <v/>
      </c>
    </row>
    <row r="170" spans="1:4" x14ac:dyDescent="0.75">
      <c r="A170" s="111">
        <v>168</v>
      </c>
      <c r="B170" s="111">
        <f t="shared" si="4"/>
        <v>55</v>
      </c>
      <c r="C170" s="111">
        <f t="shared" si="5"/>
        <v>3</v>
      </c>
      <c r="D170" s="109" cm="1">
        <f t="array" ref="D170">INDEX('RelAftFlt-Map2-1'!$I$7:$K$100,1+B170,C170)</f>
        <v>0</v>
      </c>
    </row>
    <row r="171" spans="1:4" x14ac:dyDescent="0.75">
      <c r="A171" s="111">
        <v>169</v>
      </c>
      <c r="B171" s="111">
        <f t="shared" si="4"/>
        <v>56</v>
      </c>
      <c r="C171" s="111">
        <f t="shared" si="5"/>
        <v>1</v>
      </c>
      <c r="D171" s="109" t="str" cm="1">
        <f t="array" ref="D171">INDEX('RelAftFlt-Map2-1'!$I$7:$K$100,1+B171,C171)</f>
        <v/>
      </c>
    </row>
    <row r="172" spans="1:4" x14ac:dyDescent="0.75">
      <c r="A172" s="111">
        <v>170</v>
      </c>
      <c r="B172" s="111">
        <f t="shared" si="4"/>
        <v>56</v>
      </c>
      <c r="C172" s="111">
        <f t="shared" si="5"/>
        <v>2</v>
      </c>
      <c r="D172" s="109" t="str" cm="1">
        <f t="array" ref="D172">INDEX('RelAftFlt-Map2-1'!$I$7:$K$100,1+B172,C172)</f>
        <v/>
      </c>
    </row>
    <row r="173" spans="1:4" x14ac:dyDescent="0.75">
      <c r="A173" s="111">
        <v>171</v>
      </c>
      <c r="B173" s="111">
        <f t="shared" si="4"/>
        <v>56</v>
      </c>
      <c r="C173" s="111">
        <f t="shared" si="5"/>
        <v>3</v>
      </c>
      <c r="D173" s="109" cm="1">
        <f t="array" ref="D173">INDEX('RelAftFlt-Map2-1'!$I$7:$K$100,1+B173,C173)</f>
        <v>0</v>
      </c>
    </row>
    <row r="174" spans="1:4" x14ac:dyDescent="0.75">
      <c r="A174" s="111">
        <v>172</v>
      </c>
      <c r="B174" s="111">
        <f t="shared" si="4"/>
        <v>57</v>
      </c>
      <c r="C174" s="111">
        <f t="shared" si="5"/>
        <v>1</v>
      </c>
      <c r="D174" s="109" t="str" cm="1">
        <f t="array" ref="D174">INDEX('RelAftFlt-Map2-1'!$I$7:$K$100,1+B174,C174)</f>
        <v/>
      </c>
    </row>
    <row r="175" spans="1:4" x14ac:dyDescent="0.75">
      <c r="A175" s="111">
        <v>173</v>
      </c>
      <c r="B175" s="111">
        <f t="shared" si="4"/>
        <v>57</v>
      </c>
      <c r="C175" s="111">
        <f t="shared" si="5"/>
        <v>2</v>
      </c>
      <c r="D175" s="109" t="str" cm="1">
        <f t="array" ref="D175">INDEX('RelAftFlt-Map2-1'!$I$7:$K$100,1+B175,C175)</f>
        <v/>
      </c>
    </row>
    <row r="176" spans="1:4" x14ac:dyDescent="0.75">
      <c r="A176" s="111">
        <v>174</v>
      </c>
      <c r="B176" s="111">
        <f t="shared" si="4"/>
        <v>57</v>
      </c>
      <c r="C176" s="111">
        <f t="shared" si="5"/>
        <v>3</v>
      </c>
      <c r="D176" s="109" cm="1">
        <f t="array" ref="D176">INDEX('RelAftFlt-Map2-1'!$I$7:$K$100,1+B176,C176)</f>
        <v>0</v>
      </c>
    </row>
    <row r="177" spans="1:4" x14ac:dyDescent="0.75">
      <c r="A177" s="111">
        <v>175</v>
      </c>
      <c r="B177" s="111">
        <f t="shared" si="4"/>
        <v>58</v>
      </c>
      <c r="C177" s="111">
        <f t="shared" si="5"/>
        <v>1</v>
      </c>
      <c r="D177" s="109" t="str" cm="1">
        <f t="array" ref="D177">INDEX('RelAftFlt-Map2-1'!$I$7:$K$100,1+B177,C177)</f>
        <v/>
      </c>
    </row>
    <row r="178" spans="1:4" x14ac:dyDescent="0.75">
      <c r="A178" s="111">
        <v>176</v>
      </c>
      <c r="B178" s="111">
        <f t="shared" si="4"/>
        <v>58</v>
      </c>
      <c r="C178" s="111">
        <f t="shared" si="5"/>
        <v>2</v>
      </c>
      <c r="D178" s="109" t="str" cm="1">
        <f t="array" ref="D178">INDEX('RelAftFlt-Map2-1'!$I$7:$K$100,1+B178,C178)</f>
        <v/>
      </c>
    </row>
    <row r="179" spans="1:4" x14ac:dyDescent="0.75">
      <c r="A179" s="111">
        <v>177</v>
      </c>
      <c r="B179" s="111">
        <f t="shared" si="4"/>
        <v>58</v>
      </c>
      <c r="C179" s="111">
        <f t="shared" si="5"/>
        <v>3</v>
      </c>
      <c r="D179" s="109" cm="1">
        <f t="array" ref="D179">INDEX('RelAftFlt-Map2-1'!$I$7:$K$100,1+B179,C179)</f>
        <v>0</v>
      </c>
    </row>
    <row r="180" spans="1:4" x14ac:dyDescent="0.75">
      <c r="A180" s="111">
        <v>178</v>
      </c>
      <c r="B180" s="111">
        <f t="shared" si="4"/>
        <v>59</v>
      </c>
      <c r="C180" s="111">
        <f t="shared" si="5"/>
        <v>1</v>
      </c>
      <c r="D180" s="109" t="str" cm="1">
        <f t="array" ref="D180">INDEX('RelAftFlt-Map2-1'!$I$7:$K$100,1+B180,C180)</f>
        <v/>
      </c>
    </row>
    <row r="181" spans="1:4" x14ac:dyDescent="0.75">
      <c r="A181" s="111">
        <v>179</v>
      </c>
      <c r="B181" s="111">
        <f t="shared" si="4"/>
        <v>59</v>
      </c>
      <c r="C181" s="111">
        <f t="shared" si="5"/>
        <v>2</v>
      </c>
      <c r="D181" s="109" t="str" cm="1">
        <f t="array" ref="D181">INDEX('RelAftFlt-Map2-1'!$I$7:$K$100,1+B181,C181)</f>
        <v/>
      </c>
    </row>
    <row r="182" spans="1:4" x14ac:dyDescent="0.75">
      <c r="A182" s="111">
        <v>180</v>
      </c>
      <c r="B182" s="111">
        <f t="shared" si="4"/>
        <v>59</v>
      </c>
      <c r="C182" s="111">
        <f t="shared" si="5"/>
        <v>3</v>
      </c>
      <c r="D182" s="109" cm="1">
        <f t="array" ref="D182">INDEX('RelAftFlt-Map2-1'!$I$7:$K$100,1+B182,C182)</f>
        <v>0</v>
      </c>
    </row>
    <row r="183" spans="1:4" x14ac:dyDescent="0.75">
      <c r="A183" s="111">
        <v>181</v>
      </c>
      <c r="B183" s="111">
        <f t="shared" si="4"/>
        <v>60</v>
      </c>
      <c r="C183" s="111">
        <f t="shared" si="5"/>
        <v>1</v>
      </c>
      <c r="D183" s="109" t="str" cm="1">
        <f t="array" ref="D183">INDEX('RelAftFlt-Map2-1'!$I$7:$K$100,1+B183,C183)</f>
        <v/>
      </c>
    </row>
    <row r="184" spans="1:4" x14ac:dyDescent="0.75">
      <c r="A184" s="111">
        <v>182</v>
      </c>
      <c r="B184" s="111">
        <f t="shared" si="4"/>
        <v>60</v>
      </c>
      <c r="C184" s="111">
        <f t="shared" si="5"/>
        <v>2</v>
      </c>
      <c r="D184" s="109" t="str" cm="1">
        <f t="array" ref="D184">INDEX('RelAftFlt-Map2-1'!$I$7:$K$100,1+B184,C184)</f>
        <v/>
      </c>
    </row>
    <row r="185" spans="1:4" x14ac:dyDescent="0.75">
      <c r="A185" s="111">
        <v>183</v>
      </c>
      <c r="B185" s="111">
        <f t="shared" si="4"/>
        <v>60</v>
      </c>
      <c r="C185" s="111">
        <f t="shared" si="5"/>
        <v>3</v>
      </c>
      <c r="D185" s="109" cm="1">
        <f t="array" ref="D185">INDEX('RelAftFlt-Map2-1'!$I$7:$K$100,1+B185,C185)</f>
        <v>0</v>
      </c>
    </row>
    <row r="186" spans="1:4" x14ac:dyDescent="0.75">
      <c r="A186" s="111">
        <v>184</v>
      </c>
      <c r="B186" s="111">
        <f t="shared" si="4"/>
        <v>61</v>
      </c>
      <c r="C186" s="111">
        <f t="shared" si="5"/>
        <v>1</v>
      </c>
      <c r="D186" s="109" t="str" cm="1">
        <f t="array" ref="D186">INDEX('RelAftFlt-Map2-1'!$I$7:$K$100,1+B186,C186)</f>
        <v/>
      </c>
    </row>
    <row r="187" spans="1:4" x14ac:dyDescent="0.75">
      <c r="A187" s="111">
        <v>185</v>
      </c>
      <c r="B187" s="111">
        <f t="shared" si="4"/>
        <v>61</v>
      </c>
      <c r="C187" s="111">
        <f t="shared" si="5"/>
        <v>2</v>
      </c>
      <c r="D187" s="109" t="str" cm="1">
        <f t="array" ref="D187">INDEX('RelAftFlt-Map2-1'!$I$7:$K$100,1+B187,C187)</f>
        <v/>
      </c>
    </row>
    <row r="188" spans="1:4" x14ac:dyDescent="0.75">
      <c r="A188" s="111">
        <v>186</v>
      </c>
      <c r="B188" s="111">
        <f t="shared" si="4"/>
        <v>61</v>
      </c>
      <c r="C188" s="111">
        <f t="shared" si="5"/>
        <v>3</v>
      </c>
      <c r="D188" s="109" cm="1">
        <f t="array" ref="D188">INDEX('RelAftFlt-Map2-1'!$I$7:$K$100,1+B188,C188)</f>
        <v>0</v>
      </c>
    </row>
    <row r="189" spans="1:4" x14ac:dyDescent="0.75">
      <c r="A189" s="111">
        <v>187</v>
      </c>
      <c r="B189" s="111">
        <f t="shared" si="4"/>
        <v>62</v>
      </c>
      <c r="C189" s="111">
        <f t="shared" si="5"/>
        <v>1</v>
      </c>
      <c r="D189" s="109" t="str" cm="1">
        <f t="array" ref="D189">INDEX('RelAftFlt-Map2-1'!$I$7:$K$100,1+B189,C189)</f>
        <v/>
      </c>
    </row>
    <row r="190" spans="1:4" x14ac:dyDescent="0.75">
      <c r="A190" s="111">
        <v>188</v>
      </c>
      <c r="B190" s="111">
        <f t="shared" si="4"/>
        <v>62</v>
      </c>
      <c r="C190" s="111">
        <f t="shared" si="5"/>
        <v>2</v>
      </c>
      <c r="D190" s="109" t="str" cm="1">
        <f t="array" ref="D190">INDEX('RelAftFlt-Map2-1'!$I$7:$K$100,1+B190,C190)</f>
        <v/>
      </c>
    </row>
    <row r="191" spans="1:4" x14ac:dyDescent="0.75">
      <c r="A191" s="111">
        <v>189</v>
      </c>
      <c r="B191" s="111">
        <f t="shared" si="4"/>
        <v>62</v>
      </c>
      <c r="C191" s="111">
        <f t="shared" si="5"/>
        <v>3</v>
      </c>
      <c r="D191" s="109" cm="1">
        <f t="array" ref="D191">INDEX('RelAftFlt-Map2-1'!$I$7:$K$100,1+B191,C191)</f>
        <v>0</v>
      </c>
    </row>
    <row r="192" spans="1:4" x14ac:dyDescent="0.75">
      <c r="A192" s="111">
        <v>190</v>
      </c>
      <c r="B192" s="111">
        <f t="shared" si="4"/>
        <v>63</v>
      </c>
      <c r="C192" s="111">
        <f t="shared" si="5"/>
        <v>1</v>
      </c>
      <c r="D192" s="109" t="str" cm="1">
        <f t="array" ref="D192">INDEX('RelAftFlt-Map2-1'!$I$7:$K$100,1+B192,C192)</f>
        <v/>
      </c>
    </row>
    <row r="193" spans="1:4" x14ac:dyDescent="0.75">
      <c r="A193" s="111">
        <v>191</v>
      </c>
      <c r="B193" s="111">
        <f t="shared" si="4"/>
        <v>63</v>
      </c>
      <c r="C193" s="111">
        <f t="shared" si="5"/>
        <v>2</v>
      </c>
      <c r="D193" s="109" t="str" cm="1">
        <f t="array" ref="D193">INDEX('RelAftFlt-Map2-1'!$I$7:$K$100,1+B193,C193)</f>
        <v/>
      </c>
    </row>
    <row r="194" spans="1:4" x14ac:dyDescent="0.75">
      <c r="A194" s="111">
        <v>192</v>
      </c>
      <c r="B194" s="111">
        <f t="shared" si="4"/>
        <v>63</v>
      </c>
      <c r="C194" s="111">
        <f t="shared" si="5"/>
        <v>3</v>
      </c>
      <c r="D194" s="109" cm="1">
        <f t="array" ref="D194">INDEX('RelAftFlt-Map2-1'!$I$7:$K$100,1+B194,C194)</f>
        <v>0</v>
      </c>
    </row>
    <row r="195" spans="1:4" x14ac:dyDescent="0.75">
      <c r="A195" s="111">
        <v>193</v>
      </c>
      <c r="B195" s="111">
        <f t="shared" si="4"/>
        <v>64</v>
      </c>
      <c r="C195" s="111">
        <f t="shared" si="5"/>
        <v>1</v>
      </c>
      <c r="D195" s="109" t="str" cm="1">
        <f t="array" ref="D195">INDEX('RelAftFlt-Map2-1'!$I$7:$K$100,1+B195,C195)</f>
        <v/>
      </c>
    </row>
    <row r="196" spans="1:4" x14ac:dyDescent="0.75">
      <c r="A196" s="111">
        <v>194</v>
      </c>
      <c r="B196" s="111">
        <f t="shared" ref="B196:B206" si="6">IF(MOD(A196,3)=0,A196/3-1,INT(A196/3))</f>
        <v>64</v>
      </c>
      <c r="C196" s="111">
        <f t="shared" ref="C196:C206" si="7">IF(MOD(A196,3)=0,3,MOD(A196,3))</f>
        <v>2</v>
      </c>
      <c r="D196" s="109" t="str" cm="1">
        <f t="array" ref="D196">INDEX('RelAftFlt-Map2-1'!$I$7:$K$100,1+B196,C196)</f>
        <v/>
      </c>
    </row>
    <row r="197" spans="1:4" x14ac:dyDescent="0.75">
      <c r="A197" s="111">
        <v>195</v>
      </c>
      <c r="B197" s="111">
        <f t="shared" si="6"/>
        <v>64</v>
      </c>
      <c r="C197" s="111">
        <f t="shared" si="7"/>
        <v>3</v>
      </c>
      <c r="D197" s="109" cm="1">
        <f t="array" ref="D197">INDEX('RelAftFlt-Map2-1'!$I$7:$K$100,1+B197,C197)</f>
        <v>0</v>
      </c>
    </row>
    <row r="198" spans="1:4" x14ac:dyDescent="0.75">
      <c r="A198" s="111">
        <v>196</v>
      </c>
      <c r="B198" s="111">
        <f t="shared" si="6"/>
        <v>65</v>
      </c>
      <c r="C198" s="111">
        <f t="shared" si="7"/>
        <v>1</v>
      </c>
      <c r="D198" s="109" t="str" cm="1">
        <f t="array" ref="D198">INDEX('RelAftFlt-Map2-1'!$I$7:$K$100,1+B198,C198)</f>
        <v/>
      </c>
    </row>
    <row r="199" spans="1:4" x14ac:dyDescent="0.75">
      <c r="A199" s="111">
        <v>197</v>
      </c>
      <c r="B199" s="111">
        <f t="shared" si="6"/>
        <v>65</v>
      </c>
      <c r="C199" s="111">
        <f t="shared" si="7"/>
        <v>2</v>
      </c>
      <c r="D199" s="109" t="str" cm="1">
        <f t="array" ref="D199">INDEX('RelAftFlt-Map2-1'!$I$7:$K$100,1+B199,C199)</f>
        <v/>
      </c>
    </row>
    <row r="200" spans="1:4" x14ac:dyDescent="0.75">
      <c r="A200" s="111">
        <v>198</v>
      </c>
      <c r="B200" s="111">
        <f t="shared" si="6"/>
        <v>65</v>
      </c>
      <c r="C200" s="111">
        <f t="shared" si="7"/>
        <v>3</v>
      </c>
      <c r="D200" s="109" cm="1">
        <f t="array" ref="D200">INDEX('RelAftFlt-Map2-1'!$I$7:$K$100,1+B200,C200)</f>
        <v>0</v>
      </c>
    </row>
    <row r="201" spans="1:4" x14ac:dyDescent="0.75">
      <c r="A201" s="111">
        <v>199</v>
      </c>
      <c r="B201" s="111">
        <f t="shared" si="6"/>
        <v>66</v>
      </c>
      <c r="C201" s="111">
        <f t="shared" si="7"/>
        <v>1</v>
      </c>
      <c r="D201" s="109" t="str" cm="1">
        <f t="array" ref="D201">INDEX('RelAftFlt-Map2-1'!$I$7:$K$100,1+B201,C201)</f>
        <v/>
      </c>
    </row>
    <row r="202" spans="1:4" x14ac:dyDescent="0.75">
      <c r="A202" s="111">
        <v>200</v>
      </c>
      <c r="B202" s="111">
        <f t="shared" si="6"/>
        <v>66</v>
      </c>
      <c r="C202" s="111">
        <f t="shared" si="7"/>
        <v>2</v>
      </c>
      <c r="D202" s="109" t="str" cm="1">
        <f t="array" ref="D202">INDEX('RelAftFlt-Map2-1'!$I$7:$K$100,1+B202,C202)</f>
        <v/>
      </c>
    </row>
    <row r="203" spans="1:4" x14ac:dyDescent="0.75">
      <c r="A203" s="111">
        <v>201</v>
      </c>
      <c r="B203" s="111">
        <f t="shared" si="6"/>
        <v>66</v>
      </c>
      <c r="C203" s="111">
        <f t="shared" si="7"/>
        <v>3</v>
      </c>
      <c r="D203" s="109" cm="1">
        <f t="array" ref="D203">INDEX('RelAftFlt-Map2-1'!$I$7:$K$100,1+B203,C203)</f>
        <v>0</v>
      </c>
    </row>
    <row r="204" spans="1:4" x14ac:dyDescent="0.75">
      <c r="A204" s="111">
        <v>202</v>
      </c>
      <c r="B204" s="111">
        <f t="shared" si="6"/>
        <v>67</v>
      </c>
      <c r="C204" s="111">
        <f t="shared" si="7"/>
        <v>1</v>
      </c>
      <c r="D204" s="109" t="str" cm="1">
        <f t="array" ref="D204">INDEX('RelAftFlt-Map2-1'!$I$7:$K$100,1+B204,C204)</f>
        <v/>
      </c>
    </row>
    <row r="205" spans="1:4" x14ac:dyDescent="0.75">
      <c r="A205" s="111">
        <v>203</v>
      </c>
      <c r="B205" s="111">
        <f t="shared" si="6"/>
        <v>67</v>
      </c>
      <c r="C205" s="111">
        <f t="shared" si="7"/>
        <v>2</v>
      </c>
      <c r="D205" s="109" t="str" cm="1">
        <f t="array" ref="D205">INDEX('RelAftFlt-Map2-1'!$I$7:$K$100,1+B205,C205)</f>
        <v/>
      </c>
    </row>
    <row r="206" spans="1:4" x14ac:dyDescent="0.75">
      <c r="A206" s="111">
        <v>204</v>
      </c>
      <c r="B206" s="111">
        <f t="shared" si="6"/>
        <v>67</v>
      </c>
      <c r="C206" s="111">
        <f t="shared" si="7"/>
        <v>3</v>
      </c>
      <c r="D206" s="109" cm="1">
        <f t="array" ref="D206">INDEX('RelAftFlt-Map2-1'!$I$7:$K$100,1+B206,C206)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3:D206"/>
  <sheetViews>
    <sheetView workbookViewId="0">
      <selection activeCell="G35" sqref="G35"/>
    </sheetView>
  </sheetViews>
  <sheetFormatPr defaultRowHeight="14.75" x14ac:dyDescent="0.75"/>
  <cols>
    <col min="1" max="3" width="8.7265625" style="109"/>
    <col min="4" max="4" width="108.2265625" style="111" customWidth="1"/>
    <col min="5" max="16384" width="8.7265625" style="109"/>
  </cols>
  <sheetData>
    <row r="3" spans="4:4" x14ac:dyDescent="0.75">
      <c r="D3" s="111" t="str">
        <f>'RelAftFlt-Map-2'!D3</f>
        <v>* differential.element[0].mapping[0].identity = "fhir"</v>
      </c>
    </row>
    <row r="4" spans="4:4" x14ac:dyDescent="0.75">
      <c r="D4" s="111" t="str">
        <f>'RelAftFlt-Map-2'!D4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4:4" x14ac:dyDescent="0.75">
      <c r="D5" s="111" t="str">
        <f>'RelAftFlt-Map-2'!D5</f>
        <v/>
      </c>
    </row>
    <row r="6" spans="4:4" x14ac:dyDescent="0.75">
      <c r="D6" s="111" t="str">
        <f>'RelAftFlt-Map-2'!D6</f>
        <v>* differential.element[1].mapping[0].identity = "fhir"</v>
      </c>
    </row>
    <row r="7" spans="4:4" x14ac:dyDescent="0.75">
      <c r="D7" s="111" t="str">
        <f>'RelAftFlt-Map-2'!D7</f>
        <v>* differential.element[1].mapping[0].map = ".identifier"</v>
      </c>
    </row>
    <row r="8" spans="4:4" x14ac:dyDescent="0.75">
      <c r="D8" s="111" t="str">
        <f>'RelAftFlt-Map-2'!D8</f>
        <v/>
      </c>
    </row>
    <row r="9" spans="4:4" x14ac:dyDescent="0.75">
      <c r="D9" s="111" t="str">
        <f>'RelAftFlt-Map-2'!D9</f>
        <v>* differential.element[2].mapping[0].identity = "fhir"</v>
      </c>
    </row>
    <row r="10" spans="4:4" x14ac:dyDescent="0.75">
      <c r="D10" s="111" t="str">
        <f>'RelAftFlt-Map-2'!D10</f>
        <v>* differential.element[2].mapping[0].map = ".extension('http://hl7.org/fhir/StructureDefinition/condition-occurredFollowing')"</v>
      </c>
    </row>
    <row r="11" spans="4:4" x14ac:dyDescent="0.75">
      <c r="D11" s="111" t="str">
        <f>'RelAftFlt-Map-2'!D11</f>
        <v/>
      </c>
    </row>
    <row r="12" spans="4:4" x14ac:dyDescent="0.75">
      <c r="D12" s="111" t="str">
        <f>'RelAftFlt-Map-2'!D12</f>
        <v>* differential.element[3].mapping[0].identity = "fhir"</v>
      </c>
    </row>
    <row r="13" spans="4:4" x14ac:dyDescent="0.75">
      <c r="D13" s="111" t="str">
        <f>'RelAftFlt-Map-2'!D13</f>
        <v>* differential.element[3].mapping[0].map = ".extension('http://hl7.org/fhir/StructureDefinition/condition-assertedDate')"</v>
      </c>
    </row>
    <row r="14" spans="4:4" x14ac:dyDescent="0.75">
      <c r="D14" s="111" t="str">
        <f>'RelAftFlt-Map-2'!D14</f>
        <v/>
      </c>
    </row>
    <row r="15" spans="4:4" x14ac:dyDescent="0.75">
      <c r="D15" s="111" t="str">
        <f>'RelAftFlt-Map-2'!D15</f>
        <v>* differential.element[4].mapping[0].identity = "fhir"</v>
      </c>
    </row>
    <row r="16" spans="4:4" x14ac:dyDescent="0.75">
      <c r="D16" s="111" t="str">
        <f>'RelAftFlt-Map-2'!D16</f>
        <v>* differential.element[4].mapping[0].map = ".extension('http://hl7.eu/fhir/ig/pcsp/StructureDefinition/condition-previousStatus').valueCodeableConcept OR Condition.where( clinicalStatus = #relapse or clinicalStatus = #recurrence).clinicalStatus"</v>
      </c>
    </row>
    <row r="17" spans="4:4" x14ac:dyDescent="0.75">
      <c r="D17" s="111" t="str">
        <f>'RelAftFlt-Map-2'!D17</f>
        <v/>
      </c>
    </row>
    <row r="18" spans="4:4" x14ac:dyDescent="0.75">
      <c r="D18" s="111" t="str">
        <f>'RelAftFlt-Map-2'!D18</f>
        <v>* differential.element[5].mapping[0].identity = "fhir"</v>
      </c>
    </row>
    <row r="19" spans="4:4" x14ac:dyDescent="0.75">
      <c r="D19" s="111" t="str">
        <f>'RelAftFlt-Map-2'!D19</f>
        <v>* differential.element[5].mapping[0].map = ".bodySite..extension('http://hl7.eu/fhir/ig/pcsp/StructureDefinition/mcode-body-location-qualifier').valueCodeableConcept"</v>
      </c>
    </row>
    <row r="20" spans="4:4" x14ac:dyDescent="0.75">
      <c r="D20" s="111" t="str">
        <f>'RelAftFlt-Map-2'!D20</f>
        <v/>
      </c>
    </row>
    <row r="21" spans="4:4" x14ac:dyDescent="0.75">
      <c r="D21" s="111" t="str">
        <f>'RelAftFlt-Map-2'!D21</f>
        <v>* differential.element[6].mapping[0].identity = "fhir"</v>
      </c>
    </row>
    <row r="22" spans="4:4" x14ac:dyDescent="0.75">
      <c r="D22" s="111" t="str">
        <f>'RelAftFlt-Map-2'!D22</f>
        <v>* differential.element[6].mapping[0].map = ".notes"</v>
      </c>
    </row>
    <row r="23" spans="4:4" x14ac:dyDescent="0.75">
      <c r="D23" s="111" t="str">
        <f>'RelAftFlt-Map-2'!D23</f>
        <v/>
      </c>
    </row>
    <row r="24" spans="4:4" x14ac:dyDescent="0.75">
      <c r="D24" s="111" t="str">
        <f>'RelAftFlt-Map-2'!D24</f>
        <v>* differential.element[6].mapping[1].identity = "fhir"</v>
      </c>
    </row>
    <row r="25" spans="4:4" x14ac:dyDescent="0.75">
      <c r="D25" s="111" t="str">
        <f>'RelAftFlt-Map-2'!D25</f>
        <v>* differential.element[6].mapping[1].map = "Condition.conformsTo('http://hl7.eu/fhir/ig/pcsp/StructureDefinition/Condition-secondaryCancer-eu-pcsp').bodySite"</v>
      </c>
    </row>
    <row r="26" spans="4:4" x14ac:dyDescent="0.75">
      <c r="D26" s="111" t="str">
        <f>'RelAftFlt-Map-2'!D26</f>
        <v/>
      </c>
    </row>
    <row r="27" spans="4:4" x14ac:dyDescent="0.75">
      <c r="D27" s="111" t="str">
        <f>'RelAftFlt-Map-2'!D27</f>
        <v/>
      </c>
    </row>
    <row r="28" spans="4:4" x14ac:dyDescent="0.75">
      <c r="D28" s="111" t="str">
        <f>'RelAftFlt-Map-2'!D28</f>
        <v/>
      </c>
    </row>
    <row r="29" spans="4:4" x14ac:dyDescent="0.75">
      <c r="D29" s="111" t="str">
        <f>'RelAftFlt-Map-2'!D29</f>
        <v/>
      </c>
    </row>
    <row r="30" spans="4:4" x14ac:dyDescent="0.75">
      <c r="D30" s="111" t="str">
        <f>'RelAftFlt-Map-2'!D30</f>
        <v/>
      </c>
    </row>
    <row r="31" spans="4:4" x14ac:dyDescent="0.75">
      <c r="D31" s="111" t="str">
        <f>'RelAftFlt-Map-2'!D31</f>
        <v/>
      </c>
    </row>
    <row r="32" spans="4:4" x14ac:dyDescent="0.75">
      <c r="D32" s="111" t="str">
        <f>'RelAftFlt-Map-2'!D32</f>
        <v/>
      </c>
    </row>
    <row r="33" spans="4:4" x14ac:dyDescent="0.75">
      <c r="D33" s="111" t="str">
        <f>'RelAftFlt-Map-2'!D33</f>
        <v/>
      </c>
    </row>
    <row r="34" spans="4:4" x14ac:dyDescent="0.75">
      <c r="D34" s="111" t="str">
        <f>'RelAftFlt-Map-2'!D34</f>
        <v/>
      </c>
    </row>
    <row r="35" spans="4:4" x14ac:dyDescent="0.75">
      <c r="D35" s="111" t="str">
        <f>'RelAftFlt-Map-2'!D35</f>
        <v/>
      </c>
    </row>
    <row r="36" spans="4:4" x14ac:dyDescent="0.75">
      <c r="D36" s="111" t="str">
        <f>'RelAftFlt-Map-2'!D36</f>
        <v/>
      </c>
    </row>
    <row r="37" spans="4:4" x14ac:dyDescent="0.75">
      <c r="D37" s="111" t="str">
        <f>'RelAftFlt-Map-2'!D37</f>
        <v/>
      </c>
    </row>
    <row r="38" spans="4:4" x14ac:dyDescent="0.75">
      <c r="D38" s="111" t="str">
        <f>'RelAftFlt-Map-2'!D38</f>
        <v/>
      </c>
    </row>
    <row r="39" spans="4:4" x14ac:dyDescent="0.75">
      <c r="D39" s="111" t="str">
        <f>'RelAftFlt-Map-2'!D39</f>
        <v/>
      </c>
    </row>
    <row r="40" spans="4:4" x14ac:dyDescent="0.75">
      <c r="D40" s="111" t="str">
        <f>'RelAftFlt-Map-2'!D40</f>
        <v/>
      </c>
    </row>
    <row r="41" spans="4:4" x14ac:dyDescent="0.75">
      <c r="D41" s="111" t="str">
        <f>'RelAftFlt-Map-2'!D41</f>
        <v/>
      </c>
    </row>
    <row r="42" spans="4:4" x14ac:dyDescent="0.75">
      <c r="D42" s="111" t="str">
        <f>'RelAftFlt-Map-2'!D42</f>
        <v/>
      </c>
    </row>
    <row r="43" spans="4:4" x14ac:dyDescent="0.75">
      <c r="D43" s="111" t="str">
        <f>'RelAftFlt-Map-2'!D43</f>
        <v/>
      </c>
    </row>
    <row r="44" spans="4:4" x14ac:dyDescent="0.75">
      <c r="D44" s="111" t="str">
        <f>'RelAftFlt-Map-2'!D44</f>
        <v/>
      </c>
    </row>
    <row r="45" spans="4:4" x14ac:dyDescent="0.75">
      <c r="D45" s="111" t="str">
        <f>'RelAftFlt-Map-2'!D45</f>
        <v/>
      </c>
    </row>
    <row r="46" spans="4:4" x14ac:dyDescent="0.75">
      <c r="D46" s="111" t="str">
        <f>'RelAftFlt-Map-2'!D46</f>
        <v/>
      </c>
    </row>
    <row r="47" spans="4:4" x14ac:dyDescent="0.75">
      <c r="D47" s="111" t="str">
        <f>'RelAftFlt-Map-2'!D47</f>
        <v/>
      </c>
    </row>
    <row r="48" spans="4:4" x14ac:dyDescent="0.75">
      <c r="D48" s="111" t="str">
        <f>'RelAftFlt-Map-2'!D48</f>
        <v/>
      </c>
    </row>
    <row r="49" spans="4:4" x14ac:dyDescent="0.75">
      <c r="D49" s="111" t="str">
        <f>'RelAftFlt-Map-2'!D49</f>
        <v/>
      </c>
    </row>
    <row r="50" spans="4:4" x14ac:dyDescent="0.75">
      <c r="D50" s="111" t="str">
        <f>'RelAftFlt-Map-2'!D50</f>
        <v/>
      </c>
    </row>
    <row r="51" spans="4:4" x14ac:dyDescent="0.75">
      <c r="D51" s="111" t="str">
        <f>'RelAftFlt-Map-2'!D51</f>
        <v/>
      </c>
    </row>
    <row r="52" spans="4:4" x14ac:dyDescent="0.75">
      <c r="D52" s="111" t="str">
        <f>'RelAftFlt-Map-2'!D52</f>
        <v/>
      </c>
    </row>
    <row r="53" spans="4:4" x14ac:dyDescent="0.75">
      <c r="D53" s="111" t="str">
        <f>'RelAftFlt-Map-2'!D53</f>
        <v/>
      </c>
    </row>
    <row r="54" spans="4:4" x14ac:dyDescent="0.75">
      <c r="D54" s="111" t="str">
        <f>'RelAftFlt-Map-2'!D54</f>
        <v/>
      </c>
    </row>
    <row r="55" spans="4:4" x14ac:dyDescent="0.75">
      <c r="D55" s="111" t="str">
        <f>'RelAftFlt-Map-2'!D55</f>
        <v/>
      </c>
    </row>
    <row r="56" spans="4:4" x14ac:dyDescent="0.75">
      <c r="D56" s="111" t="str">
        <f>'RelAftFlt-Map-2'!D56</f>
        <v/>
      </c>
    </row>
    <row r="57" spans="4:4" x14ac:dyDescent="0.75">
      <c r="D57" s="111" t="str">
        <f>'RelAftFlt-Map-2'!D57</f>
        <v/>
      </c>
    </row>
    <row r="58" spans="4:4" x14ac:dyDescent="0.75">
      <c r="D58" s="111" t="str">
        <f>'RelAftFlt-Map-2'!D58</f>
        <v/>
      </c>
    </row>
    <row r="59" spans="4:4" x14ac:dyDescent="0.75">
      <c r="D59" s="111" t="str">
        <f>'RelAftFlt-Map-2'!D59</f>
        <v/>
      </c>
    </row>
    <row r="60" spans="4:4" x14ac:dyDescent="0.75">
      <c r="D60" s="111" t="str">
        <f>'RelAftFlt-Map-2'!D60</f>
        <v/>
      </c>
    </row>
    <row r="61" spans="4:4" x14ac:dyDescent="0.75">
      <c r="D61" s="111" t="str">
        <f>'RelAftFlt-Map-2'!D61</f>
        <v/>
      </c>
    </row>
    <row r="62" spans="4:4" x14ac:dyDescent="0.75">
      <c r="D62" s="111" t="str">
        <f>'RelAftFlt-Map-2'!D62</f>
        <v/>
      </c>
    </row>
    <row r="63" spans="4:4" x14ac:dyDescent="0.75">
      <c r="D63" s="111" t="str">
        <f>'RelAftFlt-Map-2'!D63</f>
        <v/>
      </c>
    </row>
    <row r="64" spans="4:4" x14ac:dyDescent="0.75">
      <c r="D64" s="111" t="str">
        <f>'RelAftFlt-Map-2'!D64</f>
        <v/>
      </c>
    </row>
    <row r="65" spans="4:4" x14ac:dyDescent="0.75">
      <c r="D65" s="111" t="str">
        <f>'RelAftFlt-Map-2'!D65</f>
        <v/>
      </c>
    </row>
    <row r="66" spans="4:4" x14ac:dyDescent="0.75">
      <c r="D66" s="111" t="str">
        <f>'RelAftFlt-Map-2'!D66</f>
        <v/>
      </c>
    </row>
    <row r="67" spans="4:4" x14ac:dyDescent="0.75">
      <c r="D67" s="111" t="str">
        <f>'RelAftFlt-Map-2'!D67</f>
        <v/>
      </c>
    </row>
    <row r="68" spans="4:4" x14ac:dyDescent="0.75">
      <c r="D68" s="111" t="str">
        <f>'RelAftFlt-Map-2'!D68</f>
        <v/>
      </c>
    </row>
    <row r="69" spans="4:4" x14ac:dyDescent="0.75">
      <c r="D69" s="111" t="str">
        <f>'RelAftFlt-Map-2'!D69</f>
        <v/>
      </c>
    </row>
    <row r="70" spans="4:4" x14ac:dyDescent="0.75">
      <c r="D70" s="111" t="str">
        <f>'RelAftFlt-Map-2'!D70</f>
        <v/>
      </c>
    </row>
    <row r="71" spans="4:4" x14ac:dyDescent="0.75">
      <c r="D71" s="111" t="str">
        <f>'RelAftFlt-Map-2'!D71</f>
        <v/>
      </c>
    </row>
    <row r="72" spans="4:4" x14ac:dyDescent="0.75">
      <c r="D72" s="111" t="str">
        <f>'RelAftFlt-Map-2'!D72</f>
        <v/>
      </c>
    </row>
    <row r="73" spans="4:4" x14ac:dyDescent="0.75">
      <c r="D73" s="111" t="str">
        <f>'RelAftFlt-Map-2'!D73</f>
        <v/>
      </c>
    </row>
    <row r="74" spans="4:4" x14ac:dyDescent="0.75">
      <c r="D74" s="111" t="str">
        <f>'RelAftFlt-Map-2'!D74</f>
        <v/>
      </c>
    </row>
    <row r="75" spans="4:4" x14ac:dyDescent="0.75">
      <c r="D75" s="111" t="str">
        <f>'RelAftFlt-Map-2'!D75</f>
        <v/>
      </c>
    </row>
    <row r="76" spans="4:4" x14ac:dyDescent="0.75">
      <c r="D76" s="111" t="str">
        <f>'RelAftFlt-Map-2'!D76</f>
        <v/>
      </c>
    </row>
    <row r="77" spans="4:4" x14ac:dyDescent="0.75">
      <c r="D77" s="111" t="str">
        <f>'RelAftFlt-Map-2'!D77</f>
        <v/>
      </c>
    </row>
    <row r="78" spans="4:4" x14ac:dyDescent="0.75">
      <c r="D78" s="111" t="str">
        <f>'RelAftFlt-Map-2'!D78</f>
        <v/>
      </c>
    </row>
    <row r="79" spans="4:4" x14ac:dyDescent="0.75">
      <c r="D79" s="111" t="str">
        <f>'RelAftFlt-Map-2'!D79</f>
        <v/>
      </c>
    </row>
    <row r="80" spans="4:4" x14ac:dyDescent="0.75">
      <c r="D80" s="111" t="str">
        <f>'RelAftFlt-Map-2'!D80</f>
        <v/>
      </c>
    </row>
    <row r="81" spans="4:4" x14ac:dyDescent="0.75">
      <c r="D81" s="111" t="str">
        <f>'RelAftFlt-Map-2'!D81</f>
        <v/>
      </c>
    </row>
    <row r="82" spans="4:4" x14ac:dyDescent="0.75">
      <c r="D82" s="111" t="str">
        <f>'RelAftFlt-Map-2'!D82</f>
        <v/>
      </c>
    </row>
    <row r="83" spans="4:4" x14ac:dyDescent="0.75">
      <c r="D83" s="111" t="str">
        <f>'RelAftFlt-Map-2'!D83</f>
        <v/>
      </c>
    </row>
    <row r="84" spans="4:4" x14ac:dyDescent="0.75">
      <c r="D84" s="111" t="str">
        <f>'RelAftFlt-Map-2'!D84</f>
        <v/>
      </c>
    </row>
    <row r="85" spans="4:4" x14ac:dyDescent="0.75">
      <c r="D85" s="111" t="str">
        <f>'RelAftFlt-Map-2'!D85</f>
        <v/>
      </c>
    </row>
    <row r="86" spans="4:4" x14ac:dyDescent="0.75">
      <c r="D86" s="111" t="str">
        <f>'RelAftFlt-Map-2'!D86</f>
        <v/>
      </c>
    </row>
    <row r="87" spans="4:4" x14ac:dyDescent="0.75">
      <c r="D87" s="111" t="str">
        <f>'RelAftFlt-Map-2'!D87</f>
        <v/>
      </c>
    </row>
    <row r="88" spans="4:4" x14ac:dyDescent="0.75">
      <c r="D88" s="111" t="str">
        <f>'RelAftFlt-Map-2'!D88</f>
        <v/>
      </c>
    </row>
    <row r="89" spans="4:4" x14ac:dyDescent="0.75">
      <c r="D89" s="111" t="str">
        <f>'RelAftFlt-Map-2'!D89</f>
        <v/>
      </c>
    </row>
    <row r="90" spans="4:4" x14ac:dyDescent="0.75">
      <c r="D90" s="111" t="str">
        <f>'RelAftFlt-Map-2'!D90</f>
        <v/>
      </c>
    </row>
    <row r="91" spans="4:4" x14ac:dyDescent="0.75">
      <c r="D91" s="111" t="str">
        <f>'RelAftFlt-Map-2'!D91</f>
        <v/>
      </c>
    </row>
    <row r="92" spans="4:4" x14ac:dyDescent="0.75">
      <c r="D92" s="111" t="str">
        <f>'RelAftFlt-Map-2'!D92</f>
        <v/>
      </c>
    </row>
    <row r="93" spans="4:4" x14ac:dyDescent="0.75">
      <c r="D93" s="111" t="str">
        <f>'RelAftFlt-Map-2'!D93</f>
        <v/>
      </c>
    </row>
    <row r="94" spans="4:4" x14ac:dyDescent="0.75">
      <c r="D94" s="111" t="str">
        <f>'RelAftFlt-Map-2'!D94</f>
        <v/>
      </c>
    </row>
    <row r="95" spans="4:4" x14ac:dyDescent="0.75">
      <c r="D95" s="111" t="str">
        <f>'RelAftFlt-Map-2'!D95</f>
        <v/>
      </c>
    </row>
    <row r="96" spans="4:4" x14ac:dyDescent="0.75">
      <c r="D96" s="111" t="str">
        <f>'RelAftFlt-Map-2'!D96</f>
        <v/>
      </c>
    </row>
    <row r="97" spans="4:4" x14ac:dyDescent="0.75">
      <c r="D97" s="111" t="str">
        <f>'RelAftFlt-Map-2'!D97</f>
        <v/>
      </c>
    </row>
    <row r="98" spans="4:4" x14ac:dyDescent="0.75">
      <c r="D98" s="111" t="str">
        <f>'RelAftFlt-Map-2'!D98</f>
        <v/>
      </c>
    </row>
    <row r="99" spans="4:4" x14ac:dyDescent="0.75">
      <c r="D99" s="111" t="str">
        <f>'RelAftFlt-Map-2'!D99</f>
        <v/>
      </c>
    </row>
    <row r="100" spans="4:4" x14ac:dyDescent="0.75">
      <c r="D100" s="111" t="str">
        <f>'RelAftFlt-Map-2'!D100</f>
        <v/>
      </c>
    </row>
    <row r="101" spans="4:4" x14ac:dyDescent="0.75">
      <c r="D101" s="111" t="str">
        <f>'RelAftFlt-Map-2'!D101</f>
        <v/>
      </c>
    </row>
    <row r="102" spans="4:4" x14ac:dyDescent="0.75">
      <c r="D102" s="111" t="str">
        <f>'RelAftFlt-Map-2'!D102</f>
        <v/>
      </c>
    </row>
    <row r="103" spans="4:4" x14ac:dyDescent="0.75">
      <c r="D103" s="111" t="str">
        <f>'RelAftFlt-Map-2'!D103</f>
        <v/>
      </c>
    </row>
    <row r="104" spans="4:4" x14ac:dyDescent="0.75">
      <c r="D104" s="111" t="str">
        <f>'RelAftFlt-Map-2'!D104</f>
        <v/>
      </c>
    </row>
    <row r="105" spans="4:4" x14ac:dyDescent="0.75">
      <c r="D105" s="111" t="str">
        <f>'RelAftFlt-Map-2'!D105</f>
        <v/>
      </c>
    </row>
    <row r="106" spans="4:4" x14ac:dyDescent="0.75">
      <c r="D106" s="111" t="str">
        <f>'RelAftFlt-Map-2'!D106</f>
        <v/>
      </c>
    </row>
    <row r="107" spans="4:4" x14ac:dyDescent="0.75">
      <c r="D107" s="111" t="str">
        <f>'RelAftFlt-Map-2'!D107</f>
        <v/>
      </c>
    </row>
    <row r="108" spans="4:4" x14ac:dyDescent="0.75">
      <c r="D108" s="111" t="str">
        <f>'RelAftFlt-Map-2'!D108</f>
        <v/>
      </c>
    </row>
    <row r="109" spans="4:4" x14ac:dyDescent="0.75">
      <c r="D109" s="111" t="str">
        <f>'RelAftFlt-Map-2'!D109</f>
        <v/>
      </c>
    </row>
    <row r="110" spans="4:4" x14ac:dyDescent="0.75">
      <c r="D110" s="111" t="str">
        <f>'RelAftFlt-Map-2'!D110</f>
        <v/>
      </c>
    </row>
    <row r="111" spans="4:4" x14ac:dyDescent="0.75">
      <c r="D111" s="111" t="str">
        <f>'RelAftFlt-Map-2'!D111</f>
        <v/>
      </c>
    </row>
    <row r="112" spans="4:4" x14ac:dyDescent="0.75">
      <c r="D112" s="111" t="str">
        <f>'RelAftFlt-Map-2'!D112</f>
        <v/>
      </c>
    </row>
    <row r="113" spans="4:4" x14ac:dyDescent="0.75">
      <c r="D113" s="111" t="str">
        <f>'RelAftFlt-Map-2'!D113</f>
        <v/>
      </c>
    </row>
    <row r="114" spans="4:4" x14ac:dyDescent="0.75">
      <c r="D114" s="111" t="str">
        <f>'RelAftFlt-Map-2'!D114</f>
        <v/>
      </c>
    </row>
    <row r="115" spans="4:4" x14ac:dyDescent="0.75">
      <c r="D115" s="111" t="str">
        <f>'RelAftFlt-Map-2'!D115</f>
        <v/>
      </c>
    </row>
    <row r="116" spans="4:4" x14ac:dyDescent="0.75">
      <c r="D116" s="111" t="str">
        <f>'RelAftFlt-Map-2'!D116</f>
        <v/>
      </c>
    </row>
    <row r="117" spans="4:4" x14ac:dyDescent="0.75">
      <c r="D117" s="111" t="str">
        <f>'RelAftFlt-Map-2'!D117</f>
        <v/>
      </c>
    </row>
    <row r="118" spans="4:4" x14ac:dyDescent="0.75">
      <c r="D118" s="111" t="str">
        <f>'RelAftFlt-Map-2'!D118</f>
        <v/>
      </c>
    </row>
    <row r="119" spans="4:4" x14ac:dyDescent="0.75">
      <c r="D119" s="111" t="str">
        <f>'RelAftFlt-Map-2'!D119</f>
        <v/>
      </c>
    </row>
    <row r="120" spans="4:4" x14ac:dyDescent="0.75">
      <c r="D120" s="111" t="str">
        <f>'RelAftFlt-Map-2'!D120</f>
        <v/>
      </c>
    </row>
    <row r="121" spans="4:4" x14ac:dyDescent="0.75">
      <c r="D121" s="111" t="str">
        <f>'RelAftFlt-Map-2'!D121</f>
        <v/>
      </c>
    </row>
    <row r="122" spans="4:4" x14ac:dyDescent="0.75">
      <c r="D122" s="111" t="str">
        <f>'RelAftFlt-Map-2'!D122</f>
        <v/>
      </c>
    </row>
    <row r="123" spans="4:4" x14ac:dyDescent="0.75">
      <c r="D123" s="111" t="str">
        <f>'RelAftFlt-Map-2'!D123</f>
        <v/>
      </c>
    </row>
    <row r="124" spans="4:4" x14ac:dyDescent="0.75">
      <c r="D124" s="111" t="str">
        <f>'RelAftFlt-Map-2'!D124</f>
        <v/>
      </c>
    </row>
    <row r="125" spans="4:4" x14ac:dyDescent="0.75">
      <c r="D125" s="111" t="str">
        <f>'RelAftFlt-Map-2'!D125</f>
        <v/>
      </c>
    </row>
    <row r="126" spans="4:4" x14ac:dyDescent="0.75">
      <c r="D126" s="111" t="str">
        <f>'RelAftFlt-Map-2'!D126</f>
        <v/>
      </c>
    </row>
    <row r="127" spans="4:4" x14ac:dyDescent="0.75">
      <c r="D127" s="111" t="str">
        <f>'RelAftFlt-Map-2'!D127</f>
        <v/>
      </c>
    </row>
    <row r="128" spans="4:4" x14ac:dyDescent="0.75">
      <c r="D128" s="111" t="str">
        <f>'RelAftFlt-Map-2'!D128</f>
        <v/>
      </c>
    </row>
    <row r="129" spans="4:4" x14ac:dyDescent="0.75">
      <c r="D129" s="111" t="str">
        <f>'RelAftFlt-Map-2'!D129</f>
        <v/>
      </c>
    </row>
    <row r="130" spans="4:4" x14ac:dyDescent="0.75">
      <c r="D130" s="111" t="str">
        <f>'RelAftFlt-Map-2'!D130</f>
        <v/>
      </c>
    </row>
    <row r="131" spans="4:4" x14ac:dyDescent="0.75">
      <c r="D131" s="111" t="str">
        <f>'RelAftFlt-Map-2'!D131</f>
        <v/>
      </c>
    </row>
    <row r="132" spans="4:4" x14ac:dyDescent="0.75">
      <c r="D132" s="111" t="str">
        <f>'RelAftFlt-Map-2'!D132</f>
        <v/>
      </c>
    </row>
    <row r="133" spans="4:4" x14ac:dyDescent="0.75">
      <c r="D133" s="111" t="str">
        <f>'RelAftFlt-Map-2'!D133</f>
        <v/>
      </c>
    </row>
    <row r="134" spans="4:4" x14ac:dyDescent="0.75">
      <c r="D134" s="111" t="str">
        <f>'RelAftFlt-Map-2'!D134</f>
        <v/>
      </c>
    </row>
    <row r="135" spans="4:4" x14ac:dyDescent="0.75">
      <c r="D135" s="111" t="str">
        <f>'RelAftFlt-Map-2'!D135</f>
        <v/>
      </c>
    </row>
    <row r="136" spans="4:4" x14ac:dyDescent="0.75">
      <c r="D136" s="111" t="str">
        <f>'RelAftFlt-Map-2'!D136</f>
        <v/>
      </c>
    </row>
    <row r="137" spans="4:4" x14ac:dyDescent="0.75">
      <c r="D137" s="111" t="str">
        <f>'RelAftFlt-Map-2'!D137</f>
        <v/>
      </c>
    </row>
    <row r="138" spans="4:4" x14ac:dyDescent="0.75">
      <c r="D138" s="111" t="str">
        <f>'RelAftFlt-Map-2'!D138</f>
        <v/>
      </c>
    </row>
    <row r="139" spans="4:4" x14ac:dyDescent="0.75">
      <c r="D139" s="111" t="str">
        <f>'RelAftFlt-Map-2'!D139</f>
        <v/>
      </c>
    </row>
    <row r="140" spans="4:4" x14ac:dyDescent="0.75">
      <c r="D140" s="111" t="str">
        <f>'RelAftFlt-Map-2'!D140</f>
        <v/>
      </c>
    </row>
    <row r="141" spans="4:4" x14ac:dyDescent="0.75">
      <c r="D141" s="111" t="str">
        <f>'RelAftFlt-Map-2'!D141</f>
        <v/>
      </c>
    </row>
    <row r="142" spans="4:4" x14ac:dyDescent="0.75">
      <c r="D142" s="111" t="str">
        <f>'RelAftFlt-Map-2'!D142</f>
        <v/>
      </c>
    </row>
    <row r="143" spans="4:4" x14ac:dyDescent="0.75">
      <c r="D143" s="111" t="str">
        <f>'RelAftFlt-Map-2'!D143</f>
        <v/>
      </c>
    </row>
    <row r="144" spans="4:4" x14ac:dyDescent="0.75">
      <c r="D144" s="111" t="str">
        <f>'RelAftFlt-Map-2'!D144</f>
        <v/>
      </c>
    </row>
    <row r="145" spans="4:4" x14ac:dyDescent="0.75">
      <c r="D145" s="111" t="str">
        <f>'RelAftFlt-Map-2'!D145</f>
        <v/>
      </c>
    </row>
    <row r="146" spans="4:4" x14ac:dyDescent="0.75">
      <c r="D146" s="111" t="str">
        <f>'RelAftFlt-Map-2'!D146</f>
        <v/>
      </c>
    </row>
    <row r="147" spans="4:4" x14ac:dyDescent="0.75">
      <c r="D147" s="111" t="str">
        <f>'RelAftFlt-Map-2'!D147</f>
        <v/>
      </c>
    </row>
    <row r="148" spans="4:4" x14ac:dyDescent="0.75">
      <c r="D148" s="111" t="str">
        <f>'RelAftFlt-Map-2'!D148</f>
        <v/>
      </c>
    </row>
    <row r="149" spans="4:4" x14ac:dyDescent="0.75">
      <c r="D149" s="111" t="str">
        <f>'RelAftFlt-Map-2'!D149</f>
        <v/>
      </c>
    </row>
    <row r="150" spans="4:4" x14ac:dyDescent="0.75">
      <c r="D150" s="111" t="str">
        <f>'RelAftFlt-Map-2'!D150</f>
        <v/>
      </c>
    </row>
    <row r="151" spans="4:4" x14ac:dyDescent="0.75">
      <c r="D151" s="111" t="str">
        <f>'RelAftFlt-Map-2'!D151</f>
        <v/>
      </c>
    </row>
    <row r="152" spans="4:4" x14ac:dyDescent="0.75">
      <c r="D152" s="111" t="str">
        <f>'RelAftFlt-Map-2'!D152</f>
        <v/>
      </c>
    </row>
    <row r="153" spans="4:4" x14ac:dyDescent="0.75">
      <c r="D153" s="111" t="str">
        <f>'RelAftFlt-Map-2'!D153</f>
        <v/>
      </c>
    </row>
    <row r="154" spans="4:4" x14ac:dyDescent="0.75">
      <c r="D154" s="111" t="str">
        <f>'RelAftFlt-Map-2'!D154</f>
        <v/>
      </c>
    </row>
    <row r="155" spans="4:4" x14ac:dyDescent="0.75">
      <c r="D155" s="111" t="str">
        <f>'RelAftFlt-Map-2'!D155</f>
        <v/>
      </c>
    </row>
    <row r="156" spans="4:4" x14ac:dyDescent="0.75">
      <c r="D156" s="111" t="str">
        <f>'RelAftFlt-Map-2'!D156</f>
        <v/>
      </c>
    </row>
    <row r="157" spans="4:4" x14ac:dyDescent="0.75">
      <c r="D157" s="111" t="str">
        <f>'RelAftFlt-Map-2'!D157</f>
        <v/>
      </c>
    </row>
    <row r="158" spans="4:4" x14ac:dyDescent="0.75">
      <c r="D158" s="111" t="str">
        <f>'RelAftFlt-Map-2'!D158</f>
        <v/>
      </c>
    </row>
    <row r="159" spans="4:4" x14ac:dyDescent="0.75">
      <c r="D159" s="111" t="str">
        <f>'RelAftFlt-Map-2'!D159</f>
        <v/>
      </c>
    </row>
    <row r="160" spans="4:4" x14ac:dyDescent="0.75">
      <c r="D160" s="111" t="str">
        <f>'RelAftFlt-Map-2'!D160</f>
        <v/>
      </c>
    </row>
    <row r="161" spans="4:4" x14ac:dyDescent="0.75">
      <c r="D161" s="111" t="str">
        <f>'RelAftFlt-Map-2'!D161</f>
        <v/>
      </c>
    </row>
    <row r="162" spans="4:4" x14ac:dyDescent="0.75">
      <c r="D162" s="111" t="str">
        <f>'RelAftFlt-Map-2'!D162</f>
        <v/>
      </c>
    </row>
    <row r="163" spans="4:4" x14ac:dyDescent="0.75">
      <c r="D163" s="111" t="str">
        <f>'RelAftFlt-Map-2'!D163</f>
        <v/>
      </c>
    </row>
    <row r="164" spans="4:4" x14ac:dyDescent="0.75">
      <c r="D164" s="111" t="str">
        <f>'RelAftFlt-Map-2'!D164</f>
        <v/>
      </c>
    </row>
    <row r="165" spans="4:4" x14ac:dyDescent="0.75">
      <c r="D165" s="111" t="str">
        <f>'RelAftFlt-Map-2'!D165</f>
        <v/>
      </c>
    </row>
    <row r="166" spans="4:4" x14ac:dyDescent="0.75">
      <c r="D166" s="111" t="str">
        <f>'RelAftFlt-Map-2'!D166</f>
        <v/>
      </c>
    </row>
    <row r="167" spans="4:4" x14ac:dyDescent="0.75">
      <c r="D167" s="111" t="str">
        <f>'RelAftFlt-Map-2'!D167</f>
        <v/>
      </c>
    </row>
    <row r="168" spans="4:4" x14ac:dyDescent="0.75">
      <c r="D168" s="111" t="str">
        <f>'RelAftFlt-Map-2'!D168</f>
        <v/>
      </c>
    </row>
    <row r="169" spans="4:4" x14ac:dyDescent="0.75">
      <c r="D169" s="111" t="str">
        <f>'RelAftFlt-Map-2'!D169</f>
        <v/>
      </c>
    </row>
    <row r="170" spans="4:4" x14ac:dyDescent="0.75">
      <c r="D170" s="111">
        <f>'RelAftFlt-Map-2'!D170</f>
        <v>0</v>
      </c>
    </row>
    <row r="171" spans="4:4" x14ac:dyDescent="0.75">
      <c r="D171" s="111" t="str">
        <f>'RelAftFlt-Map-2'!D171</f>
        <v/>
      </c>
    </row>
    <row r="172" spans="4:4" x14ac:dyDescent="0.75">
      <c r="D172" s="111" t="str">
        <f>'RelAftFlt-Map-2'!D172</f>
        <v/>
      </c>
    </row>
    <row r="173" spans="4:4" x14ac:dyDescent="0.75">
      <c r="D173" s="111">
        <f>'RelAftFlt-Map-2'!D173</f>
        <v>0</v>
      </c>
    </row>
    <row r="174" spans="4:4" x14ac:dyDescent="0.75">
      <c r="D174" s="111" t="str">
        <f>'RelAftFlt-Map-2'!D174</f>
        <v/>
      </c>
    </row>
    <row r="175" spans="4:4" x14ac:dyDescent="0.75">
      <c r="D175" s="111" t="str">
        <f>'RelAftFlt-Map-2'!D175</f>
        <v/>
      </c>
    </row>
    <row r="176" spans="4:4" x14ac:dyDescent="0.75">
      <c r="D176" s="111">
        <f>'RelAftFlt-Map-2'!D176</f>
        <v>0</v>
      </c>
    </row>
    <row r="177" spans="4:4" x14ac:dyDescent="0.75">
      <c r="D177" s="111" t="str">
        <f>'RelAftFlt-Map-2'!D177</f>
        <v/>
      </c>
    </row>
    <row r="178" spans="4:4" x14ac:dyDescent="0.75">
      <c r="D178" s="111" t="str">
        <f>'RelAftFlt-Map-2'!D178</f>
        <v/>
      </c>
    </row>
    <row r="179" spans="4:4" x14ac:dyDescent="0.75">
      <c r="D179" s="111">
        <f>'RelAftFlt-Map-2'!D179</f>
        <v>0</v>
      </c>
    </row>
    <row r="180" spans="4:4" x14ac:dyDescent="0.75">
      <c r="D180" s="111" t="str">
        <f>'RelAftFlt-Map-2'!D180</f>
        <v/>
      </c>
    </row>
    <row r="181" spans="4:4" x14ac:dyDescent="0.75">
      <c r="D181" s="111" t="str">
        <f>'RelAftFlt-Map-2'!D181</f>
        <v/>
      </c>
    </row>
    <row r="182" spans="4:4" x14ac:dyDescent="0.75">
      <c r="D182" s="111">
        <f>'RelAftFlt-Map-2'!D182</f>
        <v>0</v>
      </c>
    </row>
    <row r="183" spans="4:4" x14ac:dyDescent="0.75">
      <c r="D183" s="111" t="str">
        <f>'RelAftFlt-Map-2'!D183</f>
        <v/>
      </c>
    </row>
    <row r="184" spans="4:4" x14ac:dyDescent="0.75">
      <c r="D184" s="111" t="str">
        <f>'RelAftFlt-Map-2'!D184</f>
        <v/>
      </c>
    </row>
    <row r="185" spans="4:4" x14ac:dyDescent="0.75">
      <c r="D185" s="111">
        <f>'RelAftFlt-Map-2'!D185</f>
        <v>0</v>
      </c>
    </row>
    <row r="186" spans="4:4" x14ac:dyDescent="0.75">
      <c r="D186" s="111" t="str">
        <f>'RelAftFlt-Map-2'!D186</f>
        <v/>
      </c>
    </row>
    <row r="187" spans="4:4" x14ac:dyDescent="0.75">
      <c r="D187" s="111" t="str">
        <f>'RelAftFlt-Map-2'!D187</f>
        <v/>
      </c>
    </row>
    <row r="188" spans="4:4" x14ac:dyDescent="0.75">
      <c r="D188" s="111">
        <f>'RelAftFlt-Map-2'!D188</f>
        <v>0</v>
      </c>
    </row>
    <row r="189" spans="4:4" x14ac:dyDescent="0.75">
      <c r="D189" s="111" t="str">
        <f>'RelAftFlt-Map-2'!D189</f>
        <v/>
      </c>
    </row>
    <row r="190" spans="4:4" x14ac:dyDescent="0.75">
      <c r="D190" s="111" t="str">
        <f>'RelAftFlt-Map-2'!D190</f>
        <v/>
      </c>
    </row>
    <row r="191" spans="4:4" x14ac:dyDescent="0.75">
      <c r="D191" s="111">
        <f>'RelAftFlt-Map-2'!D191</f>
        <v>0</v>
      </c>
    </row>
    <row r="192" spans="4:4" x14ac:dyDescent="0.75">
      <c r="D192" s="111">
        <f>'RelAftFlt-Map-2'!D192</f>
        <v>0</v>
      </c>
    </row>
    <row r="193" spans="4:4" x14ac:dyDescent="0.75">
      <c r="D193" s="111">
        <f>'RelAftFlt-Map-2'!D193</f>
        <v>0</v>
      </c>
    </row>
    <row r="194" spans="4:4" x14ac:dyDescent="0.75">
      <c r="D194" s="111">
        <f>'RelAftFlt-Map-2'!D194</f>
        <v>0</v>
      </c>
    </row>
    <row r="195" spans="4:4" x14ac:dyDescent="0.75">
      <c r="D195" s="111">
        <f>'RelAftFlt-Map-2'!D195</f>
        <v>0</v>
      </c>
    </row>
    <row r="196" spans="4:4" x14ac:dyDescent="0.75">
      <c r="D196" s="111">
        <f>'RelAftFlt-Map-2'!D196</f>
        <v>0</v>
      </c>
    </row>
    <row r="197" spans="4:4" x14ac:dyDescent="0.75">
      <c r="D197" s="111">
        <f>'RelAftFlt-Map-2'!D197</f>
        <v>0</v>
      </c>
    </row>
    <row r="198" spans="4:4" x14ac:dyDescent="0.75">
      <c r="D198" s="111">
        <f>'RelAftFlt-Map-2'!D198</f>
        <v>0</v>
      </c>
    </row>
    <row r="199" spans="4:4" x14ac:dyDescent="0.75">
      <c r="D199" s="111">
        <f>'RelAftFlt-Map-2'!D199</f>
        <v>0</v>
      </c>
    </row>
    <row r="200" spans="4:4" x14ac:dyDescent="0.75">
      <c r="D200" s="111">
        <f>'RelAftFlt-Map-2'!D200</f>
        <v>0</v>
      </c>
    </row>
    <row r="201" spans="4:4" x14ac:dyDescent="0.75">
      <c r="D201" s="111">
        <f>'RelAftFlt-Map-2'!D201</f>
        <v>0</v>
      </c>
    </row>
    <row r="202" spans="4:4" x14ac:dyDescent="0.75">
      <c r="D202" s="111">
        <f>'RelAftFlt-Map-2'!D202</f>
        <v>0</v>
      </c>
    </row>
    <row r="203" spans="4:4" x14ac:dyDescent="0.75">
      <c r="D203" s="111">
        <f>'RelAftFlt-Map-2'!D203</f>
        <v>0</v>
      </c>
    </row>
    <row r="204" spans="4:4" x14ac:dyDescent="0.75">
      <c r="D204" s="111">
        <f>'RelAftFlt-Map-2'!D204</f>
        <v>0</v>
      </c>
    </row>
    <row r="205" spans="4:4" x14ac:dyDescent="0.75">
      <c r="D205" s="111">
        <f>'RelAftFlt-Map-2'!D205</f>
        <v>0</v>
      </c>
    </row>
    <row r="206" spans="4:4" x14ac:dyDescent="0.75">
      <c r="D206" s="111">
        <f>'RelAftFlt-Map-2'!D206</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G9" sqref="G9"/>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1064</v>
      </c>
      <c r="D2" s="153" t="s">
        <v>1065</v>
      </c>
    </row>
    <row r="3" spans="1:9" x14ac:dyDescent="0.75">
      <c r="B3" s="20" t="s">
        <v>34</v>
      </c>
      <c r="D3" s="134"/>
    </row>
    <row r="4" spans="1:9" ht="15.5" thickBot="1" x14ac:dyDescent="0.9">
      <c r="B4" s="22" t="s">
        <v>52</v>
      </c>
      <c r="C4" s="23" t="s">
        <v>1087</v>
      </c>
      <c r="D4" s="135"/>
    </row>
    <row r="5" spans="1:9" x14ac:dyDescent="0.75">
      <c r="C5" s="51" t="s">
        <v>7</v>
      </c>
      <c r="D5" s="4" t="s">
        <v>8</v>
      </c>
      <c r="E5" s="11" t="s">
        <v>17</v>
      </c>
      <c r="F5" s="11" t="s">
        <v>18</v>
      </c>
      <c r="G5" s="11" t="s">
        <v>19</v>
      </c>
    </row>
    <row r="6" spans="1:9" ht="15.5" thickBot="1" x14ac:dyDescent="0.9">
      <c r="A6" s="109">
        <v>0</v>
      </c>
      <c r="B6" s="23" t="s">
        <v>1087</v>
      </c>
      <c r="C6" s="33" t="s">
        <v>1064</v>
      </c>
      <c r="D6" s="33" t="s">
        <v>1064</v>
      </c>
      <c r="E6" s="34">
        <v>1</v>
      </c>
      <c r="F6" s="34">
        <v>1</v>
      </c>
      <c r="G6" s="34" t="s">
        <v>21</v>
      </c>
      <c r="I6" s="111" t="str">
        <f>TRIM(C6)</f>
        <v>Metadata FSE Italy</v>
      </c>
    </row>
    <row r="7" spans="1:9" x14ac:dyDescent="0.75">
      <c r="A7" s="111">
        <v>1</v>
      </c>
      <c r="B7" s="111" t="s">
        <v>35</v>
      </c>
      <c r="C7" s="111" t="s">
        <v>1096</v>
      </c>
      <c r="D7" s="155" t="s">
        <v>1066</v>
      </c>
      <c r="E7" s="111">
        <v>0</v>
      </c>
      <c r="F7" s="111">
        <v>1</v>
      </c>
      <c r="G7" s="111" t="s">
        <v>0</v>
      </c>
      <c r="H7" s="111"/>
      <c r="I7" s="111" t="str">
        <f t="shared" ref="I7:I31" si="0">TRIM(C7)</f>
        <v>document ID</v>
      </c>
    </row>
    <row r="8" spans="1:9" x14ac:dyDescent="0.75">
      <c r="A8" s="111">
        <v>2</v>
      </c>
      <c r="B8" s="111" t="s">
        <v>1088</v>
      </c>
      <c r="C8" s="111" t="s">
        <v>1097</v>
      </c>
      <c r="D8" s="155" t="s">
        <v>1075</v>
      </c>
      <c r="E8" s="111">
        <v>0</v>
      </c>
      <c r="F8" s="111">
        <v>1</v>
      </c>
      <c r="G8" s="111" t="s">
        <v>1092</v>
      </c>
      <c r="H8" s="111"/>
      <c r="I8" s="111" t="str">
        <f t="shared" si="0"/>
        <v>MIME type</v>
      </c>
    </row>
    <row r="9" spans="1:9" x14ac:dyDescent="0.75">
      <c r="A9" s="111">
        <v>3</v>
      </c>
      <c r="B9" s="111" t="s">
        <v>1089</v>
      </c>
      <c r="C9" s="111" t="s">
        <v>1089</v>
      </c>
      <c r="D9" s="155" t="s">
        <v>1085</v>
      </c>
      <c r="E9" s="111">
        <v>0</v>
      </c>
      <c r="F9" s="111">
        <v>1</v>
      </c>
      <c r="G9" s="111" t="s">
        <v>1138</v>
      </c>
      <c r="H9" s="111"/>
      <c r="I9" s="111" t="str">
        <f t="shared" si="0"/>
        <v>size</v>
      </c>
    </row>
    <row r="10" spans="1:9" x14ac:dyDescent="0.75">
      <c r="A10" s="111">
        <v>4</v>
      </c>
      <c r="B10" s="111" t="s">
        <v>1091</v>
      </c>
      <c r="C10" s="111" t="s">
        <v>1091</v>
      </c>
      <c r="D10" s="155" t="s">
        <v>1086</v>
      </c>
      <c r="E10" s="111">
        <v>0</v>
      </c>
      <c r="F10" s="111">
        <v>1</v>
      </c>
      <c r="G10" s="111" t="s">
        <v>1137</v>
      </c>
      <c r="H10" s="111"/>
      <c r="I10" s="111" t="str">
        <f t="shared" si="0"/>
        <v>hash</v>
      </c>
    </row>
    <row r="11" spans="1:9" x14ac:dyDescent="0.75">
      <c r="A11" s="111">
        <v>5</v>
      </c>
      <c r="B11" s="111" t="s">
        <v>1092</v>
      </c>
      <c r="C11" s="111" t="s">
        <v>1098</v>
      </c>
      <c r="D11" s="155" t="s">
        <v>1076</v>
      </c>
      <c r="E11" s="111">
        <v>0</v>
      </c>
      <c r="F11" s="111">
        <v>1</v>
      </c>
      <c r="G11" s="111" t="s">
        <v>1</v>
      </c>
      <c r="H11" s="111"/>
      <c r="I11" s="111" t="str">
        <f t="shared" si="0"/>
        <v>document code</v>
      </c>
    </row>
    <row r="12" spans="1:9" x14ac:dyDescent="0.75">
      <c r="A12" s="111">
        <v>6</v>
      </c>
      <c r="B12" s="111" t="s">
        <v>1099</v>
      </c>
      <c r="C12" s="111" t="s">
        <v>1101</v>
      </c>
      <c r="D12" s="155" t="s">
        <v>1077</v>
      </c>
      <c r="E12" s="111">
        <v>0</v>
      </c>
      <c r="F12" s="111">
        <v>1</v>
      </c>
      <c r="G12" s="111" t="s">
        <v>1</v>
      </c>
      <c r="H12" s="111"/>
      <c r="I12" s="111" t="str">
        <f t="shared" si="0"/>
        <v>Type of document</v>
      </c>
    </row>
    <row r="13" spans="1:9" x14ac:dyDescent="0.75">
      <c r="A13" s="111">
        <v>7</v>
      </c>
      <c r="B13" s="150" t="s">
        <v>1117</v>
      </c>
      <c r="C13" s="150" t="s">
        <v>1118</v>
      </c>
      <c r="D13" s="155" t="s">
        <v>1084</v>
      </c>
      <c r="E13" s="111">
        <v>0</v>
      </c>
      <c r="F13" s="111">
        <v>1</v>
      </c>
      <c r="G13" s="111" t="s">
        <v>1</v>
      </c>
      <c r="H13" s="111"/>
      <c r="I13" s="111" t="str">
        <f t="shared" si="0"/>
        <v>Content Type</v>
      </c>
    </row>
    <row r="14" spans="1:9" x14ac:dyDescent="0.75">
      <c r="A14" s="111">
        <v>8</v>
      </c>
      <c r="B14" s="111" t="s">
        <v>1093</v>
      </c>
      <c r="C14" s="111" t="s">
        <v>1104</v>
      </c>
      <c r="D14" s="155" t="s">
        <v>1073</v>
      </c>
      <c r="E14" s="111">
        <v>0</v>
      </c>
      <c r="F14" s="111">
        <v>1</v>
      </c>
      <c r="G14" s="111" t="s">
        <v>2</v>
      </c>
      <c r="H14" s="111"/>
      <c r="I14" s="111" t="str">
        <f t="shared" si="0"/>
        <v>creation date</v>
      </c>
    </row>
    <row r="15" spans="1:9" x14ac:dyDescent="0.75">
      <c r="A15" s="111">
        <v>9</v>
      </c>
      <c r="B15" s="111" t="s">
        <v>1094</v>
      </c>
      <c r="C15" s="111" t="s">
        <v>1094</v>
      </c>
      <c r="D15" s="155" t="s">
        <v>1081</v>
      </c>
      <c r="E15" s="111">
        <v>0</v>
      </c>
      <c r="F15" s="111">
        <v>1</v>
      </c>
      <c r="G15" s="111" t="s">
        <v>1</v>
      </c>
      <c r="H15" s="111"/>
      <c r="I15" s="111" t="str">
        <f t="shared" si="0"/>
        <v>confidentiality</v>
      </c>
    </row>
    <row r="16" spans="1:9" x14ac:dyDescent="0.75">
      <c r="A16" s="111">
        <v>10</v>
      </c>
      <c r="B16" s="111" t="s">
        <v>1095</v>
      </c>
      <c r="C16" s="111" t="s">
        <v>1105</v>
      </c>
      <c r="D16" s="155" t="s">
        <v>1082</v>
      </c>
      <c r="E16" s="111">
        <v>0</v>
      </c>
      <c r="F16" s="111">
        <v>1</v>
      </c>
      <c r="G16" s="111" t="s">
        <v>1</v>
      </c>
      <c r="H16" s="111"/>
      <c r="I16" s="111" t="str">
        <f t="shared" si="0"/>
        <v>mask (oscuramento)</v>
      </c>
    </row>
    <row r="17" spans="1:9" x14ac:dyDescent="0.75">
      <c r="A17" s="111">
        <v>11</v>
      </c>
      <c r="B17" s="111" t="s">
        <v>1090</v>
      </c>
      <c r="C17" s="111" t="s">
        <v>1103</v>
      </c>
      <c r="D17" s="155" t="s">
        <v>1074</v>
      </c>
      <c r="E17" s="111">
        <v>0</v>
      </c>
      <c r="F17" s="111">
        <v>1</v>
      </c>
      <c r="G17" s="111" t="s">
        <v>0</v>
      </c>
      <c r="H17" s="111"/>
      <c r="I17" s="111" t="str">
        <f t="shared" si="0"/>
        <v>replaced document</v>
      </c>
    </row>
    <row r="18" spans="1:9" x14ac:dyDescent="0.75">
      <c r="A18" s="111">
        <v>12</v>
      </c>
      <c r="B18" s="111" t="s">
        <v>1100</v>
      </c>
      <c r="C18" s="112" t="s">
        <v>1102</v>
      </c>
      <c r="D18" s="155" t="s">
        <v>1078</v>
      </c>
      <c r="E18" s="111">
        <v>0</v>
      </c>
      <c r="F18" s="111">
        <v>1</v>
      </c>
      <c r="G18" s="111" t="s">
        <v>1</v>
      </c>
      <c r="H18" s="111"/>
      <c r="I18" s="111" t="str">
        <f t="shared" si="0"/>
        <v>Format of document</v>
      </c>
    </row>
    <row r="19" spans="1:9" x14ac:dyDescent="0.75">
      <c r="A19" s="111">
        <v>13</v>
      </c>
      <c r="B19" s="111" t="s">
        <v>1106</v>
      </c>
      <c r="C19" s="111" t="s">
        <v>1115</v>
      </c>
      <c r="D19" s="155" t="s">
        <v>1079</v>
      </c>
      <c r="E19" s="111">
        <v>0</v>
      </c>
      <c r="F19" s="111">
        <v>1</v>
      </c>
      <c r="G19" s="111" t="s">
        <v>0</v>
      </c>
      <c r="H19" s="111"/>
      <c r="I19" s="111" t="str">
        <f t="shared" si="0"/>
        <v>Repository Id</v>
      </c>
    </row>
    <row r="20" spans="1:9" x14ac:dyDescent="0.75">
      <c r="A20" s="111">
        <v>14</v>
      </c>
      <c r="B20" s="150" t="s">
        <v>1119</v>
      </c>
      <c r="C20" s="150" t="s">
        <v>1120</v>
      </c>
      <c r="D20" s="155" t="s">
        <v>1083</v>
      </c>
      <c r="E20" s="111">
        <v>0</v>
      </c>
      <c r="F20" s="111">
        <v>1</v>
      </c>
      <c r="G20" s="111" t="s">
        <v>2</v>
      </c>
      <c r="I20" s="111" t="str">
        <f t="shared" si="0"/>
        <v>Index Date</v>
      </c>
    </row>
    <row r="21" spans="1:9" x14ac:dyDescent="0.75">
      <c r="A21" s="111">
        <v>15</v>
      </c>
      <c r="B21" s="150" t="s">
        <v>1121</v>
      </c>
      <c r="C21" s="155" t="s">
        <v>1122</v>
      </c>
      <c r="D21" s="155" t="s">
        <v>1080</v>
      </c>
      <c r="E21" s="111">
        <v>0</v>
      </c>
      <c r="F21" s="111">
        <v>1</v>
      </c>
      <c r="G21" s="111" t="s">
        <v>1</v>
      </c>
      <c r="I21" s="111" t="str">
        <f t="shared" si="0"/>
        <v>Practice setting code</v>
      </c>
    </row>
    <row r="22" spans="1:9" x14ac:dyDescent="0.75">
      <c r="A22" s="111">
        <v>16</v>
      </c>
      <c r="B22" s="111" t="s">
        <v>1123</v>
      </c>
      <c r="C22" s="111" t="s">
        <v>1107</v>
      </c>
      <c r="D22" s="155" t="s">
        <v>1067</v>
      </c>
      <c r="E22" s="111">
        <v>0</v>
      </c>
      <c r="F22" s="111">
        <v>1</v>
      </c>
      <c r="G22" s="111" t="s">
        <v>0</v>
      </c>
      <c r="I22" s="111" t="str">
        <f t="shared" si="0"/>
        <v>Patient Fiscal Code</v>
      </c>
    </row>
    <row r="23" spans="1:9" x14ac:dyDescent="0.75">
      <c r="A23" s="111">
        <v>17</v>
      </c>
      <c r="B23" s="150" t="s">
        <v>1109</v>
      </c>
      <c r="C23" s="150" t="s">
        <v>1114</v>
      </c>
      <c r="D23" s="110" t="s">
        <v>1114</v>
      </c>
      <c r="E23" s="111">
        <v>0</v>
      </c>
      <c r="F23" s="111">
        <v>1</v>
      </c>
      <c r="G23" s="111" t="s">
        <v>5</v>
      </c>
      <c r="I23" s="111" t="str">
        <f t="shared" si="0"/>
        <v>Author</v>
      </c>
    </row>
    <row r="24" spans="1:9" x14ac:dyDescent="0.75">
      <c r="A24" s="111">
        <v>18</v>
      </c>
      <c r="B24" s="111" t="s">
        <v>1110</v>
      </c>
      <c r="C24" s="111" t="s">
        <v>1108</v>
      </c>
      <c r="D24" s="155" t="s">
        <v>1068</v>
      </c>
      <c r="E24" s="111">
        <v>0</v>
      </c>
      <c r="F24" s="111">
        <v>1</v>
      </c>
      <c r="G24" s="111" t="s">
        <v>0</v>
      </c>
      <c r="I24" s="111" t="str">
        <f t="shared" si="0"/>
        <v>Author Fiscal Code</v>
      </c>
    </row>
    <row r="25" spans="1:9" x14ac:dyDescent="0.75">
      <c r="A25" s="111">
        <v>19</v>
      </c>
      <c r="B25" s="111" t="s">
        <v>1112</v>
      </c>
      <c r="C25" s="111" t="s">
        <v>1113</v>
      </c>
      <c r="D25" s="155" t="s">
        <v>1069</v>
      </c>
      <c r="E25" s="111">
        <v>0</v>
      </c>
      <c r="F25" s="111">
        <v>1</v>
      </c>
      <c r="G25" s="111" t="s">
        <v>1</v>
      </c>
      <c r="I25" s="111" t="str">
        <f t="shared" si="0"/>
        <v>Author Organization (code)</v>
      </c>
    </row>
    <row r="26" spans="1:9" x14ac:dyDescent="0.75">
      <c r="A26" s="111">
        <v>20</v>
      </c>
      <c r="B26" s="111" t="s">
        <v>1111</v>
      </c>
      <c r="C26" s="111" t="s">
        <v>1116</v>
      </c>
      <c r="D26" s="155" t="s">
        <v>1070</v>
      </c>
      <c r="E26" s="111">
        <v>0</v>
      </c>
      <c r="F26" s="111">
        <v>1</v>
      </c>
      <c r="G26" s="111" t="s">
        <v>1</v>
      </c>
      <c r="I26" s="111" t="str">
        <f t="shared" si="0"/>
        <v>Author Role (code)</v>
      </c>
    </row>
    <row r="27" spans="1:9" x14ac:dyDescent="0.75">
      <c r="A27" s="111">
        <v>21</v>
      </c>
      <c r="B27" s="111" t="s">
        <v>1126</v>
      </c>
      <c r="C27" s="111" t="s">
        <v>1124</v>
      </c>
      <c r="D27" s="155" t="s">
        <v>1071</v>
      </c>
      <c r="E27" s="111">
        <v>0</v>
      </c>
      <c r="F27" s="111">
        <v>1</v>
      </c>
      <c r="G27" s="111" t="s">
        <v>0</v>
      </c>
      <c r="I27" s="111" t="str">
        <f t="shared" si="0"/>
        <v>Attester Fiscal Code</v>
      </c>
    </row>
    <row r="28" spans="1:9" x14ac:dyDescent="0.75">
      <c r="A28" s="111">
        <v>22</v>
      </c>
      <c r="B28" s="111" t="s">
        <v>1127</v>
      </c>
      <c r="C28" s="111" t="s">
        <v>1125</v>
      </c>
      <c r="D28" s="155" t="s">
        <v>1072</v>
      </c>
      <c r="E28" s="111">
        <v>0</v>
      </c>
      <c r="F28" s="111">
        <v>1</v>
      </c>
      <c r="G28" s="111" t="s">
        <v>1</v>
      </c>
      <c r="I28" s="111" t="str">
        <f t="shared" si="0"/>
        <v>Custodian</v>
      </c>
    </row>
    <row r="29" spans="1:9" x14ac:dyDescent="0.75">
      <c r="A29" s="111"/>
      <c r="B29" s="111"/>
      <c r="C29" s="111"/>
      <c r="D29" s="112"/>
      <c r="E29" s="111"/>
      <c r="F29" s="111"/>
      <c r="G29" s="111"/>
      <c r="I29" s="111" t="str">
        <f t="shared" si="0"/>
        <v/>
      </c>
    </row>
    <row r="30" spans="1:9" x14ac:dyDescent="0.75">
      <c r="A30" s="111"/>
      <c r="B30" s="111"/>
      <c r="C30" s="111"/>
      <c r="E30" s="111"/>
      <c r="F30" s="111"/>
      <c r="G30" s="111"/>
      <c r="I30" s="111" t="str">
        <f t="shared" si="0"/>
        <v/>
      </c>
    </row>
    <row r="31" spans="1:9" x14ac:dyDescent="0.75">
      <c r="A31" s="111"/>
      <c r="B31" s="111"/>
      <c r="C31" s="29"/>
      <c r="E31" s="111"/>
      <c r="F31" s="111"/>
      <c r="G31" s="111"/>
      <c r="I31" s="111" t="str">
        <f t="shared" si="0"/>
        <v/>
      </c>
    </row>
    <row r="32" spans="1:9" x14ac:dyDescent="0.75">
      <c r="A32" s="111"/>
      <c r="B32" s="111"/>
      <c r="C32" s="27"/>
      <c r="E32" s="113"/>
      <c r="F32" s="113"/>
      <c r="G32" s="111"/>
    </row>
    <row r="33" spans="1:7" x14ac:dyDescent="0.75">
      <c r="A33" s="111"/>
      <c r="B33" s="111"/>
      <c r="C33" s="28"/>
      <c r="E33" s="113"/>
      <c r="F33" s="113"/>
      <c r="G33" s="111"/>
    </row>
    <row r="34" spans="1:7" x14ac:dyDescent="0.75">
      <c r="A34" s="111"/>
      <c r="B34" s="111"/>
      <c r="C34" s="29"/>
      <c r="E34" s="113"/>
      <c r="F34" s="113"/>
      <c r="G34" s="111"/>
    </row>
    <row r="35" spans="1:7" x14ac:dyDescent="0.75">
      <c r="A35" s="111"/>
      <c r="B35" s="111"/>
      <c r="C35" s="29"/>
      <c r="E35" s="113"/>
      <c r="F35" s="113"/>
      <c r="G35" s="111"/>
    </row>
    <row r="36" spans="1:7" x14ac:dyDescent="0.75">
      <c r="A36" s="111"/>
      <c r="E36" s="113"/>
      <c r="F36" s="113"/>
      <c r="G36" s="111"/>
    </row>
    <row r="37" spans="1:7" x14ac:dyDescent="0.75">
      <c r="A37" s="111"/>
      <c r="B37" s="111"/>
      <c r="C37" s="29"/>
      <c r="D37" s="28"/>
      <c r="E37" s="113"/>
      <c r="F37" s="113"/>
      <c r="G37" s="111"/>
    </row>
    <row r="38" spans="1:7" x14ac:dyDescent="0.75">
      <c r="A38" s="111"/>
      <c r="E38" s="113"/>
      <c r="F38" s="113"/>
      <c r="G38" s="111"/>
    </row>
    <row r="39" spans="1:7" x14ac:dyDescent="0.75">
      <c r="A39" s="111"/>
      <c r="E39" s="113"/>
      <c r="F39" s="113"/>
      <c r="G39" s="111"/>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19" workbookViewId="0">
      <selection activeCell="B24" sqref="B24:H24"/>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differential.element[",'Meta-1'!A6,"].id = """,'Meta-1'!B6,"""")</f>
        <v>* differential.element[0].id = "DocMetadataFSE"</v>
      </c>
      <c r="C1" s="13" t="str">
        <f>CONCATENATE("* differential.element[",'Meta-1'!A6,"].path = """,'Meta-1'!$B$6,"""")</f>
        <v>* differential.element[0].path = "DocMetadataFSE"</v>
      </c>
      <c r="D1" s="13" t="str">
        <f>CONCATENATE("* differential.element[",'Meta-1'!A6,"].short = """,'Meta-1'!C6,"""")</f>
        <v>* differential.element[0].short = "Metadata FSE Italy"</v>
      </c>
      <c r="E1" s="13" t="str">
        <f>CONCATENATE("* differential.element[",'Meta-1'!A6,"].definition = """,'Meta-1'!D6,"""")</f>
        <v>* differential.element[0].definition = "Metadata FSE Italy"</v>
      </c>
      <c r="F1" s="13" t="str">
        <f>CONCATENATE("* differential.element[",'Meta-1'!A6,"].min = ",'Meta-1'!E6,"")</f>
        <v>* differential.element[0].min = 1</v>
      </c>
      <c r="G1" s="13" t="str">
        <f>CONCATENATE("* differential.element[",'Meta-1'!A6,"].max = """,'Meta-1'!F6,"""")</f>
        <v>* differential.element[0].max = "1"</v>
      </c>
      <c r="H1" s="13"/>
    </row>
    <row r="2" spans="2:10" ht="88.5" x14ac:dyDescent="0.75">
      <c r="B2" s="112" t="str">
        <f>CONCATENATE("* differential.element[",'Meta-1'!$A7,"].id = """,'Meta-1'!$B$6,".",'Meta-1'!B7,"""")</f>
        <v>* differential.element[1].id = "DocMetadataFSE.identifier"</v>
      </c>
      <c r="C2" s="112" t="str">
        <f>CONCATENATE("* differential.element[",'Meta-1'!$A7,"].path = """,'Meta-1'!$B$6,".",'Meta-1'!B7,"""")</f>
        <v>* differential.element[1].path = "DocMetadataFSE.identifier"</v>
      </c>
      <c r="D2" s="112" t="str">
        <f>CONCATENATE("* differential.element[",'Meta-1'!A7,"].short = """,'Meta-1'!C7,"""")</f>
        <v>* differential.element[1].short = "document ID"</v>
      </c>
      <c r="E2" s="112" t="str">
        <f>CONCATENATE("* differential.element[",'Meta-1'!A7,"].definition = """,'Meta-1'!D7,"""")</f>
        <v>* differential.element[1].definition = "Id documento (dovrebbe essere sull'oid root di regione Liguria) oid root + extension che comincia per nostro standard con le ultime tre cifre del codice azienda (940 per Gaslini) più punto più id univoco all'interno dell'azienda)"</v>
      </c>
      <c r="F2" s="112" t="str">
        <f>CONCATENATE("* differential.element[",'Meta-1'!A7,"].min = ",'Meta-1'!E7,"")</f>
        <v>* differential.element[1].min = 0</v>
      </c>
      <c r="G2" s="112" t="str">
        <f>CONCATENATE("* differential.element[",'Meta-1'!A7,"].max = """,'Meta-1'!F7,"""")</f>
        <v>* differential.element[1].max = "1"</v>
      </c>
      <c r="H2" s="112" t="str">
        <f>CONCATENATE("* differential.element[",'Meta-1'!A7,"].type.code = #",'Meta-1'!G7,"")</f>
        <v>* differential.element[1].type.code = #Identifier</v>
      </c>
      <c r="I2" s="9"/>
      <c r="J2" s="109" t="s">
        <v>9</v>
      </c>
    </row>
    <row r="3" spans="2:10" ht="88.5" x14ac:dyDescent="0.75">
      <c r="B3" s="112" t="str">
        <f>CONCATENATE("* differential.element[",'Meta-1'!$A8,"].id = """,'Meta-1'!$B$6,".",'Meta-1'!B8,"""")</f>
        <v>* differential.element[2].id = "DocMetadataFSE.mimeType"</v>
      </c>
      <c r="C3" s="112" t="str">
        <f>CONCATENATE("* differential.element[",'Meta-1'!$A8,"].path = """,'Meta-1'!$B$6,".",'Meta-1'!B8,"""")</f>
        <v>* differential.element[2].path = "DocMetadataFSE.mimeType"</v>
      </c>
      <c r="D3" s="112" t="str">
        <f>CONCATENATE("* differential.element[",'Meta-1'!A8,"].short = """,'Meta-1'!C8,"""")</f>
        <v>* differential.element[2].short = "MIME type"</v>
      </c>
      <c r="E3" s="112" t="str">
        <f>CONCATENATE("* differential.element[",'Meta-1'!A8,"].definition = """,'Meta-1'!D8,"""")</f>
        <v>* differential.element[2].definition = "Tipo mime del documento"</v>
      </c>
      <c r="F3" s="112" t="str">
        <f>CONCATENATE("* differential.element[",'Meta-1'!A8,"].min = ",'Meta-1'!E8,"")</f>
        <v>* differential.element[2].min = 0</v>
      </c>
      <c r="G3" s="112" t="str">
        <f>CONCATENATE("* differential.element[",'Meta-1'!A8,"].max = """,'Meta-1'!F8,"""")</f>
        <v>* differential.element[2].max = "1"</v>
      </c>
      <c r="H3" s="112" t="str">
        <f>CONCATENATE("* differential.element[",'Meta-1'!A8,"].type.code = #",'Meta-1'!G8,"")</f>
        <v>* differential.element[2].type.code = #code</v>
      </c>
      <c r="I3" s="9"/>
      <c r="J3" s="109" t="s">
        <v>10</v>
      </c>
    </row>
    <row r="4" spans="2:10" ht="88.5" x14ac:dyDescent="0.75">
      <c r="B4" s="112" t="str">
        <f>CONCATENATE("* differential.element[",'Meta-1'!$A9,"].id = """,'Meta-1'!$B$6,".",'Meta-1'!B9,"""")</f>
        <v>* differential.element[3].id = "DocMetadataFSE.size"</v>
      </c>
      <c r="C4" s="112" t="str">
        <f>CONCATENATE("* differential.element[",'Meta-1'!$A9,"].path = """,'Meta-1'!$B$6,".",'Meta-1'!B9,"""")</f>
        <v>* differential.element[3].path = "DocMetadataFSE.size"</v>
      </c>
      <c r="D4" s="112" t="str">
        <f>CONCATENATE("* differential.element[",'Meta-1'!A9,"].short = """,'Meta-1'!C9,"""")</f>
        <v>* differential.element[3].short = "size"</v>
      </c>
      <c r="E4" s="112" t="str">
        <f>CONCATENATE("* differential.element[",'Meta-1'!A9,"].definition = """,'Meta-1'!D9,"""")</f>
        <v>* differential.element[3].definition = "Size del documento"</v>
      </c>
      <c r="F4" s="112" t="str">
        <f>CONCATENATE("* differential.element[",'Meta-1'!A9,"].min = ",'Meta-1'!E9,"")</f>
        <v>* differential.element[3].min = 0</v>
      </c>
      <c r="G4" s="112" t="str">
        <f>CONCATENATE("* differential.element[",'Meta-1'!A9,"].max = """,'Meta-1'!F9,"""")</f>
        <v>* differential.element[3].max = "1"</v>
      </c>
      <c r="H4" s="112" t="str">
        <f>CONCATENATE("* differential.element[",'Meta-1'!A9,"].type.code = #",'Meta-1'!G9,"")</f>
        <v>* differential.element[3].type.code = #unsignedInt</v>
      </c>
      <c r="I4" s="9"/>
      <c r="J4" s="109" t="s">
        <v>11</v>
      </c>
    </row>
    <row r="5" spans="2:10" ht="88.5" x14ac:dyDescent="0.75">
      <c r="B5" s="112" t="str">
        <f>CONCATENATE("* differential.element[",'Meta-1'!$A10,"].id = """,'Meta-1'!$B$6,".",'Meta-1'!B10,"""")</f>
        <v>* differential.element[4].id = "DocMetadataFSE.hash"</v>
      </c>
      <c r="C5" s="112" t="str">
        <f>CONCATENATE("* differential.element[",'Meta-1'!$A10,"].path = """,'Meta-1'!$B$6,".",'Meta-1'!B10,"""")</f>
        <v>* differential.element[4].path = "DocMetadataFSE.hash"</v>
      </c>
      <c r="D5" s="112" t="str">
        <f>CONCATENATE("* differential.element[",'Meta-1'!A10,"].short = """,'Meta-1'!C10,"""")</f>
        <v>* differential.element[4].short = "hash"</v>
      </c>
      <c r="E5" s="112" t="str">
        <f>CONCATENATE("* differential.element[",'Meta-1'!A10,"].definition = """,'Meta-1'!D10,"""")</f>
        <v>* differential.element[4].definition = "Hash del documento"</v>
      </c>
      <c r="F5" s="112" t="str">
        <f>CONCATENATE("* differential.element[",'Meta-1'!A10,"].min = ",'Meta-1'!E10,"")</f>
        <v>* differential.element[4].min = 0</v>
      </c>
      <c r="G5" s="112" t="str">
        <f>CONCATENATE("* differential.element[",'Meta-1'!A10,"].max = """,'Meta-1'!F10,"""")</f>
        <v>* differential.element[4].max = "1"</v>
      </c>
      <c r="H5" s="112" t="str">
        <f>CONCATENATE("* differential.element[",'Meta-1'!A10,"].type.code = #",'Meta-1'!G10,"")</f>
        <v>* differential.element[4].type.code = #base64Binary</v>
      </c>
      <c r="I5" s="9"/>
      <c r="J5" s="109" t="s">
        <v>12</v>
      </c>
    </row>
    <row r="6" spans="2:10" ht="88.5" x14ac:dyDescent="0.75">
      <c r="B6" s="112" t="str">
        <f>CONCATENATE("* differential.element[",'Meta-1'!$A11,"].id = """,'Meta-1'!$B$6,".",'Meta-1'!B11,"""")</f>
        <v>* differential.element[5].id = "DocMetadataFSE.code"</v>
      </c>
      <c r="C6" s="112" t="str">
        <f>CONCATENATE("* differential.element[",'Meta-1'!$A11,"].path = """,'Meta-1'!$B$6,".",'Meta-1'!B11,"""")</f>
        <v>* differential.element[5].path = "DocMetadataFSE.code"</v>
      </c>
      <c r="D6" s="112" t="str">
        <f>CONCATENATE("* differential.element[",'Meta-1'!A11,"].short = """,'Meta-1'!C11,"""")</f>
        <v>* differential.element[5].short = "document code"</v>
      </c>
      <c r="E6" s="112" t="str">
        <f>CONCATENATE("* differential.element[",'Meta-1'!A11,"].definition = """,'Meta-1'!D11,"""")</f>
        <v>* differential.element[5].definition = "Codice loinc del documento (parliamone)"</v>
      </c>
      <c r="F6" s="112" t="str">
        <f>CONCATENATE("* differential.element[",'Meta-1'!A11,"].min = ",'Meta-1'!E11,"")</f>
        <v>* differential.element[5].min = 0</v>
      </c>
      <c r="G6" s="112" t="str">
        <f>CONCATENATE("* differential.element[",'Meta-1'!A11,"].max = """,'Meta-1'!F11,"""")</f>
        <v>* differential.element[5].max = "1"</v>
      </c>
      <c r="H6" s="112" t="str">
        <f>CONCATENATE("* differential.element[",'Meta-1'!A11,"].type.code = #",'Meta-1'!G11,"")</f>
        <v>* differential.element[5].type.code = #CodeableConcept</v>
      </c>
      <c r="I6" s="9"/>
      <c r="J6" s="109" t="s">
        <v>13</v>
      </c>
    </row>
    <row r="7" spans="2:10" ht="88.5" x14ac:dyDescent="0.75">
      <c r="B7" s="112" t="str">
        <f>CONCATENATE("* differential.element[",'Meta-1'!$A12,"].id = """,'Meta-1'!$B$6,".",'Meta-1'!B12,"""")</f>
        <v>* differential.element[6].id = "DocMetadataFSE.classCode"</v>
      </c>
      <c r="C7" s="112" t="str">
        <f>CONCATENATE("* differential.element[",'Meta-1'!$A12,"].path = """,'Meta-1'!$B$6,".",'Meta-1'!B12,"""")</f>
        <v>* differential.element[6].path = "DocMetadataFSE.classCode"</v>
      </c>
      <c r="D7" s="112" t="str">
        <f>CONCATENATE("* differential.element[",'Meta-1'!A12,"].short = """,'Meta-1'!C12,"""")</f>
        <v>* differential.element[6].short = "Type of document"</v>
      </c>
      <c r="E7" s="112" t="str">
        <f>CONCATENATE("* differential.element[",'Meta-1'!A12,"].definition = """,'Meta-1'!D12,"""")</f>
        <v>* differential.element[6].definition = "Tipo documento (REF)"</v>
      </c>
      <c r="F7" s="112" t="str">
        <f>CONCATENATE("* differential.element[",'Meta-1'!A12,"].min = ",'Meta-1'!E12,"")</f>
        <v>* differential.element[6].min = 0</v>
      </c>
      <c r="G7" s="112" t="str">
        <f>CONCATENATE("* differential.element[",'Meta-1'!A12,"].max = """,'Meta-1'!F12,"""")</f>
        <v>* differential.element[6].max = "1"</v>
      </c>
      <c r="H7" s="112" t="str">
        <f>CONCATENATE("* differential.element[",'Meta-1'!A12,"].type.code = #",'Meta-1'!G12,"")</f>
        <v>* differential.element[6].type.code = #CodeableConcept</v>
      </c>
      <c r="I7" s="9"/>
      <c r="J7" s="109" t="s">
        <v>14</v>
      </c>
    </row>
    <row r="8" spans="2:10" ht="88.5" x14ac:dyDescent="0.75">
      <c r="B8" s="112" t="str">
        <f>CONCATENATE("* differential.element[",'Meta-1'!$A13,"].id = """,'Meta-1'!$B$6,".",'Meta-1'!B13,"""")</f>
        <v>* differential.element[7].id = "DocMetadataFSE.contentType"</v>
      </c>
      <c r="C8" s="112" t="str">
        <f>CONCATENATE("* differential.element[",'Meta-1'!$A13,"].path = """,'Meta-1'!$B$6,".",'Meta-1'!B13,"""")</f>
        <v>* differential.element[7].path = "DocMetadataFSE.contentType"</v>
      </c>
      <c r="D8" s="112" t="str">
        <f>CONCATENATE("* differential.element[",'Meta-1'!A13,"].short = """,'Meta-1'!C13,"""")</f>
        <v>* differential.element[7].short = "Content Type"</v>
      </c>
      <c r="E8" s="112" t="str">
        <f>CONCATENATE("* differential.element[",'Meta-1'!A13,"].definition = """,'Meta-1'!D13,"""")</f>
        <v>* differential.element[7].definition = "Content type code (da decidere se consulto o dimissione)"</v>
      </c>
      <c r="F8" s="112" t="str">
        <f>CONCATENATE("* differential.element[",'Meta-1'!A13,"].min = ",'Meta-1'!E13,"")</f>
        <v>* differential.element[7].min = 0</v>
      </c>
      <c r="G8" s="112" t="str">
        <f>CONCATENATE("* differential.element[",'Meta-1'!A13,"].max = """,'Meta-1'!F13,"""")</f>
        <v>* differential.element[7].max = "1"</v>
      </c>
      <c r="H8" s="112" t="str">
        <f>CONCATENATE("* differential.element[",'Meta-1'!A13,"].type.code = #",'Meta-1'!G13,"")</f>
        <v>* differential.element[7].type.code = #CodeableConcept</v>
      </c>
      <c r="I8" s="9"/>
      <c r="J8" s="109" t="s">
        <v>15</v>
      </c>
    </row>
    <row r="9" spans="2:10" ht="88.5" x14ac:dyDescent="0.75">
      <c r="B9" s="112" t="str">
        <f>CONCATENATE("* differential.element[",'Meta-1'!$A14,"].id = """,'Meta-1'!$B$6,".",'Meta-1'!B14,"""")</f>
        <v>* differential.element[8].id = "DocMetadataFSE.creationDate"</v>
      </c>
      <c r="C9" s="112" t="str">
        <f>CONCATENATE("* differential.element[",'Meta-1'!$A14,"].path = """,'Meta-1'!$B$6,".",'Meta-1'!B14,"""")</f>
        <v>* differential.element[8].path = "DocMetadataFSE.creationDate"</v>
      </c>
      <c r="D9" s="112" t="str">
        <f>CONCATENATE("* differential.element[",'Meta-1'!A14,"].short = """,'Meta-1'!C14,"""")</f>
        <v>* differential.element[8].short = "creation date"</v>
      </c>
      <c r="E9" s="112" t="str">
        <f>CONCATENATE("* differential.element[",'Meta-1'!A14,"].definition = """,'Meta-1'!D14,"""")</f>
        <v>* differential.element[8].definition = "Data creazione del documento"</v>
      </c>
      <c r="F9" s="112" t="str">
        <f>CONCATENATE("* differential.element[",'Meta-1'!A14,"].min = ",'Meta-1'!E14,"")</f>
        <v>* differential.element[8].min = 0</v>
      </c>
      <c r="G9" s="112" t="str">
        <f>CONCATENATE("* differential.element[",'Meta-1'!A14,"].max = """,'Meta-1'!F14,"""")</f>
        <v>* differential.element[8].max = "1"</v>
      </c>
      <c r="H9" s="112" t="str">
        <f>CONCATENATE("* differential.element[",'Meta-1'!A14,"].type.code = #",'Meta-1'!G14,"")</f>
        <v>* differential.element[8].type.code = #dateTime</v>
      </c>
      <c r="I9" s="9"/>
    </row>
    <row r="10" spans="2:10" ht="88.5" x14ac:dyDescent="0.75">
      <c r="B10" s="112" t="str">
        <f>CONCATENATE("* differential.element[",'Meta-1'!$A15,"].id = """,'Meta-1'!$B$6,".",'Meta-1'!B15,"""")</f>
        <v>* differential.element[9].id = "DocMetadataFSE.confidentiality"</v>
      </c>
      <c r="C10" s="112" t="str">
        <f>CONCATENATE("* differential.element[",'Meta-1'!$A15,"].path = """,'Meta-1'!$B$6,".",'Meta-1'!B15,"""")</f>
        <v>* differential.element[9].path = "DocMetadataFSE.confidentiality"</v>
      </c>
      <c r="D10" s="112" t="str">
        <f>CONCATENATE("* differential.element[",'Meta-1'!A15,"].short = """,'Meta-1'!C15,"""")</f>
        <v>* differential.element[9].short = "confidentiality"</v>
      </c>
      <c r="E10" s="112" t="str">
        <f>CONCATENATE("* differential.element[",'Meta-1'!A15,"].definition = """,'Meta-1'!D15,"""")</f>
        <v>* differential.element[9].definition = "Confidentiality (propendo per V, sarebbe un default))"</v>
      </c>
      <c r="F10" s="112" t="str">
        <f>CONCATENATE("* differential.element[",'Meta-1'!A15,"].min = ",'Meta-1'!E15,"")</f>
        <v>* differential.element[9].min = 0</v>
      </c>
      <c r="G10" s="112" t="str">
        <f>CONCATENATE("* differential.element[",'Meta-1'!A15,"].max = """,'Meta-1'!F15,"""")</f>
        <v>* differential.element[9].max = "1"</v>
      </c>
      <c r="H10" s="112" t="str">
        <f>CONCATENATE("* differential.element[",'Meta-1'!A15,"].type.code = #",'Meta-1'!G15,"")</f>
        <v>* differential.element[9].type.code = #CodeableConcept</v>
      </c>
      <c r="I10" s="9"/>
    </row>
    <row r="11" spans="2:10" ht="88.5" x14ac:dyDescent="0.75">
      <c r="B11" s="112" t="str">
        <f>CONCATENATE("* differential.element[",'Meta-1'!$A16,"].id = """,'Meta-1'!$B$6,".",'Meta-1'!B16,"""")</f>
        <v>* differential.element[10].id = "DocMetadataFSE.mask"</v>
      </c>
      <c r="C11" s="112" t="str">
        <f>CONCATENATE("* differential.element[",'Meta-1'!$A16,"].path = """,'Meta-1'!$B$6,".",'Meta-1'!B16,"""")</f>
        <v>* differential.element[10].path = "DocMetadataFSE.mask"</v>
      </c>
      <c r="D11" s="112" t="str">
        <f>CONCATENATE("* differential.element[",'Meta-1'!A16,"].short = """,'Meta-1'!C16,"""")</f>
        <v>* differential.element[10].short = "mask (oscuramento)"</v>
      </c>
      <c r="E11" s="112" t="str">
        <f>CONCATENATE("* differential.element[",'Meta-1'!A16,"].definition = """,'Meta-1'!D16,"""")</f>
        <v>* differential.element[10].definition = "Oscuramento (propendo per l'invio come oscurato, sarebbe un default)"</v>
      </c>
      <c r="F11" s="112" t="str">
        <f>CONCATENATE("* differential.element[",'Meta-1'!A16,"].min = ",'Meta-1'!E16,"")</f>
        <v>* differential.element[10].min = 0</v>
      </c>
      <c r="G11" s="112" t="str">
        <f>CONCATENATE("* differential.element[",'Meta-1'!A16,"].max = """,'Meta-1'!F16,"""")</f>
        <v>* differential.element[10].max = "1"</v>
      </c>
      <c r="H11" s="112" t="str">
        <f>CONCATENATE("* differential.element[",'Meta-1'!A16,"].type.code = #",'Meta-1'!G16,"")</f>
        <v>* differential.element[10].type.code = #CodeableConcept</v>
      </c>
      <c r="I11" s="9"/>
    </row>
    <row r="12" spans="2:10" ht="88.5" x14ac:dyDescent="0.75">
      <c r="B12" s="112" t="str">
        <f>CONCATENATE("* differential.element[",'Meta-1'!$A17,"].id = """,'Meta-1'!$B$6,".",'Meta-1'!B17,"""")</f>
        <v>* differential.element[11].id = "DocMetadataFSE.replace"</v>
      </c>
      <c r="C12" s="112" t="str">
        <f>CONCATENATE("* differential.element[",'Meta-1'!$A17,"].path = """,'Meta-1'!$B$6,".",'Meta-1'!B17,"""")</f>
        <v>* differential.element[11].path = "DocMetadataFSE.replace"</v>
      </c>
      <c r="D12" s="112" t="str">
        <f>CONCATENATE("* differential.element[",'Meta-1'!A17,"].short = """,'Meta-1'!C17,"""")</f>
        <v>* differential.element[11].short = "replaced document"</v>
      </c>
      <c r="E12" s="112" t="str">
        <f>CONCATENATE("* differential.element[",'Meta-1'!A17,"].definition = """,'Meta-1'!D17,"""")</f>
        <v>* differential.element[11].definition = "Eventuale documento sostituito (oid + extension)"</v>
      </c>
      <c r="F12" s="112" t="str">
        <f>CONCATENATE("* differential.element[",'Meta-1'!A17,"].min = ",'Meta-1'!E17,"")</f>
        <v>* differential.element[11].min = 0</v>
      </c>
      <c r="G12" s="112" t="str">
        <f>CONCATENATE("* differential.element[",'Meta-1'!A17,"].max = """,'Meta-1'!F17,"""")</f>
        <v>* differential.element[11].max = "1"</v>
      </c>
      <c r="H12" s="112" t="str">
        <f>CONCATENATE("* differential.element[",'Meta-1'!A17,"].type.code = #",'Meta-1'!G17,"")</f>
        <v>* differential.element[11].type.code = #Identifier</v>
      </c>
      <c r="I12" s="9"/>
    </row>
    <row r="13" spans="2:10" ht="88.5" x14ac:dyDescent="0.75">
      <c r="B13" s="112" t="str">
        <f>CONCATENATE("* differential.element[",'Meta-1'!$A18,"].id = """,'Meta-1'!$B$6,".",'Meta-1'!B18,"""")</f>
        <v>* differential.element[12].id = "DocMetadataFSE.formatCode"</v>
      </c>
      <c r="C13" s="112" t="str">
        <f>CONCATENATE("* differential.element[",'Meta-1'!$A18,"].path = """,'Meta-1'!$B$6,".",'Meta-1'!B18,"""")</f>
        <v>* differential.element[12].path = "DocMetadataFSE.formatCode"</v>
      </c>
      <c r="D13" s="112" t="str">
        <f>CONCATENATE("* differential.element[",'Meta-1'!A18,"].short = """,'Meta-1'!C18,"""")</f>
        <v>* differential.element[12].short = "Format of document"</v>
      </c>
      <c r="E13" s="112" t="str">
        <f>CONCATENATE("* differential.element[",'Meta-1'!A18,"].definition = """,'Meta-1'!D18,"""")</f>
        <v>* differential.element[12].definition = "Formato documento (PDF)"</v>
      </c>
      <c r="F13" s="112" t="str">
        <f>CONCATENATE("* differential.element[",'Meta-1'!A18,"].min = ",'Meta-1'!E18,"")</f>
        <v>* differential.element[12].min = 0</v>
      </c>
      <c r="G13" s="112" t="str">
        <f>CONCATENATE("* differential.element[",'Meta-1'!A18,"].max = """,'Meta-1'!F18,"""")</f>
        <v>* differential.element[12].max = "1"</v>
      </c>
      <c r="H13" s="112" t="str">
        <f>CONCATENATE("* differential.element[",'Meta-1'!A18,"].type.code = #",'Meta-1'!G18,"")</f>
        <v>* differential.element[12].type.code = #CodeableConcept</v>
      </c>
      <c r="I13" s="9"/>
    </row>
    <row r="14" spans="2:10" ht="88.5" x14ac:dyDescent="0.75">
      <c r="B14" s="112" t="str">
        <f>CONCATENATE("* differential.element[",'Meta-1'!$A19,"].id = """,'Meta-1'!$B$6,".",'Meta-1'!B19,"""")</f>
        <v>* differential.element[13].id = "DocMetadataFSE.repositoryId"</v>
      </c>
      <c r="C14" s="112" t="str">
        <f>CONCATENATE("* differential.element[",'Meta-1'!$A19,"].path = """,'Meta-1'!$B$6,".",'Meta-1'!B19,"""")</f>
        <v>* differential.element[13].path = "DocMetadataFSE.repositoryId"</v>
      </c>
      <c r="D14" s="112" t="str">
        <f>CONCATENATE("* differential.element[",'Meta-1'!A19,"].short = """,'Meta-1'!C19,"""")</f>
        <v>* differential.element[13].short = "Repository Id"</v>
      </c>
      <c r="E14" s="112" t="str">
        <f>CONCATENATE("* differential.element[",'Meta-1'!A19,"].definition = """,'Meta-1'!D19,"""")</f>
        <v>* differential.element[13].definition = "Id repository (Gaslini ne ha uno)"</v>
      </c>
      <c r="F14" s="112" t="str">
        <f>CONCATENATE("* differential.element[",'Meta-1'!A19,"].min = ",'Meta-1'!E19,"")</f>
        <v>* differential.element[13].min = 0</v>
      </c>
      <c r="G14" s="112" t="str">
        <f>CONCATENATE("* differential.element[",'Meta-1'!A19,"].max = """,'Meta-1'!F19,"""")</f>
        <v>* differential.element[13].max = "1"</v>
      </c>
      <c r="H14" s="112" t="str">
        <f>CONCATENATE("* differential.element[",'Meta-1'!A19,"].type.code = #",'Meta-1'!G19,"")</f>
        <v>* differential.element[13].type.code = #Identifier</v>
      </c>
      <c r="I14" s="9"/>
    </row>
    <row r="15" spans="2:10" ht="88.5" x14ac:dyDescent="0.75">
      <c r="B15" s="112" t="str">
        <f>CONCATENATE("* differential.element[",'Meta-1'!$A20,"].id = """,'Meta-1'!$B$6,".",'Meta-1'!B20,"""")</f>
        <v>* differential.element[14].id = "DocMetadataFSE.indexDate"</v>
      </c>
      <c r="C15" s="112" t="str">
        <f>CONCATENATE("* differential.element[",'Meta-1'!$A20,"].path = """,'Meta-1'!$B$6,".",'Meta-1'!B20,"""")</f>
        <v>* differential.element[14].path = "DocMetadataFSE.indexDate"</v>
      </c>
      <c r="D15" s="112" t="str">
        <f>CONCATENATE("* differential.element[",'Meta-1'!A20,"].short = """,'Meta-1'!C20,"""")</f>
        <v>* differential.element[14].short = "Index Date"</v>
      </c>
      <c r="E15" s="112" t="str">
        <f>CONCATENATE("* differential.element[",'Meta-1'!A20,"].definition = """,'Meta-1'!D20,"""")</f>
        <v>* differential.element[14].definition = "Data indicizzazione (la aggiunge chi indicizza)"</v>
      </c>
      <c r="F15" s="112" t="str">
        <f>CONCATENATE("* differential.element[",'Meta-1'!A20,"].min = ",'Meta-1'!E20,"")</f>
        <v>* differential.element[14].min = 0</v>
      </c>
      <c r="G15" s="112" t="str">
        <f>CONCATENATE("* differential.element[",'Meta-1'!A20,"].max = """,'Meta-1'!F20,"""")</f>
        <v>* differential.element[14].max = "1"</v>
      </c>
      <c r="H15" s="112" t="str">
        <f>CONCATENATE("* differential.element[",'Meta-1'!A20,"].type.code = #",'Meta-1'!G20,"")</f>
        <v>* differential.element[14].type.code = #dateTime</v>
      </c>
      <c r="I15" s="9"/>
    </row>
    <row r="16" spans="2:10" ht="88.5" x14ac:dyDescent="0.75">
      <c r="B16" s="112" t="str">
        <f>CONCATENATE("* differential.element[",'Meta-1'!$A21,"].id = """,'Meta-1'!$B$6,".",'Meta-1'!B21,"""")</f>
        <v>* differential.element[15].id = "DocMetadataFSE.practiceSettingCode"</v>
      </c>
      <c r="C16" s="112" t="str">
        <f>CONCATENATE("* differential.element[",'Meta-1'!$A21,"].path = """,'Meta-1'!$B$6,".",'Meta-1'!B21,"""")</f>
        <v>* differential.element[15].path = "DocMetadataFSE.practiceSettingCode"</v>
      </c>
      <c r="D16" s="112" t="str">
        <f>CONCATENATE("* differential.element[",'Meta-1'!A21,"].short = """,'Meta-1'!C21,"""")</f>
        <v>* differential.element[15].short = "Practice setting code"</v>
      </c>
      <c r="E16" s="112" t="str">
        <f>CONCATENATE("* differential.element[",'Meta-1'!A21,"].definition = """,'Meta-1'!D21,"""")</f>
        <v>* differential.element[15].definition = "Practice setting code (da stabilire con Gaslini)"</v>
      </c>
      <c r="F16" s="112" t="str">
        <f>CONCATENATE("* differential.element[",'Meta-1'!A21,"].min = ",'Meta-1'!E21,"")</f>
        <v>* differential.element[15].min = 0</v>
      </c>
      <c r="G16" s="112" t="str">
        <f>CONCATENATE("* differential.element[",'Meta-1'!A21,"].max = """,'Meta-1'!F21,"""")</f>
        <v>* differential.element[15].max = "1"</v>
      </c>
      <c r="H16" s="112" t="str">
        <f>CONCATENATE("* differential.element[",'Meta-1'!A21,"].type.code = #",'Meta-1'!G21,"")</f>
        <v>* differential.element[15].type.code = #CodeableConcept</v>
      </c>
      <c r="I16" s="9"/>
    </row>
    <row r="17" spans="2:9" ht="88.5" x14ac:dyDescent="0.75">
      <c r="B17" s="112" t="str">
        <f>CONCATENATE("* differential.element[",'Meta-1'!$A22,"].id = """,'Meta-1'!$B$6,".",'Meta-1'!B22,"""")</f>
        <v>* differential.element[16].id = "DocMetadataFSE.patientFiscalCode"</v>
      </c>
      <c r="C17" s="112" t="str">
        <f>CONCATENATE("* differential.element[",'Meta-1'!$A22,"].path = """,'Meta-1'!$B$6,".",'Meta-1'!B22,"""")</f>
        <v>* differential.element[16].path = "DocMetadataFSE.patientFiscalCode"</v>
      </c>
      <c r="D17" s="112" t="str">
        <f>CONCATENATE("* differential.element[",'Meta-1'!A22,"].short = """,'Meta-1'!C22,"""")</f>
        <v>* differential.element[16].short = "Patient Fiscal Code"</v>
      </c>
      <c r="E17" s="112" t="str">
        <f>CONCATENATE("* differential.element[",'Meta-1'!A22,"].definition = """,'Meta-1'!D22,"""")</f>
        <v>* differential.element[16].definition = "Codice fiscale paziente soggetto del documento"</v>
      </c>
      <c r="F17" s="112" t="str">
        <f>CONCATENATE("* differential.element[",'Meta-1'!A22,"].min = ",'Meta-1'!E22,"")</f>
        <v>* differential.element[16].min = 0</v>
      </c>
      <c r="G17" s="112" t="str">
        <f>CONCATENATE("* differential.element[",'Meta-1'!A22,"].max = """,'Meta-1'!F22,"""")</f>
        <v>* differential.element[16].max = "1"</v>
      </c>
      <c r="H17" s="112" t="str">
        <f>CONCATENATE("* differential.element[",'Meta-1'!A22,"].type.code = #",'Meta-1'!G22,"")</f>
        <v>* differential.element[16].type.code = #Identifier</v>
      </c>
      <c r="I17" s="9"/>
    </row>
    <row r="18" spans="2:9" ht="88.5" x14ac:dyDescent="0.75">
      <c r="B18" s="112" t="str">
        <f>CONCATENATE("* differential.element[",'Meta-1'!$A23,"].id = """,'Meta-1'!$B$6,".",'Meta-1'!B23,"""")</f>
        <v>* differential.element[17].id = "DocMetadataFSE.author"</v>
      </c>
      <c r="C18" s="112" t="str">
        <f>CONCATENATE("* differential.element[",'Meta-1'!$A23,"].path = """,'Meta-1'!$B$6,".",'Meta-1'!B23,"""")</f>
        <v>* differential.element[17].path = "DocMetadataFSE.author"</v>
      </c>
      <c r="D18" s="112" t="str">
        <f>CONCATENATE("* differential.element[",'Meta-1'!A23,"].short = """,'Meta-1'!C23,"""")</f>
        <v>* differential.element[17].short = "Author"</v>
      </c>
      <c r="E18" s="112" t="str">
        <f>CONCATENATE("* differential.element[",'Meta-1'!A23,"].definition = """,'Meta-1'!D23,"""")</f>
        <v>* differential.element[17].definition = "Author"</v>
      </c>
      <c r="F18" s="112" t="str">
        <f>CONCATENATE("* differential.element[",'Meta-1'!A23,"].min = ",'Meta-1'!E23,"")</f>
        <v>* differential.element[17].min = 0</v>
      </c>
      <c r="G18" s="112" t="str">
        <f>CONCATENATE("* differential.element[",'Meta-1'!A23,"].max = """,'Meta-1'!F23,"""")</f>
        <v>* differential.element[17].max = "1"</v>
      </c>
      <c r="H18" s="112" t="str">
        <f>CONCATENATE("* differential.element[",'Meta-1'!A23,"].type.code = #",'Meta-1'!G23,"")</f>
        <v>* differential.element[17].type.code = #BackboneElement</v>
      </c>
      <c r="I18" s="9"/>
    </row>
    <row r="19" spans="2:9" ht="88.5" x14ac:dyDescent="0.75">
      <c r="B19" s="112" t="str">
        <f>CONCATENATE("* differential.element[",'Meta-1'!$A24,"].id = """,'Meta-1'!$B$6,".",'Meta-1'!B24,"""")</f>
        <v>* differential.element[18].id = "DocMetadataFSE.author.fiscalCode"</v>
      </c>
      <c r="C19" s="112" t="str">
        <f>CONCATENATE("* differential.element[",'Meta-1'!$A24,"].path = """,'Meta-1'!$B$6,".",'Meta-1'!B24,"""")</f>
        <v>* differential.element[18].path = "DocMetadataFSE.author.fiscalCode"</v>
      </c>
      <c r="D19" s="112" t="str">
        <f>CONCATENATE("* differential.element[",'Meta-1'!A24,"].short = """,'Meta-1'!C24,"""")</f>
        <v>* differential.element[18].short = "Author Fiscal Code"</v>
      </c>
      <c r="E19" s="112" t="str">
        <f>CONCATENATE("* differential.element[",'Meta-1'!A24,"].definition = """,'Meta-1'!D24,"""")</f>
        <v>* differential.element[18].definition = "Codice fiscale autore del documento"</v>
      </c>
      <c r="F19" s="112" t="str">
        <f>CONCATENATE("* differential.element[",'Meta-1'!A24,"].min = ",'Meta-1'!E24,"")</f>
        <v>* differential.element[18].min = 0</v>
      </c>
      <c r="G19" s="112" t="str">
        <f>CONCATENATE("* differential.element[",'Meta-1'!A24,"].max = """,'Meta-1'!F24,"""")</f>
        <v>* differential.element[18].max = "1"</v>
      </c>
      <c r="H19" s="112" t="str">
        <f>CONCATENATE("* differential.element[",'Meta-1'!A24,"].type.code = #",'Meta-1'!G24,"")</f>
        <v>* differential.element[18].type.code = #Identifier</v>
      </c>
      <c r="I19" s="9"/>
    </row>
    <row r="20" spans="2:9" ht="88.5" x14ac:dyDescent="0.75">
      <c r="B20" s="112" t="str">
        <f>CONCATENATE("* differential.element[",'Meta-1'!$A25,"].id = """,'Meta-1'!$B$6,".",'Meta-1'!B25,"""")</f>
        <v>* differential.element[19].id = "DocMetadataFSE.author.orgCode"</v>
      </c>
      <c r="C20" s="112" t="str">
        <f>CONCATENATE("* differential.element[",'Meta-1'!$A25,"].path = """,'Meta-1'!$B$6,".",'Meta-1'!B25,"""")</f>
        <v>* differential.element[19].path = "DocMetadataFSE.author.orgCode"</v>
      </c>
      <c r="D20" s="112" t="str">
        <f>CONCATENATE("* differential.element[",'Meta-1'!A25,"].short = """,'Meta-1'!C25,"""")</f>
        <v>* differential.element[19].short = "Author Organization (code)"</v>
      </c>
      <c r="E20" s="112" t="str">
        <f>CONCATENATE("* differential.element[",'Meta-1'!A25,"].definition = """,'Meta-1'!D25,"""")</f>
        <v>* differential.element[19].definition = "Struttura dell'autore (codifica come sopra)"</v>
      </c>
      <c r="F20" s="112" t="str">
        <f>CONCATENATE("* differential.element[",'Meta-1'!A25,"].min = ",'Meta-1'!E25,"")</f>
        <v>* differential.element[19].min = 0</v>
      </c>
      <c r="G20" s="112" t="str">
        <f>CONCATENATE("* differential.element[",'Meta-1'!A25,"].max = """,'Meta-1'!F25,"""")</f>
        <v>* differential.element[19].max = "1"</v>
      </c>
      <c r="H20" s="112" t="str">
        <f>CONCATENATE("* differential.element[",'Meta-1'!A25,"].type.code = #",'Meta-1'!G25,"")</f>
        <v>* differential.element[19].type.code = #CodeableConcept</v>
      </c>
      <c r="I20" s="9"/>
    </row>
    <row r="21" spans="2:9" ht="88.5" x14ac:dyDescent="0.75">
      <c r="B21" s="112" t="str">
        <f>CONCATENATE("* differential.element[",'Meta-1'!$A26,"].id = """,'Meta-1'!$B$6,".",'Meta-1'!B26,"""")</f>
        <v>* differential.element[20].id = "DocMetadataFSE.author.role"</v>
      </c>
      <c r="C21" s="112" t="str">
        <f>CONCATENATE("* differential.element[",'Meta-1'!$A26,"].path = """,'Meta-1'!$B$6,".",'Meta-1'!B26,"""")</f>
        <v>* differential.element[20].path = "DocMetadataFSE.author.role"</v>
      </c>
      <c r="D21" s="112" t="str">
        <f>CONCATENATE("* differential.element[",'Meta-1'!A26,"].short = """,'Meta-1'!C26,"""")</f>
        <v>* differential.element[20].short = "Author Role (code)"</v>
      </c>
      <c r="E21" s="112" t="str">
        <f>CONCATENATE("* differential.element[",'Meta-1'!A26,"].definition = """,'Meta-1'!D26,"""")</f>
        <v>* differential.element[20].definition = "Ruolo autore (codifica come sopra)"</v>
      </c>
      <c r="F21" s="112" t="str">
        <f>CONCATENATE("* differential.element[",'Meta-1'!A26,"].min = ",'Meta-1'!E26,"")</f>
        <v>* differential.element[20].min = 0</v>
      </c>
      <c r="G21" s="112" t="str">
        <f>CONCATENATE("* differential.element[",'Meta-1'!A26,"].max = """,'Meta-1'!F26,"""")</f>
        <v>* differential.element[20].max = "1"</v>
      </c>
      <c r="H21" s="112" t="str">
        <f>CONCATENATE("* differential.element[",'Meta-1'!A26,"].type.code = #",'Meta-1'!G26,"")</f>
        <v>* differential.element[20].type.code = #CodeableConcept</v>
      </c>
      <c r="I21" s="9"/>
    </row>
    <row r="22" spans="2:9" ht="88.5" x14ac:dyDescent="0.75">
      <c r="B22" s="112" t="str">
        <f>CONCATENATE("* differential.element[",'Meta-1'!$A27,"].id = """,'Meta-1'!$B$6,".",'Meta-1'!B27,"""")</f>
        <v>* differential.element[21].id = "DocMetadataFSE.attesterFiscalCode"</v>
      </c>
      <c r="C22" s="112" t="str">
        <f>CONCATENATE("* differential.element[",'Meta-1'!$A27,"].path = """,'Meta-1'!$B$6,".",'Meta-1'!B27,"""")</f>
        <v>* differential.element[21].path = "DocMetadataFSE.attesterFiscalCode"</v>
      </c>
      <c r="D22" s="112" t="str">
        <f>CONCATENATE("* differential.element[",'Meta-1'!A27,"].short = """,'Meta-1'!C27,"""")</f>
        <v>* differential.element[21].short = "Attester Fiscal Code"</v>
      </c>
      <c r="E22" s="112" t="str">
        <f>CONCATENATE("* differential.element[",'Meta-1'!A27,"].definition = """,'Meta-1'!D27,"""")</f>
        <v>* differential.element[21].definition = "Firmatario del documento (codice fiscale)"</v>
      </c>
      <c r="F22" s="112" t="str">
        <f>CONCATENATE("* differential.element[",'Meta-1'!A27,"].min = ",'Meta-1'!E27,"")</f>
        <v>* differential.element[21].min = 0</v>
      </c>
      <c r="G22" s="112" t="str">
        <f>CONCATENATE("* differential.element[",'Meta-1'!A27,"].max = """,'Meta-1'!F27,"""")</f>
        <v>* differential.element[21].max = "1"</v>
      </c>
      <c r="H22" s="112" t="str">
        <f>CONCATENATE("* differential.element[",'Meta-1'!A27,"].type.code = #",'Meta-1'!G27,"")</f>
        <v>* differential.element[21].type.code = #Identifier</v>
      </c>
      <c r="I22" s="9"/>
    </row>
    <row r="23" spans="2:9" ht="88.5" x14ac:dyDescent="0.75">
      <c r="B23" s="112" t="str">
        <f>CONCATENATE("* differential.element[",'Meta-1'!$A28,"].id = """,'Meta-1'!$B$6,".",'Meta-1'!B28,"""")</f>
        <v>* differential.element[22].id = "DocMetadataFSE.custiodian"</v>
      </c>
      <c r="C23" s="112" t="str">
        <f>CONCATENATE("* differential.element[",'Meta-1'!$A28,"].path = """,'Meta-1'!$B$6,".",'Meta-1'!B28,"""")</f>
        <v>* differential.element[22].path = "DocMetadataFSE.custiodian"</v>
      </c>
      <c r="D23" s="112" t="str">
        <f>CONCATENATE("* differential.element[",'Meta-1'!A28,"].short = """,'Meta-1'!C28,"""")</f>
        <v>* differential.element[22].short = "Custodian"</v>
      </c>
      <c r="E23" s="112" t="str">
        <f>CONCATENATE("* differential.element[",'Meta-1'!A28,"].definition = """,'Meta-1'!D28,"""")</f>
        <v>* differential.element[22].definition = "Codice azienda custode del documento (070940)"</v>
      </c>
      <c r="F23" s="112" t="str">
        <f>CONCATENATE("* differential.element[",'Meta-1'!A28,"].min = ",'Meta-1'!E28,"")</f>
        <v>* differential.element[22].min = 0</v>
      </c>
      <c r="G23" s="112" t="str">
        <f>CONCATENATE("* differential.element[",'Meta-1'!A28,"].max = """,'Meta-1'!F28,"""")</f>
        <v>* differential.element[22].max = "1"</v>
      </c>
      <c r="H23" s="112" t="str">
        <f>CONCATENATE("* differential.element[",'Meta-1'!A28,"].type.code = #",'Meta-1'!G28,"")</f>
        <v>* differential.element[22].type.code = #CodeableConcept</v>
      </c>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9" sqref="D189:D25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",'Meta-1'!B6)</f>
        <v>Instance: DocMetadataFSE</v>
      </c>
    </row>
    <row r="3" spans="4:5" x14ac:dyDescent="0.75">
      <c r="D3" s="15" t="s">
        <v>24</v>
      </c>
    </row>
    <row r="4" spans="4:5" x14ac:dyDescent="0.75">
      <c r="D4" s="15" t="str">
        <f>CONCATENATE("Description: """,'Meta-1'!D2,"""")</f>
        <v>Description: "Metadata FSE Italy.
Maturity Level: 0"</v>
      </c>
      <c r="E4" s="15"/>
    </row>
    <row r="5" spans="4:5" x14ac:dyDescent="0.75">
      <c r="D5" s="15" t="str">
        <f>CONCATENATE("Title: """,'Meta-1'!C2,"""")</f>
        <v>Title: "Metadata FSE Italy"</v>
      </c>
      <c r="E5" s="15"/>
    </row>
    <row r="6" spans="4:5" x14ac:dyDescent="0.75">
      <c r="D6" s="15" t="s">
        <v>25</v>
      </c>
      <c r="E6" s="15"/>
    </row>
    <row r="7" spans="4:5" x14ac:dyDescent="0.75">
      <c r="D7" s="15"/>
      <c r="E7" s="15"/>
    </row>
    <row r="8" spans="4:5" x14ac:dyDescent="0.75">
      <c r="D8" s="15" t="str">
        <f>CONCATENATE("* publisher = """,'Meta-1'!B4,"""")</f>
        <v>* publisher = "PanCareSurPass project"</v>
      </c>
      <c r="E8" s="15"/>
    </row>
    <row r="9" spans="4:5" x14ac:dyDescent="0.75">
      <c r="D9" s="15" t="s">
        <v>26</v>
      </c>
      <c r="E9" s="15"/>
    </row>
    <row r="10" spans="4:5" x14ac:dyDescent="0.75">
      <c r="D10" s="15" t="str">
        <f>CONCATENATE("* url = """,'Meta-1'!B2,"/StructureDefinition/",'Meta-1'!B6,"""")</f>
        <v>* url = "http://hl7.eu/fhir/ig/pcsp/StructureDefinition/DocMetadataFSE"</v>
      </c>
      <c r="E10" s="15"/>
    </row>
    <row r="11" spans="4:5" x14ac:dyDescent="0.75">
      <c r="D11" s="15" t="str">
        <f>CONCATENATE("* name = """,'Meta-1'!C4,"""")</f>
        <v>* name = "DocMetadataFSE"</v>
      </c>
      <c r="E11" s="15"/>
    </row>
    <row r="12" spans="4:5" x14ac:dyDescent="0.75">
      <c r="D12" s="15" t="str">
        <f>CONCATENATE("* title = """,'Meta-1'!C2,"""")</f>
        <v>* title = "Metadata FSE Italy"</v>
      </c>
      <c r="E12" s="15"/>
    </row>
    <row r="13" spans="4:5" x14ac:dyDescent="0.75">
      <c r="D13" s="15" t="s">
        <v>26</v>
      </c>
      <c r="E13" s="15"/>
    </row>
    <row r="14" spans="4:5" x14ac:dyDescent="0.75">
      <c r="D14" s="15" t="s">
        <v>27</v>
      </c>
      <c r="E14" s="15"/>
    </row>
    <row r="15" spans="4:5" x14ac:dyDescent="0.75">
      <c r="D15" s="15" t="str">
        <f>CONCATENATE("* description = """,'Meta-1'!D2,"""")</f>
        <v>* description = "Metadata FSE Italy.
Maturity Level: 0"</v>
      </c>
      <c r="E15" s="15"/>
    </row>
    <row r="16" spans="4:5" x14ac:dyDescent="0.75">
      <c r="D16" s="15" t="s">
        <v>28</v>
      </c>
      <c r="E16" s="15"/>
    </row>
    <row r="18" spans="2:7" x14ac:dyDescent="0.75">
      <c r="C18" s="109">
        <v>0</v>
      </c>
      <c r="D18" s="46" t="str">
        <f>CONCATENATE("* mapping[",C18,"].identity = """,'Meta-Map-1'!G1,"""")</f>
        <v>* mapping[0].identity = "fhir"</v>
      </c>
      <c r="G18" s="110" t="s">
        <v>42</v>
      </c>
    </row>
    <row r="19" spans="2:7" x14ac:dyDescent="0.75">
      <c r="B19" s="47" t="s">
        <v>44</v>
      </c>
      <c r="C19" s="109">
        <v>0</v>
      </c>
      <c r="D19" s="46" t="str">
        <f>CONCATENATE("* mapping[",C19,"].uri = """,'Meta-Map-1'!G2,"""")</f>
        <v>* mapping[0].uri = "hl7.org/fhir/r4"</v>
      </c>
      <c r="G19" s="110" t="s">
        <v>43</v>
      </c>
    </row>
    <row r="20" spans="2:7" x14ac:dyDescent="0.75">
      <c r="C20" s="109">
        <v>0</v>
      </c>
      <c r="D20" s="46" t="str">
        <f>CONCATENATE("* mapping[",C20,"].name = """,'Meta-Map-1'!G3,"""")</f>
        <v>* mapping[0].name = ""</v>
      </c>
      <c r="G20" s="110" t="s">
        <v>45</v>
      </c>
    </row>
    <row r="22" spans="2:7" x14ac:dyDescent="0.75">
      <c r="D22" s="15" t="s">
        <v>29</v>
      </c>
      <c r="E22" s="15"/>
    </row>
    <row r="23" spans="2:7" x14ac:dyDescent="0.75">
      <c r="D23" s="15" t="s">
        <v>49</v>
      </c>
      <c r="E23" s="15"/>
    </row>
    <row r="24" spans="2:7" x14ac:dyDescent="0.75">
      <c r="D24" s="15" t="str">
        <f>CONCATENATE("* type = """,'Meta-1'!B6,"""")</f>
        <v>* type = "DocMetadataFSE"</v>
      </c>
      <c r="E24" s="15"/>
    </row>
    <row r="25" spans="2:7" x14ac:dyDescent="0.75">
      <c r="D25" s="15" t="s">
        <v>30</v>
      </c>
    </row>
    <row r="26" spans="2:7" x14ac:dyDescent="0.75">
      <c r="D26" s="15" t="s">
        <v>31</v>
      </c>
    </row>
    <row r="28" spans="2:7" x14ac:dyDescent="0.75">
      <c r="D28" s="33" t="str">
        <f>'Meta-2'!B1</f>
        <v>* differential.element[0].id = "DocMetadataFSE"</v>
      </c>
    </row>
    <row r="29" spans="2:7" x14ac:dyDescent="0.75">
      <c r="D29" s="33" t="str">
        <f>'Meta-2'!C1</f>
        <v>* differential.element[0].path = "DocMetadataFSE"</v>
      </c>
    </row>
    <row r="30" spans="2:7" x14ac:dyDescent="0.75">
      <c r="D30" s="33" t="str">
        <f>'Meta-2'!D1</f>
        <v>* differential.element[0].short = "Metadata FSE Italy"</v>
      </c>
    </row>
    <row r="31" spans="2:7" x14ac:dyDescent="0.75">
      <c r="D31" s="33" t="str">
        <f>'Meta-2'!E1</f>
        <v>* differential.element[0].definition = "Metadata FSE Italy"</v>
      </c>
    </row>
    <row r="32" spans="2:7" x14ac:dyDescent="0.75">
      <c r="D32" s="33" t="str">
        <f>'Meta-2'!F1</f>
        <v>* differential.element[0].min = 1</v>
      </c>
    </row>
    <row r="33" spans="1:4" x14ac:dyDescent="0.75">
      <c r="D33" s="33" t="str">
        <f>'Meta-2'!G1</f>
        <v>* differential.element[0].max = "1"</v>
      </c>
    </row>
    <row r="34" spans="1:4" x14ac:dyDescent="0.75">
      <c r="D34" s="7"/>
    </row>
    <row r="35" spans="1:4" x14ac:dyDescent="0.75">
      <c r="A35" s="111">
        <v>1</v>
      </c>
      <c r="B35" s="111">
        <f>IF(MOD(A35,7)=0,A35/7-1,INT(A35/7))</f>
        <v>0</v>
      </c>
      <c r="C35" s="111">
        <f>IF(MOD(A35,7)=0,7,MOD(A35,7))</f>
        <v>1</v>
      </c>
      <c r="D35" s="112" t="str" cm="1">
        <f t="array" ref="D35">INDEX('Meta-2'!$B$2:$H$41,1+B35,C35)</f>
        <v>* differential.element[1].id = "DocMetadataFSE.identifier"</v>
      </c>
    </row>
    <row r="36" spans="1:4" x14ac:dyDescent="0.75">
      <c r="A36" s="111">
        <v>2</v>
      </c>
      <c r="B36" s="111">
        <f t="shared" ref="B36:B99" si="0">IF(MOD(A36,7)=0,A36/7-1,INT(A36/7))</f>
        <v>0</v>
      </c>
      <c r="C36" s="111">
        <f t="shared" ref="C36:C99" si="1">IF(MOD(A36,7)=0,7,MOD(A36,7))</f>
        <v>2</v>
      </c>
      <c r="D36" s="112" t="str" cm="1">
        <f t="array" ref="D36">INDEX('Meta-2'!$B$2:$H$41,1+B36,C36)</f>
        <v>* differential.element[1].path = "DocMetadataFSE.identifier"</v>
      </c>
    </row>
    <row r="37" spans="1:4" x14ac:dyDescent="0.75">
      <c r="A37" s="111">
        <v>3</v>
      </c>
      <c r="B37" s="111">
        <f t="shared" si="0"/>
        <v>0</v>
      </c>
      <c r="C37" s="111">
        <f t="shared" si="1"/>
        <v>3</v>
      </c>
      <c r="D37" s="112" t="str" cm="1">
        <f t="array" ref="D37">INDEX('Meta-2'!$B$2:$H$41,1+B37,C37)</f>
        <v>* differential.element[1].short = "document ID"</v>
      </c>
    </row>
    <row r="38" spans="1:4" ht="29.5" x14ac:dyDescent="0.75">
      <c r="A38" s="111">
        <v>4</v>
      </c>
      <c r="B38" s="111">
        <f t="shared" si="0"/>
        <v>0</v>
      </c>
      <c r="C38" s="111">
        <f t="shared" si="1"/>
        <v>4</v>
      </c>
      <c r="D38" s="112" t="str" cm="1">
        <f t="array" ref="D38">INDEX('Meta-2'!$B$2:$H$41,1+B38,C38)</f>
        <v>* differential.element[1].definition = "Id documento (dovrebbe essere sull'oid root di regione Liguria) oid root + extension che comincia per nostro standard con le ultime tre cifre del codice azienda (940 per Gaslini) più punto più id univoco all'interno dell'azienda)"</v>
      </c>
    </row>
    <row r="39" spans="1:4" x14ac:dyDescent="0.75">
      <c r="A39" s="111">
        <v>5</v>
      </c>
      <c r="B39" s="111">
        <f t="shared" si="0"/>
        <v>0</v>
      </c>
      <c r="C39" s="111">
        <f t="shared" si="1"/>
        <v>5</v>
      </c>
      <c r="D39" s="112" t="str" cm="1">
        <f t="array" ref="D39">INDEX('Meta-2'!$B$2:$H$41,1+B39,C39)</f>
        <v>* differential.element[1].min = 0</v>
      </c>
    </row>
    <row r="40" spans="1:4" x14ac:dyDescent="0.75">
      <c r="A40" s="111">
        <v>6</v>
      </c>
      <c r="B40" s="111">
        <f t="shared" si="0"/>
        <v>0</v>
      </c>
      <c r="C40" s="111">
        <f t="shared" si="1"/>
        <v>6</v>
      </c>
      <c r="D40" s="112" t="str" cm="1">
        <f t="array" ref="D40">INDEX('Meta-2'!$B$2:$H$41,1+B40,C40)</f>
        <v>* differential.element[1].max = "1"</v>
      </c>
    </row>
    <row r="41" spans="1:4" x14ac:dyDescent="0.75">
      <c r="A41" s="111">
        <v>7</v>
      </c>
      <c r="B41" s="111">
        <f t="shared" si="0"/>
        <v>0</v>
      </c>
      <c r="C41" s="111">
        <f t="shared" si="1"/>
        <v>7</v>
      </c>
      <c r="D41" s="112" t="str" cm="1">
        <f t="array" ref="D41">INDEX('Meta-2'!$B$2:$H$41,1+B41,C41)</f>
        <v>* differential.element[1].type.code = #Identifier</v>
      </c>
    </row>
    <row r="42" spans="1:4" x14ac:dyDescent="0.75">
      <c r="A42" s="111">
        <v>8</v>
      </c>
      <c r="B42" s="111">
        <f t="shared" si="0"/>
        <v>1</v>
      </c>
      <c r="C42" s="111">
        <f t="shared" si="1"/>
        <v>1</v>
      </c>
      <c r="D42" s="112" t="str" cm="1">
        <f t="array" ref="D42">INDEX('Meta-2'!$B$2:$H$41,1+B42,C42)</f>
        <v>* differential.element[2].id = "DocMetadataFSE.mimeType"</v>
      </c>
    </row>
    <row r="43" spans="1:4" x14ac:dyDescent="0.75">
      <c r="A43" s="111">
        <v>9</v>
      </c>
      <c r="B43" s="111">
        <f t="shared" si="0"/>
        <v>1</v>
      </c>
      <c r="C43" s="111">
        <f t="shared" si="1"/>
        <v>2</v>
      </c>
      <c r="D43" s="112" t="str" cm="1">
        <f t="array" ref="D43">INDEX('Meta-2'!$B$2:$H$41,1+B43,C43)</f>
        <v>* differential.element[2].path = "DocMetadataFSE.mimeType"</v>
      </c>
    </row>
    <row r="44" spans="1:4" x14ac:dyDescent="0.75">
      <c r="A44" s="111">
        <v>10</v>
      </c>
      <c r="B44" s="111">
        <f t="shared" si="0"/>
        <v>1</v>
      </c>
      <c r="C44" s="111">
        <f t="shared" si="1"/>
        <v>3</v>
      </c>
      <c r="D44" s="112" t="str" cm="1">
        <f t="array" ref="D44">INDEX('Meta-2'!$B$2:$H$41,1+B44,C44)</f>
        <v>* differential.element[2].short = "MIME type"</v>
      </c>
    </row>
    <row r="45" spans="1:4" x14ac:dyDescent="0.75">
      <c r="A45" s="111">
        <v>11</v>
      </c>
      <c r="B45" s="111">
        <f t="shared" si="0"/>
        <v>1</v>
      </c>
      <c r="C45" s="111">
        <f t="shared" si="1"/>
        <v>4</v>
      </c>
      <c r="D45" s="112" t="str" cm="1">
        <f t="array" ref="D45">INDEX('Meta-2'!$B$2:$H$41,1+B45,C45)</f>
        <v>* differential.element[2].definition = "Tipo mime del documento"</v>
      </c>
    </row>
    <row r="46" spans="1:4" x14ac:dyDescent="0.75">
      <c r="A46" s="111">
        <v>12</v>
      </c>
      <c r="B46" s="111">
        <f t="shared" si="0"/>
        <v>1</v>
      </c>
      <c r="C46" s="111">
        <f t="shared" si="1"/>
        <v>5</v>
      </c>
      <c r="D46" s="112" t="str" cm="1">
        <f t="array" ref="D46">INDEX('Meta-2'!$B$2:$H$41,1+B46,C46)</f>
        <v>* differential.element[2].min = 0</v>
      </c>
    </row>
    <row r="47" spans="1:4" x14ac:dyDescent="0.75">
      <c r="A47" s="111">
        <v>13</v>
      </c>
      <c r="B47" s="111">
        <f t="shared" si="0"/>
        <v>1</v>
      </c>
      <c r="C47" s="111">
        <f t="shared" si="1"/>
        <v>6</v>
      </c>
      <c r="D47" s="112" t="str" cm="1">
        <f t="array" ref="D47">INDEX('Meta-2'!$B$2:$H$41,1+B47,C47)</f>
        <v>* differential.element[2].max = "1"</v>
      </c>
    </row>
    <row r="48" spans="1:4" x14ac:dyDescent="0.75">
      <c r="A48" s="111">
        <v>14</v>
      </c>
      <c r="B48" s="111">
        <f t="shared" si="0"/>
        <v>1</v>
      </c>
      <c r="C48" s="111">
        <f t="shared" si="1"/>
        <v>7</v>
      </c>
      <c r="D48" s="112" t="str" cm="1">
        <f t="array" ref="D48">INDEX('Meta-2'!$B$2:$H$41,1+B48,C48)</f>
        <v>* differential.element[2].type.code = #code</v>
      </c>
    </row>
    <row r="49" spans="1:4" x14ac:dyDescent="0.75">
      <c r="A49" s="111">
        <v>15</v>
      </c>
      <c r="B49" s="111">
        <f t="shared" si="0"/>
        <v>2</v>
      </c>
      <c r="C49" s="111">
        <f t="shared" si="1"/>
        <v>1</v>
      </c>
      <c r="D49" s="112" t="str" cm="1">
        <f t="array" ref="D49">INDEX('Meta-2'!$B$2:$H$41,1+B49,C49)</f>
        <v>* differential.element[3].id = "DocMetadataFSE.size"</v>
      </c>
    </row>
    <row r="50" spans="1:4" x14ac:dyDescent="0.75">
      <c r="A50" s="111">
        <v>16</v>
      </c>
      <c r="B50" s="111">
        <f t="shared" si="0"/>
        <v>2</v>
      </c>
      <c r="C50" s="111">
        <f t="shared" si="1"/>
        <v>2</v>
      </c>
      <c r="D50" s="112" t="str" cm="1">
        <f t="array" ref="D50">INDEX('Meta-2'!$B$2:$H$41,1+B50,C50)</f>
        <v>* differential.element[3].path = "DocMetadataFSE.size"</v>
      </c>
    </row>
    <row r="51" spans="1:4" x14ac:dyDescent="0.75">
      <c r="A51" s="111">
        <v>17</v>
      </c>
      <c r="B51" s="111">
        <f t="shared" si="0"/>
        <v>2</v>
      </c>
      <c r="C51" s="111">
        <f t="shared" si="1"/>
        <v>3</v>
      </c>
      <c r="D51" s="112" t="str" cm="1">
        <f t="array" ref="D51">INDEX('Meta-2'!$B$2:$H$41,1+B51,C51)</f>
        <v>* differential.element[3].short = "size"</v>
      </c>
    </row>
    <row r="52" spans="1:4" x14ac:dyDescent="0.75">
      <c r="A52" s="111">
        <v>18</v>
      </c>
      <c r="B52" s="111">
        <f t="shared" si="0"/>
        <v>2</v>
      </c>
      <c r="C52" s="111">
        <f t="shared" si="1"/>
        <v>4</v>
      </c>
      <c r="D52" s="112" t="str" cm="1">
        <f t="array" ref="D52">INDEX('Meta-2'!$B$2:$H$41,1+B52,C52)</f>
        <v>* differential.element[3].definition = "Size del documento"</v>
      </c>
    </row>
    <row r="53" spans="1:4" x14ac:dyDescent="0.75">
      <c r="A53" s="111">
        <v>19</v>
      </c>
      <c r="B53" s="111">
        <f t="shared" si="0"/>
        <v>2</v>
      </c>
      <c r="C53" s="111">
        <f t="shared" si="1"/>
        <v>5</v>
      </c>
      <c r="D53" s="112" t="str" cm="1">
        <f t="array" ref="D53">INDEX('Meta-2'!$B$2:$H$41,1+B53,C53)</f>
        <v>* differential.element[3].min = 0</v>
      </c>
    </row>
    <row r="54" spans="1:4" x14ac:dyDescent="0.75">
      <c r="A54" s="111">
        <v>20</v>
      </c>
      <c r="B54" s="111">
        <f t="shared" si="0"/>
        <v>2</v>
      </c>
      <c r="C54" s="111">
        <f t="shared" si="1"/>
        <v>6</v>
      </c>
      <c r="D54" s="112" t="str" cm="1">
        <f t="array" ref="D54">INDEX('Meta-2'!$B$2:$H$41,1+B54,C54)</f>
        <v>* differential.element[3].max = "1"</v>
      </c>
    </row>
    <row r="55" spans="1:4" x14ac:dyDescent="0.75">
      <c r="A55" s="111">
        <v>21</v>
      </c>
      <c r="B55" s="111">
        <f t="shared" si="0"/>
        <v>2</v>
      </c>
      <c r="C55" s="111">
        <f t="shared" si="1"/>
        <v>7</v>
      </c>
      <c r="D55" s="112" t="str" cm="1">
        <f t="array" ref="D55">INDEX('Meta-2'!$B$2:$H$41,1+B55,C55)</f>
        <v>* differential.element[3].type.code = #unsignedInt</v>
      </c>
    </row>
    <row r="56" spans="1:4" x14ac:dyDescent="0.75">
      <c r="A56" s="111">
        <v>22</v>
      </c>
      <c r="B56" s="111">
        <f t="shared" si="0"/>
        <v>3</v>
      </c>
      <c r="C56" s="111">
        <f t="shared" si="1"/>
        <v>1</v>
      </c>
      <c r="D56" s="112" t="str" cm="1">
        <f t="array" ref="D56">INDEX('Meta-2'!$B$2:$H$41,1+B56,C56)</f>
        <v>* differential.element[4].id = "DocMetadataFSE.hash"</v>
      </c>
    </row>
    <row r="57" spans="1:4" x14ac:dyDescent="0.75">
      <c r="A57" s="111">
        <v>23</v>
      </c>
      <c r="B57" s="111">
        <f t="shared" si="0"/>
        <v>3</v>
      </c>
      <c r="C57" s="111">
        <f t="shared" si="1"/>
        <v>2</v>
      </c>
      <c r="D57" s="112" t="str" cm="1">
        <f t="array" ref="D57">INDEX('Meta-2'!$B$2:$H$41,1+B57,C57)</f>
        <v>* differential.element[4].path = "DocMetadataFSE.hash"</v>
      </c>
    </row>
    <row r="58" spans="1:4" x14ac:dyDescent="0.75">
      <c r="A58" s="111">
        <v>24</v>
      </c>
      <c r="B58" s="111">
        <f t="shared" si="0"/>
        <v>3</v>
      </c>
      <c r="C58" s="111">
        <f t="shared" si="1"/>
        <v>3</v>
      </c>
      <c r="D58" s="112" t="str" cm="1">
        <f t="array" ref="D58">INDEX('Meta-2'!$B$2:$H$41,1+B58,C58)</f>
        <v>* differential.element[4].short = "hash"</v>
      </c>
    </row>
    <row r="59" spans="1:4" x14ac:dyDescent="0.75">
      <c r="A59" s="111">
        <v>25</v>
      </c>
      <c r="B59" s="111">
        <f t="shared" si="0"/>
        <v>3</v>
      </c>
      <c r="C59" s="111">
        <f t="shared" si="1"/>
        <v>4</v>
      </c>
      <c r="D59" s="112" t="str" cm="1">
        <f t="array" ref="D59">INDEX('Meta-2'!$B$2:$H$41,1+B59,C59)</f>
        <v>* differential.element[4].definition = "Hash del documento"</v>
      </c>
    </row>
    <row r="60" spans="1:4" x14ac:dyDescent="0.75">
      <c r="A60" s="111">
        <v>26</v>
      </c>
      <c r="B60" s="111">
        <f t="shared" si="0"/>
        <v>3</v>
      </c>
      <c r="C60" s="111">
        <f t="shared" si="1"/>
        <v>5</v>
      </c>
      <c r="D60" s="112" t="str" cm="1">
        <f t="array" ref="D60">INDEX('Meta-2'!$B$2:$H$41,1+B60,C60)</f>
        <v>* differential.element[4].min = 0</v>
      </c>
    </row>
    <row r="61" spans="1:4" x14ac:dyDescent="0.75">
      <c r="A61" s="111">
        <v>27</v>
      </c>
      <c r="B61" s="111">
        <f t="shared" si="0"/>
        <v>3</v>
      </c>
      <c r="C61" s="111">
        <f t="shared" si="1"/>
        <v>6</v>
      </c>
      <c r="D61" s="112" t="str" cm="1">
        <f t="array" ref="D61">INDEX('Meta-2'!$B$2:$H$41,1+B61,C61)</f>
        <v>* differential.element[4].max = "1"</v>
      </c>
    </row>
    <row r="62" spans="1:4" x14ac:dyDescent="0.75">
      <c r="A62" s="111">
        <v>28</v>
      </c>
      <c r="B62" s="111">
        <f t="shared" si="0"/>
        <v>3</v>
      </c>
      <c r="C62" s="111">
        <f t="shared" si="1"/>
        <v>7</v>
      </c>
      <c r="D62" s="112" t="str" cm="1">
        <f t="array" ref="D62">INDEX('Meta-2'!$B$2:$H$41,1+B62,C62)</f>
        <v>* differential.element[4].type.code = #base64Binary</v>
      </c>
    </row>
    <row r="63" spans="1:4" x14ac:dyDescent="0.75">
      <c r="A63" s="111">
        <v>29</v>
      </c>
      <c r="B63" s="111">
        <f t="shared" si="0"/>
        <v>4</v>
      </c>
      <c r="C63" s="111">
        <f t="shared" si="1"/>
        <v>1</v>
      </c>
      <c r="D63" s="112" t="str" cm="1">
        <f t="array" ref="D63">INDEX('Meta-2'!$B$2:$H$41,1+B63,C63)</f>
        <v>* differential.element[5].id = "DocMetadataFSE.code"</v>
      </c>
    </row>
    <row r="64" spans="1:4" x14ac:dyDescent="0.75">
      <c r="A64" s="111">
        <v>30</v>
      </c>
      <c r="B64" s="111">
        <f t="shared" si="0"/>
        <v>4</v>
      </c>
      <c r="C64" s="111">
        <f t="shared" si="1"/>
        <v>2</v>
      </c>
      <c r="D64" s="112" t="str" cm="1">
        <f t="array" ref="D64">INDEX('Meta-2'!$B$2:$H$41,1+B64,C64)</f>
        <v>* differential.element[5].path = "DocMetadataFSE.code"</v>
      </c>
    </row>
    <row r="65" spans="1:4" x14ac:dyDescent="0.75">
      <c r="A65" s="111">
        <v>31</v>
      </c>
      <c r="B65" s="111">
        <f t="shared" si="0"/>
        <v>4</v>
      </c>
      <c r="C65" s="111">
        <f t="shared" si="1"/>
        <v>3</v>
      </c>
      <c r="D65" s="112" t="str" cm="1">
        <f t="array" ref="D65">INDEX('Meta-2'!$B$2:$H$41,1+B65,C65)</f>
        <v>* differential.element[5].short = "document code"</v>
      </c>
    </row>
    <row r="66" spans="1:4" x14ac:dyDescent="0.75">
      <c r="A66" s="111">
        <v>32</v>
      </c>
      <c r="B66" s="111">
        <f t="shared" si="0"/>
        <v>4</v>
      </c>
      <c r="C66" s="111">
        <f t="shared" si="1"/>
        <v>4</v>
      </c>
      <c r="D66" s="112" t="str" cm="1">
        <f t="array" ref="D66">INDEX('Meta-2'!$B$2:$H$41,1+B66,C66)</f>
        <v>* differential.element[5].definition = "Codice loinc del documento (parliamone)"</v>
      </c>
    </row>
    <row r="67" spans="1:4" x14ac:dyDescent="0.75">
      <c r="A67" s="111">
        <v>33</v>
      </c>
      <c r="B67" s="111">
        <f t="shared" si="0"/>
        <v>4</v>
      </c>
      <c r="C67" s="111">
        <f t="shared" si="1"/>
        <v>5</v>
      </c>
      <c r="D67" s="112" t="str" cm="1">
        <f t="array" ref="D67">INDEX('Meta-2'!$B$2:$H$41,1+B67,C67)</f>
        <v>* differential.element[5].min = 0</v>
      </c>
    </row>
    <row r="68" spans="1:4" x14ac:dyDescent="0.75">
      <c r="A68" s="111">
        <v>34</v>
      </c>
      <c r="B68" s="111">
        <f t="shared" si="0"/>
        <v>4</v>
      </c>
      <c r="C68" s="111">
        <f t="shared" si="1"/>
        <v>6</v>
      </c>
      <c r="D68" s="112" t="str" cm="1">
        <f t="array" ref="D68">INDEX('Meta-2'!$B$2:$H$41,1+B68,C68)</f>
        <v>* differential.element[5].max = "1"</v>
      </c>
    </row>
    <row r="69" spans="1:4" x14ac:dyDescent="0.75">
      <c r="A69" s="111">
        <v>35</v>
      </c>
      <c r="B69" s="111">
        <f t="shared" si="0"/>
        <v>4</v>
      </c>
      <c r="C69" s="111">
        <f t="shared" si="1"/>
        <v>7</v>
      </c>
      <c r="D69" s="112" t="str" cm="1">
        <f t="array" ref="D69">INDEX('Meta-2'!$B$2:$H$41,1+B69,C69)</f>
        <v>* differential.element[5].type.code = #CodeableConcept</v>
      </c>
    </row>
    <row r="70" spans="1:4" x14ac:dyDescent="0.75">
      <c r="A70" s="111">
        <v>36</v>
      </c>
      <c r="B70" s="111">
        <f t="shared" si="0"/>
        <v>5</v>
      </c>
      <c r="C70" s="111">
        <f t="shared" si="1"/>
        <v>1</v>
      </c>
      <c r="D70" s="112" t="str" cm="1">
        <f t="array" ref="D70">INDEX('Meta-2'!$B$2:$H$41,1+B70,C70)</f>
        <v>* differential.element[6].id = "DocMetadataFSE.classCode"</v>
      </c>
    </row>
    <row r="71" spans="1:4" x14ac:dyDescent="0.75">
      <c r="A71" s="111">
        <v>37</v>
      </c>
      <c r="B71" s="111">
        <f t="shared" si="0"/>
        <v>5</v>
      </c>
      <c r="C71" s="111">
        <f t="shared" si="1"/>
        <v>2</v>
      </c>
      <c r="D71" s="112" t="str" cm="1">
        <f t="array" ref="D71">INDEX('Meta-2'!$B$2:$H$41,1+B71,C71)</f>
        <v>* differential.element[6].path = "DocMetadataFSE.classCode"</v>
      </c>
    </row>
    <row r="72" spans="1:4" x14ac:dyDescent="0.75">
      <c r="A72" s="111">
        <v>38</v>
      </c>
      <c r="B72" s="111">
        <f t="shared" si="0"/>
        <v>5</v>
      </c>
      <c r="C72" s="111">
        <f t="shared" si="1"/>
        <v>3</v>
      </c>
      <c r="D72" s="112" t="str" cm="1">
        <f t="array" ref="D72">INDEX('Meta-2'!$B$2:$H$41,1+B72,C72)</f>
        <v>* differential.element[6].short = "Type of document"</v>
      </c>
    </row>
    <row r="73" spans="1:4" x14ac:dyDescent="0.75">
      <c r="A73" s="111">
        <v>39</v>
      </c>
      <c r="B73" s="111">
        <f t="shared" si="0"/>
        <v>5</v>
      </c>
      <c r="C73" s="111">
        <f t="shared" si="1"/>
        <v>4</v>
      </c>
      <c r="D73" s="112" t="str" cm="1">
        <f t="array" ref="D73">INDEX('Meta-2'!$B$2:$H$41,1+B73,C73)</f>
        <v>* differential.element[6].definition = "Tipo documento (REF)"</v>
      </c>
    </row>
    <row r="74" spans="1:4" x14ac:dyDescent="0.75">
      <c r="A74" s="111">
        <v>40</v>
      </c>
      <c r="B74" s="111">
        <f t="shared" si="0"/>
        <v>5</v>
      </c>
      <c r="C74" s="111">
        <f t="shared" si="1"/>
        <v>5</v>
      </c>
      <c r="D74" s="112" t="str" cm="1">
        <f t="array" ref="D74">INDEX('Meta-2'!$B$2:$H$41,1+B74,C74)</f>
        <v>* differential.element[6].min = 0</v>
      </c>
    </row>
    <row r="75" spans="1:4" x14ac:dyDescent="0.75">
      <c r="A75" s="111">
        <v>41</v>
      </c>
      <c r="B75" s="111">
        <f t="shared" si="0"/>
        <v>5</v>
      </c>
      <c r="C75" s="111">
        <f t="shared" si="1"/>
        <v>6</v>
      </c>
      <c r="D75" s="112" t="str" cm="1">
        <f t="array" ref="D75">INDEX('Meta-2'!$B$2:$H$41,1+B75,C75)</f>
        <v>* differential.element[6].max = "1"</v>
      </c>
    </row>
    <row r="76" spans="1:4" x14ac:dyDescent="0.75">
      <c r="A76" s="111">
        <v>42</v>
      </c>
      <c r="B76" s="111">
        <f t="shared" si="0"/>
        <v>5</v>
      </c>
      <c r="C76" s="111">
        <f t="shared" si="1"/>
        <v>7</v>
      </c>
      <c r="D76" s="112" t="str" cm="1">
        <f t="array" ref="D76">INDEX('Meta-2'!$B$2:$H$41,1+B76,C76)</f>
        <v>* differential.element[6].type.code = #CodeableConcept</v>
      </c>
    </row>
    <row r="77" spans="1:4" x14ac:dyDescent="0.75">
      <c r="A77" s="111">
        <v>43</v>
      </c>
      <c r="B77" s="111">
        <f t="shared" si="0"/>
        <v>6</v>
      </c>
      <c r="C77" s="111">
        <f t="shared" si="1"/>
        <v>1</v>
      </c>
      <c r="D77" s="112" t="str" cm="1">
        <f t="array" ref="D77">INDEX('Meta-2'!$B$2:$H$41,1+B77,C77)</f>
        <v>* differential.element[7].id = "DocMetadataFSE.contentType"</v>
      </c>
    </row>
    <row r="78" spans="1:4" x14ac:dyDescent="0.75">
      <c r="A78" s="111">
        <v>44</v>
      </c>
      <c r="B78" s="111">
        <f t="shared" si="0"/>
        <v>6</v>
      </c>
      <c r="C78" s="111">
        <f t="shared" si="1"/>
        <v>2</v>
      </c>
      <c r="D78" s="112" t="str" cm="1">
        <f t="array" ref="D78">INDEX('Meta-2'!$B$2:$H$41,1+B78,C78)</f>
        <v>* differential.element[7].path = "DocMetadataFSE.contentType"</v>
      </c>
    </row>
    <row r="79" spans="1:4" x14ac:dyDescent="0.75">
      <c r="A79" s="111">
        <v>45</v>
      </c>
      <c r="B79" s="111">
        <f t="shared" si="0"/>
        <v>6</v>
      </c>
      <c r="C79" s="111">
        <f t="shared" si="1"/>
        <v>3</v>
      </c>
      <c r="D79" s="112" t="str" cm="1">
        <f t="array" ref="D79">INDEX('Meta-2'!$B$2:$H$41,1+B79,C79)</f>
        <v>* differential.element[7].short = "Content Type"</v>
      </c>
    </row>
    <row r="80" spans="1:4" x14ac:dyDescent="0.75">
      <c r="A80" s="111">
        <v>46</v>
      </c>
      <c r="B80" s="111">
        <f t="shared" si="0"/>
        <v>6</v>
      </c>
      <c r="C80" s="111">
        <f t="shared" si="1"/>
        <v>4</v>
      </c>
      <c r="D80" s="112" t="str" cm="1">
        <f t="array" ref="D80">INDEX('Meta-2'!$B$2:$H$41,1+B80,C80)</f>
        <v>* differential.element[7].definition = "Content type code (da decidere se consulto o dimissione)"</v>
      </c>
    </row>
    <row r="81" spans="1:7" x14ac:dyDescent="0.75">
      <c r="A81" s="111">
        <v>47</v>
      </c>
      <c r="B81" s="111">
        <f t="shared" si="0"/>
        <v>6</v>
      </c>
      <c r="C81" s="111">
        <f t="shared" si="1"/>
        <v>5</v>
      </c>
      <c r="D81" s="112" t="str" cm="1">
        <f t="array" ref="D81">INDEX('Meta-2'!$B$2:$H$41,1+B81,C81)</f>
        <v>* differential.element[7].min = 0</v>
      </c>
    </row>
    <row r="82" spans="1:7" x14ac:dyDescent="0.75">
      <c r="A82" s="111">
        <v>48</v>
      </c>
      <c r="B82" s="111">
        <f t="shared" si="0"/>
        <v>6</v>
      </c>
      <c r="C82" s="111">
        <f t="shared" si="1"/>
        <v>6</v>
      </c>
      <c r="D82" s="112" t="str" cm="1">
        <f t="array" ref="D82">INDEX('Meta-2'!$B$2:$H$41,1+B82,C82)</f>
        <v>* differential.element[7].max = "1"</v>
      </c>
    </row>
    <row r="83" spans="1:7" x14ac:dyDescent="0.75">
      <c r="A83" s="111">
        <v>49</v>
      </c>
      <c r="B83" s="111">
        <f t="shared" si="0"/>
        <v>6</v>
      </c>
      <c r="C83" s="111">
        <f t="shared" si="1"/>
        <v>7</v>
      </c>
      <c r="D83" s="112" t="str" cm="1">
        <f t="array" ref="D83">INDEX('Meta-2'!$B$2:$H$41,1+B83,C83)</f>
        <v>* differential.element[7].type.code = #CodeableConcept</v>
      </c>
    </row>
    <row r="84" spans="1:7" x14ac:dyDescent="0.75">
      <c r="A84" s="111">
        <v>50</v>
      </c>
      <c r="B84" s="111">
        <f t="shared" si="0"/>
        <v>7</v>
      </c>
      <c r="C84" s="111">
        <f t="shared" si="1"/>
        <v>1</v>
      </c>
      <c r="D84" s="112" t="str" cm="1">
        <f t="array" ref="D84">INDEX('Meta-2'!$B$2:$H$41,1+B84,C84)</f>
        <v>* differential.element[8].id = "DocMetadataFSE.creationDate"</v>
      </c>
    </row>
    <row r="85" spans="1:7" x14ac:dyDescent="0.75">
      <c r="A85" s="111">
        <v>51</v>
      </c>
      <c r="B85" s="111">
        <f t="shared" si="0"/>
        <v>7</v>
      </c>
      <c r="C85" s="111">
        <f t="shared" si="1"/>
        <v>2</v>
      </c>
      <c r="D85" s="112" t="str" cm="1">
        <f t="array" ref="D85">INDEX('Meta-2'!$B$2:$H$41,1+B85,C85)</f>
        <v>* differential.element[8].path = "DocMetadataFSE.creationDate"</v>
      </c>
    </row>
    <row r="86" spans="1:7" x14ac:dyDescent="0.75">
      <c r="A86" s="111">
        <v>52</v>
      </c>
      <c r="B86" s="111">
        <f t="shared" si="0"/>
        <v>7</v>
      </c>
      <c r="C86" s="111">
        <f t="shared" si="1"/>
        <v>3</v>
      </c>
      <c r="D86" s="112" t="str" cm="1">
        <f t="array" ref="D86">INDEX('Meta-2'!$B$2:$H$41,1+B86,C86)</f>
        <v>* differential.element[8].short = "creation date"</v>
      </c>
    </row>
    <row r="87" spans="1:7" x14ac:dyDescent="0.75">
      <c r="A87" s="111">
        <v>53</v>
      </c>
      <c r="B87" s="111">
        <f t="shared" si="0"/>
        <v>7</v>
      </c>
      <c r="C87" s="111">
        <f t="shared" si="1"/>
        <v>4</v>
      </c>
      <c r="D87" s="112" t="str" cm="1">
        <f t="array" ref="D87">INDEX('Meta-2'!$B$2:$H$41,1+B87,C87)</f>
        <v>* differential.element[8].definition = "Data creazione del documento"</v>
      </c>
      <c r="G87" s="14"/>
    </row>
    <row r="88" spans="1:7" x14ac:dyDescent="0.75">
      <c r="A88" s="111">
        <v>54</v>
      </c>
      <c r="B88" s="111">
        <f t="shared" si="0"/>
        <v>7</v>
      </c>
      <c r="C88" s="111">
        <f t="shared" si="1"/>
        <v>5</v>
      </c>
      <c r="D88" s="112" t="str" cm="1">
        <f t="array" ref="D88">INDEX('Meta-2'!$B$2:$H$41,1+B88,C88)</f>
        <v>* differential.element[8].min = 0</v>
      </c>
    </row>
    <row r="89" spans="1:7" x14ac:dyDescent="0.75">
      <c r="A89" s="111">
        <v>55</v>
      </c>
      <c r="B89" s="111">
        <f t="shared" si="0"/>
        <v>7</v>
      </c>
      <c r="C89" s="111">
        <f t="shared" si="1"/>
        <v>6</v>
      </c>
      <c r="D89" s="112" t="str" cm="1">
        <f t="array" ref="D89">INDEX('Meta-2'!$B$2:$H$41,1+B89,C89)</f>
        <v>* differential.element[8].max = "1"</v>
      </c>
    </row>
    <row r="90" spans="1:7" x14ac:dyDescent="0.75">
      <c r="A90" s="111">
        <v>56</v>
      </c>
      <c r="B90" s="111">
        <f t="shared" si="0"/>
        <v>7</v>
      </c>
      <c r="C90" s="111">
        <f t="shared" si="1"/>
        <v>7</v>
      </c>
      <c r="D90" s="112" t="str" cm="1">
        <f t="array" ref="D90">INDEX('Meta-2'!$B$2:$H$41,1+B90,C90)</f>
        <v>* differential.element[8].type.code = #dateTime</v>
      </c>
    </row>
    <row r="91" spans="1:7" x14ac:dyDescent="0.75">
      <c r="A91" s="111">
        <v>57</v>
      </c>
      <c r="B91" s="111">
        <f t="shared" si="0"/>
        <v>8</v>
      </c>
      <c r="C91" s="111">
        <f t="shared" si="1"/>
        <v>1</v>
      </c>
      <c r="D91" s="112" t="str" cm="1">
        <f t="array" ref="D91">INDEX('Meta-2'!$B$2:$H$41,1+B91,C91)</f>
        <v>* differential.element[9].id = "DocMetadataFSE.confidentiality"</v>
      </c>
    </row>
    <row r="92" spans="1:7" x14ac:dyDescent="0.75">
      <c r="A92" s="111">
        <v>58</v>
      </c>
      <c r="B92" s="111">
        <f t="shared" si="0"/>
        <v>8</v>
      </c>
      <c r="C92" s="111">
        <f t="shared" si="1"/>
        <v>2</v>
      </c>
      <c r="D92" s="112" t="str" cm="1">
        <f t="array" ref="D92">INDEX('Meta-2'!$B$2:$H$41,1+B92,C92)</f>
        <v>* differential.element[9].path = "DocMetadataFSE.confidentiality"</v>
      </c>
    </row>
    <row r="93" spans="1:7" x14ac:dyDescent="0.75">
      <c r="A93" s="111">
        <v>59</v>
      </c>
      <c r="B93" s="111">
        <f t="shared" si="0"/>
        <v>8</v>
      </c>
      <c r="C93" s="111">
        <f t="shared" si="1"/>
        <v>3</v>
      </c>
      <c r="D93" s="112" t="str" cm="1">
        <f t="array" ref="D93">INDEX('Meta-2'!$B$2:$H$41,1+B93,C93)</f>
        <v>* differential.element[9].short = "confidentiality"</v>
      </c>
    </row>
    <row r="94" spans="1:7" x14ac:dyDescent="0.75">
      <c r="A94" s="111">
        <v>60</v>
      </c>
      <c r="B94" s="111">
        <f t="shared" si="0"/>
        <v>8</v>
      </c>
      <c r="C94" s="111">
        <f t="shared" si="1"/>
        <v>4</v>
      </c>
      <c r="D94" s="112" t="str" cm="1">
        <f t="array" ref="D94">INDEX('Meta-2'!$B$2:$H$41,1+B94,C94)</f>
        <v>* differential.element[9].definition = "Confidentiality (propendo per V, sarebbe un default))"</v>
      </c>
    </row>
    <row r="95" spans="1:7" x14ac:dyDescent="0.75">
      <c r="A95" s="111">
        <v>61</v>
      </c>
      <c r="B95" s="111">
        <f t="shared" si="0"/>
        <v>8</v>
      </c>
      <c r="C95" s="111">
        <f t="shared" si="1"/>
        <v>5</v>
      </c>
      <c r="D95" s="112" t="str" cm="1">
        <f t="array" ref="D95">INDEX('Meta-2'!$B$2:$H$41,1+B95,C95)</f>
        <v>* differential.element[9].min = 0</v>
      </c>
    </row>
    <row r="96" spans="1:7" x14ac:dyDescent="0.75">
      <c r="A96" s="111">
        <v>62</v>
      </c>
      <c r="B96" s="111">
        <f t="shared" si="0"/>
        <v>8</v>
      </c>
      <c r="C96" s="111">
        <f t="shared" si="1"/>
        <v>6</v>
      </c>
      <c r="D96" s="112" t="str" cm="1">
        <f t="array" ref="D96">INDEX('Meta-2'!$B$2:$H$41,1+B96,C96)</f>
        <v>* differential.element[9].max = "1"</v>
      </c>
    </row>
    <row r="97" spans="1:4" x14ac:dyDescent="0.75">
      <c r="A97" s="111">
        <v>63</v>
      </c>
      <c r="B97" s="111">
        <f t="shared" si="0"/>
        <v>8</v>
      </c>
      <c r="C97" s="111">
        <f t="shared" si="1"/>
        <v>7</v>
      </c>
      <c r="D97" s="112" t="str" cm="1">
        <f t="array" ref="D97">INDEX('Meta-2'!$B$2:$H$41,1+B97,C97)</f>
        <v>* differential.element[9].type.code = #CodeableConcept</v>
      </c>
    </row>
    <row r="98" spans="1:4" x14ac:dyDescent="0.75">
      <c r="A98" s="111">
        <v>64</v>
      </c>
      <c r="B98" s="111">
        <f t="shared" si="0"/>
        <v>9</v>
      </c>
      <c r="C98" s="111">
        <f t="shared" si="1"/>
        <v>1</v>
      </c>
      <c r="D98" s="112" t="str" cm="1">
        <f t="array" ref="D98">INDEX('Meta-2'!$B$2:$H$41,1+B98,C98)</f>
        <v>* differential.element[10].id = "DocMetadataFSE.mask"</v>
      </c>
    </row>
    <row r="99" spans="1:4" x14ac:dyDescent="0.75">
      <c r="A99" s="111">
        <v>65</v>
      </c>
      <c r="B99" s="111">
        <f t="shared" si="0"/>
        <v>9</v>
      </c>
      <c r="C99" s="111">
        <f t="shared" si="1"/>
        <v>2</v>
      </c>
      <c r="D99" s="112" t="str" cm="1">
        <f t="array" ref="D99">INDEX('Meta-2'!$B$2:$H$41,1+B99,C99)</f>
        <v>* differential.element[10].path = "DocMetadataFSE.mask"</v>
      </c>
    </row>
    <row r="100" spans="1:4" x14ac:dyDescent="0.75">
      <c r="A100" s="111">
        <v>66</v>
      </c>
      <c r="B100" s="111">
        <f t="shared" ref="B100:B163" si="2">IF(MOD(A100,7)=0,A100/7-1,INT(A100/7))</f>
        <v>9</v>
      </c>
      <c r="C100" s="111">
        <f t="shared" ref="C100:C163" si="3">IF(MOD(A100,7)=0,7,MOD(A100,7))</f>
        <v>3</v>
      </c>
      <c r="D100" s="112" t="str" cm="1">
        <f t="array" ref="D100">INDEX('Meta-2'!$B$2:$H$41,1+B100,C100)</f>
        <v>* differential.element[10].short = "mask (oscuramento)"</v>
      </c>
    </row>
    <row r="101" spans="1:4" x14ac:dyDescent="0.75">
      <c r="A101" s="111">
        <v>67</v>
      </c>
      <c r="B101" s="111">
        <f t="shared" si="2"/>
        <v>9</v>
      </c>
      <c r="C101" s="111">
        <f t="shared" si="3"/>
        <v>4</v>
      </c>
      <c r="D101" s="112" t="str" cm="1">
        <f t="array" ref="D101">INDEX('Meta-2'!$B$2:$H$41,1+B101,C101)</f>
        <v>* differential.element[10].definition = "Oscuramento (propendo per l'invio come oscurato, sarebbe un default)"</v>
      </c>
    </row>
    <row r="102" spans="1:4" x14ac:dyDescent="0.75">
      <c r="A102" s="111">
        <v>68</v>
      </c>
      <c r="B102" s="111">
        <f t="shared" si="2"/>
        <v>9</v>
      </c>
      <c r="C102" s="111">
        <f t="shared" si="3"/>
        <v>5</v>
      </c>
      <c r="D102" s="112" t="str" cm="1">
        <f t="array" ref="D102">INDEX('Meta-2'!$B$2:$H$41,1+B102,C102)</f>
        <v>* differential.element[10].min = 0</v>
      </c>
    </row>
    <row r="103" spans="1:4" x14ac:dyDescent="0.75">
      <c r="A103" s="111">
        <v>69</v>
      </c>
      <c r="B103" s="111">
        <f t="shared" si="2"/>
        <v>9</v>
      </c>
      <c r="C103" s="111">
        <f t="shared" si="3"/>
        <v>6</v>
      </c>
      <c r="D103" s="112" t="str" cm="1">
        <f t="array" ref="D103">INDEX('Meta-2'!$B$2:$H$41,1+B103,C103)</f>
        <v>* differential.element[10].max = "1"</v>
      </c>
    </row>
    <row r="104" spans="1:4" x14ac:dyDescent="0.75">
      <c r="A104" s="111">
        <v>70</v>
      </c>
      <c r="B104" s="111">
        <f t="shared" si="2"/>
        <v>9</v>
      </c>
      <c r="C104" s="111">
        <f t="shared" si="3"/>
        <v>7</v>
      </c>
      <c r="D104" s="112" t="str" cm="1">
        <f t="array" ref="D104">INDEX('Meta-2'!$B$2:$H$41,1+B104,C104)</f>
        <v>* differential.element[10].type.code = #CodeableConcept</v>
      </c>
    </row>
    <row r="105" spans="1:4" x14ac:dyDescent="0.75">
      <c r="A105" s="111">
        <v>71</v>
      </c>
      <c r="B105" s="111">
        <f t="shared" si="2"/>
        <v>10</v>
      </c>
      <c r="C105" s="111">
        <f t="shared" si="3"/>
        <v>1</v>
      </c>
      <c r="D105" s="112" t="str" cm="1">
        <f t="array" ref="D105">INDEX('Meta-2'!$B$2:$H$41,1+B105,C105)</f>
        <v>* differential.element[11].id = "DocMetadataFSE.replace"</v>
      </c>
    </row>
    <row r="106" spans="1:4" x14ac:dyDescent="0.75">
      <c r="A106" s="111">
        <v>72</v>
      </c>
      <c r="B106" s="111">
        <f t="shared" si="2"/>
        <v>10</v>
      </c>
      <c r="C106" s="111">
        <f t="shared" si="3"/>
        <v>2</v>
      </c>
      <c r="D106" s="112" t="str" cm="1">
        <f t="array" ref="D106">INDEX('Meta-2'!$B$2:$H$41,1+B106,C106)</f>
        <v>* differential.element[11].path = "DocMetadataFSE.replace"</v>
      </c>
    </row>
    <row r="107" spans="1:4" x14ac:dyDescent="0.75">
      <c r="A107" s="111">
        <v>73</v>
      </c>
      <c r="B107" s="111">
        <f t="shared" si="2"/>
        <v>10</v>
      </c>
      <c r="C107" s="111">
        <f t="shared" si="3"/>
        <v>3</v>
      </c>
      <c r="D107" s="112" t="str" cm="1">
        <f t="array" ref="D107">INDEX('Meta-2'!$B$2:$H$41,1+B107,C107)</f>
        <v>* differential.element[11].short = "replaced document"</v>
      </c>
    </row>
    <row r="108" spans="1:4" x14ac:dyDescent="0.75">
      <c r="A108" s="111">
        <v>74</v>
      </c>
      <c r="B108" s="111">
        <f t="shared" si="2"/>
        <v>10</v>
      </c>
      <c r="C108" s="111">
        <f t="shared" si="3"/>
        <v>4</v>
      </c>
      <c r="D108" s="112" t="str" cm="1">
        <f t="array" ref="D108">INDEX('Meta-2'!$B$2:$H$41,1+B108,C108)</f>
        <v>* differential.element[11].definition = "Eventuale documento sostituito (oid + extension)"</v>
      </c>
    </row>
    <row r="109" spans="1:4" x14ac:dyDescent="0.75">
      <c r="A109" s="111">
        <v>75</v>
      </c>
      <c r="B109" s="111">
        <f t="shared" si="2"/>
        <v>10</v>
      </c>
      <c r="C109" s="111">
        <f t="shared" si="3"/>
        <v>5</v>
      </c>
      <c r="D109" s="112" t="str" cm="1">
        <f t="array" ref="D109">INDEX('Meta-2'!$B$2:$H$41,1+B109,C109)</f>
        <v>* differential.element[11].min = 0</v>
      </c>
    </row>
    <row r="110" spans="1:4" x14ac:dyDescent="0.75">
      <c r="A110" s="111">
        <v>76</v>
      </c>
      <c r="B110" s="111">
        <f t="shared" si="2"/>
        <v>10</v>
      </c>
      <c r="C110" s="111">
        <f t="shared" si="3"/>
        <v>6</v>
      </c>
      <c r="D110" s="112" t="str" cm="1">
        <f t="array" ref="D110">INDEX('Meta-2'!$B$2:$H$41,1+B110,C110)</f>
        <v>* differential.element[11].max = "1"</v>
      </c>
    </row>
    <row r="111" spans="1:4" x14ac:dyDescent="0.75">
      <c r="A111" s="111">
        <v>77</v>
      </c>
      <c r="B111" s="111">
        <f t="shared" si="2"/>
        <v>10</v>
      </c>
      <c r="C111" s="111">
        <f t="shared" si="3"/>
        <v>7</v>
      </c>
      <c r="D111" s="112" t="str" cm="1">
        <f t="array" ref="D111">INDEX('Meta-2'!$B$2:$H$41,1+B111,C111)</f>
        <v>* differential.element[11].type.code = #Identifier</v>
      </c>
    </row>
    <row r="112" spans="1:4" x14ac:dyDescent="0.75">
      <c r="A112" s="111">
        <v>78</v>
      </c>
      <c r="B112" s="111">
        <f t="shared" si="2"/>
        <v>11</v>
      </c>
      <c r="C112" s="111">
        <f t="shared" si="3"/>
        <v>1</v>
      </c>
      <c r="D112" s="112" t="str" cm="1">
        <f t="array" ref="D112">INDEX('Meta-2'!$B$2:$H$41,1+B112,C112)</f>
        <v>* differential.element[12].id = "DocMetadataFSE.formatCode"</v>
      </c>
    </row>
    <row r="113" spans="1:4" x14ac:dyDescent="0.75">
      <c r="A113" s="111">
        <v>79</v>
      </c>
      <c r="B113" s="111">
        <f t="shared" si="2"/>
        <v>11</v>
      </c>
      <c r="C113" s="111">
        <f t="shared" si="3"/>
        <v>2</v>
      </c>
      <c r="D113" s="112" t="str" cm="1">
        <f t="array" ref="D113">INDEX('Meta-2'!$B$2:$H$41,1+B113,C113)</f>
        <v>* differential.element[12].path = "DocMetadataFSE.formatCode"</v>
      </c>
    </row>
    <row r="114" spans="1:4" x14ac:dyDescent="0.75">
      <c r="A114" s="111">
        <v>80</v>
      </c>
      <c r="B114" s="111">
        <f t="shared" si="2"/>
        <v>11</v>
      </c>
      <c r="C114" s="111">
        <f t="shared" si="3"/>
        <v>3</v>
      </c>
      <c r="D114" s="112" t="str" cm="1">
        <f t="array" ref="D114">INDEX('Meta-2'!$B$2:$H$41,1+B114,C114)</f>
        <v>* differential.element[12].short = "Format of document"</v>
      </c>
    </row>
    <row r="115" spans="1:4" x14ac:dyDescent="0.75">
      <c r="A115" s="111">
        <v>81</v>
      </c>
      <c r="B115" s="111">
        <f t="shared" si="2"/>
        <v>11</v>
      </c>
      <c r="C115" s="111">
        <f t="shared" si="3"/>
        <v>4</v>
      </c>
      <c r="D115" s="112" t="str" cm="1">
        <f t="array" ref="D115">INDEX('Meta-2'!$B$2:$H$41,1+B115,C115)</f>
        <v>* differential.element[12].definition = "Formato documento (PDF)"</v>
      </c>
    </row>
    <row r="116" spans="1:4" x14ac:dyDescent="0.75">
      <c r="A116" s="111">
        <v>82</v>
      </c>
      <c r="B116" s="111">
        <f t="shared" si="2"/>
        <v>11</v>
      </c>
      <c r="C116" s="111">
        <f t="shared" si="3"/>
        <v>5</v>
      </c>
      <c r="D116" s="112" t="str" cm="1">
        <f t="array" ref="D116">INDEX('Meta-2'!$B$2:$H$41,1+B116,C116)</f>
        <v>* differential.element[12].min = 0</v>
      </c>
    </row>
    <row r="117" spans="1:4" x14ac:dyDescent="0.75">
      <c r="A117" s="111">
        <v>83</v>
      </c>
      <c r="B117" s="111">
        <f t="shared" si="2"/>
        <v>11</v>
      </c>
      <c r="C117" s="111">
        <f t="shared" si="3"/>
        <v>6</v>
      </c>
      <c r="D117" s="112" t="str" cm="1">
        <f t="array" ref="D117">INDEX('Meta-2'!$B$2:$H$41,1+B117,C117)</f>
        <v>* differential.element[12].max = "1"</v>
      </c>
    </row>
    <row r="118" spans="1:4" x14ac:dyDescent="0.75">
      <c r="A118" s="111">
        <v>84</v>
      </c>
      <c r="B118" s="111">
        <f t="shared" si="2"/>
        <v>11</v>
      </c>
      <c r="C118" s="111">
        <f t="shared" si="3"/>
        <v>7</v>
      </c>
      <c r="D118" s="112" t="str" cm="1">
        <f t="array" ref="D118">INDEX('Meta-2'!$B$2:$H$41,1+B118,C118)</f>
        <v>* differential.element[12].type.code = #CodeableConcept</v>
      </c>
    </row>
    <row r="119" spans="1:4" x14ac:dyDescent="0.75">
      <c r="A119" s="111">
        <v>85</v>
      </c>
      <c r="B119" s="111">
        <f t="shared" si="2"/>
        <v>12</v>
      </c>
      <c r="C119" s="111">
        <f t="shared" si="3"/>
        <v>1</v>
      </c>
      <c r="D119" s="112" t="str" cm="1">
        <f t="array" ref="D119">INDEX('Meta-2'!$B$2:$H$41,1+B119,C119)</f>
        <v>* differential.element[13].id = "DocMetadataFSE.repositoryId"</v>
      </c>
    </row>
    <row r="120" spans="1:4" x14ac:dyDescent="0.75">
      <c r="A120" s="111">
        <v>86</v>
      </c>
      <c r="B120" s="111">
        <f t="shared" si="2"/>
        <v>12</v>
      </c>
      <c r="C120" s="111">
        <f t="shared" si="3"/>
        <v>2</v>
      </c>
      <c r="D120" s="112" t="str" cm="1">
        <f t="array" ref="D120">INDEX('Meta-2'!$B$2:$H$41,1+B120,C120)</f>
        <v>* differential.element[13].path = "DocMetadataFSE.repositoryId"</v>
      </c>
    </row>
    <row r="121" spans="1:4" x14ac:dyDescent="0.75">
      <c r="A121" s="111">
        <v>87</v>
      </c>
      <c r="B121" s="111">
        <f t="shared" si="2"/>
        <v>12</v>
      </c>
      <c r="C121" s="111">
        <f t="shared" si="3"/>
        <v>3</v>
      </c>
      <c r="D121" s="112" t="str" cm="1">
        <f t="array" ref="D121">INDEX('Meta-2'!$B$2:$H$41,1+B121,C121)</f>
        <v>* differential.element[13].short = "Repository Id"</v>
      </c>
    </row>
    <row r="122" spans="1:4" x14ac:dyDescent="0.75">
      <c r="A122" s="111">
        <v>88</v>
      </c>
      <c r="B122" s="111">
        <f t="shared" si="2"/>
        <v>12</v>
      </c>
      <c r="C122" s="111">
        <f t="shared" si="3"/>
        <v>4</v>
      </c>
      <c r="D122" s="112" t="str" cm="1">
        <f t="array" ref="D122">INDEX('Meta-2'!$B$2:$H$41,1+B122,C122)</f>
        <v>* differential.element[13].definition = "Id repository (Gaslini ne ha uno)"</v>
      </c>
    </row>
    <row r="123" spans="1:4" x14ac:dyDescent="0.75">
      <c r="A123" s="111">
        <v>89</v>
      </c>
      <c r="B123" s="111">
        <f t="shared" si="2"/>
        <v>12</v>
      </c>
      <c r="C123" s="111">
        <f t="shared" si="3"/>
        <v>5</v>
      </c>
      <c r="D123" s="112" t="str" cm="1">
        <f t="array" ref="D123">INDEX('Meta-2'!$B$2:$H$41,1+B123,C123)</f>
        <v>* differential.element[13].min = 0</v>
      </c>
    </row>
    <row r="124" spans="1:4" x14ac:dyDescent="0.75">
      <c r="A124" s="111">
        <v>90</v>
      </c>
      <c r="B124" s="111">
        <f t="shared" si="2"/>
        <v>12</v>
      </c>
      <c r="C124" s="111">
        <f t="shared" si="3"/>
        <v>6</v>
      </c>
      <c r="D124" s="112" t="str" cm="1">
        <f t="array" ref="D124">INDEX('Meta-2'!$B$2:$H$41,1+B124,C124)</f>
        <v>* differential.element[13].max = "1"</v>
      </c>
    </row>
    <row r="125" spans="1:4" x14ac:dyDescent="0.75">
      <c r="A125" s="111">
        <v>91</v>
      </c>
      <c r="B125" s="111">
        <f t="shared" si="2"/>
        <v>12</v>
      </c>
      <c r="C125" s="111">
        <f t="shared" si="3"/>
        <v>7</v>
      </c>
      <c r="D125" s="112" t="str" cm="1">
        <f t="array" ref="D125">INDEX('Meta-2'!$B$2:$H$41,1+B125,C125)</f>
        <v>* differential.element[13].type.code = #Identifier</v>
      </c>
    </row>
    <row r="126" spans="1:4" x14ac:dyDescent="0.75">
      <c r="A126" s="111">
        <v>92</v>
      </c>
      <c r="B126" s="111">
        <f t="shared" si="2"/>
        <v>13</v>
      </c>
      <c r="C126" s="111">
        <f t="shared" si="3"/>
        <v>1</v>
      </c>
      <c r="D126" s="112" t="str" cm="1">
        <f t="array" ref="D126">INDEX('Meta-2'!$B$2:$H$41,1+B126,C126)</f>
        <v>* differential.element[14].id = "DocMetadataFSE.indexDate"</v>
      </c>
    </row>
    <row r="127" spans="1:4" x14ac:dyDescent="0.75">
      <c r="A127" s="111">
        <v>93</v>
      </c>
      <c r="B127" s="111">
        <f t="shared" si="2"/>
        <v>13</v>
      </c>
      <c r="C127" s="111">
        <f t="shared" si="3"/>
        <v>2</v>
      </c>
      <c r="D127" s="112" t="str" cm="1">
        <f t="array" ref="D127">INDEX('Meta-2'!$B$2:$H$41,1+B127,C127)</f>
        <v>* differential.element[14].path = "DocMetadataFSE.indexDate"</v>
      </c>
    </row>
    <row r="128" spans="1:4" x14ac:dyDescent="0.75">
      <c r="A128" s="111">
        <v>94</v>
      </c>
      <c r="B128" s="111">
        <f t="shared" si="2"/>
        <v>13</v>
      </c>
      <c r="C128" s="111">
        <f t="shared" si="3"/>
        <v>3</v>
      </c>
      <c r="D128" s="112" t="str" cm="1">
        <f t="array" ref="D128">INDEX('Meta-2'!$B$2:$H$41,1+B128,C128)</f>
        <v>* differential.element[14].short = "Index Date"</v>
      </c>
    </row>
    <row r="129" spans="1:4" x14ac:dyDescent="0.75">
      <c r="A129" s="111">
        <v>95</v>
      </c>
      <c r="B129" s="111">
        <f t="shared" si="2"/>
        <v>13</v>
      </c>
      <c r="C129" s="111">
        <f t="shared" si="3"/>
        <v>4</v>
      </c>
      <c r="D129" s="112" t="str" cm="1">
        <f t="array" ref="D129">INDEX('Meta-2'!$B$2:$H$41,1+B129,C129)</f>
        <v>* differential.element[14].definition = "Data indicizzazione (la aggiunge chi indicizza)"</v>
      </c>
    </row>
    <row r="130" spans="1:4" x14ac:dyDescent="0.75">
      <c r="A130" s="111">
        <v>96</v>
      </c>
      <c r="B130" s="111">
        <f t="shared" si="2"/>
        <v>13</v>
      </c>
      <c r="C130" s="111">
        <f t="shared" si="3"/>
        <v>5</v>
      </c>
      <c r="D130" s="112" t="str" cm="1">
        <f t="array" ref="D130">INDEX('Meta-2'!$B$2:$H$41,1+B130,C130)</f>
        <v>* differential.element[14].min = 0</v>
      </c>
    </row>
    <row r="131" spans="1:4" x14ac:dyDescent="0.75">
      <c r="A131" s="111">
        <v>97</v>
      </c>
      <c r="B131" s="111">
        <f t="shared" si="2"/>
        <v>13</v>
      </c>
      <c r="C131" s="111">
        <f t="shared" si="3"/>
        <v>6</v>
      </c>
      <c r="D131" s="112" t="str" cm="1">
        <f t="array" ref="D131">INDEX('Meta-2'!$B$2:$H$41,1+B131,C131)</f>
        <v>* differential.element[14].max = "1"</v>
      </c>
    </row>
    <row r="132" spans="1:4" x14ac:dyDescent="0.75">
      <c r="A132" s="111">
        <v>98</v>
      </c>
      <c r="B132" s="111">
        <f t="shared" si="2"/>
        <v>13</v>
      </c>
      <c r="C132" s="111">
        <f t="shared" si="3"/>
        <v>7</v>
      </c>
      <c r="D132" s="112" t="str" cm="1">
        <f t="array" ref="D132">INDEX('Meta-2'!$B$2:$H$41,1+B132,C132)</f>
        <v>* differential.element[14].type.code = #dateTime</v>
      </c>
    </row>
    <row r="133" spans="1:4" x14ac:dyDescent="0.75">
      <c r="A133" s="111">
        <v>99</v>
      </c>
      <c r="B133" s="111">
        <f t="shared" si="2"/>
        <v>14</v>
      </c>
      <c r="C133" s="111">
        <f t="shared" si="3"/>
        <v>1</v>
      </c>
      <c r="D133" s="112" t="str" cm="1">
        <f t="array" ref="D133">INDEX('Meta-2'!$B$2:$H$41,1+B133,C133)</f>
        <v>* differential.element[15].id = "DocMetadataFSE.practiceSettingCode"</v>
      </c>
    </row>
    <row r="134" spans="1:4" x14ac:dyDescent="0.75">
      <c r="A134" s="111">
        <v>100</v>
      </c>
      <c r="B134" s="111">
        <f t="shared" si="2"/>
        <v>14</v>
      </c>
      <c r="C134" s="111">
        <f t="shared" si="3"/>
        <v>2</v>
      </c>
      <c r="D134" s="112" t="str" cm="1">
        <f t="array" ref="D134">INDEX('Meta-2'!$B$2:$H$41,1+B134,C134)</f>
        <v>* differential.element[15].path = "DocMetadataFSE.practiceSettingCode"</v>
      </c>
    </row>
    <row r="135" spans="1:4" x14ac:dyDescent="0.75">
      <c r="A135" s="111">
        <v>101</v>
      </c>
      <c r="B135" s="111">
        <f t="shared" si="2"/>
        <v>14</v>
      </c>
      <c r="C135" s="111">
        <f t="shared" si="3"/>
        <v>3</v>
      </c>
      <c r="D135" s="112" t="str" cm="1">
        <f t="array" ref="D135">INDEX('Meta-2'!$B$2:$H$41,1+B135,C135)</f>
        <v>* differential.element[15].short = "Practice setting code"</v>
      </c>
    </row>
    <row r="136" spans="1:4" x14ac:dyDescent="0.75">
      <c r="A136" s="111">
        <v>102</v>
      </c>
      <c r="B136" s="111">
        <f t="shared" si="2"/>
        <v>14</v>
      </c>
      <c r="C136" s="111">
        <f t="shared" si="3"/>
        <v>4</v>
      </c>
      <c r="D136" s="112" t="str" cm="1">
        <f t="array" ref="D136">INDEX('Meta-2'!$B$2:$H$41,1+B136,C136)</f>
        <v>* differential.element[15].definition = "Practice setting code (da stabilire con Gaslini)"</v>
      </c>
    </row>
    <row r="137" spans="1:4" x14ac:dyDescent="0.75">
      <c r="A137" s="111">
        <v>103</v>
      </c>
      <c r="B137" s="111">
        <f t="shared" si="2"/>
        <v>14</v>
      </c>
      <c r="C137" s="111">
        <f t="shared" si="3"/>
        <v>5</v>
      </c>
      <c r="D137" s="112" t="str" cm="1">
        <f t="array" ref="D137">INDEX('Meta-2'!$B$2:$H$41,1+B137,C137)</f>
        <v>* differential.element[15].min = 0</v>
      </c>
    </row>
    <row r="138" spans="1:4" x14ac:dyDescent="0.75">
      <c r="A138" s="111">
        <v>104</v>
      </c>
      <c r="B138" s="111">
        <f t="shared" si="2"/>
        <v>14</v>
      </c>
      <c r="C138" s="111">
        <f t="shared" si="3"/>
        <v>6</v>
      </c>
      <c r="D138" s="112" t="str" cm="1">
        <f t="array" ref="D138">INDEX('Meta-2'!$B$2:$H$41,1+B138,C138)</f>
        <v>* differential.element[15].max = "1"</v>
      </c>
    </row>
    <row r="139" spans="1:4" x14ac:dyDescent="0.75">
      <c r="A139" s="111">
        <v>105</v>
      </c>
      <c r="B139" s="111">
        <f t="shared" si="2"/>
        <v>14</v>
      </c>
      <c r="C139" s="111">
        <f t="shared" si="3"/>
        <v>7</v>
      </c>
      <c r="D139" s="112" t="str" cm="1">
        <f t="array" ref="D139">INDEX('Meta-2'!$B$2:$H$41,1+B139,C139)</f>
        <v>* differential.element[15].type.code = #CodeableConcept</v>
      </c>
    </row>
    <row r="140" spans="1:4" x14ac:dyDescent="0.75">
      <c r="A140" s="111">
        <v>106</v>
      </c>
      <c r="B140" s="111">
        <f t="shared" si="2"/>
        <v>15</v>
      </c>
      <c r="C140" s="111">
        <f t="shared" si="3"/>
        <v>1</v>
      </c>
      <c r="D140" s="112" t="str" cm="1">
        <f t="array" ref="D140">INDEX('Meta-2'!$B$2:$H$41,1+B140,C140)</f>
        <v>* differential.element[16].id = "DocMetadataFSE.patientFiscalCode"</v>
      </c>
    </row>
    <row r="141" spans="1:4" x14ac:dyDescent="0.75">
      <c r="A141" s="111">
        <v>107</v>
      </c>
      <c r="B141" s="111">
        <f t="shared" si="2"/>
        <v>15</v>
      </c>
      <c r="C141" s="111">
        <f t="shared" si="3"/>
        <v>2</v>
      </c>
      <c r="D141" s="112" t="str" cm="1">
        <f t="array" ref="D141">INDEX('Meta-2'!$B$2:$H$41,1+B141,C141)</f>
        <v>* differential.element[16].path = "DocMetadataFSE.patientFiscalCode"</v>
      </c>
    </row>
    <row r="142" spans="1:4" x14ac:dyDescent="0.75">
      <c r="A142" s="111">
        <v>108</v>
      </c>
      <c r="B142" s="111">
        <f t="shared" si="2"/>
        <v>15</v>
      </c>
      <c r="C142" s="111">
        <f t="shared" si="3"/>
        <v>3</v>
      </c>
      <c r="D142" s="112" t="str" cm="1">
        <f t="array" ref="D142">INDEX('Meta-2'!$B$2:$H$41,1+B142,C142)</f>
        <v>* differential.element[16].short = "Patient Fiscal Code"</v>
      </c>
    </row>
    <row r="143" spans="1:4" x14ac:dyDescent="0.75">
      <c r="A143" s="111">
        <v>109</v>
      </c>
      <c r="B143" s="111">
        <f t="shared" si="2"/>
        <v>15</v>
      </c>
      <c r="C143" s="111">
        <f t="shared" si="3"/>
        <v>4</v>
      </c>
      <c r="D143" s="112" t="str" cm="1">
        <f t="array" ref="D143">INDEX('Meta-2'!$B$2:$H$41,1+B143,C143)</f>
        <v>* differential.element[16].definition = "Codice fiscale paziente soggetto del documento"</v>
      </c>
    </row>
    <row r="144" spans="1:4" x14ac:dyDescent="0.75">
      <c r="A144" s="111">
        <v>110</v>
      </c>
      <c r="B144" s="111">
        <f t="shared" si="2"/>
        <v>15</v>
      </c>
      <c r="C144" s="111">
        <f t="shared" si="3"/>
        <v>5</v>
      </c>
      <c r="D144" s="112" t="str" cm="1">
        <f t="array" ref="D144">INDEX('Meta-2'!$B$2:$H$41,1+B144,C144)</f>
        <v>* differential.element[16].min = 0</v>
      </c>
    </row>
    <row r="145" spans="1:5" x14ac:dyDescent="0.75">
      <c r="A145" s="111">
        <v>111</v>
      </c>
      <c r="B145" s="111">
        <f t="shared" si="2"/>
        <v>15</v>
      </c>
      <c r="C145" s="111">
        <f t="shared" si="3"/>
        <v>6</v>
      </c>
      <c r="D145" s="112" t="str" cm="1">
        <f t="array" ref="D145">INDEX('Meta-2'!$B$2:$H$41,1+B145,C145)</f>
        <v>* differential.element[16].max = "1"</v>
      </c>
    </row>
    <row r="146" spans="1:5" x14ac:dyDescent="0.75">
      <c r="A146" s="111">
        <v>112</v>
      </c>
      <c r="B146" s="111">
        <f t="shared" si="2"/>
        <v>15</v>
      </c>
      <c r="C146" s="111">
        <f t="shared" si="3"/>
        <v>7</v>
      </c>
      <c r="D146" s="112" t="str" cm="1">
        <f t="array" ref="D146">INDEX('Meta-2'!$B$2:$H$41,1+B146,C146)</f>
        <v>* differential.element[16].type.code = #Identifier</v>
      </c>
    </row>
    <row r="147" spans="1:5" x14ac:dyDescent="0.75">
      <c r="A147" s="111">
        <v>113</v>
      </c>
      <c r="B147" s="111">
        <f t="shared" si="2"/>
        <v>16</v>
      </c>
      <c r="C147" s="111">
        <f t="shared" si="3"/>
        <v>1</v>
      </c>
      <c r="D147" s="112" t="str" cm="1">
        <f t="array" ref="D147">INDEX('Meta-2'!$B$2:$H$41,1+B147,C147)</f>
        <v>* differential.element[17].id = "DocMetadataFSE.author"</v>
      </c>
    </row>
    <row r="148" spans="1:5" x14ac:dyDescent="0.75">
      <c r="A148" s="111">
        <v>114</v>
      </c>
      <c r="B148" s="111">
        <f t="shared" si="2"/>
        <v>16</v>
      </c>
      <c r="C148" s="111">
        <f t="shared" si="3"/>
        <v>2</v>
      </c>
      <c r="D148" s="112" t="str" cm="1">
        <f t="array" ref="D148">INDEX('Meta-2'!$B$2:$H$41,1+B148,C148)</f>
        <v>* differential.element[17].path = "DocMetadataFSE.author"</v>
      </c>
    </row>
    <row r="149" spans="1:5" x14ac:dyDescent="0.75">
      <c r="A149" s="111">
        <v>115</v>
      </c>
      <c r="B149" s="111">
        <f t="shared" si="2"/>
        <v>16</v>
      </c>
      <c r="C149" s="111">
        <f t="shared" si="3"/>
        <v>3</v>
      </c>
      <c r="D149" s="112" t="str" cm="1">
        <f t="array" ref="D149">INDEX('Meta-2'!$B$2:$H$41,1+B149,C149)</f>
        <v>* differential.element[17].short = "Author"</v>
      </c>
      <c r="E149" s="41"/>
    </row>
    <row r="150" spans="1:5" x14ac:dyDescent="0.75">
      <c r="A150" s="111">
        <v>116</v>
      </c>
      <c r="B150" s="111">
        <f t="shared" si="2"/>
        <v>16</v>
      </c>
      <c r="C150" s="111">
        <f t="shared" si="3"/>
        <v>4</v>
      </c>
      <c r="D150" s="112" t="str" cm="1">
        <f t="array" ref="D150">INDEX('Meta-2'!$B$2:$H$41,1+B150,C150)</f>
        <v>* differential.element[17].definition = "Author"</v>
      </c>
    </row>
    <row r="151" spans="1:5" x14ac:dyDescent="0.75">
      <c r="A151" s="111">
        <v>117</v>
      </c>
      <c r="B151" s="111">
        <f t="shared" si="2"/>
        <v>16</v>
      </c>
      <c r="C151" s="111">
        <f t="shared" si="3"/>
        <v>5</v>
      </c>
      <c r="D151" s="112" t="str" cm="1">
        <f t="array" ref="D151">INDEX('Meta-2'!$B$2:$H$41,1+B151,C151)</f>
        <v>* differential.element[17].min = 0</v>
      </c>
    </row>
    <row r="152" spans="1:5" x14ac:dyDescent="0.75">
      <c r="A152" s="111">
        <v>118</v>
      </c>
      <c r="B152" s="111">
        <f t="shared" si="2"/>
        <v>16</v>
      </c>
      <c r="C152" s="111">
        <f t="shared" si="3"/>
        <v>6</v>
      </c>
      <c r="D152" s="112" t="str" cm="1">
        <f t="array" ref="D152">INDEX('Meta-2'!$B$2:$H$41,1+B152,C152)</f>
        <v>* differential.element[17].max = "1"</v>
      </c>
    </row>
    <row r="153" spans="1:5" x14ac:dyDescent="0.75">
      <c r="A153" s="111">
        <v>119</v>
      </c>
      <c r="B153" s="111">
        <f t="shared" si="2"/>
        <v>16</v>
      </c>
      <c r="C153" s="111">
        <f t="shared" si="3"/>
        <v>7</v>
      </c>
      <c r="D153" s="112" t="str" cm="1">
        <f t="array" ref="D153">INDEX('Meta-2'!$B$2:$H$41,1+B153,C153)</f>
        <v>* differential.element[17].type.code = #BackboneElement</v>
      </c>
    </row>
    <row r="154" spans="1:5" x14ac:dyDescent="0.75">
      <c r="A154" s="111">
        <v>120</v>
      </c>
      <c r="B154" s="111">
        <f t="shared" si="2"/>
        <v>17</v>
      </c>
      <c r="C154" s="111">
        <f t="shared" si="3"/>
        <v>1</v>
      </c>
      <c r="D154" s="112" t="str" cm="1">
        <f t="array" ref="D154">INDEX('Meta-2'!$B$2:$H$41,1+B154,C154)</f>
        <v>* differential.element[18].id = "DocMetadataFSE.author.fiscalCode"</v>
      </c>
    </row>
    <row r="155" spans="1:5" x14ac:dyDescent="0.75">
      <c r="A155" s="111">
        <v>121</v>
      </c>
      <c r="B155" s="111">
        <f t="shared" si="2"/>
        <v>17</v>
      </c>
      <c r="C155" s="111">
        <f t="shared" si="3"/>
        <v>2</v>
      </c>
      <c r="D155" s="112" t="str" cm="1">
        <f t="array" ref="D155">INDEX('Meta-2'!$B$2:$H$41,1+B155,C155)</f>
        <v>* differential.element[18].path = "DocMetadataFSE.author.fiscalCode"</v>
      </c>
    </row>
    <row r="156" spans="1:5" x14ac:dyDescent="0.75">
      <c r="A156" s="111">
        <v>122</v>
      </c>
      <c r="B156" s="111">
        <f t="shared" si="2"/>
        <v>17</v>
      </c>
      <c r="C156" s="111">
        <f t="shared" si="3"/>
        <v>3</v>
      </c>
      <c r="D156" s="112" t="str" cm="1">
        <f t="array" ref="D156">INDEX('Meta-2'!$B$2:$H$41,1+B156,C156)</f>
        <v>* differential.element[18].short = "Author Fiscal Code"</v>
      </c>
    </row>
    <row r="157" spans="1:5" x14ac:dyDescent="0.75">
      <c r="A157" s="111">
        <v>123</v>
      </c>
      <c r="B157" s="111">
        <f t="shared" si="2"/>
        <v>17</v>
      </c>
      <c r="C157" s="111">
        <f t="shared" si="3"/>
        <v>4</v>
      </c>
      <c r="D157" s="112" t="str" cm="1">
        <f t="array" ref="D157">INDEX('Meta-2'!$B$2:$H$41,1+B157,C157)</f>
        <v>* differential.element[18].definition = "Codice fiscale autore del documento"</v>
      </c>
    </row>
    <row r="158" spans="1:5" x14ac:dyDescent="0.75">
      <c r="A158" s="111">
        <v>124</v>
      </c>
      <c r="B158" s="111">
        <f t="shared" si="2"/>
        <v>17</v>
      </c>
      <c r="C158" s="111">
        <f t="shared" si="3"/>
        <v>5</v>
      </c>
      <c r="D158" s="112" t="str" cm="1">
        <f t="array" ref="D158">INDEX('Meta-2'!$B$2:$H$41,1+B158,C158)</f>
        <v>* differential.element[18].min = 0</v>
      </c>
    </row>
    <row r="159" spans="1:5" x14ac:dyDescent="0.75">
      <c r="A159" s="111">
        <v>125</v>
      </c>
      <c r="B159" s="111">
        <f t="shared" si="2"/>
        <v>17</v>
      </c>
      <c r="C159" s="111">
        <f t="shared" si="3"/>
        <v>6</v>
      </c>
      <c r="D159" s="112" t="str" cm="1">
        <f t="array" ref="D159">INDEX('Meta-2'!$B$2:$H$41,1+B159,C159)</f>
        <v>* differential.element[18].max = "1"</v>
      </c>
    </row>
    <row r="160" spans="1:5" x14ac:dyDescent="0.75">
      <c r="A160" s="111">
        <v>126</v>
      </c>
      <c r="B160" s="111">
        <f t="shared" si="2"/>
        <v>17</v>
      </c>
      <c r="C160" s="111">
        <f t="shared" si="3"/>
        <v>7</v>
      </c>
      <c r="D160" s="112" t="str" cm="1">
        <f t="array" ref="D160">INDEX('Meta-2'!$B$2:$H$41,1+B160,C160)</f>
        <v>* differential.element[18].type.code = #Identifier</v>
      </c>
    </row>
    <row r="161" spans="1:4" x14ac:dyDescent="0.75">
      <c r="A161" s="111">
        <v>127</v>
      </c>
      <c r="B161" s="111">
        <f t="shared" si="2"/>
        <v>18</v>
      </c>
      <c r="C161" s="111">
        <f t="shared" si="3"/>
        <v>1</v>
      </c>
      <c r="D161" s="112" t="str" cm="1">
        <f t="array" ref="D161">INDEX('Meta-2'!$B$2:$H$41,1+B161,C161)</f>
        <v>* differential.element[19].id = "DocMetadataFSE.author.orgCode"</v>
      </c>
    </row>
    <row r="162" spans="1:4" x14ac:dyDescent="0.75">
      <c r="A162" s="111">
        <v>128</v>
      </c>
      <c r="B162" s="111">
        <f t="shared" si="2"/>
        <v>18</v>
      </c>
      <c r="C162" s="111">
        <f t="shared" si="3"/>
        <v>2</v>
      </c>
      <c r="D162" s="112" t="str" cm="1">
        <f t="array" ref="D162">INDEX('Meta-2'!$B$2:$H$41,1+B162,C162)</f>
        <v>* differential.element[19].path = "DocMetadataFSE.author.orgCode"</v>
      </c>
    </row>
    <row r="163" spans="1:4" x14ac:dyDescent="0.75">
      <c r="A163" s="111">
        <v>129</v>
      </c>
      <c r="B163" s="111">
        <f t="shared" si="2"/>
        <v>18</v>
      </c>
      <c r="C163" s="111">
        <f t="shared" si="3"/>
        <v>3</v>
      </c>
      <c r="D163" s="112" t="str" cm="1">
        <f t="array" ref="D163">INDEX('Meta-2'!$B$2:$H$41,1+B163,C163)</f>
        <v>* differential.element[19].short = "Author Organization (code)"</v>
      </c>
    </row>
    <row r="164" spans="1:4" x14ac:dyDescent="0.75">
      <c r="A164" s="111">
        <v>130</v>
      </c>
      <c r="B164" s="111">
        <f t="shared" ref="B164:B227" si="4">IF(MOD(A164,7)=0,A164/7-1,INT(A164/7))</f>
        <v>18</v>
      </c>
      <c r="C164" s="111">
        <f t="shared" ref="C164:C227" si="5">IF(MOD(A164,7)=0,7,MOD(A164,7))</f>
        <v>4</v>
      </c>
      <c r="D164" s="112" t="str" cm="1">
        <f t="array" ref="D164">INDEX('Meta-2'!$B$2:$H$41,1+B164,C164)</f>
        <v>* differential.element[19].definition = "Struttura dell'autore (codifica come sopra)"</v>
      </c>
    </row>
    <row r="165" spans="1:4" x14ac:dyDescent="0.75">
      <c r="A165" s="111">
        <v>131</v>
      </c>
      <c r="B165" s="111">
        <f t="shared" si="4"/>
        <v>18</v>
      </c>
      <c r="C165" s="111">
        <f t="shared" si="5"/>
        <v>5</v>
      </c>
      <c r="D165" s="112" t="str" cm="1">
        <f t="array" ref="D165">INDEX('Meta-2'!$B$2:$H$41,1+B165,C165)</f>
        <v>* differential.element[19].min = 0</v>
      </c>
    </row>
    <row r="166" spans="1:4" x14ac:dyDescent="0.75">
      <c r="A166" s="111">
        <v>132</v>
      </c>
      <c r="B166" s="111">
        <f t="shared" si="4"/>
        <v>18</v>
      </c>
      <c r="C166" s="111">
        <f t="shared" si="5"/>
        <v>6</v>
      </c>
      <c r="D166" s="112" t="str" cm="1">
        <f t="array" ref="D166">INDEX('Meta-2'!$B$2:$H$41,1+B166,C166)</f>
        <v>* differential.element[19].max = "1"</v>
      </c>
    </row>
    <row r="167" spans="1:4" x14ac:dyDescent="0.75">
      <c r="A167" s="111">
        <v>133</v>
      </c>
      <c r="B167" s="111">
        <f t="shared" si="4"/>
        <v>18</v>
      </c>
      <c r="C167" s="111">
        <f t="shared" si="5"/>
        <v>7</v>
      </c>
      <c r="D167" s="112" t="str" cm="1">
        <f t="array" ref="D167">INDEX('Meta-2'!$B$2:$H$41,1+B167,C167)</f>
        <v>* differential.element[19].type.code = #CodeableConcept</v>
      </c>
    </row>
    <row r="168" spans="1:4" x14ac:dyDescent="0.75">
      <c r="A168" s="111">
        <v>134</v>
      </c>
      <c r="B168" s="111">
        <f t="shared" si="4"/>
        <v>19</v>
      </c>
      <c r="C168" s="111">
        <f t="shared" si="5"/>
        <v>1</v>
      </c>
      <c r="D168" s="112" t="str" cm="1">
        <f t="array" ref="D168">INDEX('Meta-2'!$B$2:$H$41,1+B168,C168)</f>
        <v>* differential.element[20].id = "DocMetadataFSE.author.role"</v>
      </c>
    </row>
    <row r="169" spans="1:4" x14ac:dyDescent="0.75">
      <c r="A169" s="111">
        <v>135</v>
      </c>
      <c r="B169" s="111">
        <f t="shared" si="4"/>
        <v>19</v>
      </c>
      <c r="C169" s="111">
        <f t="shared" si="5"/>
        <v>2</v>
      </c>
      <c r="D169" s="112" t="str" cm="1">
        <f t="array" ref="D169">INDEX('Meta-2'!$B$2:$H$41,1+B169,C169)</f>
        <v>* differential.element[20].path = "DocMetadataFSE.author.role"</v>
      </c>
    </row>
    <row r="170" spans="1:4" x14ac:dyDescent="0.75">
      <c r="A170" s="111">
        <v>136</v>
      </c>
      <c r="B170" s="111">
        <f t="shared" si="4"/>
        <v>19</v>
      </c>
      <c r="C170" s="111">
        <f t="shared" si="5"/>
        <v>3</v>
      </c>
      <c r="D170" s="112" t="str" cm="1">
        <f t="array" ref="D170">INDEX('Meta-2'!$B$2:$H$41,1+B170,C170)</f>
        <v>* differential.element[20].short = "Author Role (code)"</v>
      </c>
    </row>
    <row r="171" spans="1:4" x14ac:dyDescent="0.75">
      <c r="A171" s="111">
        <v>137</v>
      </c>
      <c r="B171" s="111">
        <f t="shared" si="4"/>
        <v>19</v>
      </c>
      <c r="C171" s="111">
        <f t="shared" si="5"/>
        <v>4</v>
      </c>
      <c r="D171" s="112" t="str" cm="1">
        <f t="array" ref="D171">INDEX('Meta-2'!$B$2:$H$41,1+B171,C171)</f>
        <v>* differential.element[20].definition = "Ruolo autore (codifica come sopra)"</v>
      </c>
    </row>
    <row r="172" spans="1:4" x14ac:dyDescent="0.75">
      <c r="A172" s="111">
        <v>138</v>
      </c>
      <c r="B172" s="111">
        <f t="shared" si="4"/>
        <v>19</v>
      </c>
      <c r="C172" s="111">
        <f t="shared" si="5"/>
        <v>5</v>
      </c>
      <c r="D172" s="112" t="str" cm="1">
        <f t="array" ref="D172">INDEX('Meta-2'!$B$2:$H$41,1+B172,C172)</f>
        <v>* differential.element[20].min = 0</v>
      </c>
    </row>
    <row r="173" spans="1:4" x14ac:dyDescent="0.75">
      <c r="A173" s="111">
        <v>139</v>
      </c>
      <c r="B173" s="111">
        <f t="shared" si="4"/>
        <v>19</v>
      </c>
      <c r="C173" s="111">
        <f t="shared" si="5"/>
        <v>6</v>
      </c>
      <c r="D173" s="112" t="str" cm="1">
        <f t="array" ref="D173">INDEX('Meta-2'!$B$2:$H$41,1+B173,C173)</f>
        <v>* differential.element[20].max = "1"</v>
      </c>
    </row>
    <row r="174" spans="1:4" x14ac:dyDescent="0.75">
      <c r="A174" s="111">
        <v>140</v>
      </c>
      <c r="B174" s="111">
        <f t="shared" si="4"/>
        <v>19</v>
      </c>
      <c r="C174" s="111">
        <f t="shared" si="5"/>
        <v>7</v>
      </c>
      <c r="D174" s="112" t="str" cm="1">
        <f t="array" ref="D174">INDEX('Meta-2'!$B$2:$H$41,1+B174,C174)</f>
        <v>* differential.element[20].type.code = #CodeableConcept</v>
      </c>
    </row>
    <row r="175" spans="1:4" x14ac:dyDescent="0.75">
      <c r="A175" s="111">
        <v>141</v>
      </c>
      <c r="B175" s="111">
        <f t="shared" si="4"/>
        <v>20</v>
      </c>
      <c r="C175" s="111">
        <f t="shared" si="5"/>
        <v>1</v>
      </c>
      <c r="D175" s="112" t="str" cm="1">
        <f t="array" ref="D175">INDEX('Meta-2'!$B$2:$H$41,1+B175,C175)</f>
        <v>* differential.element[21].id = "DocMetadataFSE.attesterFiscalCode"</v>
      </c>
    </row>
    <row r="176" spans="1:4" x14ac:dyDescent="0.75">
      <c r="A176" s="111">
        <v>142</v>
      </c>
      <c r="B176" s="111">
        <f t="shared" si="4"/>
        <v>20</v>
      </c>
      <c r="C176" s="111">
        <f t="shared" si="5"/>
        <v>2</v>
      </c>
      <c r="D176" s="112" t="str" cm="1">
        <f t="array" ref="D176">INDEX('Meta-2'!$B$2:$H$41,1+B176,C176)</f>
        <v>* differential.element[21].path = "DocMetadataFSE.attesterFiscalCode"</v>
      </c>
    </row>
    <row r="177" spans="1:4" x14ac:dyDescent="0.75">
      <c r="A177" s="111">
        <v>143</v>
      </c>
      <c r="B177" s="111">
        <f t="shared" si="4"/>
        <v>20</v>
      </c>
      <c r="C177" s="111">
        <f t="shared" si="5"/>
        <v>3</v>
      </c>
      <c r="D177" s="112" t="str" cm="1">
        <f t="array" ref="D177">INDEX('Meta-2'!$B$2:$H$41,1+B177,C177)</f>
        <v>* differential.element[21].short = "Attester Fiscal Code"</v>
      </c>
    </row>
    <row r="178" spans="1:4" x14ac:dyDescent="0.75">
      <c r="A178" s="111">
        <v>144</v>
      </c>
      <c r="B178" s="111">
        <f t="shared" si="4"/>
        <v>20</v>
      </c>
      <c r="C178" s="111">
        <f t="shared" si="5"/>
        <v>4</v>
      </c>
      <c r="D178" s="112" t="str" cm="1">
        <f t="array" ref="D178">INDEX('Meta-2'!$B$2:$H$41,1+B178,C178)</f>
        <v>* differential.element[21].definition = "Firmatario del documento (codice fiscale)"</v>
      </c>
    </row>
    <row r="179" spans="1:4" x14ac:dyDescent="0.75">
      <c r="A179" s="111">
        <v>145</v>
      </c>
      <c r="B179" s="111">
        <f t="shared" si="4"/>
        <v>20</v>
      </c>
      <c r="C179" s="111">
        <f t="shared" si="5"/>
        <v>5</v>
      </c>
      <c r="D179" s="112" t="str" cm="1">
        <f t="array" ref="D179">INDEX('Meta-2'!$B$2:$H$41,1+B179,C179)</f>
        <v>* differential.element[21].min = 0</v>
      </c>
    </row>
    <row r="180" spans="1:4" x14ac:dyDescent="0.75">
      <c r="A180" s="111">
        <v>146</v>
      </c>
      <c r="B180" s="111">
        <f t="shared" si="4"/>
        <v>20</v>
      </c>
      <c r="C180" s="111">
        <f t="shared" si="5"/>
        <v>6</v>
      </c>
      <c r="D180" s="112" t="str" cm="1">
        <f t="array" ref="D180">INDEX('Meta-2'!$B$2:$H$41,1+B180,C180)</f>
        <v>* differential.element[21].max = "1"</v>
      </c>
    </row>
    <row r="181" spans="1:4" x14ac:dyDescent="0.75">
      <c r="A181" s="111">
        <v>147</v>
      </c>
      <c r="B181" s="111">
        <f t="shared" si="4"/>
        <v>20</v>
      </c>
      <c r="C181" s="111">
        <f t="shared" si="5"/>
        <v>7</v>
      </c>
      <c r="D181" s="112" t="str" cm="1">
        <f t="array" ref="D181">INDEX('Meta-2'!$B$2:$H$41,1+B181,C181)</f>
        <v>* differential.element[21].type.code = #Identifier</v>
      </c>
    </row>
    <row r="182" spans="1:4" x14ac:dyDescent="0.75">
      <c r="A182" s="111">
        <v>148</v>
      </c>
      <c r="B182" s="111">
        <f t="shared" si="4"/>
        <v>21</v>
      </c>
      <c r="C182" s="111">
        <f t="shared" si="5"/>
        <v>1</v>
      </c>
      <c r="D182" s="112" t="str" cm="1">
        <f t="array" ref="D182">INDEX('Meta-2'!$B$2:$H$41,1+B182,C182)</f>
        <v>* differential.element[22].id = "DocMetadataFSE.custiodian"</v>
      </c>
    </row>
    <row r="183" spans="1:4" x14ac:dyDescent="0.75">
      <c r="A183" s="111">
        <v>149</v>
      </c>
      <c r="B183" s="111">
        <f t="shared" si="4"/>
        <v>21</v>
      </c>
      <c r="C183" s="111">
        <f t="shared" si="5"/>
        <v>2</v>
      </c>
      <c r="D183" s="112" t="str" cm="1">
        <f t="array" ref="D183">INDEX('Meta-2'!$B$2:$H$41,1+B183,C183)</f>
        <v>* differential.element[22].path = "DocMetadataFSE.custiodian"</v>
      </c>
    </row>
    <row r="184" spans="1:4" x14ac:dyDescent="0.75">
      <c r="A184" s="111">
        <v>150</v>
      </c>
      <c r="B184" s="111">
        <f t="shared" si="4"/>
        <v>21</v>
      </c>
      <c r="C184" s="111">
        <f t="shared" si="5"/>
        <v>3</v>
      </c>
      <c r="D184" s="112" t="str" cm="1">
        <f t="array" ref="D184">INDEX('Meta-2'!$B$2:$H$41,1+B184,C184)</f>
        <v>* differential.element[22].short = "Custodian"</v>
      </c>
    </row>
    <row r="185" spans="1:4" x14ac:dyDescent="0.75">
      <c r="A185" s="111">
        <v>151</v>
      </c>
      <c r="B185" s="111">
        <f t="shared" si="4"/>
        <v>21</v>
      </c>
      <c r="C185" s="111">
        <f t="shared" si="5"/>
        <v>4</v>
      </c>
      <c r="D185" s="112" t="str" cm="1">
        <f t="array" ref="D185">INDEX('Meta-2'!$B$2:$H$41,1+B185,C185)</f>
        <v>* differential.element[22].definition = "Codice azienda custode del documento (070940)"</v>
      </c>
    </row>
    <row r="186" spans="1:4" x14ac:dyDescent="0.75">
      <c r="A186" s="111">
        <v>152</v>
      </c>
      <c r="B186" s="111">
        <f t="shared" si="4"/>
        <v>21</v>
      </c>
      <c r="C186" s="111">
        <f t="shared" si="5"/>
        <v>5</v>
      </c>
      <c r="D186" s="112" t="str" cm="1">
        <f t="array" ref="D186">INDEX('Meta-2'!$B$2:$H$41,1+B186,C186)</f>
        <v>* differential.element[22].min = 0</v>
      </c>
    </row>
    <row r="187" spans="1:4" x14ac:dyDescent="0.75">
      <c r="A187" s="111">
        <v>153</v>
      </c>
      <c r="B187" s="111">
        <f t="shared" si="4"/>
        <v>21</v>
      </c>
      <c r="C187" s="111">
        <f t="shared" si="5"/>
        <v>6</v>
      </c>
      <c r="D187" s="112" t="str" cm="1">
        <f t="array" ref="D187">INDEX('Meta-2'!$B$2:$H$41,1+B187,C187)</f>
        <v>* differential.element[22].max = "1"</v>
      </c>
    </row>
    <row r="188" spans="1:4" x14ac:dyDescent="0.75">
      <c r="A188" s="111">
        <v>154</v>
      </c>
      <c r="B188" s="111">
        <f t="shared" si="4"/>
        <v>21</v>
      </c>
      <c r="C188" s="111">
        <f t="shared" si="5"/>
        <v>7</v>
      </c>
      <c r="D188" s="112" t="str" cm="1">
        <f t="array" ref="D188">INDEX('Meta-2'!$B$2:$H$41,1+B188,C188)</f>
        <v>* differential.element[22].type.code = #CodeableConcept</v>
      </c>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workbookViewId="0">
      <selection activeCell="D1" sqref="D1:D1048576"/>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44" t="s">
        <v>32</v>
      </c>
      <c r="E1" s="19"/>
      <c r="G1" s="42" t="s">
        <v>41</v>
      </c>
      <c r="N1" s="109" t="s">
        <v>39</v>
      </c>
    </row>
    <row r="2" spans="1:14" ht="15.5" thickBot="1" x14ac:dyDescent="0.9">
      <c r="C2" s="105" t="str">
        <f>'Meta-1'!B2</f>
        <v>http://hl7.eu/fhir/ig/pcsp</v>
      </c>
      <c r="D2" s="122" t="s">
        <v>46</v>
      </c>
      <c r="E2" s="35"/>
      <c r="G2" s="109" t="s">
        <v>38</v>
      </c>
      <c r="M2" s="44"/>
      <c r="N2" s="109" t="str">
        <f>CONCATENATE("Mapping: ",E2)</f>
        <v xml:space="preserve">Mapping: </v>
      </c>
    </row>
    <row r="3" spans="1:14" x14ac:dyDescent="0.75">
      <c r="C3" s="104" t="str">
        <f>'Meta-1'!B3</f>
        <v>Publisher</v>
      </c>
      <c r="D3" s="145"/>
      <c r="E3" s="36"/>
      <c r="M3" s="44"/>
      <c r="N3" s="109" t="str">
        <f>CONCATENATE("Id: ",E2)</f>
        <v xml:space="preserve">Id: </v>
      </c>
    </row>
    <row r="4" spans="1:14" ht="15.5" thickBot="1" x14ac:dyDescent="0.9">
      <c r="C4" s="105" t="str">
        <f>'Meta-1'!B4</f>
        <v>PanCareSurPass project</v>
      </c>
      <c r="D4" s="146"/>
      <c r="E4" s="37"/>
      <c r="M4" s="44"/>
      <c r="N4" s="109" t="str">
        <f>CONCATENATE("Title: """,D2,"""")</f>
        <v>Title: "FHIR"</v>
      </c>
    </row>
    <row r="5" spans="1:14" x14ac:dyDescent="0.75">
      <c r="M5" s="44"/>
      <c r="N5" s="109" t="str">
        <f>CONCATENATE("Source: ",C2,"/",C7)</f>
        <v>Source: http://hl7.eu/fhir/ig/pcsp/DocMetadataFSE</v>
      </c>
    </row>
    <row r="6" spans="1:14" x14ac:dyDescent="0.75">
      <c r="D6" s="110" t="s">
        <v>37</v>
      </c>
      <c r="M6" s="44"/>
      <c r="N6" s="109" t="str">
        <f>CONCATENATE("Target: """,D4,"""")</f>
        <v>Target: ""</v>
      </c>
    </row>
    <row r="7" spans="1:14" x14ac:dyDescent="0.75">
      <c r="A7" s="111">
        <v>0</v>
      </c>
      <c r="B7" s="111">
        <f>'Meta-1'!A6</f>
        <v>0</v>
      </c>
      <c r="C7" s="111" t="str">
        <f>'Meta-1'!B6</f>
        <v>DocMetadataFSE</v>
      </c>
      <c r="D7" s="13" t="s">
        <v>1128</v>
      </c>
      <c r="H7" s="109" t="b">
        <f>IF(D7&gt;"",TRUE,FALSE)</f>
        <v>1</v>
      </c>
      <c r="I7" s="110" t="str">
        <f>IF(H7,CONCATENATE("* differential.element[",$B7,"].mapping[",$A7,"].identity = """,$G$1,""""),"")</f>
        <v>* differential.element[0].mapping[0].identity = "fhir"</v>
      </c>
      <c r="J7" s="110" t="str">
        <f>IF(H7,CONCATENATE("* differential.element[",$B7,"].mapping[",$A7,"].map = """,D7,""""),"")</f>
        <v>* differential.element[0].mapping[0].map = "DocumentReference"</v>
      </c>
      <c r="K7" s="110" t="str">
        <f>IF(E7&gt;"",CONCATENATE("* differential.element[",$B7,"].mapping[",$A7,"].comment = """,E7,""""),"")</f>
        <v/>
      </c>
      <c r="M7" s="109" t="s">
        <v>40</v>
      </c>
      <c r="N7" s="109" t="s">
        <v>39</v>
      </c>
    </row>
    <row r="8" spans="1:14" ht="29.5" x14ac:dyDescent="0.75">
      <c r="A8" s="111">
        <v>0</v>
      </c>
      <c r="B8" s="111">
        <f>'Meta-1'!A7</f>
        <v>1</v>
      </c>
      <c r="C8" s="111" t="str">
        <f>'Meta-1'!B7</f>
        <v>identifier</v>
      </c>
      <c r="D8" s="138" t="s">
        <v>1145</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 DocumentReference.masterIdentifier"</v>
      </c>
      <c r="K8" s="110" t="str">
        <f t="shared" ref="K8:K52" si="3">IF(E8&gt;"",CONCATENATE("* differential.element[",$B8,"].mapping[",$A8,"].comment = """,E8,""""),"")</f>
        <v/>
      </c>
      <c r="M8" s="44"/>
      <c r="N8" s="109" t="str">
        <f t="shared" ref="N8:N43" si="4">CONCATENATE("* ",C8," -&gt; """,D8,"""")</f>
        <v>* identifier -&gt; " DocumentReference.masterIdentifier"</v>
      </c>
    </row>
    <row r="9" spans="1:14" ht="44.25" x14ac:dyDescent="0.75">
      <c r="A9" s="111">
        <v>0</v>
      </c>
      <c r="B9" s="111">
        <f>'Meta-1'!A8</f>
        <v>2</v>
      </c>
      <c r="C9" s="111" t="str">
        <f>'Meta-1'!B8</f>
        <v>mimeType</v>
      </c>
      <c r="D9" s="138" t="s">
        <v>1130</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"DocumentReference.content.attachment.contentType"</v>
      </c>
      <c r="K9" s="110" t="str">
        <f t="shared" si="3"/>
        <v/>
      </c>
      <c r="M9" s="44"/>
      <c r="N9" s="109" t="str">
        <f t="shared" si="4"/>
        <v>* mimeType -&gt; "DocumentReference.content.attachment.contentType"</v>
      </c>
    </row>
    <row r="10" spans="1:14" ht="44.25" x14ac:dyDescent="0.75">
      <c r="A10" s="111">
        <v>0</v>
      </c>
      <c r="B10" s="111">
        <f>'Meta-1'!A9</f>
        <v>3</v>
      </c>
      <c r="C10" s="111" t="str">
        <f>'Meta-1'!B9</f>
        <v>size</v>
      </c>
      <c r="D10" s="138" t="s">
        <v>1131</v>
      </c>
      <c r="H10" s="109" t="b">
        <f t="shared" si="5"/>
        <v>1</v>
      </c>
      <c r="I10" s="110" t="str">
        <f t="shared" si="6"/>
        <v>* differential.element[3].mapping[0].identity = "fhir"</v>
      </c>
      <c r="J10" s="110" t="str">
        <f t="shared" si="7"/>
        <v>* differential.element[3].mapping[0].map = "DocumentReference.content.attachment.size"</v>
      </c>
      <c r="K10" s="110" t="str">
        <f t="shared" si="3"/>
        <v/>
      </c>
      <c r="M10" s="44"/>
      <c r="N10" s="109" t="str">
        <f t="shared" si="4"/>
        <v>* size -&gt; "DocumentReference.content.attachment.size"</v>
      </c>
    </row>
    <row r="11" spans="1:14" x14ac:dyDescent="0.75">
      <c r="A11" s="111">
        <v>0</v>
      </c>
      <c r="B11" s="111">
        <f>'Meta-1'!A10</f>
        <v>4</v>
      </c>
      <c r="C11" s="111" t="str">
        <f>'Meta-1'!B10</f>
        <v>hash</v>
      </c>
      <c r="D11" s="112" t="s">
        <v>1132</v>
      </c>
      <c r="H11" s="109" t="b">
        <f t="shared" si="5"/>
        <v>1</v>
      </c>
      <c r="I11" s="110" t="str">
        <f t="shared" si="6"/>
        <v>* differential.element[4].mapping[0].identity = "fhir"</v>
      </c>
      <c r="J11" s="110" t="str">
        <f t="shared" si="7"/>
        <v>* differential.element[4].mapping[0].map = "DocumentReference.content.attachment.hash"</v>
      </c>
      <c r="K11" s="110" t="str">
        <f t="shared" si="3"/>
        <v/>
      </c>
      <c r="M11" s="44"/>
      <c r="N11" s="109" t="str">
        <f t="shared" si="4"/>
        <v>* hash -&gt; "DocumentReference.content.attachment.hash"</v>
      </c>
    </row>
    <row r="12" spans="1:14" ht="29.5" x14ac:dyDescent="0.75">
      <c r="A12" s="111">
        <v>0</v>
      </c>
      <c r="B12" s="111">
        <f>'Meta-1'!A11</f>
        <v>5</v>
      </c>
      <c r="C12" s="111" t="str">
        <f>'Meta-1'!B11</f>
        <v>code</v>
      </c>
      <c r="D12" s="138" t="s">
        <v>1129</v>
      </c>
      <c r="H12" s="109" t="b">
        <f t="shared" si="5"/>
        <v>1</v>
      </c>
      <c r="I12" s="110" t="str">
        <f t="shared" si="6"/>
        <v>* differential.element[5].mapping[0].identity = "fhir"</v>
      </c>
      <c r="J12" s="110" t="str">
        <f t="shared" si="7"/>
        <v>* differential.element[5].mapping[0].map = "DocumentReference.type"</v>
      </c>
      <c r="K12" s="110" t="str">
        <f t="shared" si="3"/>
        <v/>
      </c>
      <c r="M12" s="44"/>
      <c r="N12" s="109" t="str">
        <f>CONCATENATE("* ",C12," -&gt; """,D14,"""")</f>
        <v>* code -&gt; "DocumentReference.category (TBC)"</v>
      </c>
    </row>
    <row r="13" spans="1:14" ht="29.5" x14ac:dyDescent="0.75">
      <c r="A13" s="111">
        <v>0</v>
      </c>
      <c r="B13" s="111">
        <f>'Meta-1'!A12</f>
        <v>6</v>
      </c>
      <c r="C13" s="111" t="str">
        <f>'Meta-1'!B12</f>
        <v>classCode</v>
      </c>
      <c r="D13" s="138" t="s">
        <v>1141</v>
      </c>
      <c r="H13" s="109" t="b">
        <f t="shared" si="5"/>
        <v>1</v>
      </c>
      <c r="I13" s="110" t="str">
        <f t="shared" si="6"/>
        <v>* differential.element[6].mapping[0].identity = "fhir"</v>
      </c>
      <c r="J13" s="110" t="str">
        <f t="shared" si="7"/>
        <v>* differential.element[6].mapping[0].map = "DocumentReference.category"</v>
      </c>
      <c r="K13" s="110" t="str">
        <f t="shared" si="3"/>
        <v/>
      </c>
      <c r="M13" s="44"/>
      <c r="N13" s="109" t="str">
        <f>CONCATENATE("* ",C13," -&gt; """,D12,"""")</f>
        <v>* classCode -&gt; "DocumentReference.type"</v>
      </c>
    </row>
    <row r="14" spans="1:14" ht="29.5" x14ac:dyDescent="0.75">
      <c r="A14" s="111">
        <v>0</v>
      </c>
      <c r="B14" s="111">
        <f>'Meta-1'!A13</f>
        <v>7</v>
      </c>
      <c r="C14" s="111" t="str">
        <f>'Meta-1'!B13</f>
        <v>contentType</v>
      </c>
      <c r="D14" s="138" t="s">
        <v>1142</v>
      </c>
      <c r="H14" s="109" t="b">
        <f t="shared" si="5"/>
        <v>1</v>
      </c>
      <c r="I14" s="110" t="str">
        <f t="shared" si="6"/>
        <v>* differential.element[7].mapping[0].identity = "fhir"</v>
      </c>
      <c r="J14" s="110" t="str">
        <f t="shared" si="7"/>
        <v>* differential.element[7].mapping[0].map = "DocumentReference.category (TBC)"</v>
      </c>
      <c r="K14" s="110" t="str">
        <f t="shared" si="3"/>
        <v/>
      </c>
      <c r="M14" s="44"/>
      <c r="N14" s="109" t="str">
        <f>CONCATENATE("* ",C14," -&gt; """,D13,"""")</f>
        <v>* contentType -&gt; "DocumentReference.category"</v>
      </c>
    </row>
    <row r="15" spans="1:14" x14ac:dyDescent="0.75">
      <c r="A15" s="111">
        <v>0</v>
      </c>
      <c r="B15" s="111">
        <f>'Meta-1'!A14</f>
        <v>8</v>
      </c>
      <c r="C15" s="111" t="str">
        <f>'Meta-1'!B14</f>
        <v>creationDate</v>
      </c>
      <c r="D15" s="138" t="s">
        <v>1133</v>
      </c>
      <c r="H15" s="109" t="b">
        <f t="shared" si="5"/>
        <v>1</v>
      </c>
      <c r="I15" s="110" t="str">
        <f t="shared" si="6"/>
        <v>* differential.element[8].mapping[0].identity = "fhir"</v>
      </c>
      <c r="J15" s="110" t="str">
        <f t="shared" si="7"/>
        <v>* differential.element[8].mapping[0].map = "DocumentReference.content.attachment.creation"</v>
      </c>
      <c r="K15" s="110" t="str">
        <f t="shared" si="3"/>
        <v/>
      </c>
      <c r="N15" s="109" t="str">
        <f t="shared" si="4"/>
        <v>* creationDate -&gt; "DocumentReference.content.attachment.creation"</v>
      </c>
    </row>
    <row r="16" spans="1:14" x14ac:dyDescent="0.75">
      <c r="A16" s="111">
        <v>0</v>
      </c>
      <c r="B16" s="111">
        <f>'Meta-1'!A15</f>
        <v>9</v>
      </c>
      <c r="C16" s="111" t="str">
        <f>'Meta-1'!B15</f>
        <v>confidentiality</v>
      </c>
      <c r="D16" s="112" t="s">
        <v>1134</v>
      </c>
      <c r="H16" s="109" t="b">
        <f t="shared" si="5"/>
        <v>1</v>
      </c>
      <c r="I16" s="110" t="str">
        <f t="shared" si="6"/>
        <v>* differential.element[9].mapping[0].identity = "fhir"</v>
      </c>
      <c r="J16" s="110" t="str">
        <f t="shared" si="7"/>
        <v>* differential.element[9].mapping[0].map = "DocumentReference.securityLabel"</v>
      </c>
      <c r="K16" s="110" t="str">
        <f t="shared" si="3"/>
        <v/>
      </c>
      <c r="N16" s="109" t="str">
        <f t="shared" si="4"/>
        <v>* confidentiality -&gt; "DocumentReference.securityLabel"</v>
      </c>
    </row>
    <row r="17" spans="1:14" x14ac:dyDescent="0.75">
      <c r="A17" s="111">
        <v>0</v>
      </c>
      <c r="B17" s="111">
        <f>'Meta-1'!A16</f>
        <v>10</v>
      </c>
      <c r="C17" s="111" t="str">
        <f>'Meta-1'!B16</f>
        <v>mask</v>
      </c>
      <c r="D17" s="112" t="s">
        <v>1134</v>
      </c>
      <c r="H17" s="109" t="b">
        <f t="shared" si="5"/>
        <v>1</v>
      </c>
      <c r="I17" s="110" t="str">
        <f t="shared" si="6"/>
        <v>* differential.element[10].mapping[0].identity = "fhir"</v>
      </c>
      <c r="J17" s="110" t="str">
        <f t="shared" si="7"/>
        <v>* differential.element[10].mapping[0].map = "DocumentReference.securityLabel"</v>
      </c>
      <c r="K17" s="110" t="str">
        <f t="shared" si="3"/>
        <v/>
      </c>
      <c r="N17" s="109" t="str">
        <f t="shared" si="4"/>
        <v>* mask -&gt; "DocumentReference.securityLabel"</v>
      </c>
    </row>
    <row r="18" spans="1:14" ht="29.5" x14ac:dyDescent="0.75">
      <c r="A18" s="111">
        <v>0</v>
      </c>
      <c r="B18" s="111">
        <f>'Meta-1'!A17</f>
        <v>11</v>
      </c>
      <c r="C18" s="111" t="str">
        <f>'Meta-1'!B17</f>
        <v>replace</v>
      </c>
      <c r="D18" s="112" t="s">
        <v>1151</v>
      </c>
      <c r="H18" s="109" t="b">
        <f t="shared" si="5"/>
        <v>1</v>
      </c>
      <c r="I18" s="110" t="str">
        <f t="shared" si="6"/>
        <v>* differential.element[11].mapping[0].identity = "fhir"</v>
      </c>
      <c r="J18" s="110" t="str">
        <f t="shared" si="7"/>
        <v>* differential.element[11].mapping[0].map = "DocumentReference.relatesTo.where(code = 'replaces').target"</v>
      </c>
      <c r="K18" s="110" t="str">
        <f t="shared" si="3"/>
        <v/>
      </c>
      <c r="N18" s="109" t="str">
        <f t="shared" si="4"/>
        <v>* replace -&gt; "DocumentReference.relatesTo.where(code = 'replaces').target"</v>
      </c>
    </row>
    <row r="19" spans="1:14" x14ac:dyDescent="0.75">
      <c r="A19" s="111">
        <v>0</v>
      </c>
      <c r="B19" s="111">
        <f>'Meta-1'!A18</f>
        <v>12</v>
      </c>
      <c r="C19" s="111" t="str">
        <f>'Meta-1'!B18</f>
        <v>formatCode</v>
      </c>
      <c r="D19" s="112" t="s">
        <v>1135</v>
      </c>
      <c r="H19" s="109" t="b">
        <f t="shared" si="5"/>
        <v>1</v>
      </c>
      <c r="I19" s="110" t="str">
        <f t="shared" si="6"/>
        <v>* differential.element[12].mapping[0].identity = "fhir"</v>
      </c>
      <c r="J19" s="110" t="str">
        <f t="shared" si="7"/>
        <v>* differential.element[12].mapping[0].map = "DocumentReference.content.format"</v>
      </c>
      <c r="K19" s="110" t="str">
        <f t="shared" si="3"/>
        <v/>
      </c>
      <c r="N19" s="109" t="str">
        <f t="shared" si="4"/>
        <v>* formatCode -&gt; "DocumentReference.content.format"</v>
      </c>
    </row>
    <row r="20" spans="1:14" x14ac:dyDescent="0.75">
      <c r="A20" s="111">
        <v>0</v>
      </c>
      <c r="B20" s="111">
        <f>'Meta-1'!A19</f>
        <v>13</v>
      </c>
      <c r="C20" s="111" t="str">
        <f>'Meta-1'!B19</f>
        <v>repositoryId</v>
      </c>
      <c r="D20" s="112" t="s">
        <v>1144</v>
      </c>
      <c r="H20" s="109" t="b">
        <f t="shared" si="5"/>
        <v>1</v>
      </c>
      <c r="I20" s="110" t="str">
        <f t="shared" si="6"/>
        <v>* differential.element[13].mapping[0].identity = "fhir"</v>
      </c>
      <c r="J20" s="110" t="str">
        <f t="shared" si="7"/>
        <v>* differential.element[13].mapping[0].map = "DocumentReference.content.attachment.url"</v>
      </c>
      <c r="K20" s="110" t="str">
        <f t="shared" si="3"/>
        <v/>
      </c>
      <c r="N20" s="109" t="str">
        <f t="shared" si="4"/>
        <v>* repositoryId -&gt; "DocumentReference.content.attachment.url"</v>
      </c>
    </row>
    <row r="21" spans="1:14" ht="29.5" x14ac:dyDescent="0.75">
      <c r="A21" s="111">
        <v>0</v>
      </c>
      <c r="B21" s="111">
        <f>'Meta-1'!A20</f>
        <v>14</v>
      </c>
      <c r="C21" s="111" t="str">
        <f>'Meta-1'!B20</f>
        <v>indexDate</v>
      </c>
      <c r="D21" s="138" t="s">
        <v>1143</v>
      </c>
      <c r="H21" s="109" t="b">
        <f t="shared" si="5"/>
        <v>1</v>
      </c>
      <c r="I21" s="110" t="str">
        <f t="shared" si="6"/>
        <v>* differential.element[14].mapping[0].identity = "fhir"</v>
      </c>
      <c r="J21" s="110" t="str">
        <f t="shared" si="7"/>
        <v>* differential.element[14].mapping[0].map = "DocumentReference.date (TBC)"</v>
      </c>
      <c r="K21" s="110" t="str">
        <f t="shared" si="3"/>
        <v/>
      </c>
      <c r="N21" s="109" t="str">
        <f>CONCATENATE("* ",C21," -&gt; """,D23,"""")</f>
        <v>* indexDate -&gt; "DocumentReference.subject.resolve().ofType(Patient).identifier"</v>
      </c>
    </row>
    <row r="22" spans="1:14" ht="29.5" x14ac:dyDescent="0.75">
      <c r="A22" s="111">
        <v>0</v>
      </c>
      <c r="B22" s="111">
        <f>'Meta-1'!A21</f>
        <v>15</v>
      </c>
      <c r="C22" s="111" t="str">
        <f>'Meta-1'!B21</f>
        <v>practiceSettingCode</v>
      </c>
      <c r="D22" s="112" t="s">
        <v>1136</v>
      </c>
      <c r="H22" s="109" t="b">
        <f t="shared" si="5"/>
        <v>1</v>
      </c>
      <c r="I22" s="110" t="str">
        <f t="shared" si="6"/>
        <v>* differential.element[15].mapping[0].identity = "fhir"</v>
      </c>
      <c r="J22" s="110" t="str">
        <f t="shared" si="7"/>
        <v>* differential.element[15].mapping[0].map = "DocumentReference.context.practiceSetting"</v>
      </c>
      <c r="K22" s="110" t="str">
        <f t="shared" si="3"/>
        <v/>
      </c>
    </row>
    <row r="23" spans="1:14" ht="44.25" x14ac:dyDescent="0.75">
      <c r="A23" s="111">
        <v>0</v>
      </c>
      <c r="B23" s="111">
        <f>'Meta-1'!A22</f>
        <v>16</v>
      </c>
      <c r="C23" s="111" t="str">
        <f>'Meta-1'!B22</f>
        <v>patientFiscalCode</v>
      </c>
      <c r="D23" s="138" t="s">
        <v>1146</v>
      </c>
      <c r="H23" s="109" t="b">
        <f t="shared" si="5"/>
        <v>1</v>
      </c>
      <c r="I23" s="110" t="str">
        <f t="shared" si="6"/>
        <v>* differential.element[16].mapping[0].identity = "fhir"</v>
      </c>
      <c r="J23" s="110" t="str">
        <f t="shared" si="7"/>
        <v>* differential.element[16].mapping[0].map = "DocumentReference.subject.resolve().ofType(Patient).identifier"</v>
      </c>
      <c r="K23" s="110" t="str">
        <f t="shared" si="3"/>
        <v/>
      </c>
      <c r="N23" s="109" t="e">
        <f>CONCATENATE("* ",C23," -&gt; """,#REF!,"""")</f>
        <v>#REF!</v>
      </c>
    </row>
    <row r="24" spans="1:14" x14ac:dyDescent="0.75">
      <c r="A24" s="111">
        <v>0</v>
      </c>
      <c r="B24" s="111">
        <f>'Meta-1'!A23</f>
        <v>17</v>
      </c>
      <c r="C24" s="111" t="str">
        <f>'Meta-1'!B23</f>
        <v>author</v>
      </c>
      <c r="D24" s="138" t="s">
        <v>1139</v>
      </c>
      <c r="H24" s="109" t="b">
        <f t="shared" si="5"/>
        <v>1</v>
      </c>
      <c r="I24" s="110" t="str">
        <f t="shared" si="6"/>
        <v>* differential.element[17].mapping[0].identity = "fhir"</v>
      </c>
      <c r="J24" s="110" t="str">
        <f t="shared" si="7"/>
        <v>* differential.element[17].mapping[0].map = "DocumentReference.author"</v>
      </c>
      <c r="K24" s="110" t="str">
        <f t="shared" si="3"/>
        <v/>
      </c>
      <c r="N24" s="109" t="str">
        <f t="shared" si="4"/>
        <v>* author -&gt; "DocumentReference.author"</v>
      </c>
    </row>
    <row r="25" spans="1:14" ht="59" x14ac:dyDescent="0.75">
      <c r="A25" s="111">
        <v>0</v>
      </c>
      <c r="B25" s="111">
        <f>'Meta-1'!A24</f>
        <v>18</v>
      </c>
      <c r="C25" s="111" t="str">
        <f>'Meta-1'!B24</f>
        <v>author.fiscalCode</v>
      </c>
      <c r="D25" s="138" t="s">
        <v>1148</v>
      </c>
      <c r="H25" s="109" t="b">
        <f t="shared" si="5"/>
        <v>1</v>
      </c>
      <c r="I25" s="110" t="str">
        <f t="shared" si="6"/>
        <v>* differential.element[18].mapping[0].identity = "fhir"</v>
      </c>
      <c r="J25" s="110" t="str">
        <f t="shared" si="7"/>
        <v>* differential.element[18].mapping[0].map = "DocumentReference.author.resolve().ofType(PractitionerRole).organization.resolve().identifier"</v>
      </c>
      <c r="K25" s="110" t="str">
        <f t="shared" si="3"/>
        <v/>
      </c>
      <c r="N25" s="109" t="str">
        <f t="shared" si="4"/>
        <v>* author.fiscalCode -&gt; "DocumentReference.author.resolve().ofType(PractitionerRole).organization.resolve().identifier"</v>
      </c>
    </row>
    <row r="26" spans="1:14" ht="59" x14ac:dyDescent="0.75">
      <c r="A26" s="111">
        <v>0</v>
      </c>
      <c r="B26" s="111">
        <f>'Meta-1'!A25</f>
        <v>19</v>
      </c>
      <c r="C26" s="111" t="str">
        <f>'Meta-1'!B25</f>
        <v>author.orgCode</v>
      </c>
      <c r="D26" s="138" t="s">
        <v>1147</v>
      </c>
      <c r="H26" s="109" t="b">
        <f t="shared" si="5"/>
        <v>1</v>
      </c>
      <c r="I26" s="110" t="str">
        <f t="shared" si="6"/>
        <v>* differential.element[19].mapping[0].identity = "fhir"</v>
      </c>
      <c r="J26" s="110" t="str">
        <f t="shared" si="7"/>
        <v>* differential.element[19].mapping[0].map = "DocumentReference.author.resolve().ofType(PractitionerRole).practitioner.resolve().ofType(Practitioner).identifier"</v>
      </c>
      <c r="K26" s="110" t="str">
        <f t="shared" si="3"/>
        <v/>
      </c>
      <c r="N26" s="109" t="str">
        <f t="shared" si="4"/>
        <v>* author.orgCode -&gt; "DocumentReference.author.resolve().ofType(PractitionerRole).practitioner.resolve().ofType(Practitioner).identifier"</v>
      </c>
    </row>
    <row r="27" spans="1:14" ht="59" x14ac:dyDescent="0.75">
      <c r="A27" s="111">
        <v>0</v>
      </c>
      <c r="B27" s="111">
        <f>'Meta-1'!A26</f>
        <v>20</v>
      </c>
      <c r="C27" s="111" t="str">
        <f>'Meta-1'!B26</f>
        <v>author.role</v>
      </c>
      <c r="D27" s="138" t="s">
        <v>1149</v>
      </c>
      <c r="H27" s="109" t="b">
        <f t="shared" si="5"/>
        <v>1</v>
      </c>
      <c r="I27" s="110" t="str">
        <f t="shared" si="6"/>
        <v>* differential.element[20].mapping[0].identity = "fhir"</v>
      </c>
      <c r="J27" s="110" t="str">
        <f t="shared" si="7"/>
        <v>* differential.element[20].mapping[0].map = "DocumentReference.author.resolve().ofType(PractitionerRole).organization.resolve().code"</v>
      </c>
      <c r="K27" s="110" t="str">
        <f t="shared" si="3"/>
        <v/>
      </c>
      <c r="N27" s="109" t="str">
        <f t="shared" si="4"/>
        <v>* author.role -&gt; "DocumentReference.author.resolve().ofType(PractitionerRole).organization.resolve().code"</v>
      </c>
    </row>
    <row r="28" spans="1:14" ht="59" x14ac:dyDescent="0.75">
      <c r="A28" s="111">
        <v>0</v>
      </c>
      <c r="B28" s="111">
        <f>'Meta-1'!A27</f>
        <v>21</v>
      </c>
      <c r="C28" s="111" t="str">
        <f>'Meta-1'!B27</f>
        <v>attesterFiscalCode</v>
      </c>
      <c r="D28" s="138" t="s">
        <v>1150</v>
      </c>
      <c r="H28" s="109" t="b">
        <f t="shared" si="5"/>
        <v>1</v>
      </c>
      <c r="I28" s="110" t="str">
        <f t="shared" si="6"/>
        <v>* differential.element[21].mapping[0].identity = "fhir"</v>
      </c>
      <c r="J28" s="110" t="str">
        <f t="shared" si="7"/>
        <v>* differential.element[21].mapping[0].map = "DocumentReference.author.resolve().ofType(Practitioner).identifier"</v>
      </c>
      <c r="K28" s="110" t="str">
        <f t="shared" si="3"/>
        <v/>
      </c>
      <c r="N28" s="109" t="str">
        <f t="shared" si="4"/>
        <v>* attesterFiscalCode -&gt; "DocumentReference.author.resolve().ofType(Practitioner).identifier"</v>
      </c>
    </row>
    <row r="29" spans="1:14" ht="29.5" x14ac:dyDescent="0.75">
      <c r="A29" s="111">
        <v>0</v>
      </c>
      <c r="B29" s="111">
        <f>'Meta-1'!A28</f>
        <v>22</v>
      </c>
      <c r="C29" s="111" t="str">
        <f>'Meta-1'!B28</f>
        <v>custiodian</v>
      </c>
      <c r="D29" s="138" t="s">
        <v>1140</v>
      </c>
      <c r="H29" s="109" t="b">
        <f t="shared" si="5"/>
        <v>1</v>
      </c>
      <c r="I29" s="110" t="str">
        <f t="shared" si="6"/>
        <v>* differential.element[22].mapping[0].identity = "fhir"</v>
      </c>
      <c r="J29" s="110" t="str">
        <f t="shared" si="7"/>
        <v>* differential.element[22].mapping[0].map = "DocumentReference.custodian.resolve().identifier"</v>
      </c>
      <c r="K29" s="110" t="str">
        <f t="shared" si="3"/>
        <v/>
      </c>
      <c r="N29" s="109" t="str">
        <f t="shared" si="4"/>
        <v>* custiodian -&gt; "DocumentReference.custodian.resolve().identifier"</v>
      </c>
    </row>
    <row r="30" spans="1:14" x14ac:dyDescent="0.75">
      <c r="A30" s="111"/>
      <c r="B30" s="111"/>
      <c r="C30" s="111"/>
      <c r="D30" s="138"/>
      <c r="H30" s="109" t="b">
        <f t="shared" si="5"/>
        <v>0</v>
      </c>
      <c r="I30" s="110" t="str">
        <f t="shared" si="6"/>
        <v/>
      </c>
      <c r="J30" s="110" t="str">
        <f t="shared" si="7"/>
        <v/>
      </c>
      <c r="K30" s="110" t="str">
        <f t="shared" si="3"/>
        <v/>
      </c>
      <c r="N30" s="109" t="str">
        <f>CONCATENATE("* ",C30," -&gt; """,D31,"""")</f>
        <v>*  -&gt; ""</v>
      </c>
    </row>
    <row r="31" spans="1:14" x14ac:dyDescent="0.75">
      <c r="A31" s="111"/>
      <c r="B31" s="111"/>
      <c r="C31" s="111"/>
      <c r="D31" s="138"/>
      <c r="H31" s="109" t="b">
        <f t="shared" si="5"/>
        <v>0</v>
      </c>
      <c r="I31" s="110" t="str">
        <f t="shared" si="6"/>
        <v/>
      </c>
      <c r="J31" s="110" t="str">
        <f t="shared" si="7"/>
        <v/>
      </c>
      <c r="K31" s="110" t="str">
        <f t="shared" si="3"/>
        <v/>
      </c>
      <c r="N31" s="109" t="e">
        <f>CONCATENATE("* ",C31," -&gt; """,#REF!,"""")</f>
        <v>#REF!</v>
      </c>
    </row>
    <row r="32" spans="1:14" x14ac:dyDescent="0.75">
      <c r="A32" s="111"/>
      <c r="B32" s="111"/>
      <c r="C32" s="111"/>
      <c r="D32" s="138"/>
      <c r="H32" s="109" t="b">
        <f t="shared" si="5"/>
        <v>0</v>
      </c>
      <c r="I32" s="110" t="str">
        <f t="shared" si="6"/>
        <v/>
      </c>
      <c r="J32" s="110" t="str">
        <f t="shared" si="7"/>
        <v/>
      </c>
      <c r="K32" s="110" t="str">
        <f t="shared" si="3"/>
        <v/>
      </c>
      <c r="N32" s="109" t="str">
        <f t="shared" si="4"/>
        <v>*  -&gt; ""</v>
      </c>
    </row>
    <row r="33" spans="1:14" x14ac:dyDescent="0.75">
      <c r="A33" s="111"/>
      <c r="B33" s="111"/>
      <c r="C33" s="111"/>
      <c r="D33" s="138"/>
      <c r="H33" s="109" t="b">
        <f t="shared" si="5"/>
        <v>0</v>
      </c>
      <c r="I33" s="110" t="str">
        <f t="shared" si="6"/>
        <v/>
      </c>
      <c r="J33" s="110" t="str">
        <f t="shared" si="7"/>
        <v/>
      </c>
      <c r="K33" s="110" t="str">
        <f t="shared" si="3"/>
        <v/>
      </c>
      <c r="N33" s="109" t="str">
        <f t="shared" si="4"/>
        <v>*  -&gt; ""</v>
      </c>
    </row>
    <row r="34" spans="1:14" x14ac:dyDescent="0.75">
      <c r="A34" s="111"/>
      <c r="B34" s="111"/>
      <c r="C34" s="111"/>
      <c r="D34" s="138"/>
      <c r="H34" s="109" t="b">
        <f t="shared" si="5"/>
        <v>0</v>
      </c>
      <c r="I34" s="110" t="str">
        <f t="shared" si="6"/>
        <v/>
      </c>
      <c r="J34" s="110" t="str">
        <f t="shared" si="7"/>
        <v/>
      </c>
      <c r="K34" s="110" t="str">
        <f t="shared" si="3"/>
        <v/>
      </c>
      <c r="N34" s="109" t="str">
        <f t="shared" si="4"/>
        <v>*  -&gt; ""</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'Sug-1'!#REF!</f>
        <v>#REF!</v>
      </c>
      <c r="H48" s="109" t="b">
        <f t="shared" si="5"/>
        <v>0</v>
      </c>
      <c r="I48" s="110" t="str">
        <f t="shared" si="6"/>
        <v/>
      </c>
      <c r="J48" s="110" t="str">
        <f t="shared" si="7"/>
        <v/>
      </c>
      <c r="K48" s="110" t="str">
        <f t="shared" si="3"/>
        <v/>
      </c>
    </row>
    <row r="49" spans="2:11" x14ac:dyDescent="0.75">
      <c r="B49" s="109" t="e">
        <f>'Sug-1'!#REF!</f>
        <v>#REF!</v>
      </c>
      <c r="H49" s="109" t="b">
        <f t="shared" si="5"/>
        <v>0</v>
      </c>
      <c r="I49" s="110" t="str">
        <f t="shared" si="6"/>
        <v/>
      </c>
      <c r="J49" s="110" t="str">
        <f t="shared" si="7"/>
        <v/>
      </c>
      <c r="K49" s="110" t="str">
        <f t="shared" si="3"/>
        <v/>
      </c>
    </row>
    <row r="50" spans="2:11" x14ac:dyDescent="0.75">
      <c r="B50" s="109" t="e">
        <f>'Sug-1'!#REF!</f>
        <v>#REF!</v>
      </c>
      <c r="H50" s="109" t="b">
        <f t="shared" si="5"/>
        <v>0</v>
      </c>
      <c r="I50" s="110" t="str">
        <f t="shared" si="6"/>
        <v/>
      </c>
      <c r="J50" s="110" t="str">
        <f t="shared" si="7"/>
        <v/>
      </c>
      <c r="K50" s="110" t="str">
        <f t="shared" si="3"/>
        <v/>
      </c>
    </row>
    <row r="51" spans="2:11" x14ac:dyDescent="0.75">
      <c r="B51" s="109" t="e">
        <f>'Sug-1'!#REF!</f>
        <v>#REF!</v>
      </c>
      <c r="H51" s="109" t="b">
        <f t="shared" si="5"/>
        <v>0</v>
      </c>
      <c r="I51" s="110" t="str">
        <f t="shared" si="6"/>
        <v/>
      </c>
      <c r="J51" s="110" t="str">
        <f t="shared" si="7"/>
        <v/>
      </c>
      <c r="K51" s="110" t="str">
        <f t="shared" si="3"/>
        <v/>
      </c>
    </row>
    <row r="52" spans="2:11" x14ac:dyDescent="0.75">
      <c r="B52" s="109" t="e">
        <f>'Sug-1'!#REF!</f>
        <v>#REF!</v>
      </c>
      <c r="H52" s="109" t="b">
        <f t="shared" si="5"/>
        <v>0</v>
      </c>
      <c r="I52" s="110" t="str">
        <f t="shared" si="6"/>
        <v/>
      </c>
      <c r="J52" s="110" t="str">
        <f t="shared" si="7"/>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31"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INDEX('Meta-Map-1'!$I$7:$K$102,1+B3,C3)</f>
        <v>* differential.element[0].mapping[0].identity = "fhir"</v>
      </c>
      <c r="E3" s="109" t="str">
        <f>INDEX('Meta-Map-1'!$I$8:$K$17,1,1)</f>
        <v>* differential.element[1].mapping[0].identity = "fhir"</v>
      </c>
    </row>
    <row r="4" spans="1:5" x14ac:dyDescent="0.75">
      <c r="A4" s="111">
        <v>2</v>
      </c>
      <c r="B4" s="111">
        <f t="shared" ref="B4:B67" si="0">IF(MOD(A4,3)=0,A4/3-1,INT(A4/3))</f>
        <v>0</v>
      </c>
      <c r="C4" s="111">
        <f t="shared" ref="C4:C67" si="1">IF(MOD(A4,3)=0,3,MOD(A4,3))</f>
        <v>2</v>
      </c>
      <c r="D4" s="109" t="str" cm="1">
        <f t="array" ref="D4">INDEX('Meta-Map-1'!$I$7:$K$102,1+B4,C4)</f>
        <v>* differential.element[0].mapping[0].map = "DocumentReference"</v>
      </c>
    </row>
    <row r="5" spans="1:5" x14ac:dyDescent="0.75">
      <c r="A5" s="111">
        <v>3</v>
      </c>
      <c r="B5" s="111">
        <f t="shared" si="0"/>
        <v>0</v>
      </c>
      <c r="C5" s="111">
        <f t="shared" si="1"/>
        <v>3</v>
      </c>
      <c r="D5" s="109" t="str" cm="1">
        <f t="array" ref="D5">INDEX('Meta-Map-1'!$I$7:$K$102,1+B5,C5)</f>
        <v/>
      </c>
    </row>
    <row r="6" spans="1:5" x14ac:dyDescent="0.75">
      <c r="A6" s="111">
        <v>4</v>
      </c>
      <c r="B6" s="111">
        <f t="shared" si="0"/>
        <v>1</v>
      </c>
      <c r="C6" s="111">
        <f t="shared" si="1"/>
        <v>1</v>
      </c>
      <c r="D6" s="109" t="str" cm="1">
        <f t="array" ref="D6">INDEX('Meta-Map-1'!$I$7:$K$102,1+B6,C6)</f>
        <v>* differential.element[1].mapping[0].identity = "fhir"</v>
      </c>
    </row>
    <row r="7" spans="1:5" x14ac:dyDescent="0.75">
      <c r="A7" s="111">
        <v>5</v>
      </c>
      <c r="B7" s="111">
        <f t="shared" si="0"/>
        <v>1</v>
      </c>
      <c r="C7" s="111">
        <f t="shared" si="1"/>
        <v>2</v>
      </c>
      <c r="D7" s="109" t="str" cm="1">
        <f t="array" ref="D7">INDEX('Meta-Map-1'!$I$7:$K$102,1+B7,C7)</f>
        <v>* differential.element[1].mapping[0].map = " DocumentReference.masterIdentifier"</v>
      </c>
    </row>
    <row r="8" spans="1:5" x14ac:dyDescent="0.75">
      <c r="A8" s="111">
        <v>6</v>
      </c>
      <c r="B8" s="111">
        <f t="shared" si="0"/>
        <v>1</v>
      </c>
      <c r="C8" s="111">
        <f t="shared" si="1"/>
        <v>3</v>
      </c>
      <c r="D8" s="109" t="str" cm="1">
        <f t="array" ref="D8">INDEX('Meta-Map-1'!$I$7:$K$102,1+B8,C8)</f>
        <v/>
      </c>
    </row>
    <row r="9" spans="1:5" x14ac:dyDescent="0.75">
      <c r="A9" s="111">
        <v>7</v>
      </c>
      <c r="B9" s="111">
        <f t="shared" si="0"/>
        <v>2</v>
      </c>
      <c r="C9" s="111">
        <f t="shared" si="1"/>
        <v>1</v>
      </c>
      <c r="D9" s="109" t="str" cm="1">
        <f t="array" ref="D9">INDEX('Meta-Map-1'!$I$7:$K$102,1+B9,C9)</f>
        <v>* differential.element[2].mapping[0].identity = "fhir"</v>
      </c>
    </row>
    <row r="10" spans="1:5" x14ac:dyDescent="0.75">
      <c r="A10" s="111">
        <v>8</v>
      </c>
      <c r="B10" s="111">
        <f t="shared" si="0"/>
        <v>2</v>
      </c>
      <c r="C10" s="111">
        <f t="shared" si="1"/>
        <v>2</v>
      </c>
      <c r="D10" s="109" t="str" cm="1">
        <f t="array" ref="D10">INDEX('Meta-Map-1'!$I$7:$K$102,1+B10,C10)</f>
        <v>* differential.element[2].mapping[0].map = "DocumentReference.content.attachment.contentType"</v>
      </c>
    </row>
    <row r="11" spans="1:5" x14ac:dyDescent="0.75">
      <c r="A11" s="111">
        <v>9</v>
      </c>
      <c r="B11" s="111">
        <f t="shared" si="0"/>
        <v>2</v>
      </c>
      <c r="C11" s="111">
        <f t="shared" si="1"/>
        <v>3</v>
      </c>
      <c r="D11" s="109" t="str" cm="1">
        <f t="array" ref="D11">INDEX('Meta-Map-1'!$I$7:$K$102,1+B11,C11)</f>
        <v/>
      </c>
    </row>
    <row r="12" spans="1:5" x14ac:dyDescent="0.75">
      <c r="A12" s="111">
        <v>10</v>
      </c>
      <c r="B12" s="111">
        <f t="shared" si="0"/>
        <v>3</v>
      </c>
      <c r="C12" s="111">
        <f t="shared" si="1"/>
        <v>1</v>
      </c>
      <c r="D12" s="109" t="str" cm="1">
        <f t="array" ref="D12">INDEX('Meta-Map-1'!$I$7:$K$102,1+B12,C12)</f>
        <v>* differential.element[3].mapping[0].identity = "fhir"</v>
      </c>
    </row>
    <row r="13" spans="1:5" x14ac:dyDescent="0.75">
      <c r="A13" s="111">
        <v>11</v>
      </c>
      <c r="B13" s="111">
        <f t="shared" si="0"/>
        <v>3</v>
      </c>
      <c r="C13" s="111">
        <f t="shared" si="1"/>
        <v>2</v>
      </c>
      <c r="D13" s="109" t="str" cm="1">
        <f t="array" ref="D13">INDEX('Meta-Map-1'!$I$7:$K$102,1+B13,C13)</f>
        <v>* differential.element[3].mapping[0].map = "DocumentReference.content.attachment.size"</v>
      </c>
    </row>
    <row r="14" spans="1:5" x14ac:dyDescent="0.75">
      <c r="A14" s="111">
        <v>12</v>
      </c>
      <c r="B14" s="111">
        <f t="shared" si="0"/>
        <v>3</v>
      </c>
      <c r="C14" s="111">
        <f t="shared" si="1"/>
        <v>3</v>
      </c>
      <c r="D14" s="109" t="str" cm="1">
        <f t="array" ref="D14">INDEX('Meta-Map-1'!$I$7:$K$102,1+B14,C14)</f>
        <v/>
      </c>
    </row>
    <row r="15" spans="1:5" x14ac:dyDescent="0.75">
      <c r="A15" s="111">
        <v>13</v>
      </c>
      <c r="B15" s="111">
        <f t="shared" si="0"/>
        <v>4</v>
      </c>
      <c r="C15" s="111">
        <f t="shared" si="1"/>
        <v>1</v>
      </c>
      <c r="D15" s="109" t="str" cm="1">
        <f t="array" ref="D15">INDEX('Meta-Map-1'!$I$7:$K$102,1+B15,C15)</f>
        <v>* differential.element[4].mapping[0].identity = "fhir"</v>
      </c>
    </row>
    <row r="16" spans="1:5" x14ac:dyDescent="0.75">
      <c r="A16" s="111">
        <v>14</v>
      </c>
      <c r="B16" s="111">
        <f t="shared" si="0"/>
        <v>4</v>
      </c>
      <c r="C16" s="111">
        <f t="shared" si="1"/>
        <v>2</v>
      </c>
      <c r="D16" s="109" t="str" cm="1">
        <f t="array" ref="D16">INDEX('Meta-Map-1'!$I$7:$K$102,1+B16,C16)</f>
        <v>* differential.element[4].mapping[0].map = "DocumentReference.content.attachment.hash"</v>
      </c>
    </row>
    <row r="17" spans="1:4" x14ac:dyDescent="0.75">
      <c r="A17" s="111">
        <v>15</v>
      </c>
      <c r="B17" s="111">
        <f t="shared" si="0"/>
        <v>4</v>
      </c>
      <c r="C17" s="111">
        <f t="shared" si="1"/>
        <v>3</v>
      </c>
      <c r="D17" s="109" t="str" cm="1">
        <f t="array" ref="D17">INDEX('Meta-Map-1'!$I$7:$K$102,1+B17,C17)</f>
        <v/>
      </c>
    </row>
    <row r="18" spans="1:4" x14ac:dyDescent="0.75">
      <c r="A18" s="111">
        <v>16</v>
      </c>
      <c r="B18" s="111">
        <f t="shared" si="0"/>
        <v>5</v>
      </c>
      <c r="C18" s="111">
        <f t="shared" si="1"/>
        <v>1</v>
      </c>
      <c r="D18" s="109" t="str" cm="1">
        <f t="array" ref="D18">INDEX('Meta-Map-1'!$I$7:$K$102,1+B18,C18)</f>
        <v>* differential.element[5].mapping[0].identity = "fhir"</v>
      </c>
    </row>
    <row r="19" spans="1:4" x14ac:dyDescent="0.75">
      <c r="A19" s="111">
        <v>17</v>
      </c>
      <c r="B19" s="111">
        <f t="shared" si="0"/>
        <v>5</v>
      </c>
      <c r="C19" s="111">
        <f t="shared" si="1"/>
        <v>2</v>
      </c>
      <c r="D19" s="109" t="str" cm="1">
        <f t="array" ref="D19">INDEX('Meta-Map-1'!$I$7:$K$102,1+B19,C19)</f>
        <v>* differential.element[5].mapping[0].map = "DocumentReference.type"</v>
      </c>
    </row>
    <row r="20" spans="1:4" x14ac:dyDescent="0.75">
      <c r="A20" s="111">
        <v>18</v>
      </c>
      <c r="B20" s="111">
        <f t="shared" si="0"/>
        <v>5</v>
      </c>
      <c r="C20" s="111">
        <f t="shared" si="1"/>
        <v>3</v>
      </c>
      <c r="D20" s="109" t="str" cm="1">
        <f t="array" ref="D20">INDEX('Meta-Map-1'!$I$7:$K$102,1+B20,C20)</f>
        <v/>
      </c>
    </row>
    <row r="21" spans="1:4" x14ac:dyDescent="0.75">
      <c r="A21" s="111">
        <v>19</v>
      </c>
      <c r="B21" s="111">
        <f t="shared" si="0"/>
        <v>6</v>
      </c>
      <c r="C21" s="111">
        <f t="shared" si="1"/>
        <v>1</v>
      </c>
      <c r="D21" s="109" t="str" cm="1">
        <f t="array" ref="D21">INDEX('Meta-Map-1'!$I$7:$K$102,1+B21,C21)</f>
        <v>* differential.element[6].mapping[0].identity = "fhir"</v>
      </c>
    </row>
    <row r="22" spans="1:4" x14ac:dyDescent="0.75">
      <c r="A22" s="111">
        <v>20</v>
      </c>
      <c r="B22" s="111">
        <f t="shared" si="0"/>
        <v>6</v>
      </c>
      <c r="C22" s="111">
        <f t="shared" si="1"/>
        <v>2</v>
      </c>
      <c r="D22" s="109" t="str" cm="1">
        <f t="array" ref="D22">INDEX('Meta-Map-1'!$I$7:$K$102,1+B22,C22)</f>
        <v>* differential.element[6].mapping[0].map = "DocumentReference.category"</v>
      </c>
    </row>
    <row r="23" spans="1:4" x14ac:dyDescent="0.75">
      <c r="A23" s="111">
        <v>21</v>
      </c>
      <c r="B23" s="111">
        <f t="shared" si="0"/>
        <v>6</v>
      </c>
      <c r="C23" s="111">
        <f t="shared" si="1"/>
        <v>3</v>
      </c>
      <c r="D23" s="109" t="str" cm="1">
        <f t="array" ref="D23">INDEX('Meta-Map-1'!$I$7:$K$102,1+B23,C23)</f>
        <v/>
      </c>
    </row>
    <row r="24" spans="1:4" x14ac:dyDescent="0.75">
      <c r="A24" s="111">
        <v>22</v>
      </c>
      <c r="B24" s="111">
        <f t="shared" si="0"/>
        <v>7</v>
      </c>
      <c r="C24" s="111">
        <f t="shared" si="1"/>
        <v>1</v>
      </c>
      <c r="D24" s="109" t="str" cm="1">
        <f t="array" ref="D24">INDEX('Meta-Map-1'!$I$7:$K$102,1+B24,C24)</f>
        <v>* differential.element[7].mapping[0].identity = "fhir"</v>
      </c>
    </row>
    <row r="25" spans="1:4" x14ac:dyDescent="0.75">
      <c r="A25" s="111">
        <v>23</v>
      </c>
      <c r="B25" s="111">
        <f t="shared" si="0"/>
        <v>7</v>
      </c>
      <c r="C25" s="111">
        <f t="shared" si="1"/>
        <v>2</v>
      </c>
      <c r="D25" s="109" t="str" cm="1">
        <f t="array" ref="D25">INDEX('Meta-Map-1'!$I$7:$K$102,1+B25,C25)</f>
        <v>* differential.element[7].mapping[0].map = "DocumentReference.category (TBC)"</v>
      </c>
    </row>
    <row r="26" spans="1:4" x14ac:dyDescent="0.75">
      <c r="A26" s="111">
        <v>24</v>
      </c>
      <c r="B26" s="111">
        <f t="shared" si="0"/>
        <v>7</v>
      </c>
      <c r="C26" s="111">
        <f t="shared" si="1"/>
        <v>3</v>
      </c>
      <c r="D26" s="109" t="str" cm="1">
        <f t="array" ref="D26">INDEX('Meta-Map-1'!$I$7:$K$102,1+B26,C26)</f>
        <v/>
      </c>
    </row>
    <row r="27" spans="1:4" x14ac:dyDescent="0.75">
      <c r="A27" s="111">
        <v>25</v>
      </c>
      <c r="B27" s="111">
        <f t="shared" si="0"/>
        <v>8</v>
      </c>
      <c r="C27" s="111">
        <f t="shared" si="1"/>
        <v>1</v>
      </c>
      <c r="D27" s="109" t="str" cm="1">
        <f t="array" ref="D27">INDEX('Meta-Map-1'!$I$7:$K$102,1+B27,C27)</f>
        <v>* differential.element[8].mapping[0].identity = "fhir"</v>
      </c>
    </row>
    <row r="28" spans="1:4" x14ac:dyDescent="0.75">
      <c r="A28" s="111">
        <v>26</v>
      </c>
      <c r="B28" s="111">
        <f t="shared" si="0"/>
        <v>8</v>
      </c>
      <c r="C28" s="111">
        <f t="shared" si="1"/>
        <v>2</v>
      </c>
      <c r="D28" s="109" t="str" cm="1">
        <f t="array" ref="D28">INDEX('Meta-Map-1'!$I$7:$K$102,1+B28,C28)</f>
        <v>* differential.element[8].mapping[0].map = "DocumentReference.content.attachment.creation"</v>
      </c>
    </row>
    <row r="29" spans="1:4" x14ac:dyDescent="0.75">
      <c r="A29" s="111">
        <v>27</v>
      </c>
      <c r="B29" s="111">
        <f t="shared" si="0"/>
        <v>8</v>
      </c>
      <c r="C29" s="111">
        <f t="shared" si="1"/>
        <v>3</v>
      </c>
      <c r="D29" s="109" t="str" cm="1">
        <f t="array" ref="D29">INDEX('Meta-Map-1'!$I$7:$K$102,1+B29,C29)</f>
        <v/>
      </c>
    </row>
    <row r="30" spans="1:4" x14ac:dyDescent="0.75">
      <c r="A30" s="111">
        <v>28</v>
      </c>
      <c r="B30" s="111">
        <f t="shared" si="0"/>
        <v>9</v>
      </c>
      <c r="C30" s="111">
        <f t="shared" si="1"/>
        <v>1</v>
      </c>
      <c r="D30" s="109" t="str" cm="1">
        <f t="array" ref="D30">INDEX('Meta-Map-1'!$I$7:$K$102,1+B30,C30)</f>
        <v>* differential.element[9].mapping[0].identity = "fhir"</v>
      </c>
    </row>
    <row r="31" spans="1:4" x14ac:dyDescent="0.75">
      <c r="A31" s="111">
        <v>29</v>
      </c>
      <c r="B31" s="111">
        <f t="shared" si="0"/>
        <v>9</v>
      </c>
      <c r="C31" s="111">
        <f t="shared" si="1"/>
        <v>2</v>
      </c>
      <c r="D31" s="109" t="str" cm="1">
        <f t="array" ref="D31">INDEX('Meta-Map-1'!$I$7:$K$102,1+B31,C31)</f>
        <v>* differential.element[9].mapping[0].map = "DocumentReference.securityLabel"</v>
      </c>
    </row>
    <row r="32" spans="1:4" x14ac:dyDescent="0.75">
      <c r="A32" s="111">
        <v>30</v>
      </c>
      <c r="B32" s="111">
        <f t="shared" si="0"/>
        <v>9</v>
      </c>
      <c r="C32" s="111">
        <f t="shared" si="1"/>
        <v>3</v>
      </c>
      <c r="D32" s="109" t="str" cm="1">
        <f t="array" ref="D32">INDEX('Meta-Map-1'!$I$7:$K$102,1+B32,C32)</f>
        <v/>
      </c>
    </row>
    <row r="33" spans="1:4" x14ac:dyDescent="0.75">
      <c r="A33" s="111">
        <v>31</v>
      </c>
      <c r="B33" s="111">
        <f t="shared" si="0"/>
        <v>10</v>
      </c>
      <c r="C33" s="111">
        <f t="shared" si="1"/>
        <v>1</v>
      </c>
      <c r="D33" s="109" t="str" cm="1">
        <f t="array" ref="D33">INDEX('Meta-Map-1'!$I$7:$K$102,1+B33,C33)</f>
        <v>* differential.element[10].mapping[0].identity = "fhir"</v>
      </c>
    </row>
    <row r="34" spans="1:4" x14ac:dyDescent="0.75">
      <c r="A34" s="111">
        <v>32</v>
      </c>
      <c r="B34" s="111">
        <f t="shared" si="0"/>
        <v>10</v>
      </c>
      <c r="C34" s="111">
        <f t="shared" si="1"/>
        <v>2</v>
      </c>
      <c r="D34" s="109" t="str" cm="1">
        <f t="array" ref="D34">INDEX('Meta-Map-1'!$I$7:$K$102,1+B34,C34)</f>
        <v>* differential.element[10].mapping[0].map = "DocumentReference.securityLabel"</v>
      </c>
    </row>
    <row r="35" spans="1:4" x14ac:dyDescent="0.75">
      <c r="A35" s="111">
        <v>33</v>
      </c>
      <c r="B35" s="111">
        <f t="shared" si="0"/>
        <v>10</v>
      </c>
      <c r="C35" s="111">
        <f t="shared" si="1"/>
        <v>3</v>
      </c>
      <c r="D35" s="109" t="str" cm="1">
        <f t="array" ref="D35">INDEX('Meta-Map-1'!$I$7:$K$102,1+B35,C35)</f>
        <v/>
      </c>
    </row>
    <row r="36" spans="1:4" x14ac:dyDescent="0.75">
      <c r="A36" s="111">
        <v>34</v>
      </c>
      <c r="B36" s="111">
        <f t="shared" si="0"/>
        <v>11</v>
      </c>
      <c r="C36" s="111">
        <f t="shared" si="1"/>
        <v>1</v>
      </c>
      <c r="D36" s="109" t="str" cm="1">
        <f t="array" ref="D36">INDEX('Meta-Map-1'!$I$7:$K$102,1+B36,C36)</f>
        <v>* differential.element[11].mapping[0].identity = "fhir"</v>
      </c>
    </row>
    <row r="37" spans="1:4" x14ac:dyDescent="0.75">
      <c r="A37" s="111">
        <v>35</v>
      </c>
      <c r="B37" s="111">
        <f t="shared" si="0"/>
        <v>11</v>
      </c>
      <c r="C37" s="111">
        <f t="shared" si="1"/>
        <v>2</v>
      </c>
      <c r="D37" s="109" t="str" cm="1">
        <f t="array" ref="D37">INDEX('Meta-Map-1'!$I$7:$K$102,1+B37,C37)</f>
        <v>* differential.element[11].mapping[0].map = "DocumentReference.relatesTo.where(code = 'replaces').target"</v>
      </c>
    </row>
    <row r="38" spans="1:4" x14ac:dyDescent="0.75">
      <c r="A38" s="111">
        <v>36</v>
      </c>
      <c r="B38" s="111">
        <f t="shared" si="0"/>
        <v>11</v>
      </c>
      <c r="C38" s="111">
        <f t="shared" si="1"/>
        <v>3</v>
      </c>
      <c r="D38" s="109" t="str" cm="1">
        <f t="array" ref="D38">INDEX('Meta-Map-1'!$I$7:$K$102,1+B38,C38)</f>
        <v/>
      </c>
    </row>
    <row r="39" spans="1:4" x14ac:dyDescent="0.75">
      <c r="A39" s="111">
        <v>37</v>
      </c>
      <c r="B39" s="111">
        <f t="shared" si="0"/>
        <v>12</v>
      </c>
      <c r="C39" s="111">
        <f t="shared" si="1"/>
        <v>1</v>
      </c>
      <c r="D39" s="109" t="str" cm="1">
        <f t="array" ref="D39">INDEX('Meta-Map-1'!$I$7:$K$102,1+B39,C39)</f>
        <v>* differential.element[12].mapping[0].identity = "fhir"</v>
      </c>
    </row>
    <row r="40" spans="1:4" x14ac:dyDescent="0.75">
      <c r="A40" s="111">
        <v>38</v>
      </c>
      <c r="B40" s="111">
        <f t="shared" si="0"/>
        <v>12</v>
      </c>
      <c r="C40" s="111">
        <f t="shared" si="1"/>
        <v>2</v>
      </c>
      <c r="D40" s="109" t="str" cm="1">
        <f t="array" ref="D40">INDEX('Meta-Map-1'!$I$7:$K$102,1+B40,C40)</f>
        <v>* differential.element[12].mapping[0].map = "DocumentReference.content.format"</v>
      </c>
    </row>
    <row r="41" spans="1:4" x14ac:dyDescent="0.75">
      <c r="A41" s="111">
        <v>39</v>
      </c>
      <c r="B41" s="111">
        <f t="shared" si="0"/>
        <v>12</v>
      </c>
      <c r="C41" s="111">
        <f t="shared" si="1"/>
        <v>3</v>
      </c>
      <c r="D41" s="109" t="str" cm="1">
        <f t="array" ref="D41">INDEX('Meta-Map-1'!$I$7:$K$102,1+B41,C41)</f>
        <v/>
      </c>
    </row>
    <row r="42" spans="1:4" x14ac:dyDescent="0.75">
      <c r="A42" s="111">
        <v>40</v>
      </c>
      <c r="B42" s="111">
        <f t="shared" si="0"/>
        <v>13</v>
      </c>
      <c r="C42" s="111">
        <f t="shared" si="1"/>
        <v>1</v>
      </c>
      <c r="D42" s="109" t="str" cm="1">
        <f t="array" ref="D42">INDEX('Meta-Map-1'!$I$7:$K$102,1+B42,C42)</f>
        <v>* differential.element[13].mapping[0].identity = "fhir"</v>
      </c>
    </row>
    <row r="43" spans="1:4" x14ac:dyDescent="0.75">
      <c r="A43" s="111">
        <v>41</v>
      </c>
      <c r="B43" s="111">
        <f t="shared" si="0"/>
        <v>13</v>
      </c>
      <c r="C43" s="111">
        <f t="shared" si="1"/>
        <v>2</v>
      </c>
      <c r="D43" s="109" t="str" cm="1">
        <f t="array" ref="D43">INDEX('Meta-Map-1'!$I$7:$K$102,1+B43,C43)</f>
        <v>* differential.element[13].mapping[0].map = "DocumentReference.content.attachment.url"</v>
      </c>
    </row>
    <row r="44" spans="1:4" x14ac:dyDescent="0.75">
      <c r="A44" s="111">
        <v>42</v>
      </c>
      <c r="B44" s="111">
        <f t="shared" si="0"/>
        <v>13</v>
      </c>
      <c r="C44" s="111">
        <f t="shared" si="1"/>
        <v>3</v>
      </c>
      <c r="D44" s="109" t="str" cm="1">
        <f t="array" ref="D44">INDEX('Meta-Map-1'!$I$7:$K$102,1+B44,C44)</f>
        <v/>
      </c>
    </row>
    <row r="45" spans="1:4" x14ac:dyDescent="0.75">
      <c r="A45" s="111">
        <v>43</v>
      </c>
      <c r="B45" s="111">
        <f t="shared" si="0"/>
        <v>14</v>
      </c>
      <c r="C45" s="111">
        <f t="shared" si="1"/>
        <v>1</v>
      </c>
      <c r="D45" s="109" t="str" cm="1">
        <f t="array" ref="D45">INDEX('Meta-Map-1'!$I$7:$K$102,1+B45,C45)</f>
        <v>* differential.element[14].mapping[0].identity = "fhir"</v>
      </c>
    </row>
    <row r="46" spans="1:4" x14ac:dyDescent="0.75">
      <c r="A46" s="111">
        <v>44</v>
      </c>
      <c r="B46" s="111">
        <f t="shared" si="0"/>
        <v>14</v>
      </c>
      <c r="C46" s="111">
        <f t="shared" si="1"/>
        <v>2</v>
      </c>
      <c r="D46" s="109" t="str" cm="1">
        <f t="array" ref="D46">INDEX('Meta-Map-1'!$I$7:$K$102,1+B46,C46)</f>
        <v>* differential.element[14].mapping[0].map = "DocumentReference.date (TBC)"</v>
      </c>
    </row>
    <row r="47" spans="1:4" x14ac:dyDescent="0.75">
      <c r="A47" s="111">
        <v>45</v>
      </c>
      <c r="B47" s="111">
        <f t="shared" si="0"/>
        <v>14</v>
      </c>
      <c r="C47" s="111">
        <f t="shared" si="1"/>
        <v>3</v>
      </c>
      <c r="D47" s="109" t="str" cm="1">
        <f t="array" ref="D47">INDEX('Meta-Map-1'!$I$7:$K$102,1+B47,C47)</f>
        <v/>
      </c>
    </row>
    <row r="48" spans="1:4" x14ac:dyDescent="0.75">
      <c r="A48" s="111">
        <v>46</v>
      </c>
      <c r="B48" s="111">
        <f t="shared" si="0"/>
        <v>15</v>
      </c>
      <c r="C48" s="111">
        <f t="shared" si="1"/>
        <v>1</v>
      </c>
      <c r="D48" s="109" t="str" cm="1">
        <f t="array" ref="D48">INDEX('Meta-Map-1'!$I$7:$K$102,1+B48,C48)</f>
        <v>* differential.element[15].mapping[0].identity = "fhir"</v>
      </c>
    </row>
    <row r="49" spans="1:7" x14ac:dyDescent="0.75">
      <c r="A49" s="111">
        <v>47</v>
      </c>
      <c r="B49" s="111">
        <f t="shared" si="0"/>
        <v>15</v>
      </c>
      <c r="C49" s="111">
        <f t="shared" si="1"/>
        <v>2</v>
      </c>
      <c r="D49" s="109" t="str" cm="1">
        <f t="array" ref="D49">INDEX('Meta-Map-1'!$I$7:$K$102,1+B49,C49)</f>
        <v>* differential.element[15].mapping[0].map = "DocumentReference.context.practiceSetting"</v>
      </c>
    </row>
    <row r="50" spans="1:7" x14ac:dyDescent="0.75">
      <c r="A50" s="111">
        <v>48</v>
      </c>
      <c r="B50" s="111">
        <f t="shared" si="0"/>
        <v>15</v>
      </c>
      <c r="C50" s="111">
        <f t="shared" si="1"/>
        <v>3</v>
      </c>
      <c r="D50" s="109" t="str" cm="1">
        <f t="array" ref="D50">INDEX('Meta-Map-1'!$I$7:$K$102,1+B50,C50)</f>
        <v/>
      </c>
    </row>
    <row r="51" spans="1:7" x14ac:dyDescent="0.75">
      <c r="A51" s="111">
        <v>49</v>
      </c>
      <c r="B51" s="111">
        <f t="shared" si="0"/>
        <v>16</v>
      </c>
      <c r="C51" s="111">
        <f t="shared" si="1"/>
        <v>1</v>
      </c>
      <c r="D51" s="109" t="str" cm="1">
        <f t="array" ref="D51">INDEX('Meta-Map-1'!$I$7:$K$102,1+B51,C51)</f>
        <v>* differential.element[16].mapping[0].identity = "fhir"</v>
      </c>
    </row>
    <row r="52" spans="1:7" x14ac:dyDescent="0.75">
      <c r="A52" s="111">
        <v>50</v>
      </c>
      <c r="B52" s="111">
        <f t="shared" si="0"/>
        <v>16</v>
      </c>
      <c r="C52" s="111">
        <f t="shared" si="1"/>
        <v>2</v>
      </c>
      <c r="D52" s="109" t="str" cm="1">
        <f t="array" ref="D52">INDEX('Meta-Map-1'!$I$7:$K$102,1+B52,C52)</f>
        <v>* differential.element[16].mapping[0].map = "DocumentReference.subject.resolve().ofType(Patient).identifier"</v>
      </c>
    </row>
    <row r="53" spans="1:7" x14ac:dyDescent="0.75">
      <c r="A53" s="111">
        <v>51</v>
      </c>
      <c r="B53" s="111">
        <f t="shared" si="0"/>
        <v>16</v>
      </c>
      <c r="C53" s="111">
        <f t="shared" si="1"/>
        <v>3</v>
      </c>
      <c r="D53" s="109" t="str" cm="1">
        <f t="array" ref="D53">INDEX('Meta-Map-1'!$I$7:$K$102,1+B53,C53)</f>
        <v/>
      </c>
    </row>
    <row r="54" spans="1:7" x14ac:dyDescent="0.75">
      <c r="A54" s="111">
        <v>52</v>
      </c>
      <c r="B54" s="111">
        <f t="shared" si="0"/>
        <v>17</v>
      </c>
      <c r="C54" s="111">
        <f t="shared" si="1"/>
        <v>1</v>
      </c>
      <c r="D54" s="109" t="str" cm="1">
        <f t="array" ref="D54">INDEX('Meta-Map-1'!$I$7:$K$102,1+B54,C54)</f>
        <v>* differential.element[17].mapping[0].identity = "fhir"</v>
      </c>
    </row>
    <row r="55" spans="1:7" x14ac:dyDescent="0.75">
      <c r="A55" s="111">
        <v>53</v>
      </c>
      <c r="B55" s="111">
        <f t="shared" si="0"/>
        <v>17</v>
      </c>
      <c r="C55" s="111">
        <f t="shared" si="1"/>
        <v>2</v>
      </c>
      <c r="D55" s="109" t="str" cm="1">
        <f t="array" ref="D55">INDEX('Meta-Map-1'!$I$7:$K$102,1+B55,C55)</f>
        <v>* differential.element[17].mapping[0].map = "DocumentReference.author"</v>
      </c>
      <c r="G55" s="14"/>
    </row>
    <row r="56" spans="1:7" x14ac:dyDescent="0.75">
      <c r="A56" s="111">
        <v>54</v>
      </c>
      <c r="B56" s="111">
        <f t="shared" si="0"/>
        <v>17</v>
      </c>
      <c r="C56" s="111">
        <f t="shared" si="1"/>
        <v>3</v>
      </c>
      <c r="D56" s="109" t="str" cm="1">
        <f t="array" ref="D56">INDEX('Meta-Map-1'!$I$7:$K$102,1+B56,C56)</f>
        <v/>
      </c>
    </row>
    <row r="57" spans="1:7" x14ac:dyDescent="0.75">
      <c r="A57" s="111">
        <v>55</v>
      </c>
      <c r="B57" s="111">
        <f t="shared" si="0"/>
        <v>18</v>
      </c>
      <c r="C57" s="111">
        <f t="shared" si="1"/>
        <v>1</v>
      </c>
      <c r="D57" s="109" t="str" cm="1">
        <f t="array" ref="D57">INDEX('Meta-Map-1'!$I$7:$K$102,1+B57,C57)</f>
        <v>* differential.element[18].mapping[0].identity = "fhir"</v>
      </c>
    </row>
    <row r="58" spans="1:7" x14ac:dyDescent="0.75">
      <c r="A58" s="111">
        <v>56</v>
      </c>
      <c r="B58" s="111">
        <f t="shared" si="0"/>
        <v>18</v>
      </c>
      <c r="C58" s="111">
        <f t="shared" si="1"/>
        <v>2</v>
      </c>
      <c r="D58" s="109" t="str" cm="1">
        <f t="array" ref="D58">INDEX('Meta-Map-1'!$I$7:$K$102,1+B58,C58)</f>
        <v>* differential.element[18].mapping[0].map = "DocumentReference.author.resolve().ofType(PractitionerRole).organization.resolve().identifier"</v>
      </c>
    </row>
    <row r="59" spans="1:7" x14ac:dyDescent="0.75">
      <c r="A59" s="111">
        <v>57</v>
      </c>
      <c r="B59" s="111">
        <f t="shared" si="0"/>
        <v>18</v>
      </c>
      <c r="C59" s="111">
        <f t="shared" si="1"/>
        <v>3</v>
      </c>
      <c r="D59" s="109" t="str" cm="1">
        <f t="array" ref="D59">INDEX('Meta-Map-1'!$I$7:$K$102,1+B59,C59)</f>
        <v/>
      </c>
    </row>
    <row r="60" spans="1:7" x14ac:dyDescent="0.75">
      <c r="A60" s="111">
        <v>58</v>
      </c>
      <c r="B60" s="111">
        <f t="shared" si="0"/>
        <v>19</v>
      </c>
      <c r="C60" s="111">
        <f t="shared" si="1"/>
        <v>1</v>
      </c>
      <c r="D60" s="109" t="str" cm="1">
        <f t="array" ref="D60">INDEX('Meta-Map-1'!$I$7:$K$102,1+B60,C60)</f>
        <v>* differential.element[19].mapping[0].identity = "fhir"</v>
      </c>
    </row>
    <row r="61" spans="1:7" x14ac:dyDescent="0.75">
      <c r="A61" s="111">
        <v>59</v>
      </c>
      <c r="B61" s="111">
        <f t="shared" si="0"/>
        <v>19</v>
      </c>
      <c r="C61" s="111">
        <f t="shared" si="1"/>
        <v>2</v>
      </c>
      <c r="D61" s="109" t="str" cm="1">
        <f t="array" ref="D61">INDEX('Meta-Map-1'!$I$7:$K$102,1+B61,C61)</f>
        <v>* differential.element[19].mapping[0].map = "DocumentReference.author.resolve().ofType(PractitionerRole).practitioner.resolve().ofType(Practitioner).identifier"</v>
      </c>
    </row>
    <row r="62" spans="1:7" x14ac:dyDescent="0.75">
      <c r="A62" s="111">
        <v>60</v>
      </c>
      <c r="B62" s="111">
        <f t="shared" si="0"/>
        <v>19</v>
      </c>
      <c r="C62" s="111">
        <f t="shared" si="1"/>
        <v>3</v>
      </c>
      <c r="D62" s="109" t="str" cm="1">
        <f t="array" ref="D62">INDEX('Meta-Map-1'!$I$7:$K$102,1+B62,C62)</f>
        <v/>
      </c>
    </row>
    <row r="63" spans="1:7" x14ac:dyDescent="0.75">
      <c r="A63" s="111">
        <v>61</v>
      </c>
      <c r="B63" s="111">
        <f t="shared" si="0"/>
        <v>20</v>
      </c>
      <c r="C63" s="111">
        <f t="shared" si="1"/>
        <v>1</v>
      </c>
      <c r="D63" s="109" t="str" cm="1">
        <f t="array" ref="D63">INDEX('Meta-Map-1'!$I$7:$K$102,1+B63,C63)</f>
        <v>* differential.element[20].mapping[0].identity = "fhir"</v>
      </c>
    </row>
    <row r="64" spans="1:7" x14ac:dyDescent="0.75">
      <c r="A64" s="111">
        <v>62</v>
      </c>
      <c r="B64" s="111">
        <f t="shared" si="0"/>
        <v>20</v>
      </c>
      <c r="C64" s="111">
        <f t="shared" si="1"/>
        <v>2</v>
      </c>
      <c r="D64" s="109" t="str" cm="1">
        <f t="array" ref="D64">INDEX('Meta-Map-1'!$I$7:$K$102,1+B64,C64)</f>
        <v>* differential.element[20].mapping[0].map = "DocumentReference.author.resolve().ofType(PractitionerRole).organization.resolve().code"</v>
      </c>
    </row>
    <row r="65" spans="1:4" x14ac:dyDescent="0.75">
      <c r="A65" s="111">
        <v>63</v>
      </c>
      <c r="B65" s="111">
        <f t="shared" si="0"/>
        <v>20</v>
      </c>
      <c r="C65" s="111">
        <f t="shared" si="1"/>
        <v>3</v>
      </c>
      <c r="D65" s="109" t="str" cm="1">
        <f t="array" ref="D65">INDEX('Meta-Map-1'!$I$7:$K$102,1+B65,C65)</f>
        <v/>
      </c>
    </row>
    <row r="66" spans="1:4" x14ac:dyDescent="0.75">
      <c r="A66" s="111">
        <v>64</v>
      </c>
      <c r="B66" s="111">
        <f t="shared" si="0"/>
        <v>21</v>
      </c>
      <c r="C66" s="111">
        <f t="shared" si="1"/>
        <v>1</v>
      </c>
      <c r="D66" s="109" t="str" cm="1">
        <f t="array" ref="D66">INDEX('Meta-Map-1'!$I$7:$K$102,1+B66,C66)</f>
        <v>* differential.element[21].mapping[0].identity = "fhir"</v>
      </c>
    </row>
    <row r="67" spans="1:4" x14ac:dyDescent="0.75">
      <c r="A67" s="111">
        <v>65</v>
      </c>
      <c r="B67" s="111">
        <f t="shared" si="0"/>
        <v>21</v>
      </c>
      <c r="C67" s="111">
        <f t="shared" si="1"/>
        <v>2</v>
      </c>
      <c r="D67" s="109" t="str" cm="1">
        <f t="array" ref="D67">INDEX('Meta-Map-1'!$I$7:$K$102,1+B67,C67)</f>
        <v>* differential.element[21].mapping[0].map = "DocumentReference.author.resolve().ofType(Practitioner).identifier"</v>
      </c>
    </row>
    <row r="68" spans="1:4" x14ac:dyDescent="0.75">
      <c r="A68" s="111">
        <v>66</v>
      </c>
      <c r="B68" s="111">
        <f t="shared" ref="B68:B131" si="2">IF(MOD(A68,3)=0,A68/3-1,INT(A68/3))</f>
        <v>21</v>
      </c>
      <c r="C68" s="111">
        <f t="shared" ref="C68:C131" si="3">IF(MOD(A68,3)=0,3,MOD(A68,3))</f>
        <v>3</v>
      </c>
      <c r="D68" s="109" t="str" cm="1">
        <f t="array" ref="D68">INDEX('Meta-Map-1'!$I$7:$K$102,1+B68,C68)</f>
        <v/>
      </c>
    </row>
    <row r="69" spans="1:4" x14ac:dyDescent="0.75">
      <c r="A69" s="111">
        <v>67</v>
      </c>
      <c r="B69" s="111">
        <f t="shared" si="2"/>
        <v>22</v>
      </c>
      <c r="C69" s="111">
        <f t="shared" si="3"/>
        <v>1</v>
      </c>
      <c r="D69" s="109" t="str" cm="1">
        <f t="array" ref="D69">INDEX('Meta-Map-1'!$I$7:$K$102,1+B69,C69)</f>
        <v>* differential.element[22].mapping[0].identity = "fhir"</v>
      </c>
    </row>
    <row r="70" spans="1:4" x14ac:dyDescent="0.75">
      <c r="A70" s="111">
        <v>68</v>
      </c>
      <c r="B70" s="111">
        <f t="shared" si="2"/>
        <v>22</v>
      </c>
      <c r="C70" s="111">
        <f t="shared" si="3"/>
        <v>2</v>
      </c>
      <c r="D70" s="109" t="str" cm="1">
        <f t="array" ref="D70">INDEX('Meta-Map-1'!$I$7:$K$102,1+B70,C70)</f>
        <v>* differential.element[22].mapping[0].map = "DocumentReference.custodian.resolve().identifier"</v>
      </c>
    </row>
    <row r="71" spans="1:4" x14ac:dyDescent="0.75">
      <c r="A71" s="111">
        <v>69</v>
      </c>
      <c r="B71" s="111">
        <f t="shared" si="2"/>
        <v>22</v>
      </c>
      <c r="C71" s="111">
        <f t="shared" si="3"/>
        <v>3</v>
      </c>
      <c r="D71" s="109" t="str" cm="1">
        <f t="array" ref="D71">INDEX('Meta-Map-1'!$I$7:$K$102,1+B71,C71)</f>
        <v/>
      </c>
    </row>
    <row r="72" spans="1:4" x14ac:dyDescent="0.75">
      <c r="A72" s="111">
        <v>70</v>
      </c>
      <c r="B72" s="111">
        <f t="shared" si="2"/>
        <v>23</v>
      </c>
      <c r="C72" s="111">
        <f t="shared" si="3"/>
        <v>1</v>
      </c>
      <c r="D72" s="109" t="str" cm="1">
        <f t="array" ref="D72">INDEX('Meta-Map-1'!$I$7:$K$102,1+B72,C72)</f>
        <v/>
      </c>
    </row>
    <row r="73" spans="1:4" x14ac:dyDescent="0.75">
      <c r="A73" s="111">
        <v>71</v>
      </c>
      <c r="B73" s="111">
        <f t="shared" si="2"/>
        <v>23</v>
      </c>
      <c r="C73" s="111">
        <f t="shared" si="3"/>
        <v>2</v>
      </c>
      <c r="D73" s="109" t="str" cm="1">
        <f t="array" ref="D73">INDEX('Meta-Map-1'!$I$7:$K$102,1+B73,C73)</f>
        <v/>
      </c>
    </row>
    <row r="74" spans="1:4" x14ac:dyDescent="0.75">
      <c r="A74" s="111">
        <v>72</v>
      </c>
      <c r="B74" s="111">
        <f t="shared" si="2"/>
        <v>23</v>
      </c>
      <c r="C74" s="111">
        <f t="shared" si="3"/>
        <v>3</v>
      </c>
      <c r="D74" s="109" t="str" cm="1">
        <f t="array" ref="D74">INDEX('Meta-Map-1'!$I$7:$K$102,1+B74,C74)</f>
        <v/>
      </c>
    </row>
    <row r="75" spans="1:4" x14ac:dyDescent="0.75">
      <c r="A75" s="111">
        <v>73</v>
      </c>
      <c r="B75" s="111">
        <f t="shared" si="2"/>
        <v>24</v>
      </c>
      <c r="C75" s="111">
        <f t="shared" si="3"/>
        <v>1</v>
      </c>
      <c r="D75" s="109" t="str" cm="1">
        <f t="array" ref="D75">INDEX('Meta-Map-1'!$I$7:$K$102,1+B75,C75)</f>
        <v/>
      </c>
    </row>
    <row r="76" spans="1:4" x14ac:dyDescent="0.75">
      <c r="A76" s="111">
        <v>74</v>
      </c>
      <c r="B76" s="111">
        <f t="shared" si="2"/>
        <v>24</v>
      </c>
      <c r="C76" s="111">
        <f t="shared" si="3"/>
        <v>2</v>
      </c>
      <c r="D76" s="109" t="str" cm="1">
        <f t="array" ref="D76">INDEX('Meta-Map-1'!$I$7:$K$102,1+B76,C76)</f>
        <v/>
      </c>
    </row>
    <row r="77" spans="1:4" x14ac:dyDescent="0.75">
      <c r="A77" s="111">
        <v>75</v>
      </c>
      <c r="B77" s="111">
        <f t="shared" si="2"/>
        <v>24</v>
      </c>
      <c r="C77" s="111">
        <f t="shared" si="3"/>
        <v>3</v>
      </c>
      <c r="D77" s="109" t="str" cm="1">
        <f t="array" ref="D77">INDEX('Meta-Map-1'!$I$7:$K$102,1+B77,C77)</f>
        <v/>
      </c>
    </row>
    <row r="78" spans="1:4" x14ac:dyDescent="0.75">
      <c r="A78" s="111">
        <v>76</v>
      </c>
      <c r="B78" s="111">
        <f t="shared" si="2"/>
        <v>25</v>
      </c>
      <c r="C78" s="111">
        <f t="shared" si="3"/>
        <v>1</v>
      </c>
      <c r="D78" s="109" t="str" cm="1">
        <f t="array" ref="D78">INDEX('Meta-Map-1'!$I$7:$K$102,1+B78,C78)</f>
        <v/>
      </c>
    </row>
    <row r="79" spans="1:4" x14ac:dyDescent="0.75">
      <c r="A79" s="111">
        <v>77</v>
      </c>
      <c r="B79" s="111">
        <f t="shared" si="2"/>
        <v>25</v>
      </c>
      <c r="C79" s="111">
        <f t="shared" si="3"/>
        <v>2</v>
      </c>
      <c r="D79" s="109" t="str" cm="1">
        <f t="array" ref="D79">INDEX('Meta-Map-1'!$I$7:$K$102,1+B79,C79)</f>
        <v/>
      </c>
    </row>
    <row r="80" spans="1:4" x14ac:dyDescent="0.75">
      <c r="A80" s="111">
        <v>78</v>
      </c>
      <c r="B80" s="111">
        <f t="shared" si="2"/>
        <v>25</v>
      </c>
      <c r="C80" s="111">
        <f t="shared" si="3"/>
        <v>3</v>
      </c>
      <c r="D80" s="109" t="str" cm="1">
        <f t="array" ref="D80">INDEX('Meta-Map-1'!$I$7:$K$102,1+B80,C80)</f>
        <v/>
      </c>
    </row>
    <row r="81" spans="1:4" x14ac:dyDescent="0.75">
      <c r="A81" s="111">
        <v>79</v>
      </c>
      <c r="B81" s="111">
        <f t="shared" si="2"/>
        <v>26</v>
      </c>
      <c r="C81" s="111">
        <f t="shared" si="3"/>
        <v>1</v>
      </c>
      <c r="D81" s="109" t="str" cm="1">
        <f t="array" ref="D81">INDEX('Meta-Map-1'!$I$7:$K$102,1+B81,C81)</f>
        <v/>
      </c>
    </row>
    <row r="82" spans="1:4" x14ac:dyDescent="0.75">
      <c r="A82" s="111">
        <v>80</v>
      </c>
      <c r="B82" s="111">
        <f t="shared" si="2"/>
        <v>26</v>
      </c>
      <c r="C82" s="111">
        <f t="shared" si="3"/>
        <v>2</v>
      </c>
      <c r="D82" s="109" t="str" cm="1">
        <f t="array" ref="D82">INDEX('Meta-Map-1'!$I$7:$K$102,1+B82,C82)</f>
        <v/>
      </c>
    </row>
    <row r="83" spans="1:4" x14ac:dyDescent="0.75">
      <c r="A83" s="111">
        <v>81</v>
      </c>
      <c r="B83" s="111">
        <f t="shared" si="2"/>
        <v>26</v>
      </c>
      <c r="C83" s="111">
        <f t="shared" si="3"/>
        <v>3</v>
      </c>
      <c r="D83" s="109" t="str" cm="1">
        <f t="array" ref="D83">INDEX('Meta-Map-1'!$I$7:$K$102,1+B83,C83)</f>
        <v/>
      </c>
    </row>
    <row r="84" spans="1:4" x14ac:dyDescent="0.75">
      <c r="A84" s="111">
        <v>82</v>
      </c>
      <c r="B84" s="111">
        <f t="shared" si="2"/>
        <v>27</v>
      </c>
      <c r="C84" s="111">
        <f t="shared" si="3"/>
        <v>1</v>
      </c>
      <c r="D84" s="109" t="str" cm="1">
        <f t="array" ref="D84">INDEX('Meta-Map-1'!$I$7:$K$102,1+B84,C84)</f>
        <v/>
      </c>
    </row>
    <row r="85" spans="1:4" x14ac:dyDescent="0.75">
      <c r="A85" s="111">
        <v>83</v>
      </c>
      <c r="B85" s="111">
        <f t="shared" si="2"/>
        <v>27</v>
      </c>
      <c r="C85" s="111">
        <f t="shared" si="3"/>
        <v>2</v>
      </c>
      <c r="D85" s="109" t="str" cm="1">
        <f t="array" ref="D85">INDEX('Meta-Map-1'!$I$7:$K$102,1+B85,C85)</f>
        <v/>
      </c>
    </row>
    <row r="86" spans="1:4" x14ac:dyDescent="0.75">
      <c r="A86" s="111">
        <v>84</v>
      </c>
      <c r="B86" s="111">
        <f t="shared" si="2"/>
        <v>27</v>
      </c>
      <c r="C86" s="111">
        <f t="shared" si="3"/>
        <v>3</v>
      </c>
      <c r="D86" s="109" t="str" cm="1">
        <f t="array" ref="D86">INDEX('Meta-Map-1'!$I$7:$K$102,1+B86,C86)</f>
        <v/>
      </c>
    </row>
    <row r="87" spans="1:4" x14ac:dyDescent="0.75">
      <c r="A87" s="111">
        <v>85</v>
      </c>
      <c r="B87" s="111">
        <f t="shared" si="2"/>
        <v>28</v>
      </c>
      <c r="C87" s="111">
        <f t="shared" si="3"/>
        <v>1</v>
      </c>
      <c r="D87" s="109" t="str" cm="1">
        <f t="array" ref="D87">INDEX('Meta-Map-1'!$I$7:$K$102,1+B87,C87)</f>
        <v/>
      </c>
    </row>
    <row r="88" spans="1:4" x14ac:dyDescent="0.75">
      <c r="A88" s="111">
        <v>86</v>
      </c>
      <c r="B88" s="111">
        <f t="shared" si="2"/>
        <v>28</v>
      </c>
      <c r="C88" s="111">
        <f t="shared" si="3"/>
        <v>2</v>
      </c>
      <c r="D88" s="109" t="str" cm="1">
        <f t="array" ref="D88">INDEX('Meta-Map-1'!$I$7:$K$102,1+B88,C88)</f>
        <v/>
      </c>
    </row>
    <row r="89" spans="1:4" x14ac:dyDescent="0.75">
      <c r="A89" s="111">
        <v>87</v>
      </c>
      <c r="B89" s="111">
        <f t="shared" si="2"/>
        <v>28</v>
      </c>
      <c r="C89" s="111">
        <f t="shared" si="3"/>
        <v>3</v>
      </c>
      <c r="D89" s="109" t="str" cm="1">
        <f t="array" ref="D89">INDEX('Meta-Map-1'!$I$7:$K$102,1+B89,C89)</f>
        <v/>
      </c>
    </row>
    <row r="90" spans="1:4" x14ac:dyDescent="0.75">
      <c r="A90" s="111">
        <v>88</v>
      </c>
      <c r="B90" s="111">
        <f t="shared" si="2"/>
        <v>29</v>
      </c>
      <c r="C90" s="111">
        <f t="shared" si="3"/>
        <v>1</v>
      </c>
      <c r="D90" s="109" t="str" cm="1">
        <f t="array" ref="D90">INDEX('Meta-Map-1'!$I$7:$K$102,1+B90,C90)</f>
        <v/>
      </c>
    </row>
    <row r="91" spans="1:4" x14ac:dyDescent="0.75">
      <c r="A91" s="111">
        <v>89</v>
      </c>
      <c r="B91" s="111">
        <f t="shared" si="2"/>
        <v>29</v>
      </c>
      <c r="C91" s="111">
        <f t="shared" si="3"/>
        <v>2</v>
      </c>
      <c r="D91" s="109" t="str" cm="1">
        <f t="array" ref="D91">INDEX('Meta-Map-1'!$I$7:$K$102,1+B91,C91)</f>
        <v/>
      </c>
    </row>
    <row r="92" spans="1:4" x14ac:dyDescent="0.75">
      <c r="A92" s="111">
        <v>90</v>
      </c>
      <c r="B92" s="111">
        <f t="shared" si="2"/>
        <v>29</v>
      </c>
      <c r="C92" s="111">
        <f t="shared" si="3"/>
        <v>3</v>
      </c>
      <c r="D92" s="109" t="str" cm="1">
        <f t="array" ref="D92">INDEX('Meta-Map-1'!$I$7:$K$102,1+B92,C92)</f>
        <v/>
      </c>
    </row>
    <row r="93" spans="1:4" x14ac:dyDescent="0.75">
      <c r="A93" s="111">
        <v>91</v>
      </c>
      <c r="B93" s="111">
        <f t="shared" si="2"/>
        <v>30</v>
      </c>
      <c r="C93" s="111">
        <f t="shared" si="3"/>
        <v>1</v>
      </c>
      <c r="D93" s="109" t="str" cm="1">
        <f t="array" ref="D93">INDEX('Meta-Map-1'!$I$7:$K$102,1+B93,C93)</f>
        <v/>
      </c>
    </row>
    <row r="94" spans="1:4" x14ac:dyDescent="0.75">
      <c r="A94" s="111">
        <v>92</v>
      </c>
      <c r="B94" s="111">
        <f t="shared" si="2"/>
        <v>30</v>
      </c>
      <c r="C94" s="111">
        <f t="shared" si="3"/>
        <v>2</v>
      </c>
      <c r="D94" s="109" t="str" cm="1">
        <f t="array" ref="D94">INDEX('Meta-Map-1'!$I$7:$K$102,1+B94,C94)</f>
        <v/>
      </c>
    </row>
    <row r="95" spans="1:4" x14ac:dyDescent="0.75">
      <c r="A95" s="111">
        <v>93</v>
      </c>
      <c r="B95" s="111">
        <f t="shared" si="2"/>
        <v>30</v>
      </c>
      <c r="C95" s="111">
        <f t="shared" si="3"/>
        <v>3</v>
      </c>
      <c r="D95" s="109" t="str" cm="1">
        <f t="array" ref="D95">INDEX('Meta-Map-1'!$I$7:$K$102,1+B95,C95)</f>
        <v/>
      </c>
    </row>
    <row r="96" spans="1:4" x14ac:dyDescent="0.75">
      <c r="A96" s="111">
        <v>94</v>
      </c>
      <c r="B96" s="111">
        <f t="shared" si="2"/>
        <v>31</v>
      </c>
      <c r="C96" s="111">
        <f t="shared" si="3"/>
        <v>1</v>
      </c>
      <c r="D96" s="109" t="str" cm="1">
        <f t="array" ref="D96">INDEX('Meta-Map-1'!$I$7:$K$102,1+B96,C96)</f>
        <v/>
      </c>
    </row>
    <row r="97" spans="1:4" x14ac:dyDescent="0.75">
      <c r="A97" s="111">
        <v>95</v>
      </c>
      <c r="B97" s="111">
        <f t="shared" si="2"/>
        <v>31</v>
      </c>
      <c r="C97" s="111">
        <f t="shared" si="3"/>
        <v>2</v>
      </c>
      <c r="D97" s="109" t="str" cm="1">
        <f t="array" ref="D97">INDEX('Meta-Map-1'!$I$7:$K$102,1+B97,C97)</f>
        <v/>
      </c>
    </row>
    <row r="98" spans="1:4" x14ac:dyDescent="0.75">
      <c r="A98" s="111">
        <v>96</v>
      </c>
      <c r="B98" s="111">
        <f t="shared" si="2"/>
        <v>31</v>
      </c>
      <c r="C98" s="111">
        <f t="shared" si="3"/>
        <v>3</v>
      </c>
      <c r="D98" s="109" t="str" cm="1">
        <f t="array" ref="D98">INDEX('Meta-Map-1'!$I$7:$K$102,1+B98,C98)</f>
        <v/>
      </c>
    </row>
    <row r="99" spans="1:4" x14ac:dyDescent="0.75">
      <c r="A99" s="111">
        <v>97</v>
      </c>
      <c r="B99" s="111">
        <f t="shared" si="2"/>
        <v>32</v>
      </c>
      <c r="C99" s="111">
        <f t="shared" si="3"/>
        <v>1</v>
      </c>
      <c r="D99" s="109" t="str" cm="1">
        <f t="array" ref="D99">INDEX('Meta-Map-1'!$I$7:$K$102,1+B99,C99)</f>
        <v/>
      </c>
    </row>
    <row r="100" spans="1:4" x14ac:dyDescent="0.75">
      <c r="A100" s="111">
        <v>98</v>
      </c>
      <c r="B100" s="111">
        <f t="shared" si="2"/>
        <v>32</v>
      </c>
      <c r="C100" s="111">
        <f t="shared" si="3"/>
        <v>2</v>
      </c>
      <c r="D100" s="109" t="str" cm="1">
        <f t="array" ref="D100">INDEX('Meta-Map-1'!$I$7:$K$102,1+B100,C100)</f>
        <v/>
      </c>
    </row>
    <row r="101" spans="1:4" x14ac:dyDescent="0.75">
      <c r="A101" s="111">
        <v>99</v>
      </c>
      <c r="B101" s="111">
        <f t="shared" si="2"/>
        <v>32</v>
      </c>
      <c r="C101" s="111">
        <f t="shared" si="3"/>
        <v>3</v>
      </c>
      <c r="D101" s="109" t="str" cm="1">
        <f t="array" ref="D101">INDEX('Meta-Map-1'!$I$7:$K$102,1+B101,C101)</f>
        <v/>
      </c>
    </row>
    <row r="102" spans="1:4" x14ac:dyDescent="0.75">
      <c r="A102" s="111">
        <v>100</v>
      </c>
      <c r="B102" s="111">
        <f t="shared" si="2"/>
        <v>33</v>
      </c>
      <c r="C102" s="111">
        <f t="shared" si="3"/>
        <v>1</v>
      </c>
      <c r="D102" s="109" t="str" cm="1">
        <f t="array" ref="D102">INDEX('Meta-Map-1'!$I$7:$K$102,1+B102,C102)</f>
        <v/>
      </c>
    </row>
    <row r="103" spans="1:4" x14ac:dyDescent="0.75">
      <c r="A103" s="111">
        <v>101</v>
      </c>
      <c r="B103" s="111">
        <f t="shared" si="2"/>
        <v>33</v>
      </c>
      <c r="C103" s="111">
        <f t="shared" si="3"/>
        <v>2</v>
      </c>
      <c r="D103" s="109" t="str" cm="1">
        <f t="array" ref="D103">INDEX('Meta-Map-1'!$I$7:$K$102,1+B103,C103)</f>
        <v/>
      </c>
    </row>
    <row r="104" spans="1:4" x14ac:dyDescent="0.75">
      <c r="A104" s="111">
        <v>102</v>
      </c>
      <c r="B104" s="111">
        <f t="shared" si="2"/>
        <v>33</v>
      </c>
      <c r="C104" s="111">
        <f t="shared" si="3"/>
        <v>3</v>
      </c>
      <c r="D104" s="109" t="str" cm="1">
        <f t="array" ref="D104">INDEX('Meta-Map-1'!$I$7:$K$102,1+B104,C104)</f>
        <v/>
      </c>
    </row>
    <row r="105" spans="1:4" x14ac:dyDescent="0.75">
      <c r="A105" s="111">
        <v>103</v>
      </c>
      <c r="B105" s="111">
        <f t="shared" si="2"/>
        <v>34</v>
      </c>
      <c r="C105" s="111">
        <f t="shared" si="3"/>
        <v>1</v>
      </c>
      <c r="D105" s="109" t="str" cm="1">
        <f t="array" ref="D105">INDEX('Meta-Map-1'!$I$7:$K$102,1+B105,C105)</f>
        <v/>
      </c>
    </row>
    <row r="106" spans="1:4" x14ac:dyDescent="0.75">
      <c r="A106" s="111">
        <v>104</v>
      </c>
      <c r="B106" s="111">
        <f t="shared" si="2"/>
        <v>34</v>
      </c>
      <c r="C106" s="111">
        <f t="shared" si="3"/>
        <v>2</v>
      </c>
      <c r="D106" s="109" t="str" cm="1">
        <f t="array" ref="D106">INDEX('Meta-Map-1'!$I$7:$K$102,1+B106,C106)</f>
        <v/>
      </c>
    </row>
    <row r="107" spans="1:4" x14ac:dyDescent="0.75">
      <c r="A107" s="111">
        <v>105</v>
      </c>
      <c r="B107" s="111">
        <f t="shared" si="2"/>
        <v>34</v>
      </c>
      <c r="C107" s="111">
        <f t="shared" si="3"/>
        <v>3</v>
      </c>
      <c r="D107" s="109" t="str" cm="1">
        <f t="array" ref="D107">INDEX('Meta-Map-1'!$I$7:$K$102,1+B107,C107)</f>
        <v/>
      </c>
    </row>
    <row r="108" spans="1:4" x14ac:dyDescent="0.75">
      <c r="A108" s="111">
        <v>106</v>
      </c>
      <c r="B108" s="111">
        <f t="shared" si="2"/>
        <v>35</v>
      </c>
      <c r="C108" s="111">
        <f t="shared" si="3"/>
        <v>1</v>
      </c>
      <c r="D108" s="109" t="str" cm="1">
        <f t="array" ref="D108">INDEX('Meta-Map-1'!$I$7:$K$102,1+B108,C108)</f>
        <v/>
      </c>
    </row>
    <row r="109" spans="1:4" x14ac:dyDescent="0.75">
      <c r="A109" s="111">
        <v>107</v>
      </c>
      <c r="B109" s="111">
        <f t="shared" si="2"/>
        <v>35</v>
      </c>
      <c r="C109" s="111">
        <f t="shared" si="3"/>
        <v>2</v>
      </c>
      <c r="D109" s="109" t="str" cm="1">
        <f t="array" ref="D109">INDEX('Meta-Map-1'!$I$7:$K$102,1+B109,C109)</f>
        <v/>
      </c>
    </row>
    <row r="110" spans="1:4" x14ac:dyDescent="0.75">
      <c r="A110" s="111">
        <v>108</v>
      </c>
      <c r="B110" s="111">
        <f t="shared" si="2"/>
        <v>35</v>
      </c>
      <c r="C110" s="111">
        <f t="shared" si="3"/>
        <v>3</v>
      </c>
      <c r="D110" s="109" t="str" cm="1">
        <f t="array" ref="D110">INDEX('Meta-Map-1'!$I$7:$K$102,1+B110,C110)</f>
        <v/>
      </c>
    </row>
    <row r="111" spans="1:4" x14ac:dyDescent="0.75">
      <c r="A111" s="111">
        <v>109</v>
      </c>
      <c r="B111" s="111">
        <f t="shared" si="2"/>
        <v>36</v>
      </c>
      <c r="C111" s="111">
        <f t="shared" si="3"/>
        <v>1</v>
      </c>
      <c r="D111" s="109" t="str" cm="1">
        <f t="array" ref="D111">INDEX('Meta-Map-1'!$I$7:$K$102,1+B111,C111)</f>
        <v/>
      </c>
    </row>
    <row r="112" spans="1:4" x14ac:dyDescent="0.75">
      <c r="A112" s="111">
        <v>110</v>
      </c>
      <c r="B112" s="111">
        <f t="shared" si="2"/>
        <v>36</v>
      </c>
      <c r="C112" s="111">
        <f t="shared" si="3"/>
        <v>2</v>
      </c>
      <c r="D112" s="109" t="str" cm="1">
        <f t="array" ref="D112">INDEX('Meta-Map-1'!$I$7:$K$102,1+B112,C112)</f>
        <v/>
      </c>
    </row>
    <row r="113" spans="1:4" x14ac:dyDescent="0.75">
      <c r="A113" s="111">
        <v>111</v>
      </c>
      <c r="B113" s="111">
        <f t="shared" si="2"/>
        <v>36</v>
      </c>
      <c r="C113" s="111">
        <f t="shared" si="3"/>
        <v>3</v>
      </c>
      <c r="D113" s="109" t="str" cm="1">
        <f t="array" ref="D113">INDEX('Meta-Map-1'!$I$7:$K$102,1+B113,C113)</f>
        <v/>
      </c>
    </row>
    <row r="114" spans="1:4" x14ac:dyDescent="0.75">
      <c r="A114" s="111">
        <v>112</v>
      </c>
      <c r="B114" s="111">
        <f t="shared" si="2"/>
        <v>37</v>
      </c>
      <c r="C114" s="111">
        <f t="shared" si="3"/>
        <v>1</v>
      </c>
      <c r="D114" s="109" t="str" cm="1">
        <f t="array" ref="D114">INDEX('Meta-Map-1'!$I$7:$K$102,1+B114,C114)</f>
        <v/>
      </c>
    </row>
    <row r="115" spans="1:4" x14ac:dyDescent="0.75">
      <c r="A115" s="111">
        <v>113</v>
      </c>
      <c r="B115" s="111">
        <f t="shared" si="2"/>
        <v>37</v>
      </c>
      <c r="C115" s="111">
        <f t="shared" si="3"/>
        <v>2</v>
      </c>
      <c r="D115" s="109" t="str" cm="1">
        <f t="array" ref="D115">INDEX('Meta-Map-1'!$I$7:$K$102,1+B115,C115)</f>
        <v/>
      </c>
    </row>
    <row r="116" spans="1:4" x14ac:dyDescent="0.75">
      <c r="A116" s="111">
        <v>114</v>
      </c>
      <c r="B116" s="111">
        <f t="shared" si="2"/>
        <v>37</v>
      </c>
      <c r="C116" s="111">
        <f t="shared" si="3"/>
        <v>3</v>
      </c>
      <c r="D116" s="109" t="str" cm="1">
        <f t="array" ref="D116">INDEX('Meta-Map-1'!$I$7:$K$102,1+B116,C116)</f>
        <v/>
      </c>
    </row>
    <row r="117" spans="1:4" x14ac:dyDescent="0.75">
      <c r="A117" s="111">
        <v>115</v>
      </c>
      <c r="B117" s="111">
        <f t="shared" si="2"/>
        <v>38</v>
      </c>
      <c r="C117" s="111">
        <f t="shared" si="3"/>
        <v>1</v>
      </c>
      <c r="D117" s="109" t="str" cm="1">
        <f t="array" ref="D117">INDEX('Meta-Map-1'!$I$7:$K$102,1+B117,C117)</f>
        <v/>
      </c>
    </row>
    <row r="118" spans="1:4" x14ac:dyDescent="0.75">
      <c r="A118" s="111">
        <v>116</v>
      </c>
      <c r="B118" s="111">
        <f t="shared" si="2"/>
        <v>38</v>
      </c>
      <c r="C118" s="111">
        <f t="shared" si="3"/>
        <v>2</v>
      </c>
      <c r="D118" s="109" t="str" cm="1">
        <f t="array" ref="D118">INDEX('Meta-Map-1'!$I$7:$K$102,1+B118,C118)</f>
        <v/>
      </c>
    </row>
    <row r="119" spans="1:4" x14ac:dyDescent="0.75">
      <c r="A119" s="111">
        <v>117</v>
      </c>
      <c r="B119" s="111">
        <f t="shared" si="2"/>
        <v>38</v>
      </c>
      <c r="C119" s="111">
        <f t="shared" si="3"/>
        <v>3</v>
      </c>
      <c r="D119" s="109" t="str" cm="1">
        <f t="array" ref="D119">INDEX('Meta-Map-1'!$I$7:$K$102,1+B119,C119)</f>
        <v/>
      </c>
    </row>
    <row r="120" spans="1:4" x14ac:dyDescent="0.75">
      <c r="A120" s="111">
        <v>118</v>
      </c>
      <c r="B120" s="111">
        <f t="shared" si="2"/>
        <v>39</v>
      </c>
      <c r="C120" s="111">
        <f t="shared" si="3"/>
        <v>1</v>
      </c>
      <c r="D120" s="109" t="str" cm="1">
        <f t="array" ref="D120">INDEX('Meta-Map-1'!$I$7:$K$102,1+B120,C120)</f>
        <v/>
      </c>
    </row>
    <row r="121" spans="1:4" x14ac:dyDescent="0.75">
      <c r="A121" s="111">
        <v>119</v>
      </c>
      <c r="B121" s="111">
        <f t="shared" si="2"/>
        <v>39</v>
      </c>
      <c r="C121" s="111">
        <f t="shared" si="3"/>
        <v>2</v>
      </c>
      <c r="D121" s="109" t="str" cm="1">
        <f t="array" ref="D121">INDEX('Meta-Map-1'!$I$7:$K$102,1+B121,C121)</f>
        <v/>
      </c>
    </row>
    <row r="122" spans="1:4" x14ac:dyDescent="0.75">
      <c r="A122" s="111">
        <v>120</v>
      </c>
      <c r="B122" s="111">
        <f t="shared" si="2"/>
        <v>39</v>
      </c>
      <c r="C122" s="111">
        <f t="shared" si="3"/>
        <v>3</v>
      </c>
      <c r="D122" s="109" t="str" cm="1">
        <f t="array" ref="D122">INDEX('Meta-Map-1'!$I$7:$K$102,1+B122,C122)</f>
        <v/>
      </c>
    </row>
    <row r="123" spans="1:4" x14ac:dyDescent="0.75">
      <c r="A123" s="111">
        <v>121</v>
      </c>
      <c r="B123" s="111">
        <f t="shared" si="2"/>
        <v>40</v>
      </c>
      <c r="C123" s="111">
        <f t="shared" si="3"/>
        <v>1</v>
      </c>
      <c r="D123" s="109" t="str" cm="1">
        <f t="array" ref="D123">INDEX('Meta-Map-1'!$I$7:$K$102,1+B123,C123)</f>
        <v/>
      </c>
    </row>
    <row r="124" spans="1:4" x14ac:dyDescent="0.75">
      <c r="A124" s="111">
        <v>122</v>
      </c>
      <c r="B124" s="111">
        <f t="shared" si="2"/>
        <v>40</v>
      </c>
      <c r="C124" s="111">
        <f t="shared" si="3"/>
        <v>2</v>
      </c>
      <c r="D124" s="109" t="str" cm="1">
        <f t="array" ref="D124">INDEX('Meta-Map-1'!$I$7:$K$102,1+B124,C124)</f>
        <v/>
      </c>
    </row>
    <row r="125" spans="1:4" x14ac:dyDescent="0.75">
      <c r="A125" s="111">
        <v>123</v>
      </c>
      <c r="B125" s="111">
        <f t="shared" si="2"/>
        <v>40</v>
      </c>
      <c r="C125" s="111">
        <f t="shared" si="3"/>
        <v>3</v>
      </c>
      <c r="D125" s="109" t="str" cm="1">
        <f t="array" ref="D125">INDEX('Meta-Map-1'!$I$7:$K$102,1+B125,C125)</f>
        <v/>
      </c>
    </row>
    <row r="126" spans="1:4" x14ac:dyDescent="0.75">
      <c r="A126" s="111">
        <v>124</v>
      </c>
      <c r="B126" s="111">
        <f t="shared" si="2"/>
        <v>41</v>
      </c>
      <c r="C126" s="111">
        <f t="shared" si="3"/>
        <v>1</v>
      </c>
      <c r="D126" s="109" t="str" cm="1">
        <f t="array" ref="D126">INDEX('Meta-Map-1'!$I$7:$K$102,1+B126,C126)</f>
        <v/>
      </c>
    </row>
    <row r="127" spans="1:4" x14ac:dyDescent="0.75">
      <c r="A127" s="111">
        <v>125</v>
      </c>
      <c r="B127" s="111">
        <f t="shared" si="2"/>
        <v>41</v>
      </c>
      <c r="C127" s="111">
        <f t="shared" si="3"/>
        <v>2</v>
      </c>
      <c r="D127" s="109" t="str" cm="1">
        <f t="array" ref="D127">INDEX('Meta-Map-1'!$I$7:$K$102,1+B127,C127)</f>
        <v/>
      </c>
    </row>
    <row r="128" spans="1:4" x14ac:dyDescent="0.75">
      <c r="A128" s="111">
        <v>126</v>
      </c>
      <c r="B128" s="111">
        <f t="shared" si="2"/>
        <v>41</v>
      </c>
      <c r="C128" s="111">
        <f t="shared" si="3"/>
        <v>3</v>
      </c>
      <c r="D128" s="109" t="str" cm="1">
        <f t="array" ref="D128">INDEX('Meta-Map-1'!$I$7:$K$102,1+B128,C128)</f>
        <v/>
      </c>
    </row>
    <row r="129" spans="1:4" x14ac:dyDescent="0.75">
      <c r="A129" s="111">
        <v>127</v>
      </c>
      <c r="B129" s="111">
        <f t="shared" si="2"/>
        <v>42</v>
      </c>
      <c r="C129" s="111">
        <f t="shared" si="3"/>
        <v>1</v>
      </c>
      <c r="D129" s="109" t="str" cm="1">
        <f t="array" ref="D129">INDEX('Meta-Map-1'!$I$7:$K$102,1+B129,C129)</f>
        <v/>
      </c>
    </row>
    <row r="130" spans="1:4" x14ac:dyDescent="0.75">
      <c r="A130" s="111">
        <v>128</v>
      </c>
      <c r="B130" s="111">
        <f t="shared" si="2"/>
        <v>42</v>
      </c>
      <c r="C130" s="111">
        <f t="shared" si="3"/>
        <v>2</v>
      </c>
      <c r="D130" s="109" t="str" cm="1">
        <f t="array" ref="D130">INDEX('Meta-Map-1'!$I$7:$K$102,1+B130,C130)</f>
        <v/>
      </c>
    </row>
    <row r="131" spans="1:4" x14ac:dyDescent="0.75">
      <c r="A131" s="111">
        <v>129</v>
      </c>
      <c r="B131" s="111">
        <f t="shared" si="2"/>
        <v>42</v>
      </c>
      <c r="C131" s="111">
        <f t="shared" si="3"/>
        <v>3</v>
      </c>
      <c r="D131" s="109" t="str" cm="1">
        <f t="array" ref="D131">INDEX('Meta-Map-1'!$I$7:$K$102,1+B131,C131)</f>
        <v/>
      </c>
    </row>
    <row r="132" spans="1:4" x14ac:dyDescent="0.75">
      <c r="A132" s="111">
        <v>130</v>
      </c>
      <c r="B132" s="111">
        <f t="shared" ref="B132:B195" si="4">IF(MOD(A132,3)=0,A132/3-1,INT(A132/3))</f>
        <v>43</v>
      </c>
      <c r="C132" s="111">
        <f t="shared" ref="C132:C195" si="5">IF(MOD(A132,3)=0,3,MOD(A132,3))</f>
        <v>1</v>
      </c>
      <c r="D132" s="109" t="str" cm="1">
        <f t="array" ref="D132">INDEX('Meta-Map-1'!$I$7:$K$102,1+B132,C132)</f>
        <v/>
      </c>
    </row>
    <row r="133" spans="1:4" x14ac:dyDescent="0.75">
      <c r="A133" s="111">
        <v>131</v>
      </c>
      <c r="B133" s="111">
        <f t="shared" si="4"/>
        <v>43</v>
      </c>
      <c r="C133" s="111">
        <f t="shared" si="5"/>
        <v>2</v>
      </c>
      <c r="D133" s="109" t="str" cm="1">
        <f t="array" ref="D133">INDEX('Meta-Map-1'!$I$7:$K$102,1+B133,C133)</f>
        <v/>
      </c>
    </row>
    <row r="134" spans="1:4" x14ac:dyDescent="0.75">
      <c r="A134" s="111">
        <v>132</v>
      </c>
      <c r="B134" s="111">
        <f t="shared" si="4"/>
        <v>43</v>
      </c>
      <c r="C134" s="111">
        <f t="shared" si="5"/>
        <v>3</v>
      </c>
      <c r="D134" s="109" t="str" cm="1">
        <f t="array" ref="D134">INDEX('Meta-Map-1'!$I$7:$K$102,1+B134,C134)</f>
        <v/>
      </c>
    </row>
    <row r="135" spans="1:4" x14ac:dyDescent="0.75">
      <c r="A135" s="111">
        <v>133</v>
      </c>
      <c r="B135" s="111">
        <f t="shared" si="4"/>
        <v>44</v>
      </c>
      <c r="C135" s="111">
        <f t="shared" si="5"/>
        <v>1</v>
      </c>
      <c r="D135" s="109" t="str" cm="1">
        <f t="array" ref="D135">INDEX('Meta-Map-1'!$I$7:$K$102,1+B135,C135)</f>
        <v/>
      </c>
    </row>
    <row r="136" spans="1:4" x14ac:dyDescent="0.75">
      <c r="A136" s="111">
        <v>134</v>
      </c>
      <c r="B136" s="111">
        <f t="shared" si="4"/>
        <v>44</v>
      </c>
      <c r="C136" s="111">
        <f t="shared" si="5"/>
        <v>2</v>
      </c>
      <c r="D136" s="109" t="str" cm="1">
        <f t="array" ref="D136">INDEX('Meta-Map-1'!$I$7:$K$102,1+B136,C136)</f>
        <v/>
      </c>
    </row>
    <row r="137" spans="1:4" x14ac:dyDescent="0.75">
      <c r="A137" s="111">
        <v>135</v>
      </c>
      <c r="B137" s="111">
        <f t="shared" si="4"/>
        <v>44</v>
      </c>
      <c r="C137" s="111">
        <f t="shared" si="5"/>
        <v>3</v>
      </c>
      <c r="D137" s="109" t="str" cm="1">
        <f t="array" ref="D137">INDEX('Meta-Map-1'!$I$7:$K$102,1+B137,C137)</f>
        <v/>
      </c>
    </row>
    <row r="138" spans="1:4" x14ac:dyDescent="0.75">
      <c r="A138" s="111">
        <v>136</v>
      </c>
      <c r="B138" s="111">
        <f t="shared" si="4"/>
        <v>45</v>
      </c>
      <c r="C138" s="111">
        <f t="shared" si="5"/>
        <v>1</v>
      </c>
      <c r="D138" s="109" t="str" cm="1">
        <f t="array" ref="D138">INDEX('Meta-Map-1'!$I$7:$K$102,1+B138,C138)</f>
        <v/>
      </c>
    </row>
    <row r="139" spans="1:4" x14ac:dyDescent="0.75">
      <c r="A139" s="111">
        <v>137</v>
      </c>
      <c r="B139" s="111">
        <f t="shared" si="4"/>
        <v>45</v>
      </c>
      <c r="C139" s="111">
        <f t="shared" si="5"/>
        <v>2</v>
      </c>
      <c r="D139" s="109" t="str" cm="1">
        <f t="array" ref="D139">INDEX('Meta-Map-1'!$I$7:$K$102,1+B139,C139)</f>
        <v/>
      </c>
    </row>
    <row r="140" spans="1:4" x14ac:dyDescent="0.75">
      <c r="A140" s="111">
        <v>138</v>
      </c>
      <c r="B140" s="111">
        <f t="shared" si="4"/>
        <v>45</v>
      </c>
      <c r="C140" s="111">
        <f t="shared" si="5"/>
        <v>3</v>
      </c>
      <c r="D140" s="109" t="str" cm="1">
        <f t="array" ref="D140">INDEX('Meta-Map-1'!$I$7:$K$102,1+B140,C140)</f>
        <v/>
      </c>
    </row>
    <row r="141" spans="1:4" x14ac:dyDescent="0.75">
      <c r="A141" s="111">
        <v>139</v>
      </c>
      <c r="B141" s="111">
        <f t="shared" si="4"/>
        <v>46</v>
      </c>
      <c r="C141" s="111">
        <f t="shared" si="5"/>
        <v>1</v>
      </c>
      <c r="D141" s="109" cm="1">
        <f t="array" ref="D141">INDEX('Meta-Map-1'!$I$7:$K$102,1+B141,C141)</f>
        <v>0</v>
      </c>
    </row>
    <row r="142" spans="1:4" x14ac:dyDescent="0.75">
      <c r="A142" s="111">
        <v>140</v>
      </c>
      <c r="B142" s="111">
        <f t="shared" si="4"/>
        <v>46</v>
      </c>
      <c r="C142" s="111">
        <f t="shared" si="5"/>
        <v>2</v>
      </c>
      <c r="D142" s="109" cm="1">
        <f t="array" ref="D142">INDEX('Meta-Map-1'!$I$7:$K$102,1+B142,C142)</f>
        <v>0</v>
      </c>
    </row>
    <row r="143" spans="1:4" x14ac:dyDescent="0.75">
      <c r="A143" s="111">
        <v>141</v>
      </c>
      <c r="B143" s="111">
        <f t="shared" si="4"/>
        <v>46</v>
      </c>
      <c r="C143" s="111">
        <f t="shared" si="5"/>
        <v>3</v>
      </c>
      <c r="D143" s="109" cm="1">
        <f t="array" ref="D143">INDEX('Meta-Map-1'!$I$7:$K$102,1+B143,C143)</f>
        <v>0</v>
      </c>
    </row>
    <row r="144" spans="1:4" x14ac:dyDescent="0.75">
      <c r="A144" s="111">
        <v>142</v>
      </c>
      <c r="B144" s="111">
        <f t="shared" si="4"/>
        <v>47</v>
      </c>
      <c r="C144" s="111">
        <f t="shared" si="5"/>
        <v>1</v>
      </c>
      <c r="D144" s="109" cm="1">
        <f t="array" ref="D144">INDEX('Meta-Map-1'!$I$7:$K$102,1+B144,C144)</f>
        <v>0</v>
      </c>
    </row>
    <row r="145" spans="1:4" x14ac:dyDescent="0.75">
      <c r="A145" s="111">
        <v>143</v>
      </c>
      <c r="B145" s="111">
        <f t="shared" si="4"/>
        <v>47</v>
      </c>
      <c r="C145" s="111">
        <f t="shared" si="5"/>
        <v>2</v>
      </c>
      <c r="D145" s="109" cm="1">
        <f t="array" ref="D145">INDEX('Meta-Map-1'!$I$7:$K$102,1+B145,C145)</f>
        <v>0</v>
      </c>
    </row>
    <row r="146" spans="1:4" x14ac:dyDescent="0.75">
      <c r="A146" s="111">
        <v>144</v>
      </c>
      <c r="B146" s="111">
        <f t="shared" si="4"/>
        <v>47</v>
      </c>
      <c r="C146" s="111">
        <f t="shared" si="5"/>
        <v>3</v>
      </c>
      <c r="D146" s="109" cm="1">
        <f t="array" ref="D146">INDEX('Meta-Map-1'!$I$7:$K$102,1+B146,C146)</f>
        <v>0</v>
      </c>
    </row>
    <row r="147" spans="1:4" x14ac:dyDescent="0.75">
      <c r="A147" s="111">
        <v>145</v>
      </c>
      <c r="B147" s="111">
        <f t="shared" si="4"/>
        <v>48</v>
      </c>
      <c r="C147" s="111">
        <f t="shared" si="5"/>
        <v>1</v>
      </c>
      <c r="D147" s="109" cm="1">
        <f t="array" ref="D147">INDEX('Meta-Map-1'!$I$7:$K$102,1+B147,C147)</f>
        <v>0</v>
      </c>
    </row>
    <row r="148" spans="1:4" x14ac:dyDescent="0.75">
      <c r="A148" s="111">
        <v>146</v>
      </c>
      <c r="B148" s="111">
        <f t="shared" si="4"/>
        <v>48</v>
      </c>
      <c r="C148" s="111">
        <f t="shared" si="5"/>
        <v>2</v>
      </c>
      <c r="D148" s="109" cm="1">
        <f t="array" ref="D148">INDEX('Meta-Map-1'!$I$7:$K$102,1+B148,C148)</f>
        <v>0</v>
      </c>
    </row>
    <row r="149" spans="1:4" x14ac:dyDescent="0.75">
      <c r="A149" s="111">
        <v>147</v>
      </c>
      <c r="B149" s="111">
        <f t="shared" si="4"/>
        <v>48</v>
      </c>
      <c r="C149" s="111">
        <f t="shared" si="5"/>
        <v>3</v>
      </c>
      <c r="D149" s="109" cm="1">
        <f t="array" ref="D149">INDEX('Meta-Map-1'!$I$7:$K$102,1+B149,C149)</f>
        <v>0</v>
      </c>
    </row>
    <row r="150" spans="1:4" x14ac:dyDescent="0.75">
      <c r="A150" s="111">
        <v>148</v>
      </c>
      <c r="B150" s="111">
        <f t="shared" si="4"/>
        <v>49</v>
      </c>
      <c r="C150" s="111">
        <f t="shared" si="5"/>
        <v>1</v>
      </c>
      <c r="D150" s="109" cm="1">
        <f t="array" ref="D150">INDEX('Meta-Map-1'!$I$7:$K$102,1+B150,C150)</f>
        <v>0</v>
      </c>
    </row>
    <row r="151" spans="1:4" x14ac:dyDescent="0.75">
      <c r="A151" s="111">
        <v>149</v>
      </c>
      <c r="B151" s="111">
        <f t="shared" si="4"/>
        <v>49</v>
      </c>
      <c r="C151" s="111">
        <f t="shared" si="5"/>
        <v>2</v>
      </c>
      <c r="D151" s="109" cm="1">
        <f t="array" ref="D151">INDEX('Meta-Map-1'!$I$7:$K$102,1+B151,C151)</f>
        <v>0</v>
      </c>
    </row>
    <row r="152" spans="1:4" x14ac:dyDescent="0.75">
      <c r="A152" s="111">
        <v>150</v>
      </c>
      <c r="B152" s="111">
        <f t="shared" si="4"/>
        <v>49</v>
      </c>
      <c r="C152" s="111">
        <f t="shared" si="5"/>
        <v>3</v>
      </c>
      <c r="D152" s="109" cm="1">
        <f t="array" ref="D152">INDEX('Meta-Map-1'!$I$7:$K$102,1+B152,C152)</f>
        <v>0</v>
      </c>
    </row>
    <row r="153" spans="1:4" x14ac:dyDescent="0.75">
      <c r="A153" s="111">
        <v>151</v>
      </c>
      <c r="B153" s="111">
        <f t="shared" si="4"/>
        <v>50</v>
      </c>
      <c r="C153" s="111">
        <f t="shared" si="5"/>
        <v>1</v>
      </c>
      <c r="D153" s="109" cm="1">
        <f t="array" ref="D153">INDEX('Meta-Map-1'!$I$7:$K$102,1+B153,C153)</f>
        <v>0</v>
      </c>
    </row>
    <row r="154" spans="1:4" x14ac:dyDescent="0.75">
      <c r="A154" s="111">
        <v>152</v>
      </c>
      <c r="B154" s="111">
        <f t="shared" si="4"/>
        <v>50</v>
      </c>
      <c r="C154" s="111">
        <f t="shared" si="5"/>
        <v>2</v>
      </c>
      <c r="D154" s="109" cm="1">
        <f t="array" ref="D154">INDEX('Meta-Map-1'!$I$7:$K$102,1+B154,C154)</f>
        <v>0</v>
      </c>
    </row>
    <row r="155" spans="1:4" x14ac:dyDescent="0.75">
      <c r="A155" s="111">
        <v>153</v>
      </c>
      <c r="B155" s="111">
        <f t="shared" si="4"/>
        <v>50</v>
      </c>
      <c r="C155" s="111">
        <f t="shared" si="5"/>
        <v>3</v>
      </c>
      <c r="D155" s="109" cm="1">
        <f t="array" ref="D155">INDEX('Meta-Map-1'!$I$7:$K$102,1+B155,C155)</f>
        <v>0</v>
      </c>
    </row>
    <row r="156" spans="1:4" x14ac:dyDescent="0.75">
      <c r="A156" s="111">
        <v>154</v>
      </c>
      <c r="B156" s="111">
        <f t="shared" si="4"/>
        <v>51</v>
      </c>
      <c r="C156" s="111">
        <f t="shared" si="5"/>
        <v>1</v>
      </c>
      <c r="D156" s="109" cm="1">
        <f t="array" ref="D156">INDEX('Meta-Map-1'!$I$7:$K$102,1+B156,C156)</f>
        <v>0</v>
      </c>
    </row>
    <row r="157" spans="1:4" x14ac:dyDescent="0.75">
      <c r="A157" s="111">
        <v>155</v>
      </c>
      <c r="B157" s="111">
        <f t="shared" si="4"/>
        <v>51</v>
      </c>
      <c r="C157" s="111">
        <f t="shared" si="5"/>
        <v>2</v>
      </c>
      <c r="D157" s="109" cm="1">
        <f t="array" ref="D157">INDEX('Meta-Map-1'!$I$7:$K$102,1+B157,C157)</f>
        <v>0</v>
      </c>
    </row>
    <row r="158" spans="1:4" x14ac:dyDescent="0.75">
      <c r="A158" s="111">
        <v>156</v>
      </c>
      <c r="B158" s="111">
        <f t="shared" si="4"/>
        <v>51</v>
      </c>
      <c r="C158" s="111">
        <f t="shared" si="5"/>
        <v>3</v>
      </c>
      <c r="D158" s="109" cm="1">
        <f t="array" ref="D158">INDEX('Meta-Map-1'!$I$7:$K$102,1+B158,C158)</f>
        <v>0</v>
      </c>
    </row>
    <row r="159" spans="1:4" x14ac:dyDescent="0.75">
      <c r="A159" s="111">
        <v>157</v>
      </c>
      <c r="B159" s="111">
        <f t="shared" si="4"/>
        <v>52</v>
      </c>
      <c r="C159" s="111">
        <f t="shared" si="5"/>
        <v>1</v>
      </c>
      <c r="D159" s="109" cm="1">
        <f t="array" ref="D159">INDEX('Meta-Map-1'!$I$7:$K$102,1+B159,C159)</f>
        <v>0</v>
      </c>
    </row>
    <row r="160" spans="1:4" x14ac:dyDescent="0.75">
      <c r="A160" s="111">
        <v>158</v>
      </c>
      <c r="B160" s="111">
        <f t="shared" si="4"/>
        <v>52</v>
      </c>
      <c r="C160" s="111">
        <f t="shared" si="5"/>
        <v>2</v>
      </c>
      <c r="D160" s="109" cm="1">
        <f t="array" ref="D160">INDEX('Meta-Map-1'!$I$7:$K$102,1+B160,C160)</f>
        <v>0</v>
      </c>
    </row>
    <row r="161" spans="1:4" x14ac:dyDescent="0.75">
      <c r="A161" s="111">
        <v>159</v>
      </c>
      <c r="B161" s="111">
        <f t="shared" si="4"/>
        <v>52</v>
      </c>
      <c r="C161" s="111">
        <f t="shared" si="5"/>
        <v>3</v>
      </c>
      <c r="D161" s="109" cm="1">
        <f t="array" ref="D161">INDEX('Meta-Map-1'!$I$7:$K$102,1+B161,C161)</f>
        <v>0</v>
      </c>
    </row>
    <row r="162" spans="1:4" x14ac:dyDescent="0.75">
      <c r="A162" s="111">
        <v>160</v>
      </c>
      <c r="B162" s="111">
        <f t="shared" si="4"/>
        <v>53</v>
      </c>
      <c r="C162" s="111">
        <f t="shared" si="5"/>
        <v>1</v>
      </c>
      <c r="D162" s="109" cm="1">
        <f t="array" ref="D162">INDEX('Meta-Map-1'!$I$7:$K$102,1+B162,C162)</f>
        <v>0</v>
      </c>
    </row>
    <row r="163" spans="1:4" x14ac:dyDescent="0.75">
      <c r="A163" s="111">
        <v>161</v>
      </c>
      <c r="B163" s="111">
        <f t="shared" si="4"/>
        <v>53</v>
      </c>
      <c r="C163" s="111">
        <f t="shared" si="5"/>
        <v>2</v>
      </c>
      <c r="D163" s="109" cm="1">
        <f t="array" ref="D163">INDEX('Meta-Map-1'!$I$7:$K$102,1+B163,C163)</f>
        <v>0</v>
      </c>
    </row>
    <row r="164" spans="1:4" x14ac:dyDescent="0.75">
      <c r="A164" s="111">
        <v>162</v>
      </c>
      <c r="B164" s="111">
        <f t="shared" si="4"/>
        <v>53</v>
      </c>
      <c r="C164" s="111">
        <f t="shared" si="5"/>
        <v>3</v>
      </c>
      <c r="D164" s="109" cm="1">
        <f t="array" ref="D164">INDEX('Meta-Map-1'!$I$7:$K$102,1+B164,C164)</f>
        <v>0</v>
      </c>
    </row>
    <row r="165" spans="1:4" x14ac:dyDescent="0.75">
      <c r="A165" s="111">
        <v>163</v>
      </c>
      <c r="B165" s="111">
        <f t="shared" si="4"/>
        <v>54</v>
      </c>
      <c r="C165" s="111">
        <f t="shared" si="5"/>
        <v>1</v>
      </c>
      <c r="D165" s="109" cm="1">
        <f t="array" ref="D165">INDEX('Meta-Map-1'!$I$7:$K$102,1+B165,C165)</f>
        <v>0</v>
      </c>
    </row>
    <row r="166" spans="1:4" x14ac:dyDescent="0.75">
      <c r="A166" s="111">
        <v>164</v>
      </c>
      <c r="B166" s="111">
        <f t="shared" si="4"/>
        <v>54</v>
      </c>
      <c r="C166" s="111">
        <f t="shared" si="5"/>
        <v>2</v>
      </c>
      <c r="D166" s="109" cm="1">
        <f t="array" ref="D166">INDEX('Meta-Map-1'!$I$7:$K$102,1+B166,C166)</f>
        <v>0</v>
      </c>
    </row>
    <row r="167" spans="1:4" x14ac:dyDescent="0.75">
      <c r="A167" s="111">
        <v>165</v>
      </c>
      <c r="B167" s="111">
        <f t="shared" si="4"/>
        <v>54</v>
      </c>
      <c r="C167" s="111">
        <f t="shared" si="5"/>
        <v>3</v>
      </c>
      <c r="D167" s="109" cm="1">
        <f t="array" ref="D167">INDEX('Meta-Map-1'!$I$7:$K$102,1+B167,C167)</f>
        <v>0</v>
      </c>
    </row>
    <row r="168" spans="1:4" x14ac:dyDescent="0.75">
      <c r="A168" s="111">
        <v>166</v>
      </c>
      <c r="B168" s="111">
        <f t="shared" si="4"/>
        <v>55</v>
      </c>
      <c r="C168" s="111">
        <f t="shared" si="5"/>
        <v>1</v>
      </c>
      <c r="D168" s="109" cm="1">
        <f t="array" ref="D168">INDEX('Meta-Map-1'!$I$7:$K$102,1+B168,C168)</f>
        <v>0</v>
      </c>
    </row>
    <row r="169" spans="1:4" x14ac:dyDescent="0.75">
      <c r="A169" s="111">
        <v>167</v>
      </c>
      <c r="B169" s="111">
        <f t="shared" si="4"/>
        <v>55</v>
      </c>
      <c r="C169" s="111">
        <f t="shared" si="5"/>
        <v>2</v>
      </c>
      <c r="D169" s="109" cm="1">
        <f t="array" ref="D169">INDEX('Meta-Map-1'!$I$7:$K$102,1+B169,C169)</f>
        <v>0</v>
      </c>
    </row>
    <row r="170" spans="1:4" x14ac:dyDescent="0.75">
      <c r="A170" s="111">
        <v>168</v>
      </c>
      <c r="B170" s="111">
        <f t="shared" si="4"/>
        <v>55</v>
      </c>
      <c r="C170" s="111">
        <f t="shared" si="5"/>
        <v>3</v>
      </c>
      <c r="D170" s="109" cm="1">
        <f t="array" ref="D170">INDEX('Meta-Map-1'!$I$7:$K$102,1+B170,C170)</f>
        <v>0</v>
      </c>
    </row>
    <row r="171" spans="1:4" x14ac:dyDescent="0.75">
      <c r="A171" s="111">
        <v>169</v>
      </c>
      <c r="B171" s="111">
        <f t="shared" si="4"/>
        <v>56</v>
      </c>
      <c r="C171" s="111">
        <f t="shared" si="5"/>
        <v>1</v>
      </c>
      <c r="D171" s="109" cm="1">
        <f t="array" ref="D171">INDEX('Meta-Map-1'!$I$7:$K$102,1+B171,C171)</f>
        <v>0</v>
      </c>
    </row>
    <row r="172" spans="1:4" x14ac:dyDescent="0.75">
      <c r="A172" s="111">
        <v>170</v>
      </c>
      <c r="B172" s="111">
        <f t="shared" si="4"/>
        <v>56</v>
      </c>
      <c r="C172" s="111">
        <f t="shared" si="5"/>
        <v>2</v>
      </c>
      <c r="D172" s="109" cm="1">
        <f t="array" ref="D172">INDEX('Meta-Map-1'!$I$7:$K$102,1+B172,C172)</f>
        <v>0</v>
      </c>
    </row>
    <row r="173" spans="1:4" x14ac:dyDescent="0.75">
      <c r="A173" s="111">
        <v>171</v>
      </c>
      <c r="B173" s="111">
        <f t="shared" si="4"/>
        <v>56</v>
      </c>
      <c r="C173" s="111">
        <f t="shared" si="5"/>
        <v>3</v>
      </c>
      <c r="D173" s="109" cm="1">
        <f t="array" ref="D173">INDEX('Meta-Map-1'!$I$7:$K$102,1+B173,C173)</f>
        <v>0</v>
      </c>
    </row>
    <row r="174" spans="1:4" x14ac:dyDescent="0.75">
      <c r="A174" s="111">
        <v>172</v>
      </c>
      <c r="B174" s="111">
        <f t="shared" si="4"/>
        <v>57</v>
      </c>
      <c r="C174" s="111">
        <f t="shared" si="5"/>
        <v>1</v>
      </c>
      <c r="D174" s="109" cm="1">
        <f t="array" ref="D174">INDEX('Meta-Map-1'!$I$7:$K$102,1+B174,C174)</f>
        <v>0</v>
      </c>
    </row>
    <row r="175" spans="1:4" x14ac:dyDescent="0.75">
      <c r="A175" s="111">
        <v>173</v>
      </c>
      <c r="B175" s="111">
        <f t="shared" si="4"/>
        <v>57</v>
      </c>
      <c r="C175" s="111">
        <f t="shared" si="5"/>
        <v>2</v>
      </c>
      <c r="D175" s="109" cm="1">
        <f t="array" ref="D175">INDEX('Meta-Map-1'!$I$7:$K$102,1+B175,C175)</f>
        <v>0</v>
      </c>
    </row>
    <row r="176" spans="1:4" x14ac:dyDescent="0.75">
      <c r="A176" s="111">
        <v>174</v>
      </c>
      <c r="B176" s="111">
        <f t="shared" si="4"/>
        <v>57</v>
      </c>
      <c r="C176" s="111">
        <f t="shared" si="5"/>
        <v>3</v>
      </c>
      <c r="D176" s="109" cm="1">
        <f t="array" ref="D176">INDEX('Meta-Map-1'!$I$7:$K$102,1+B176,C176)</f>
        <v>0</v>
      </c>
    </row>
    <row r="177" spans="1:4" x14ac:dyDescent="0.75">
      <c r="A177" s="111">
        <v>175</v>
      </c>
      <c r="B177" s="111">
        <f t="shared" si="4"/>
        <v>58</v>
      </c>
      <c r="C177" s="111">
        <f t="shared" si="5"/>
        <v>1</v>
      </c>
      <c r="D177" s="109" cm="1">
        <f t="array" ref="D177">INDEX('Meta-Map-1'!$I$7:$K$102,1+B177,C177)</f>
        <v>0</v>
      </c>
    </row>
    <row r="178" spans="1:4" x14ac:dyDescent="0.75">
      <c r="A178" s="111">
        <v>176</v>
      </c>
      <c r="B178" s="111">
        <f t="shared" si="4"/>
        <v>58</v>
      </c>
      <c r="C178" s="111">
        <f t="shared" si="5"/>
        <v>2</v>
      </c>
      <c r="D178" s="109" cm="1">
        <f t="array" ref="D178">INDEX('Meta-Map-1'!$I$7:$K$102,1+B178,C178)</f>
        <v>0</v>
      </c>
    </row>
    <row r="179" spans="1:4" x14ac:dyDescent="0.75">
      <c r="A179" s="111">
        <v>177</v>
      </c>
      <c r="B179" s="111">
        <f t="shared" si="4"/>
        <v>58</v>
      </c>
      <c r="C179" s="111">
        <f t="shared" si="5"/>
        <v>3</v>
      </c>
      <c r="D179" s="109" cm="1">
        <f t="array" ref="D179">INDEX('Meta-Map-1'!$I$7:$K$102,1+B179,C179)</f>
        <v>0</v>
      </c>
    </row>
    <row r="180" spans="1:4" x14ac:dyDescent="0.75">
      <c r="A180" s="111">
        <v>178</v>
      </c>
      <c r="B180" s="111">
        <f t="shared" si="4"/>
        <v>59</v>
      </c>
      <c r="C180" s="111">
        <f t="shared" si="5"/>
        <v>1</v>
      </c>
      <c r="D180" s="109" cm="1">
        <f t="array" ref="D180">INDEX('Meta-Map-1'!$I$7:$K$102,1+B180,C180)</f>
        <v>0</v>
      </c>
    </row>
    <row r="181" spans="1:4" x14ac:dyDescent="0.75">
      <c r="A181" s="111">
        <v>179</v>
      </c>
      <c r="B181" s="111">
        <f t="shared" si="4"/>
        <v>59</v>
      </c>
      <c r="C181" s="111">
        <f t="shared" si="5"/>
        <v>2</v>
      </c>
      <c r="D181" s="109" cm="1">
        <f t="array" ref="D181">INDEX('Meta-Map-1'!$I$7:$K$102,1+B181,C181)</f>
        <v>0</v>
      </c>
    </row>
    <row r="182" spans="1:4" x14ac:dyDescent="0.75">
      <c r="A182" s="111">
        <v>180</v>
      </c>
      <c r="B182" s="111">
        <f t="shared" si="4"/>
        <v>59</v>
      </c>
      <c r="C182" s="111">
        <f t="shared" si="5"/>
        <v>3</v>
      </c>
      <c r="D182" s="109" cm="1">
        <f t="array" ref="D182">INDEX('Meta-Map-1'!$I$7:$K$102,1+B182,C182)</f>
        <v>0</v>
      </c>
    </row>
    <row r="183" spans="1:4" x14ac:dyDescent="0.75">
      <c r="A183" s="111">
        <v>181</v>
      </c>
      <c r="B183" s="111">
        <f t="shared" si="4"/>
        <v>60</v>
      </c>
      <c r="C183" s="111">
        <f t="shared" si="5"/>
        <v>1</v>
      </c>
      <c r="D183" s="109" cm="1">
        <f t="array" ref="D183">INDEX('Meta-Map-1'!$I$7:$K$102,1+B183,C183)</f>
        <v>0</v>
      </c>
    </row>
    <row r="184" spans="1:4" x14ac:dyDescent="0.75">
      <c r="A184" s="111">
        <v>182</v>
      </c>
      <c r="B184" s="111">
        <f t="shared" si="4"/>
        <v>60</v>
      </c>
      <c r="C184" s="111">
        <f t="shared" si="5"/>
        <v>2</v>
      </c>
      <c r="D184" s="109" cm="1">
        <f t="array" ref="D184">INDEX('Meta-Map-1'!$I$7:$K$102,1+B184,C184)</f>
        <v>0</v>
      </c>
    </row>
    <row r="185" spans="1:4" x14ac:dyDescent="0.75">
      <c r="A185" s="111">
        <v>183</v>
      </c>
      <c r="B185" s="111">
        <f t="shared" si="4"/>
        <v>60</v>
      </c>
      <c r="C185" s="111">
        <f t="shared" si="5"/>
        <v>3</v>
      </c>
      <c r="D185" s="109" cm="1">
        <f t="array" ref="D185">INDEX('Meta-Map-1'!$I$7:$K$102,1+B185,C185)</f>
        <v>0</v>
      </c>
    </row>
    <row r="186" spans="1:4" x14ac:dyDescent="0.75">
      <c r="A186" s="111">
        <v>184</v>
      </c>
      <c r="B186" s="111">
        <f t="shared" si="4"/>
        <v>61</v>
      </c>
      <c r="C186" s="111">
        <f t="shared" si="5"/>
        <v>1</v>
      </c>
      <c r="D186" s="109" cm="1">
        <f t="array" ref="D186">INDEX('Meta-Map-1'!$I$7:$K$102,1+B186,C186)</f>
        <v>0</v>
      </c>
    </row>
    <row r="187" spans="1:4" x14ac:dyDescent="0.75">
      <c r="A187" s="111">
        <v>185</v>
      </c>
      <c r="B187" s="111">
        <f t="shared" si="4"/>
        <v>61</v>
      </c>
      <c r="C187" s="111">
        <f t="shared" si="5"/>
        <v>2</v>
      </c>
      <c r="D187" s="109" cm="1">
        <f t="array" ref="D187">INDEX('Meta-Map-1'!$I$7:$K$102,1+B187,C187)</f>
        <v>0</v>
      </c>
    </row>
    <row r="188" spans="1:4" x14ac:dyDescent="0.75">
      <c r="A188" s="111">
        <v>186</v>
      </c>
      <c r="B188" s="111">
        <f t="shared" si="4"/>
        <v>61</v>
      </c>
      <c r="C188" s="111">
        <f t="shared" si="5"/>
        <v>3</v>
      </c>
      <c r="D188" s="109" cm="1">
        <f t="array" ref="D188">INDEX('Meta-Map-1'!$I$7:$K$102,1+B188,C188)</f>
        <v>0</v>
      </c>
    </row>
    <row r="189" spans="1:4" x14ac:dyDescent="0.75">
      <c r="A189" s="111">
        <v>187</v>
      </c>
      <c r="B189" s="111">
        <f t="shared" si="4"/>
        <v>62</v>
      </c>
      <c r="C189" s="111">
        <f t="shared" si="5"/>
        <v>1</v>
      </c>
      <c r="D189" s="109" cm="1">
        <f t="array" ref="D189">INDEX('Meta-Map-1'!$I$7:$K$102,1+B189,C189)</f>
        <v>0</v>
      </c>
    </row>
    <row r="190" spans="1:4" x14ac:dyDescent="0.75">
      <c r="A190" s="111">
        <v>188</v>
      </c>
      <c r="B190" s="111">
        <f t="shared" si="4"/>
        <v>62</v>
      </c>
      <c r="C190" s="111">
        <f t="shared" si="5"/>
        <v>2</v>
      </c>
      <c r="D190" s="109" cm="1">
        <f t="array" ref="D190">INDEX('Meta-Map-1'!$I$7:$K$102,1+B190,C190)</f>
        <v>0</v>
      </c>
    </row>
    <row r="191" spans="1:4" x14ac:dyDescent="0.75">
      <c r="A191" s="111">
        <v>189</v>
      </c>
      <c r="B191" s="111">
        <f t="shared" si="4"/>
        <v>62</v>
      </c>
      <c r="C191" s="111">
        <f t="shared" si="5"/>
        <v>3</v>
      </c>
      <c r="D191" s="109" cm="1">
        <f t="array" ref="D191">INDEX('Meta-Map-1'!$I$7:$K$102,1+B191,C191)</f>
        <v>0</v>
      </c>
    </row>
    <row r="192" spans="1:4" x14ac:dyDescent="0.75">
      <c r="A192" s="111">
        <v>190</v>
      </c>
      <c r="B192" s="111">
        <f t="shared" si="4"/>
        <v>63</v>
      </c>
      <c r="C192" s="111">
        <f t="shared" si="5"/>
        <v>1</v>
      </c>
      <c r="D192" s="109" cm="1">
        <f t="array" ref="D192">INDEX('Meta-Map-1'!$I$7:$K$102,1+B192,C192)</f>
        <v>0</v>
      </c>
    </row>
    <row r="193" spans="1:4" x14ac:dyDescent="0.75">
      <c r="A193" s="111">
        <v>191</v>
      </c>
      <c r="B193" s="111">
        <f t="shared" si="4"/>
        <v>63</v>
      </c>
      <c r="C193" s="111">
        <f t="shared" si="5"/>
        <v>2</v>
      </c>
      <c r="D193" s="109" cm="1">
        <f t="array" ref="D193">INDEX('Meta-Map-1'!$I$7:$K$102,1+B193,C193)</f>
        <v>0</v>
      </c>
    </row>
    <row r="194" spans="1:4" x14ac:dyDescent="0.75">
      <c r="A194" s="111">
        <v>192</v>
      </c>
      <c r="B194" s="111">
        <f t="shared" si="4"/>
        <v>63</v>
      </c>
      <c r="C194" s="111">
        <f t="shared" si="5"/>
        <v>3</v>
      </c>
      <c r="D194" s="109" cm="1">
        <f t="array" ref="D194">INDEX('Meta-Map-1'!$I$7:$K$102,1+B194,C194)</f>
        <v>0</v>
      </c>
    </row>
    <row r="195" spans="1:4" x14ac:dyDescent="0.75">
      <c r="A195" s="111">
        <v>193</v>
      </c>
      <c r="B195" s="111">
        <f t="shared" si="4"/>
        <v>64</v>
      </c>
      <c r="C195" s="111">
        <f t="shared" si="5"/>
        <v>1</v>
      </c>
      <c r="D195" s="109" cm="1">
        <f t="array" ref="D195">INDEX('Meta-Map-1'!$I$7:$K$102,1+B195,C195)</f>
        <v>0</v>
      </c>
    </row>
    <row r="196" spans="1:4" x14ac:dyDescent="0.75">
      <c r="A196" s="111">
        <v>194</v>
      </c>
      <c r="B196" s="111">
        <f t="shared" ref="B196:B206" si="6">IF(MOD(A196,3)=0,A196/3-1,INT(A196/3))</f>
        <v>64</v>
      </c>
      <c r="C196" s="111">
        <f t="shared" ref="C196:C206" si="7">IF(MOD(A196,3)=0,3,MOD(A196,3))</f>
        <v>2</v>
      </c>
      <c r="D196" s="109" cm="1">
        <f t="array" ref="D196">INDEX('Meta-Map-1'!$I$7:$K$102,1+B196,C196)</f>
        <v>0</v>
      </c>
    </row>
    <row r="197" spans="1:4" x14ac:dyDescent="0.75">
      <c r="A197" s="111">
        <v>195</v>
      </c>
      <c r="B197" s="111">
        <f t="shared" si="6"/>
        <v>64</v>
      </c>
      <c r="C197" s="111">
        <f t="shared" si="7"/>
        <v>3</v>
      </c>
      <c r="D197" s="109" cm="1">
        <f t="array" ref="D197">INDEX('Meta-Map-1'!$I$7:$K$102,1+B197,C197)</f>
        <v>0</v>
      </c>
    </row>
    <row r="198" spans="1:4" x14ac:dyDescent="0.75">
      <c r="A198" s="111">
        <v>196</v>
      </c>
      <c r="B198" s="111">
        <f t="shared" si="6"/>
        <v>65</v>
      </c>
      <c r="C198" s="111">
        <f t="shared" si="7"/>
        <v>1</v>
      </c>
      <c r="D198" s="109" cm="1">
        <f t="array" ref="D198">INDEX('Meta-Map-1'!$I$7:$K$102,1+B198,C198)</f>
        <v>0</v>
      </c>
    </row>
    <row r="199" spans="1:4" x14ac:dyDescent="0.75">
      <c r="A199" s="111">
        <v>197</v>
      </c>
      <c r="B199" s="111">
        <f t="shared" si="6"/>
        <v>65</v>
      </c>
      <c r="C199" s="111">
        <f t="shared" si="7"/>
        <v>2</v>
      </c>
      <c r="D199" s="109" cm="1">
        <f t="array" ref="D199">INDEX('Meta-Map-1'!$I$7:$K$102,1+B199,C199)</f>
        <v>0</v>
      </c>
    </row>
    <row r="200" spans="1:4" x14ac:dyDescent="0.75">
      <c r="A200" s="111">
        <v>198</v>
      </c>
      <c r="B200" s="111">
        <f t="shared" si="6"/>
        <v>65</v>
      </c>
      <c r="C200" s="111">
        <f t="shared" si="7"/>
        <v>3</v>
      </c>
      <c r="D200" s="109" cm="1">
        <f t="array" ref="D200">INDEX('Meta-Map-1'!$I$7:$K$102,1+B200,C200)</f>
        <v>0</v>
      </c>
    </row>
    <row r="201" spans="1:4" x14ac:dyDescent="0.75">
      <c r="A201" s="111">
        <v>199</v>
      </c>
      <c r="B201" s="111">
        <f t="shared" si="6"/>
        <v>66</v>
      </c>
      <c r="C201" s="111">
        <f t="shared" si="7"/>
        <v>1</v>
      </c>
      <c r="D201" s="109" cm="1">
        <f t="array" ref="D201">INDEX('Meta-Map-1'!$I$7:$K$102,1+B201,C201)</f>
        <v>0</v>
      </c>
    </row>
    <row r="202" spans="1:4" x14ac:dyDescent="0.75">
      <c r="A202" s="111">
        <v>200</v>
      </c>
      <c r="B202" s="111">
        <f t="shared" si="6"/>
        <v>66</v>
      </c>
      <c r="C202" s="111">
        <f t="shared" si="7"/>
        <v>2</v>
      </c>
      <c r="D202" s="109" cm="1">
        <f t="array" ref="D202">INDEX('Meta-Map-1'!$I$7:$K$102,1+B202,C202)</f>
        <v>0</v>
      </c>
    </row>
    <row r="203" spans="1:4" x14ac:dyDescent="0.75">
      <c r="A203" s="111">
        <v>201</v>
      </c>
      <c r="B203" s="111">
        <f t="shared" si="6"/>
        <v>66</v>
      </c>
      <c r="C203" s="111">
        <f t="shared" si="7"/>
        <v>3</v>
      </c>
      <c r="D203" s="109" cm="1">
        <f t="array" ref="D203">INDEX('Meta-Map-1'!$I$7:$K$102,1+B203,C203)</f>
        <v>0</v>
      </c>
    </row>
    <row r="204" spans="1:4" x14ac:dyDescent="0.75">
      <c r="A204" s="111">
        <v>202</v>
      </c>
      <c r="B204" s="111">
        <f t="shared" si="6"/>
        <v>67</v>
      </c>
      <c r="C204" s="111">
        <f t="shared" si="7"/>
        <v>1</v>
      </c>
      <c r="D204" s="109" cm="1">
        <f t="array" ref="D204">INDEX('Meta-Map-1'!$I$7:$K$102,1+B204,C204)</f>
        <v>0</v>
      </c>
    </row>
    <row r="205" spans="1:4" x14ac:dyDescent="0.75">
      <c r="A205" s="111">
        <v>203</v>
      </c>
      <c r="B205" s="111">
        <f t="shared" si="6"/>
        <v>67</v>
      </c>
      <c r="C205" s="111">
        <f t="shared" si="7"/>
        <v>2</v>
      </c>
      <c r="D205" s="109" cm="1">
        <f t="array" ref="D205">INDEX('Meta-Map-1'!$I$7:$K$102,1+B205,C205)</f>
        <v>0</v>
      </c>
    </row>
    <row r="206" spans="1:4" x14ac:dyDescent="0.75">
      <c r="A206" s="111">
        <v>204</v>
      </c>
      <c r="B206" s="111">
        <f t="shared" si="6"/>
        <v>67</v>
      </c>
      <c r="C206" s="111">
        <f t="shared" si="7"/>
        <v>3</v>
      </c>
      <c r="D206" s="109" cm="1">
        <f t="array" ref="D206">INDEX('Meta-Map-1'!$I$7:$K$102,1+B206,C206)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8" t="s">
        <v>32</v>
      </c>
      <c r="E1" s="19"/>
      <c r="G1" s="42" t="s">
        <v>855</v>
      </c>
      <c r="N1" s="109" t="s">
        <v>39</v>
      </c>
    </row>
    <row r="2" spans="1:14" ht="15.5" thickBot="1" x14ac:dyDescent="0.9">
      <c r="C2" s="105" t="str">
        <f>'Meta-1'!B2</f>
        <v>http://hl7.eu/fhir/ig/pcsp</v>
      </c>
      <c r="D2" s="16" t="s">
        <v>846</v>
      </c>
      <c r="E2" s="35"/>
      <c r="G2" s="52" t="s">
        <v>856</v>
      </c>
      <c r="M2" s="44"/>
      <c r="N2" s="109" t="str">
        <f>CONCATENATE("Mapping: ",E2)</f>
        <v xml:space="preserve">Mapping: </v>
      </c>
    </row>
    <row r="3" spans="1:14" x14ac:dyDescent="0.75">
      <c r="C3" s="104" t="str">
        <f>'Meta-1'!B3</f>
        <v>Publisher</v>
      </c>
      <c r="D3" s="40"/>
      <c r="E3" s="36"/>
      <c r="M3" s="44"/>
      <c r="N3" s="109" t="str">
        <f>CONCATENATE("Id: ",E2)</f>
        <v xml:space="preserve">Id: </v>
      </c>
    </row>
    <row r="4" spans="1:14" ht="15.5" thickBot="1" x14ac:dyDescent="0.9">
      <c r="C4" s="105" t="str">
        <f>'Meta-1'!B4</f>
        <v>PanCareSurPass project</v>
      </c>
      <c r="D4" s="43"/>
      <c r="E4" s="37"/>
      <c r="M4" s="44"/>
      <c r="N4" s="109" t="str">
        <f>CONCATENATE("Title: """,D2,"""")</f>
        <v>Title: "CDA"</v>
      </c>
    </row>
    <row r="5" spans="1:14" x14ac:dyDescent="0.75">
      <c r="M5" s="44"/>
      <c r="N5" s="109" t="str">
        <f>CONCATENATE("Source: ",C2,"/",C7)</f>
        <v>Source: http://hl7.eu/fhir/ig/pcsp/DocMetadataFSE</v>
      </c>
    </row>
    <row r="6" spans="1:14" x14ac:dyDescent="0.75">
      <c r="D6" s="109" t="s">
        <v>37</v>
      </c>
      <c r="M6" s="44"/>
      <c r="N6" s="109" t="str">
        <f>CONCATENATE("Target: """,D4,"""")</f>
        <v>Target: ""</v>
      </c>
    </row>
    <row r="7" spans="1:14" ht="14.75" customHeight="1" x14ac:dyDescent="0.75">
      <c r="A7" s="111">
        <v>0</v>
      </c>
      <c r="B7" s="111">
        <f>'Meta-1'!A6</f>
        <v>0</v>
      </c>
      <c r="C7" s="111" t="str">
        <f>'Meta-1'!B6</f>
        <v>DocMetadataFSE</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'Meta-1'!A7</f>
        <v>1</v>
      </c>
      <c r="C8" s="111" t="e">
        <f>'Meta-1'!#REF!</f>
        <v>#REF!</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e">
        <f t="shared" ref="N8:N41" si="0">CONCATENATE("* ",C8," -&gt; """,D8,"""")</f>
        <v>#REF!</v>
      </c>
    </row>
    <row r="9" spans="1:14" x14ac:dyDescent="0.75">
      <c r="A9" s="111">
        <v>0</v>
      </c>
      <c r="B9" s="111">
        <f>'Meta-1'!A8</f>
        <v>2</v>
      </c>
      <c r="C9" s="111" t="str">
        <f>'Meta-1'!B7</f>
        <v>identifier</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identifier -&gt; ""</v>
      </c>
    </row>
    <row r="10" spans="1:14" ht="29.5" customHeight="1" x14ac:dyDescent="0.75">
      <c r="A10" s="111">
        <v>0</v>
      </c>
      <c r="B10" s="111">
        <f>'Meta-1'!A9</f>
        <v>3</v>
      </c>
      <c r="C10" s="111" t="str">
        <f>'Meta-1'!B8</f>
        <v>mimeType</v>
      </c>
      <c r="D10" s="113"/>
      <c r="H10" s="109" t="b">
        <f t="shared" si="1"/>
        <v>0</v>
      </c>
      <c r="I10" s="110" t="str">
        <f t="shared" si="2"/>
        <v/>
      </c>
      <c r="J10" s="110" t="str">
        <f t="shared" si="3"/>
        <v/>
      </c>
      <c r="K10" s="110" t="str">
        <f t="shared" si="4"/>
        <v/>
      </c>
      <c r="M10" s="44"/>
      <c r="N10" s="109" t="str">
        <f t="shared" si="0"/>
        <v>* mimeType -&gt; ""</v>
      </c>
    </row>
    <row r="11" spans="1:14" x14ac:dyDescent="0.75">
      <c r="A11" s="111">
        <v>0</v>
      </c>
      <c r="B11" s="111">
        <f>'Meta-1'!A10</f>
        <v>4</v>
      </c>
      <c r="C11" s="111" t="str">
        <f>'Meta-1'!B9</f>
        <v>size</v>
      </c>
      <c r="D11" s="113"/>
      <c r="H11" s="109" t="b">
        <f t="shared" si="1"/>
        <v>0</v>
      </c>
      <c r="I11" s="110" t="str">
        <f t="shared" si="2"/>
        <v/>
      </c>
      <c r="J11" s="110" t="str">
        <f t="shared" si="3"/>
        <v/>
      </c>
      <c r="K11" s="110" t="str">
        <f t="shared" si="4"/>
        <v/>
      </c>
      <c r="M11" s="44"/>
      <c r="N11" s="109" t="str">
        <f t="shared" si="0"/>
        <v>* size -&gt; ""</v>
      </c>
    </row>
    <row r="12" spans="1:14" x14ac:dyDescent="0.75">
      <c r="A12" s="111">
        <v>0</v>
      </c>
      <c r="B12" s="111">
        <f>'Meta-1'!A11</f>
        <v>5</v>
      </c>
      <c r="C12" s="111" t="str">
        <f>'Meta-1'!B10</f>
        <v>hash</v>
      </c>
      <c r="D12" s="113"/>
      <c r="H12" s="109" t="b">
        <f t="shared" si="1"/>
        <v>0</v>
      </c>
      <c r="I12" s="110" t="str">
        <f t="shared" si="2"/>
        <v/>
      </c>
      <c r="J12" s="110" t="str">
        <f t="shared" si="3"/>
        <v/>
      </c>
      <c r="K12" s="110" t="str">
        <f t="shared" si="4"/>
        <v/>
      </c>
      <c r="M12" s="44"/>
      <c r="N12" s="109" t="str">
        <f t="shared" si="0"/>
        <v>* hash -&gt; ""</v>
      </c>
    </row>
    <row r="13" spans="1:14" x14ac:dyDescent="0.75">
      <c r="A13" s="111">
        <v>0</v>
      </c>
      <c r="B13" s="111">
        <f>'Meta-1'!A12</f>
        <v>6</v>
      </c>
      <c r="C13" s="111" t="str">
        <f>'Meta-1'!B11</f>
        <v>code</v>
      </c>
      <c r="D13" s="113"/>
      <c r="H13" s="109" t="b">
        <f t="shared" si="1"/>
        <v>0</v>
      </c>
      <c r="I13" s="110" t="str">
        <f t="shared" si="2"/>
        <v/>
      </c>
      <c r="J13" s="110" t="str">
        <f t="shared" si="3"/>
        <v/>
      </c>
      <c r="K13" s="110" t="str">
        <f t="shared" si="4"/>
        <v/>
      </c>
      <c r="M13" s="44"/>
      <c r="N13" s="109" t="str">
        <f t="shared" si="0"/>
        <v>* code -&gt; ""</v>
      </c>
    </row>
    <row r="14" spans="1:14" x14ac:dyDescent="0.75">
      <c r="A14" s="111">
        <v>0</v>
      </c>
      <c r="B14" s="111">
        <f>'Meta-1'!A13</f>
        <v>7</v>
      </c>
      <c r="C14" s="111" t="str">
        <f>'Meta-1'!B14</f>
        <v>creationDate</v>
      </c>
      <c r="D14" s="111"/>
      <c r="H14" s="109" t="b">
        <f t="shared" si="1"/>
        <v>0</v>
      </c>
      <c r="I14" s="110" t="str">
        <f t="shared" si="2"/>
        <v/>
      </c>
      <c r="J14" s="110" t="str">
        <f t="shared" si="3"/>
        <v/>
      </c>
      <c r="K14" s="110" t="str">
        <f t="shared" si="4"/>
        <v/>
      </c>
      <c r="M14" s="44"/>
      <c r="N14" s="109" t="str">
        <f t="shared" si="0"/>
        <v>* creationDate -&gt; ""</v>
      </c>
    </row>
    <row r="15" spans="1:14" x14ac:dyDescent="0.75">
      <c r="A15" s="111">
        <v>0</v>
      </c>
      <c r="B15" s="111">
        <f>'Meta-1'!A14</f>
        <v>8</v>
      </c>
      <c r="C15" s="111" t="str">
        <f>'Meta-1'!B15</f>
        <v>confidentiality</v>
      </c>
      <c r="D15" s="111"/>
      <c r="H15" s="109" t="b">
        <f t="shared" si="1"/>
        <v>0</v>
      </c>
      <c r="I15" s="110" t="str">
        <f t="shared" si="2"/>
        <v/>
      </c>
      <c r="J15" s="110" t="str">
        <f t="shared" si="3"/>
        <v/>
      </c>
      <c r="K15" s="110" t="str">
        <f t="shared" si="4"/>
        <v/>
      </c>
      <c r="N15" s="109" t="str">
        <f t="shared" si="0"/>
        <v>* confidentiality -&gt; ""</v>
      </c>
    </row>
    <row r="16" spans="1:14" x14ac:dyDescent="0.75">
      <c r="A16" s="111">
        <v>0</v>
      </c>
      <c r="B16" s="111">
        <f>'Meta-1'!A15</f>
        <v>9</v>
      </c>
      <c r="C16" s="111" t="str">
        <f>'Meta-1'!B16</f>
        <v>mask</v>
      </c>
      <c r="D16" s="111"/>
      <c r="H16" s="109" t="b">
        <f t="shared" si="1"/>
        <v>0</v>
      </c>
      <c r="I16" s="110" t="str">
        <f t="shared" si="2"/>
        <v/>
      </c>
      <c r="J16" s="110" t="str">
        <f t="shared" si="3"/>
        <v/>
      </c>
      <c r="K16" s="110" t="str">
        <f t="shared" si="4"/>
        <v/>
      </c>
      <c r="N16" s="109" t="str">
        <f t="shared" si="0"/>
        <v>* mask -&gt; ""</v>
      </c>
    </row>
    <row r="17" spans="1:14" x14ac:dyDescent="0.75">
      <c r="A17" s="111">
        <v>0</v>
      </c>
      <c r="B17" s="111">
        <f>'Meta-1'!A16</f>
        <v>10</v>
      </c>
      <c r="C17" s="111" t="str">
        <f>'Meta-1'!B17</f>
        <v>replace</v>
      </c>
      <c r="D17" s="111"/>
      <c r="H17" s="109" t="b">
        <f t="shared" si="1"/>
        <v>0</v>
      </c>
      <c r="I17" s="110" t="str">
        <f t="shared" si="2"/>
        <v/>
      </c>
      <c r="J17" s="110" t="str">
        <f t="shared" si="3"/>
        <v/>
      </c>
      <c r="K17" s="110" t="str">
        <f t="shared" si="4"/>
        <v/>
      </c>
      <c r="N17" s="109" t="str">
        <f t="shared" si="0"/>
        <v>* replace -&gt; ""</v>
      </c>
    </row>
    <row r="18" spans="1:14" x14ac:dyDescent="0.75">
      <c r="A18" s="111">
        <v>0</v>
      </c>
      <c r="B18" s="111">
        <f>'Meta-1'!A17</f>
        <v>11</v>
      </c>
      <c r="C18" s="111" t="str">
        <f>'Meta-1'!B12</f>
        <v>classCode</v>
      </c>
      <c r="D18" s="111"/>
      <c r="H18" s="109" t="b">
        <f t="shared" si="1"/>
        <v>0</v>
      </c>
      <c r="I18" s="110" t="str">
        <f t="shared" si="2"/>
        <v/>
      </c>
      <c r="J18" s="110" t="str">
        <f t="shared" si="3"/>
        <v/>
      </c>
      <c r="K18" s="110" t="str">
        <f t="shared" si="4"/>
        <v/>
      </c>
      <c r="N18" s="109" t="str">
        <f t="shared" si="0"/>
        <v>* classCode -&gt; ""</v>
      </c>
    </row>
    <row r="19" spans="1:14" x14ac:dyDescent="0.75">
      <c r="A19" s="111">
        <v>0</v>
      </c>
      <c r="B19" s="111">
        <f>'Meta-1'!A18</f>
        <v>12</v>
      </c>
      <c r="C19" s="111" t="str">
        <f>'Meta-1'!B18</f>
        <v>formatCode</v>
      </c>
      <c r="D19" s="111"/>
      <c r="H19" s="109" t="b">
        <f t="shared" si="1"/>
        <v>0</v>
      </c>
      <c r="I19" s="110" t="str">
        <f t="shared" si="2"/>
        <v/>
      </c>
      <c r="J19" s="110" t="str">
        <f t="shared" si="3"/>
        <v/>
      </c>
      <c r="K19" s="110" t="str">
        <f t="shared" si="4"/>
        <v/>
      </c>
      <c r="N19" s="109" t="str">
        <f t="shared" si="0"/>
        <v>* formatCode -&gt; ""</v>
      </c>
    </row>
    <row r="20" spans="1:14" x14ac:dyDescent="0.75">
      <c r="A20" s="111">
        <v>0</v>
      </c>
      <c r="B20" s="111">
        <f>'Meta-1'!A19</f>
        <v>13</v>
      </c>
      <c r="C20" s="111" t="str">
        <f>'Meta-1'!B19</f>
        <v>repositoryId</v>
      </c>
      <c r="D20" s="111"/>
      <c r="H20" s="109" t="b">
        <f t="shared" si="1"/>
        <v>0</v>
      </c>
      <c r="I20" s="110" t="str">
        <f t="shared" si="2"/>
        <v/>
      </c>
      <c r="J20" s="110" t="str">
        <f t="shared" si="3"/>
        <v/>
      </c>
      <c r="K20" s="110" t="str">
        <f t="shared" si="4"/>
        <v/>
      </c>
      <c r="N20" s="109" t="str">
        <f t="shared" si="0"/>
        <v>* repositoryId -&gt; ""</v>
      </c>
    </row>
    <row r="21" spans="1:14" x14ac:dyDescent="0.75">
      <c r="A21" s="111">
        <v>0</v>
      </c>
      <c r="B21" s="111">
        <f>'Meta-1'!A20</f>
        <v>14</v>
      </c>
      <c r="C21" s="111" t="str">
        <f>'Meta-1'!B22</f>
        <v>patientFiscalCode</v>
      </c>
      <c r="D21" s="111"/>
      <c r="H21" s="109" t="b">
        <f t="shared" si="1"/>
        <v>0</v>
      </c>
      <c r="I21" s="110" t="str">
        <f t="shared" si="2"/>
        <v/>
      </c>
      <c r="J21" s="110" t="str">
        <f t="shared" si="3"/>
        <v/>
      </c>
      <c r="K21" s="110" t="str">
        <f t="shared" si="4"/>
        <v/>
      </c>
      <c r="N21" s="109" t="str">
        <f t="shared" si="0"/>
        <v>* patientFiscalCode -&gt; ""</v>
      </c>
    </row>
    <row r="22" spans="1:14" x14ac:dyDescent="0.75">
      <c r="A22" s="111">
        <v>0</v>
      </c>
      <c r="B22" s="111">
        <f>'Meta-1'!A21</f>
        <v>15</v>
      </c>
      <c r="C22" s="111" t="str">
        <f>'Meta-1'!B24</f>
        <v>author.fiscalCode</v>
      </c>
      <c r="D22" s="111"/>
      <c r="H22" s="109" t="b">
        <f t="shared" si="1"/>
        <v>0</v>
      </c>
      <c r="I22" s="110" t="str">
        <f t="shared" si="2"/>
        <v/>
      </c>
      <c r="J22" s="110" t="str">
        <f t="shared" si="3"/>
        <v/>
      </c>
      <c r="K22" s="110" t="str">
        <f t="shared" si="4"/>
        <v/>
      </c>
      <c r="N22" s="109" t="str">
        <f t="shared" si="0"/>
        <v>* author.fiscalCode -&gt; ""</v>
      </c>
    </row>
    <row r="23" spans="1:14" x14ac:dyDescent="0.75">
      <c r="A23" s="111">
        <v>0</v>
      </c>
      <c r="B23" s="111">
        <f>'Meta-1'!A22</f>
        <v>16</v>
      </c>
      <c r="C23" s="111" t="e">
        <f>'Meta-1'!#REF!</f>
        <v>#REF!</v>
      </c>
      <c r="D23" s="111"/>
      <c r="H23" s="109" t="b">
        <f t="shared" si="1"/>
        <v>0</v>
      </c>
      <c r="I23" s="110" t="str">
        <f t="shared" si="2"/>
        <v/>
      </c>
      <c r="J23" s="110" t="str">
        <f t="shared" si="3"/>
        <v/>
      </c>
      <c r="K23" s="110" t="str">
        <f t="shared" si="4"/>
        <v/>
      </c>
      <c r="N23" s="109" t="e">
        <f t="shared" si="0"/>
        <v>#REF!</v>
      </c>
    </row>
    <row r="24" spans="1:14" x14ac:dyDescent="0.75">
      <c r="A24" s="111">
        <v>0</v>
      </c>
      <c r="B24" s="111">
        <f>'Meta-1'!A23</f>
        <v>17</v>
      </c>
      <c r="C24" s="111" t="str">
        <f>'Meta-1'!B25</f>
        <v>author.orgCode</v>
      </c>
      <c r="D24" s="111"/>
      <c r="H24" s="109" t="b">
        <f t="shared" si="1"/>
        <v>0</v>
      </c>
      <c r="I24" s="110" t="str">
        <f t="shared" si="2"/>
        <v/>
      </c>
      <c r="J24" s="110" t="str">
        <f t="shared" si="3"/>
        <v/>
      </c>
      <c r="K24" s="110" t="str">
        <f t="shared" si="4"/>
        <v/>
      </c>
      <c r="N24" s="109" t="str">
        <f t="shared" si="0"/>
        <v>* author.orgCode -&gt; ""</v>
      </c>
    </row>
    <row r="25" spans="1:14" x14ac:dyDescent="0.75">
      <c r="A25" s="111">
        <v>0</v>
      </c>
      <c r="B25" s="111">
        <f>'Meta-1'!A24</f>
        <v>18</v>
      </c>
      <c r="C25" s="111" t="str">
        <f>'Meta-1'!B26</f>
        <v>author.role</v>
      </c>
      <c r="D25" s="111"/>
      <c r="H25" s="109" t="b">
        <f t="shared" si="1"/>
        <v>0</v>
      </c>
      <c r="I25" s="110" t="str">
        <f t="shared" si="2"/>
        <v/>
      </c>
      <c r="J25" s="110" t="str">
        <f t="shared" si="3"/>
        <v/>
      </c>
      <c r="K25" s="110" t="str">
        <f t="shared" si="4"/>
        <v/>
      </c>
      <c r="N25" s="109" t="str">
        <f t="shared" si="0"/>
        <v>* author.role -&gt; ""</v>
      </c>
    </row>
    <row r="26" spans="1:14" x14ac:dyDescent="0.75">
      <c r="A26" s="111">
        <v>0</v>
      </c>
      <c r="B26" s="111">
        <f>'Meta-1'!A25</f>
        <v>19</v>
      </c>
      <c r="C26" s="111" t="e">
        <f>'Meta-1'!#REF!</f>
        <v>#REF!</v>
      </c>
      <c r="D26" s="111"/>
      <c r="H26" s="109" t="b">
        <f t="shared" si="1"/>
        <v>0</v>
      </c>
      <c r="I26" s="110" t="str">
        <f t="shared" si="2"/>
        <v/>
      </c>
      <c r="J26" s="110" t="str">
        <f t="shared" si="3"/>
        <v/>
      </c>
      <c r="K26" s="110" t="str">
        <f t="shared" si="4"/>
        <v/>
      </c>
      <c r="N26" s="109" t="e">
        <f t="shared" si="0"/>
        <v>#REF!</v>
      </c>
    </row>
    <row r="27" spans="1:14" x14ac:dyDescent="0.75">
      <c r="A27" s="111">
        <v>0</v>
      </c>
      <c r="B27" s="111">
        <f>'Meta-1'!A28</f>
        <v>22</v>
      </c>
      <c r="C27" s="111" t="str">
        <f>'Meta-1'!B27</f>
        <v>attesterFiscalCode</v>
      </c>
      <c r="D27" s="111"/>
      <c r="H27" s="109" t="b">
        <f t="shared" si="1"/>
        <v>0</v>
      </c>
      <c r="I27" s="110" t="str">
        <f t="shared" si="2"/>
        <v/>
      </c>
      <c r="J27" s="110" t="str">
        <f t="shared" si="3"/>
        <v/>
      </c>
      <c r="K27" s="110" t="str">
        <f t="shared" si="4"/>
        <v/>
      </c>
      <c r="N27" s="109" t="str">
        <f t="shared" si="0"/>
        <v>* attesterFiscalCode -&gt; ""</v>
      </c>
    </row>
    <row r="28" spans="1:14" x14ac:dyDescent="0.75">
      <c r="A28" s="111">
        <v>0</v>
      </c>
      <c r="B28" s="111">
        <f>'Meta-1'!A31</f>
        <v>0</v>
      </c>
      <c r="C28" s="111">
        <f>'Meta-1'!B30</f>
        <v>0</v>
      </c>
      <c r="D28" s="111"/>
      <c r="H28" s="109" t="b">
        <f t="shared" si="1"/>
        <v>0</v>
      </c>
      <c r="I28" s="110" t="str">
        <f t="shared" si="2"/>
        <v/>
      </c>
      <c r="J28" s="110" t="str">
        <f t="shared" si="3"/>
        <v/>
      </c>
      <c r="K28" s="110" t="str">
        <f t="shared" si="4"/>
        <v/>
      </c>
      <c r="N28" s="109" t="str">
        <f t="shared" si="0"/>
        <v>* 0 -&gt; ""</v>
      </c>
    </row>
    <row r="29" spans="1:14" x14ac:dyDescent="0.75">
      <c r="A29" s="111">
        <v>0</v>
      </c>
      <c r="B29" s="111">
        <f>'Meta-1'!A32</f>
        <v>0</v>
      </c>
      <c r="C29" s="111">
        <f>'Meta-1'!B31</f>
        <v>0</v>
      </c>
      <c r="D29" s="111"/>
      <c r="H29" s="109" t="b">
        <f t="shared" si="1"/>
        <v>0</v>
      </c>
      <c r="I29" s="110" t="str">
        <f t="shared" si="2"/>
        <v/>
      </c>
      <c r="J29" s="110" t="str">
        <f t="shared" si="3"/>
        <v/>
      </c>
      <c r="K29" s="110" t="str">
        <f t="shared" si="4"/>
        <v/>
      </c>
      <c r="N29" s="109" t="str">
        <f t="shared" si="0"/>
        <v>* 0 -&gt; ""</v>
      </c>
    </row>
    <row r="30" spans="1:14" x14ac:dyDescent="0.75">
      <c r="A30" s="111">
        <v>0</v>
      </c>
      <c r="B30" s="111">
        <f>'Meta-1'!A33</f>
        <v>0</v>
      </c>
      <c r="C30" s="111">
        <f>'Meta-1'!B32</f>
        <v>0</v>
      </c>
      <c r="D30" s="24"/>
      <c r="H30" s="109" t="b">
        <f t="shared" si="1"/>
        <v>0</v>
      </c>
      <c r="I30" s="110" t="str">
        <f t="shared" si="2"/>
        <v/>
      </c>
      <c r="J30" s="110" t="str">
        <f t="shared" si="3"/>
        <v/>
      </c>
      <c r="K30" s="110" t="str">
        <f t="shared" si="4"/>
        <v/>
      </c>
      <c r="N30" s="109" t="str">
        <f t="shared" si="0"/>
        <v>* 0 -&gt; ""</v>
      </c>
    </row>
    <row r="31" spans="1:14" x14ac:dyDescent="0.75">
      <c r="A31" s="111">
        <v>0</v>
      </c>
      <c r="B31" s="111">
        <f>'Meta-1'!A34</f>
        <v>0</v>
      </c>
      <c r="C31" s="111">
        <f>'Meta-1'!B33</f>
        <v>0</v>
      </c>
      <c r="D31" s="111"/>
      <c r="H31" s="109" t="b">
        <f t="shared" si="1"/>
        <v>0</v>
      </c>
      <c r="I31" s="110" t="str">
        <f t="shared" si="2"/>
        <v/>
      </c>
      <c r="J31" s="110" t="str">
        <f t="shared" si="3"/>
        <v/>
      </c>
      <c r="K31" s="110" t="str">
        <f t="shared" si="4"/>
        <v/>
      </c>
      <c r="N31" s="109" t="str">
        <f t="shared" si="0"/>
        <v>* 0 -&gt; ""</v>
      </c>
    </row>
    <row r="32" spans="1:14" x14ac:dyDescent="0.75">
      <c r="A32" s="111">
        <v>0</v>
      </c>
      <c r="B32" s="111">
        <f>'Meta-1'!A35</f>
        <v>0</v>
      </c>
      <c r="C32" s="111">
        <f>'Meta-1'!B34</f>
        <v>0</v>
      </c>
      <c r="D32" s="111"/>
      <c r="H32" s="109" t="b">
        <f t="shared" si="1"/>
        <v>0</v>
      </c>
      <c r="I32" s="110" t="str">
        <f t="shared" si="2"/>
        <v/>
      </c>
      <c r="J32" s="110" t="str">
        <f t="shared" si="3"/>
        <v/>
      </c>
      <c r="K32" s="110" t="str">
        <f t="shared" si="4"/>
        <v/>
      </c>
      <c r="N32" s="109" t="str">
        <f t="shared" si="0"/>
        <v>* 0 -&gt; ""</v>
      </c>
    </row>
    <row r="33" spans="1:14" x14ac:dyDescent="0.75">
      <c r="A33" s="111">
        <v>0</v>
      </c>
      <c r="B33" s="111">
        <f>'Meta-1'!A36</f>
        <v>0</v>
      </c>
      <c r="C33" s="111">
        <f>'Meta-1'!B35</f>
        <v>0</v>
      </c>
      <c r="D33" s="111"/>
      <c r="H33" s="109" t="b">
        <f t="shared" si="1"/>
        <v>0</v>
      </c>
      <c r="I33" s="110" t="str">
        <f t="shared" si="2"/>
        <v/>
      </c>
      <c r="J33" s="110" t="str">
        <f t="shared" si="3"/>
        <v/>
      </c>
      <c r="K33" s="110" t="str">
        <f t="shared" si="4"/>
        <v/>
      </c>
      <c r="N33" s="109" t="str">
        <f t="shared" si="0"/>
        <v>* 0 -&gt; ""</v>
      </c>
    </row>
    <row r="34" spans="1:14" x14ac:dyDescent="0.75">
      <c r="A34" s="111">
        <v>0</v>
      </c>
      <c r="B34" s="111">
        <f>'Meta-1'!A37</f>
        <v>0</v>
      </c>
      <c r="C34" s="111">
        <f>'Meta-1'!B37</f>
        <v>0</v>
      </c>
      <c r="D34" s="111"/>
      <c r="H34" s="109" t="b">
        <f t="shared" si="1"/>
        <v>0</v>
      </c>
      <c r="I34" s="110" t="str">
        <f t="shared" si="2"/>
        <v/>
      </c>
      <c r="J34" s="110" t="str">
        <f t="shared" si="3"/>
        <v/>
      </c>
      <c r="K34" s="110" t="str">
        <f t="shared" si="4"/>
        <v/>
      </c>
      <c r="N34" s="109" t="str">
        <f t="shared" si="0"/>
        <v>* 0 -&gt; ""</v>
      </c>
    </row>
    <row r="35" spans="1:14" x14ac:dyDescent="0.75">
      <c r="A35" s="111">
        <v>0</v>
      </c>
      <c r="B35" s="111">
        <f>'Meta-1'!A38</f>
        <v>0</v>
      </c>
      <c r="C35" s="111" t="e">
        <f>'Meta-1'!#REF!</f>
        <v>#REF!</v>
      </c>
      <c r="D35" s="24"/>
      <c r="H35" s="109" t="b">
        <f t="shared" si="1"/>
        <v>0</v>
      </c>
      <c r="I35" s="110" t="str">
        <f t="shared" si="2"/>
        <v/>
      </c>
      <c r="J35" s="110" t="str">
        <f t="shared" si="3"/>
        <v/>
      </c>
      <c r="K35" s="110" t="str">
        <f t="shared" si="4"/>
        <v/>
      </c>
      <c r="N35" s="109" t="e">
        <f t="shared" si="0"/>
        <v>#REF!</v>
      </c>
    </row>
    <row r="36" spans="1:14" x14ac:dyDescent="0.75">
      <c r="A36" s="111">
        <v>0</v>
      </c>
      <c r="B36" s="111">
        <f>'Meta-1'!A39</f>
        <v>0</v>
      </c>
      <c r="C36" s="111" t="e">
        <f>'Meta-1'!#REF!</f>
        <v>#REF!</v>
      </c>
      <c r="D36" s="111"/>
      <c r="H36" s="109" t="b">
        <f t="shared" si="1"/>
        <v>0</v>
      </c>
      <c r="I36" s="110" t="str">
        <f t="shared" si="2"/>
        <v/>
      </c>
      <c r="J36" s="110" t="str">
        <f t="shared" si="3"/>
        <v/>
      </c>
      <c r="K36" s="110" t="str">
        <f t="shared" si="4"/>
        <v/>
      </c>
      <c r="N36" s="109" t="e">
        <f t="shared" si="0"/>
        <v>#REF!</v>
      </c>
    </row>
    <row r="37" spans="1:14" x14ac:dyDescent="0.75">
      <c r="A37" s="111">
        <v>0</v>
      </c>
      <c r="B37" s="111">
        <f>'Meta-1'!A40</f>
        <v>0</v>
      </c>
      <c r="C37" s="111" t="e">
        <f>'Meta-1'!#REF!</f>
        <v>#REF!</v>
      </c>
      <c r="D37" s="111"/>
      <c r="H37" s="109" t="b">
        <f t="shared" si="1"/>
        <v>0</v>
      </c>
      <c r="I37" s="110" t="str">
        <f t="shared" si="2"/>
        <v/>
      </c>
      <c r="J37" s="110" t="str">
        <f t="shared" si="3"/>
        <v/>
      </c>
      <c r="K37" s="110" t="str">
        <f t="shared" si="4"/>
        <v/>
      </c>
      <c r="N37" s="109" t="e">
        <f t="shared" si="0"/>
        <v>#REF!</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INDEX('Meta-Map2-1'!$I$7:$K$100,1+B3,C3)</f>
        <v/>
      </c>
      <c r="E3" s="109" t="str">
        <f>INDEX('Meta-Map2-1'!$I$8:$K$17,1,1)</f>
        <v/>
      </c>
    </row>
    <row r="4" spans="1:5" x14ac:dyDescent="0.75">
      <c r="A4" s="111">
        <v>2</v>
      </c>
      <c r="B4" s="111">
        <f t="shared" ref="B4:B67" si="0">IF(MOD(A4,3)=0,A4/3-1,INT(A4/3))</f>
        <v>0</v>
      </c>
      <c r="C4" s="111">
        <f t="shared" ref="C4:C67" si="1">IF(MOD(A4,3)=0,3,MOD(A4,3))</f>
        <v>2</v>
      </c>
      <c r="D4" s="109" t="str" cm="1">
        <f t="array" ref="D4">INDEX('Meta-Map2-1'!$I$7:$K$100,1+B4,C4)</f>
        <v/>
      </c>
    </row>
    <row r="5" spans="1:5" x14ac:dyDescent="0.75">
      <c r="A5" s="111">
        <v>3</v>
      </c>
      <c r="B5" s="111">
        <f t="shared" si="0"/>
        <v>0</v>
      </c>
      <c r="C5" s="111">
        <f t="shared" si="1"/>
        <v>3</v>
      </c>
      <c r="D5" s="109" t="str" cm="1">
        <f t="array" ref="D5">INDEX('Meta-Map2-1'!$I$7:$K$100,1+B5,C5)</f>
        <v/>
      </c>
    </row>
    <row r="6" spans="1:5" x14ac:dyDescent="0.75">
      <c r="A6" s="111">
        <v>4</v>
      </c>
      <c r="B6" s="111">
        <f t="shared" si="0"/>
        <v>1</v>
      </c>
      <c r="C6" s="111">
        <f t="shared" si="1"/>
        <v>1</v>
      </c>
      <c r="D6" s="109" t="str" cm="1">
        <f t="array" ref="D6">INDEX('Meta-Map2-1'!$I$7:$K$100,1+B6,C6)</f>
        <v/>
      </c>
    </row>
    <row r="7" spans="1:5" x14ac:dyDescent="0.75">
      <c r="A7" s="111">
        <v>5</v>
      </c>
      <c r="B7" s="111">
        <f t="shared" si="0"/>
        <v>1</v>
      </c>
      <c r="C7" s="111">
        <f t="shared" si="1"/>
        <v>2</v>
      </c>
      <c r="D7" s="109" t="str" cm="1">
        <f t="array" ref="D7">INDEX('Meta-Map2-1'!$I$7:$K$100,1+B7,C7)</f>
        <v/>
      </c>
    </row>
    <row r="8" spans="1:5" x14ac:dyDescent="0.75">
      <c r="A8" s="111">
        <v>6</v>
      </c>
      <c r="B8" s="111">
        <f t="shared" si="0"/>
        <v>1</v>
      </c>
      <c r="C8" s="111">
        <f t="shared" si="1"/>
        <v>3</v>
      </c>
      <c r="D8" s="109" t="str" cm="1">
        <f t="array" ref="D8">INDEX('Meta-Map2-1'!$I$7:$K$100,1+B8,C8)</f>
        <v/>
      </c>
    </row>
    <row r="9" spans="1:5" x14ac:dyDescent="0.75">
      <c r="A9" s="111">
        <v>7</v>
      </c>
      <c r="B9" s="111">
        <f t="shared" si="0"/>
        <v>2</v>
      </c>
      <c r="C9" s="111">
        <f t="shared" si="1"/>
        <v>1</v>
      </c>
      <c r="D9" s="109" t="str" cm="1">
        <f t="array" ref="D9">INDEX('Meta-Map2-1'!$I$7:$K$100,1+B9,C9)</f>
        <v/>
      </c>
    </row>
    <row r="10" spans="1:5" x14ac:dyDescent="0.75">
      <c r="A10" s="111">
        <v>8</v>
      </c>
      <c r="B10" s="111">
        <f t="shared" si="0"/>
        <v>2</v>
      </c>
      <c r="C10" s="111">
        <f t="shared" si="1"/>
        <v>2</v>
      </c>
      <c r="D10" s="109" t="str" cm="1">
        <f t="array" ref="D10">INDEX('Meta-Map2-1'!$I$7:$K$100,1+B10,C10)</f>
        <v/>
      </c>
    </row>
    <row r="11" spans="1:5" x14ac:dyDescent="0.75">
      <c r="A11" s="111">
        <v>9</v>
      </c>
      <c r="B11" s="111">
        <f t="shared" si="0"/>
        <v>2</v>
      </c>
      <c r="C11" s="111">
        <f t="shared" si="1"/>
        <v>3</v>
      </c>
      <c r="D11" s="109" t="str" cm="1">
        <f t="array" ref="D11">INDEX('Meta-Map2-1'!$I$7:$K$100,1+B11,C11)</f>
        <v/>
      </c>
    </row>
    <row r="12" spans="1:5" x14ac:dyDescent="0.75">
      <c r="A12" s="111">
        <v>10</v>
      </c>
      <c r="B12" s="111">
        <f t="shared" si="0"/>
        <v>3</v>
      </c>
      <c r="C12" s="111">
        <f t="shared" si="1"/>
        <v>1</v>
      </c>
      <c r="D12" s="109" t="str" cm="1">
        <f t="array" ref="D12">INDEX('Meta-Map2-1'!$I$7:$K$100,1+B12,C12)</f>
        <v/>
      </c>
    </row>
    <row r="13" spans="1:5" x14ac:dyDescent="0.75">
      <c r="A13" s="111">
        <v>11</v>
      </c>
      <c r="B13" s="111">
        <f t="shared" si="0"/>
        <v>3</v>
      </c>
      <c r="C13" s="111">
        <f t="shared" si="1"/>
        <v>2</v>
      </c>
      <c r="D13" s="109" t="str" cm="1">
        <f t="array" ref="D13">INDEX('Meta-Map2-1'!$I$7:$K$100,1+B13,C13)</f>
        <v/>
      </c>
    </row>
    <row r="14" spans="1:5" x14ac:dyDescent="0.75">
      <c r="A14" s="111">
        <v>12</v>
      </c>
      <c r="B14" s="111">
        <f t="shared" si="0"/>
        <v>3</v>
      </c>
      <c r="C14" s="111">
        <f t="shared" si="1"/>
        <v>3</v>
      </c>
      <c r="D14" s="109" t="str" cm="1">
        <f t="array" ref="D14">INDEX('Meta-Map2-1'!$I$7:$K$100,1+B14,C14)</f>
        <v/>
      </c>
    </row>
    <row r="15" spans="1:5" x14ac:dyDescent="0.75">
      <c r="A15" s="111">
        <v>13</v>
      </c>
      <c r="B15" s="111">
        <f t="shared" si="0"/>
        <v>4</v>
      </c>
      <c r="C15" s="111">
        <f t="shared" si="1"/>
        <v>1</v>
      </c>
      <c r="D15" s="109" t="str" cm="1">
        <f t="array" ref="D15">INDEX('Meta-Map2-1'!$I$7:$K$100,1+B15,C15)</f>
        <v/>
      </c>
    </row>
    <row r="16" spans="1:5" x14ac:dyDescent="0.75">
      <c r="A16" s="111">
        <v>14</v>
      </c>
      <c r="B16" s="111">
        <f t="shared" si="0"/>
        <v>4</v>
      </c>
      <c r="C16" s="111">
        <f t="shared" si="1"/>
        <v>2</v>
      </c>
      <c r="D16" s="109" t="str" cm="1">
        <f t="array" ref="D16">INDEX('Meta-Map2-1'!$I$7:$K$100,1+B16,C16)</f>
        <v/>
      </c>
    </row>
    <row r="17" spans="1:4" x14ac:dyDescent="0.75">
      <c r="A17" s="111">
        <v>15</v>
      </c>
      <c r="B17" s="111">
        <f t="shared" si="0"/>
        <v>4</v>
      </c>
      <c r="C17" s="111">
        <f t="shared" si="1"/>
        <v>3</v>
      </c>
      <c r="D17" s="109" t="str" cm="1">
        <f t="array" ref="D17">INDEX('Meta-Map2-1'!$I$7:$K$100,1+B17,C17)</f>
        <v/>
      </c>
    </row>
    <row r="18" spans="1:4" x14ac:dyDescent="0.75">
      <c r="A18" s="111">
        <v>16</v>
      </c>
      <c r="B18" s="111">
        <f t="shared" si="0"/>
        <v>5</v>
      </c>
      <c r="C18" s="111">
        <f t="shared" si="1"/>
        <v>1</v>
      </c>
      <c r="D18" s="109" t="str" cm="1">
        <f t="array" ref="D18">INDEX('Meta-Map2-1'!$I$7:$K$100,1+B18,C18)</f>
        <v/>
      </c>
    </row>
    <row r="19" spans="1:4" x14ac:dyDescent="0.75">
      <c r="A19" s="111">
        <v>17</v>
      </c>
      <c r="B19" s="111">
        <f t="shared" si="0"/>
        <v>5</v>
      </c>
      <c r="C19" s="111">
        <f t="shared" si="1"/>
        <v>2</v>
      </c>
      <c r="D19" s="109" t="str" cm="1">
        <f t="array" ref="D19">INDEX('Meta-Map2-1'!$I$7:$K$100,1+B19,C19)</f>
        <v/>
      </c>
    </row>
    <row r="20" spans="1:4" x14ac:dyDescent="0.75">
      <c r="A20" s="111">
        <v>18</v>
      </c>
      <c r="B20" s="111">
        <f t="shared" si="0"/>
        <v>5</v>
      </c>
      <c r="C20" s="111">
        <f t="shared" si="1"/>
        <v>3</v>
      </c>
      <c r="D20" s="109" t="str" cm="1">
        <f t="array" ref="D20">INDEX('Meta-Map2-1'!$I$7:$K$100,1+B20,C20)</f>
        <v/>
      </c>
    </row>
    <row r="21" spans="1:4" x14ac:dyDescent="0.75">
      <c r="A21" s="111">
        <v>19</v>
      </c>
      <c r="B21" s="111">
        <f t="shared" si="0"/>
        <v>6</v>
      </c>
      <c r="C21" s="111">
        <f t="shared" si="1"/>
        <v>1</v>
      </c>
      <c r="D21" s="109" t="str" cm="1">
        <f t="array" ref="D21">INDEX('Meta-Map2-1'!$I$7:$K$100,1+B21,C21)</f>
        <v/>
      </c>
    </row>
    <row r="22" spans="1:4" x14ac:dyDescent="0.75">
      <c r="A22" s="111">
        <v>20</v>
      </c>
      <c r="B22" s="111">
        <f t="shared" si="0"/>
        <v>6</v>
      </c>
      <c r="C22" s="111">
        <f t="shared" si="1"/>
        <v>2</v>
      </c>
      <c r="D22" s="109" t="str" cm="1">
        <f t="array" ref="D22">INDEX('Meta-Map2-1'!$I$7:$K$100,1+B22,C22)</f>
        <v/>
      </c>
    </row>
    <row r="23" spans="1:4" x14ac:dyDescent="0.75">
      <c r="A23" s="111">
        <v>21</v>
      </c>
      <c r="B23" s="111">
        <f t="shared" si="0"/>
        <v>6</v>
      </c>
      <c r="C23" s="111">
        <f t="shared" si="1"/>
        <v>3</v>
      </c>
      <c r="D23" s="109" t="str" cm="1">
        <f t="array" ref="D23">INDEX('Meta-Map2-1'!$I$7:$K$100,1+B23,C23)</f>
        <v/>
      </c>
    </row>
    <row r="24" spans="1:4" x14ac:dyDescent="0.75">
      <c r="A24" s="111">
        <v>22</v>
      </c>
      <c r="B24" s="111">
        <f t="shared" si="0"/>
        <v>7</v>
      </c>
      <c r="C24" s="111">
        <f t="shared" si="1"/>
        <v>1</v>
      </c>
      <c r="D24" s="109" t="str" cm="1">
        <f t="array" ref="D24">INDEX('Meta-Map2-1'!$I$7:$K$100,1+B24,C24)</f>
        <v/>
      </c>
    </row>
    <row r="25" spans="1:4" x14ac:dyDescent="0.75">
      <c r="A25" s="111">
        <v>23</v>
      </c>
      <c r="B25" s="111">
        <f t="shared" si="0"/>
        <v>7</v>
      </c>
      <c r="C25" s="111">
        <f t="shared" si="1"/>
        <v>2</v>
      </c>
      <c r="D25" s="109" t="str" cm="1">
        <f t="array" ref="D25">INDEX('Meta-Map2-1'!$I$7:$K$100,1+B25,C25)</f>
        <v/>
      </c>
    </row>
    <row r="26" spans="1:4" x14ac:dyDescent="0.75">
      <c r="A26" s="111">
        <v>24</v>
      </c>
      <c r="B26" s="111">
        <f t="shared" si="0"/>
        <v>7</v>
      </c>
      <c r="C26" s="111">
        <f t="shared" si="1"/>
        <v>3</v>
      </c>
      <c r="D26" s="109" t="str" cm="1">
        <f t="array" ref="D26">INDEX('Meta-Map2-1'!$I$7:$K$100,1+B26,C26)</f>
        <v/>
      </c>
    </row>
    <row r="27" spans="1:4" x14ac:dyDescent="0.75">
      <c r="A27" s="111">
        <v>25</v>
      </c>
      <c r="B27" s="111">
        <f t="shared" si="0"/>
        <v>8</v>
      </c>
      <c r="C27" s="111">
        <f t="shared" si="1"/>
        <v>1</v>
      </c>
      <c r="D27" s="109" t="str" cm="1">
        <f t="array" ref="D27">INDEX('Meta-Map2-1'!$I$7:$K$100,1+B27,C27)</f>
        <v/>
      </c>
    </row>
    <row r="28" spans="1:4" x14ac:dyDescent="0.75">
      <c r="A28" s="111">
        <v>26</v>
      </c>
      <c r="B28" s="111">
        <f t="shared" si="0"/>
        <v>8</v>
      </c>
      <c r="C28" s="111">
        <f t="shared" si="1"/>
        <v>2</v>
      </c>
      <c r="D28" s="109" t="str" cm="1">
        <f t="array" ref="D28">INDEX('Meta-Map2-1'!$I$7:$K$100,1+B28,C28)</f>
        <v/>
      </c>
    </row>
    <row r="29" spans="1:4" x14ac:dyDescent="0.75">
      <c r="A29" s="111">
        <v>27</v>
      </c>
      <c r="B29" s="111">
        <f t="shared" si="0"/>
        <v>8</v>
      </c>
      <c r="C29" s="111">
        <f t="shared" si="1"/>
        <v>3</v>
      </c>
      <c r="D29" s="109" t="str" cm="1">
        <f t="array" ref="D29">INDEX('Meta-Map2-1'!$I$7:$K$100,1+B29,C29)</f>
        <v/>
      </c>
    </row>
    <row r="30" spans="1:4" x14ac:dyDescent="0.75">
      <c r="A30" s="111">
        <v>28</v>
      </c>
      <c r="B30" s="111">
        <f t="shared" si="0"/>
        <v>9</v>
      </c>
      <c r="C30" s="111">
        <f t="shared" si="1"/>
        <v>1</v>
      </c>
      <c r="D30" s="109" t="str" cm="1">
        <f t="array" ref="D30">INDEX('Meta-Map2-1'!$I$7:$K$100,1+B30,C30)</f>
        <v/>
      </c>
    </row>
    <row r="31" spans="1:4" x14ac:dyDescent="0.75">
      <c r="A31" s="111">
        <v>29</v>
      </c>
      <c r="B31" s="111">
        <f t="shared" si="0"/>
        <v>9</v>
      </c>
      <c r="C31" s="111">
        <f t="shared" si="1"/>
        <v>2</v>
      </c>
      <c r="D31" s="109" t="str" cm="1">
        <f t="array" ref="D31">INDEX('Meta-Map2-1'!$I$7:$K$100,1+B31,C31)</f>
        <v/>
      </c>
    </row>
    <row r="32" spans="1:4" x14ac:dyDescent="0.75">
      <c r="A32" s="111">
        <v>30</v>
      </c>
      <c r="B32" s="111">
        <f t="shared" si="0"/>
        <v>9</v>
      </c>
      <c r="C32" s="111">
        <f t="shared" si="1"/>
        <v>3</v>
      </c>
      <c r="D32" s="109" t="str" cm="1">
        <f t="array" ref="D32">INDEX('Meta-Map2-1'!$I$7:$K$100,1+B32,C32)</f>
        <v/>
      </c>
    </row>
    <row r="33" spans="1:4" x14ac:dyDescent="0.75">
      <c r="A33" s="111">
        <v>31</v>
      </c>
      <c r="B33" s="111">
        <f t="shared" si="0"/>
        <v>10</v>
      </c>
      <c r="C33" s="111">
        <f t="shared" si="1"/>
        <v>1</v>
      </c>
      <c r="D33" s="109" t="str" cm="1">
        <f t="array" ref="D33">INDEX('Meta-Map2-1'!$I$7:$K$100,1+B33,C33)</f>
        <v/>
      </c>
    </row>
    <row r="34" spans="1:4" x14ac:dyDescent="0.75">
      <c r="A34" s="111">
        <v>32</v>
      </c>
      <c r="B34" s="111">
        <f t="shared" si="0"/>
        <v>10</v>
      </c>
      <c r="C34" s="111">
        <f t="shared" si="1"/>
        <v>2</v>
      </c>
      <c r="D34" s="109" t="str" cm="1">
        <f t="array" ref="D34">INDEX('Meta-Map2-1'!$I$7:$K$100,1+B34,C34)</f>
        <v/>
      </c>
    </row>
    <row r="35" spans="1:4" x14ac:dyDescent="0.75">
      <c r="A35" s="111">
        <v>33</v>
      </c>
      <c r="B35" s="111">
        <f t="shared" si="0"/>
        <v>10</v>
      </c>
      <c r="C35" s="111">
        <f t="shared" si="1"/>
        <v>3</v>
      </c>
      <c r="D35" s="109" t="str" cm="1">
        <f t="array" ref="D35">INDEX('Meta-Map2-1'!$I$7:$K$100,1+B35,C35)</f>
        <v/>
      </c>
    </row>
    <row r="36" spans="1:4" x14ac:dyDescent="0.75">
      <c r="A36" s="111">
        <v>34</v>
      </c>
      <c r="B36" s="111">
        <f t="shared" si="0"/>
        <v>11</v>
      </c>
      <c r="C36" s="111">
        <f t="shared" si="1"/>
        <v>1</v>
      </c>
      <c r="D36" s="109" t="str" cm="1">
        <f t="array" ref="D36">INDEX('Meta-Map2-1'!$I$7:$K$100,1+B36,C36)</f>
        <v/>
      </c>
    </row>
    <row r="37" spans="1:4" x14ac:dyDescent="0.75">
      <c r="A37" s="111">
        <v>35</v>
      </c>
      <c r="B37" s="111">
        <f t="shared" si="0"/>
        <v>11</v>
      </c>
      <c r="C37" s="111">
        <f t="shared" si="1"/>
        <v>2</v>
      </c>
      <c r="D37" s="109" t="str" cm="1">
        <f t="array" ref="D37">INDEX('Meta-Map2-1'!$I$7:$K$100,1+B37,C37)</f>
        <v/>
      </c>
    </row>
    <row r="38" spans="1:4" x14ac:dyDescent="0.75">
      <c r="A38" s="111">
        <v>36</v>
      </c>
      <c r="B38" s="111">
        <f t="shared" si="0"/>
        <v>11</v>
      </c>
      <c r="C38" s="111">
        <f t="shared" si="1"/>
        <v>3</v>
      </c>
      <c r="D38" s="109" t="str" cm="1">
        <f t="array" ref="D38">INDEX('Meta-Map2-1'!$I$7:$K$100,1+B38,C38)</f>
        <v/>
      </c>
    </row>
    <row r="39" spans="1:4" x14ac:dyDescent="0.75">
      <c r="A39" s="111">
        <v>37</v>
      </c>
      <c r="B39" s="111">
        <f t="shared" si="0"/>
        <v>12</v>
      </c>
      <c r="C39" s="111">
        <f t="shared" si="1"/>
        <v>1</v>
      </c>
      <c r="D39" s="109" t="str" cm="1">
        <f t="array" ref="D39">INDEX('Meta-Map2-1'!$I$7:$K$100,1+B39,C39)</f>
        <v/>
      </c>
    </row>
    <row r="40" spans="1:4" x14ac:dyDescent="0.75">
      <c r="A40" s="111">
        <v>38</v>
      </c>
      <c r="B40" s="111">
        <f t="shared" si="0"/>
        <v>12</v>
      </c>
      <c r="C40" s="111">
        <f t="shared" si="1"/>
        <v>2</v>
      </c>
      <c r="D40" s="109" t="str" cm="1">
        <f t="array" ref="D40">INDEX('Meta-Map2-1'!$I$7:$K$100,1+B40,C40)</f>
        <v/>
      </c>
    </row>
    <row r="41" spans="1:4" x14ac:dyDescent="0.75">
      <c r="A41" s="111">
        <v>39</v>
      </c>
      <c r="B41" s="111">
        <f t="shared" si="0"/>
        <v>12</v>
      </c>
      <c r="C41" s="111">
        <f t="shared" si="1"/>
        <v>3</v>
      </c>
      <c r="D41" s="109" t="str" cm="1">
        <f t="array" ref="D41">INDEX('Meta-Map2-1'!$I$7:$K$100,1+B41,C41)</f>
        <v/>
      </c>
    </row>
    <row r="42" spans="1:4" x14ac:dyDescent="0.75">
      <c r="A42" s="111">
        <v>40</v>
      </c>
      <c r="B42" s="111">
        <f t="shared" si="0"/>
        <v>13</v>
      </c>
      <c r="C42" s="111">
        <f t="shared" si="1"/>
        <v>1</v>
      </c>
      <c r="D42" s="109" t="str" cm="1">
        <f t="array" ref="D42">INDEX('Meta-Map2-1'!$I$7:$K$100,1+B42,C42)</f>
        <v/>
      </c>
    </row>
    <row r="43" spans="1:4" x14ac:dyDescent="0.75">
      <c r="A43" s="111">
        <v>41</v>
      </c>
      <c r="B43" s="111">
        <f t="shared" si="0"/>
        <v>13</v>
      </c>
      <c r="C43" s="111">
        <f t="shared" si="1"/>
        <v>2</v>
      </c>
      <c r="D43" s="109" t="str" cm="1">
        <f t="array" ref="D43">INDEX('Meta-Map2-1'!$I$7:$K$100,1+B43,C43)</f>
        <v/>
      </c>
    </row>
    <row r="44" spans="1:4" x14ac:dyDescent="0.75">
      <c r="A44" s="111">
        <v>42</v>
      </c>
      <c r="B44" s="111">
        <f t="shared" si="0"/>
        <v>13</v>
      </c>
      <c r="C44" s="111">
        <f t="shared" si="1"/>
        <v>3</v>
      </c>
      <c r="D44" s="109" t="str" cm="1">
        <f t="array" ref="D44">INDEX('Meta-Map2-1'!$I$7:$K$100,1+B44,C44)</f>
        <v/>
      </c>
    </row>
    <row r="45" spans="1:4" x14ac:dyDescent="0.75">
      <c r="A45" s="111">
        <v>43</v>
      </c>
      <c r="B45" s="111">
        <f t="shared" si="0"/>
        <v>14</v>
      </c>
      <c r="C45" s="111">
        <f t="shared" si="1"/>
        <v>1</v>
      </c>
      <c r="D45" s="109" t="str" cm="1">
        <f t="array" ref="D45">INDEX('Meta-Map2-1'!$I$7:$K$100,1+B45,C45)</f>
        <v/>
      </c>
    </row>
    <row r="46" spans="1:4" x14ac:dyDescent="0.75">
      <c r="A46" s="111">
        <v>44</v>
      </c>
      <c r="B46" s="111">
        <f t="shared" si="0"/>
        <v>14</v>
      </c>
      <c r="C46" s="111">
        <f t="shared" si="1"/>
        <v>2</v>
      </c>
      <c r="D46" s="109" t="str" cm="1">
        <f t="array" ref="D46">INDEX('Meta-Map2-1'!$I$7:$K$100,1+B46,C46)</f>
        <v/>
      </c>
    </row>
    <row r="47" spans="1:4" x14ac:dyDescent="0.75">
      <c r="A47" s="111">
        <v>45</v>
      </c>
      <c r="B47" s="111">
        <f t="shared" si="0"/>
        <v>14</v>
      </c>
      <c r="C47" s="111">
        <f t="shared" si="1"/>
        <v>3</v>
      </c>
      <c r="D47" s="109" t="str" cm="1">
        <f t="array" ref="D47">INDEX('Meta-Map2-1'!$I$7:$K$100,1+B47,C47)</f>
        <v/>
      </c>
    </row>
    <row r="48" spans="1:4" x14ac:dyDescent="0.75">
      <c r="A48" s="111">
        <v>46</v>
      </c>
      <c r="B48" s="111">
        <f t="shared" si="0"/>
        <v>15</v>
      </c>
      <c r="C48" s="111">
        <f t="shared" si="1"/>
        <v>1</v>
      </c>
      <c r="D48" s="109" t="str" cm="1">
        <f t="array" ref="D48">INDEX('Meta-Map2-1'!$I$7:$K$100,1+B48,C48)</f>
        <v/>
      </c>
    </row>
    <row r="49" spans="1:7" x14ac:dyDescent="0.75">
      <c r="A49" s="111">
        <v>47</v>
      </c>
      <c r="B49" s="111">
        <f t="shared" si="0"/>
        <v>15</v>
      </c>
      <c r="C49" s="111">
        <f t="shared" si="1"/>
        <v>2</v>
      </c>
      <c r="D49" s="109" t="str" cm="1">
        <f t="array" ref="D49">INDEX('Meta-Map2-1'!$I$7:$K$100,1+B49,C49)</f>
        <v/>
      </c>
    </row>
    <row r="50" spans="1:7" x14ac:dyDescent="0.75">
      <c r="A50" s="111">
        <v>48</v>
      </c>
      <c r="B50" s="111">
        <f t="shared" si="0"/>
        <v>15</v>
      </c>
      <c r="C50" s="111">
        <f t="shared" si="1"/>
        <v>3</v>
      </c>
      <c r="D50" s="109" t="str" cm="1">
        <f t="array" ref="D50">INDEX('Meta-Map2-1'!$I$7:$K$100,1+B50,C50)</f>
        <v/>
      </c>
    </row>
    <row r="51" spans="1:7" x14ac:dyDescent="0.75">
      <c r="A51" s="111">
        <v>49</v>
      </c>
      <c r="B51" s="111">
        <f t="shared" si="0"/>
        <v>16</v>
      </c>
      <c r="C51" s="111">
        <f t="shared" si="1"/>
        <v>1</v>
      </c>
      <c r="D51" s="109" t="str" cm="1">
        <f t="array" ref="D51">INDEX('Meta-Map2-1'!$I$7:$K$100,1+B51,C51)</f>
        <v/>
      </c>
    </row>
    <row r="52" spans="1:7" x14ac:dyDescent="0.75">
      <c r="A52" s="111">
        <v>50</v>
      </c>
      <c r="B52" s="111">
        <f t="shared" si="0"/>
        <v>16</v>
      </c>
      <c r="C52" s="111">
        <f t="shared" si="1"/>
        <v>2</v>
      </c>
      <c r="D52" s="109" t="str" cm="1">
        <f t="array" ref="D52">INDEX('Meta-Map2-1'!$I$7:$K$100,1+B52,C52)</f>
        <v/>
      </c>
    </row>
    <row r="53" spans="1:7" x14ac:dyDescent="0.75">
      <c r="A53" s="111">
        <v>51</v>
      </c>
      <c r="B53" s="111">
        <f t="shared" si="0"/>
        <v>16</v>
      </c>
      <c r="C53" s="111">
        <f t="shared" si="1"/>
        <v>3</v>
      </c>
      <c r="D53" s="109" t="str" cm="1">
        <f t="array" ref="D53">INDEX('Meta-Map2-1'!$I$7:$K$100,1+B53,C53)</f>
        <v/>
      </c>
    </row>
    <row r="54" spans="1:7" x14ac:dyDescent="0.75">
      <c r="A54" s="111">
        <v>52</v>
      </c>
      <c r="B54" s="111">
        <f t="shared" si="0"/>
        <v>17</v>
      </c>
      <c r="C54" s="111">
        <f t="shared" si="1"/>
        <v>1</v>
      </c>
      <c r="D54" s="109" t="str" cm="1">
        <f t="array" ref="D54">INDEX('Meta-Map2-1'!$I$7:$K$100,1+B54,C54)</f>
        <v/>
      </c>
    </row>
    <row r="55" spans="1:7" x14ac:dyDescent="0.75">
      <c r="A55" s="111">
        <v>53</v>
      </c>
      <c r="B55" s="111">
        <f t="shared" si="0"/>
        <v>17</v>
      </c>
      <c r="C55" s="111">
        <f t="shared" si="1"/>
        <v>2</v>
      </c>
      <c r="D55" s="109" t="str" cm="1">
        <f t="array" ref="D55">INDEX('Meta-Map2-1'!$I$7:$K$100,1+B55,C55)</f>
        <v/>
      </c>
      <c r="G55" s="14"/>
    </row>
    <row r="56" spans="1:7" x14ac:dyDescent="0.75">
      <c r="A56" s="111">
        <v>54</v>
      </c>
      <c r="B56" s="111">
        <f t="shared" si="0"/>
        <v>17</v>
      </c>
      <c r="C56" s="111">
        <f t="shared" si="1"/>
        <v>3</v>
      </c>
      <c r="D56" s="109" t="str" cm="1">
        <f t="array" ref="D56">INDEX('Meta-Map2-1'!$I$7:$K$100,1+B56,C56)</f>
        <v/>
      </c>
    </row>
    <row r="57" spans="1:7" x14ac:dyDescent="0.75">
      <c r="A57" s="111">
        <v>55</v>
      </c>
      <c r="B57" s="111">
        <f t="shared" si="0"/>
        <v>18</v>
      </c>
      <c r="C57" s="111">
        <f t="shared" si="1"/>
        <v>1</v>
      </c>
      <c r="D57" s="109" t="str" cm="1">
        <f t="array" ref="D57">INDEX('Meta-Map2-1'!$I$7:$K$100,1+B57,C57)</f>
        <v/>
      </c>
    </row>
    <row r="58" spans="1:7" x14ac:dyDescent="0.75">
      <c r="A58" s="111">
        <v>56</v>
      </c>
      <c r="B58" s="111">
        <f t="shared" si="0"/>
        <v>18</v>
      </c>
      <c r="C58" s="111">
        <f t="shared" si="1"/>
        <v>2</v>
      </c>
      <c r="D58" s="109" t="str" cm="1">
        <f t="array" ref="D58">INDEX('Meta-Map2-1'!$I$7:$K$100,1+B58,C58)</f>
        <v/>
      </c>
    </row>
    <row r="59" spans="1:7" x14ac:dyDescent="0.75">
      <c r="A59" s="111">
        <v>57</v>
      </c>
      <c r="B59" s="111">
        <f t="shared" si="0"/>
        <v>18</v>
      </c>
      <c r="C59" s="111">
        <f t="shared" si="1"/>
        <v>3</v>
      </c>
      <c r="D59" s="109" t="str" cm="1">
        <f t="array" ref="D59">INDEX('Meta-Map2-1'!$I$7:$K$100,1+B59,C59)</f>
        <v/>
      </c>
    </row>
    <row r="60" spans="1:7" x14ac:dyDescent="0.75">
      <c r="A60" s="111">
        <v>58</v>
      </c>
      <c r="B60" s="111">
        <f t="shared" si="0"/>
        <v>19</v>
      </c>
      <c r="C60" s="111">
        <f t="shared" si="1"/>
        <v>1</v>
      </c>
      <c r="D60" s="109" t="str" cm="1">
        <f t="array" ref="D60">INDEX('Meta-Map2-1'!$I$7:$K$100,1+B60,C60)</f>
        <v/>
      </c>
    </row>
    <row r="61" spans="1:7" x14ac:dyDescent="0.75">
      <c r="A61" s="111">
        <v>59</v>
      </c>
      <c r="B61" s="111">
        <f t="shared" si="0"/>
        <v>19</v>
      </c>
      <c r="C61" s="111">
        <f t="shared" si="1"/>
        <v>2</v>
      </c>
      <c r="D61" s="109" t="str" cm="1">
        <f t="array" ref="D61">INDEX('Meta-Map2-1'!$I$7:$K$100,1+B61,C61)</f>
        <v/>
      </c>
    </row>
    <row r="62" spans="1:7" x14ac:dyDescent="0.75">
      <c r="A62" s="111">
        <v>60</v>
      </c>
      <c r="B62" s="111">
        <f t="shared" si="0"/>
        <v>19</v>
      </c>
      <c r="C62" s="111">
        <f t="shared" si="1"/>
        <v>3</v>
      </c>
      <c r="D62" s="109" t="str" cm="1">
        <f t="array" ref="D62">INDEX('Meta-Map2-1'!$I$7:$K$100,1+B62,C62)</f>
        <v/>
      </c>
    </row>
    <row r="63" spans="1:7" x14ac:dyDescent="0.75">
      <c r="A63" s="111">
        <v>61</v>
      </c>
      <c r="B63" s="111">
        <f t="shared" si="0"/>
        <v>20</v>
      </c>
      <c r="C63" s="111">
        <f t="shared" si="1"/>
        <v>1</v>
      </c>
      <c r="D63" s="109" t="str" cm="1">
        <f t="array" ref="D63">INDEX('Meta-Map2-1'!$I$7:$K$100,1+B63,C63)</f>
        <v/>
      </c>
    </row>
    <row r="64" spans="1:7" x14ac:dyDescent="0.75">
      <c r="A64" s="111">
        <v>62</v>
      </c>
      <c r="B64" s="111">
        <f t="shared" si="0"/>
        <v>20</v>
      </c>
      <c r="C64" s="111">
        <f t="shared" si="1"/>
        <v>2</v>
      </c>
      <c r="D64" s="109" t="str" cm="1">
        <f t="array" ref="D64">INDEX('Meta-Map2-1'!$I$7:$K$100,1+B64,C64)</f>
        <v/>
      </c>
    </row>
    <row r="65" spans="1:4" x14ac:dyDescent="0.75">
      <c r="A65" s="111">
        <v>63</v>
      </c>
      <c r="B65" s="111">
        <f t="shared" si="0"/>
        <v>20</v>
      </c>
      <c r="C65" s="111">
        <f t="shared" si="1"/>
        <v>3</v>
      </c>
      <c r="D65" s="109" t="str" cm="1">
        <f t="array" ref="D65">INDEX('Meta-Map2-1'!$I$7:$K$100,1+B65,C65)</f>
        <v/>
      </c>
    </row>
    <row r="66" spans="1:4" x14ac:dyDescent="0.75">
      <c r="A66" s="111">
        <v>64</v>
      </c>
      <c r="B66" s="111">
        <f t="shared" si="0"/>
        <v>21</v>
      </c>
      <c r="C66" s="111">
        <f t="shared" si="1"/>
        <v>1</v>
      </c>
      <c r="D66" s="109" t="str" cm="1">
        <f t="array" ref="D66">INDEX('Meta-Map2-1'!$I$7:$K$100,1+B66,C66)</f>
        <v/>
      </c>
    </row>
    <row r="67" spans="1:4" x14ac:dyDescent="0.75">
      <c r="A67" s="111">
        <v>65</v>
      </c>
      <c r="B67" s="111">
        <f t="shared" si="0"/>
        <v>21</v>
      </c>
      <c r="C67" s="111">
        <f t="shared" si="1"/>
        <v>2</v>
      </c>
      <c r="D67" s="109" t="str" cm="1">
        <f t="array" ref="D67">INDEX('Meta-Map2-1'!$I$7:$K$100,1+B67,C67)</f>
        <v/>
      </c>
    </row>
    <row r="68" spans="1:4" x14ac:dyDescent="0.75">
      <c r="A68" s="111">
        <v>66</v>
      </c>
      <c r="B68" s="111">
        <f t="shared" ref="B68:B131" si="2">IF(MOD(A68,3)=0,A68/3-1,INT(A68/3))</f>
        <v>21</v>
      </c>
      <c r="C68" s="111">
        <f t="shared" ref="C68:C131" si="3">IF(MOD(A68,3)=0,3,MOD(A68,3))</f>
        <v>3</v>
      </c>
      <c r="D68" s="109" t="str" cm="1">
        <f t="array" ref="D68">INDEX('Meta-Map2-1'!$I$7:$K$100,1+B68,C68)</f>
        <v/>
      </c>
    </row>
    <row r="69" spans="1:4" x14ac:dyDescent="0.75">
      <c r="A69" s="111">
        <v>67</v>
      </c>
      <c r="B69" s="111">
        <f t="shared" si="2"/>
        <v>22</v>
      </c>
      <c r="C69" s="111">
        <f t="shared" si="3"/>
        <v>1</v>
      </c>
      <c r="D69" s="109" t="str" cm="1">
        <f t="array" ref="D69">INDEX('Meta-Map2-1'!$I$7:$K$100,1+B69,C69)</f>
        <v/>
      </c>
    </row>
    <row r="70" spans="1:4" x14ac:dyDescent="0.75">
      <c r="A70" s="111">
        <v>68</v>
      </c>
      <c r="B70" s="111">
        <f t="shared" si="2"/>
        <v>22</v>
      </c>
      <c r="C70" s="111">
        <f t="shared" si="3"/>
        <v>2</v>
      </c>
      <c r="D70" s="109" t="str" cm="1">
        <f t="array" ref="D70">INDEX('Meta-Map2-1'!$I$7:$K$100,1+B70,C70)</f>
        <v/>
      </c>
    </row>
    <row r="71" spans="1:4" x14ac:dyDescent="0.75">
      <c r="A71" s="111">
        <v>69</v>
      </c>
      <c r="B71" s="111">
        <f t="shared" si="2"/>
        <v>22</v>
      </c>
      <c r="C71" s="111">
        <f t="shared" si="3"/>
        <v>3</v>
      </c>
      <c r="D71" s="109" t="str" cm="1">
        <f t="array" ref="D71">INDEX('Meta-Map2-1'!$I$7:$K$100,1+B71,C71)</f>
        <v/>
      </c>
    </row>
    <row r="72" spans="1:4" x14ac:dyDescent="0.75">
      <c r="A72" s="111">
        <v>70</v>
      </c>
      <c r="B72" s="111">
        <f t="shared" si="2"/>
        <v>23</v>
      </c>
      <c r="C72" s="111">
        <f t="shared" si="3"/>
        <v>1</v>
      </c>
      <c r="D72" s="109" t="str" cm="1">
        <f t="array" ref="D72">INDEX('Meta-Map2-1'!$I$7:$K$100,1+B72,C72)</f>
        <v/>
      </c>
    </row>
    <row r="73" spans="1:4" x14ac:dyDescent="0.75">
      <c r="A73" s="111">
        <v>71</v>
      </c>
      <c r="B73" s="111">
        <f t="shared" si="2"/>
        <v>23</v>
      </c>
      <c r="C73" s="111">
        <f t="shared" si="3"/>
        <v>2</v>
      </c>
      <c r="D73" s="109" t="str" cm="1">
        <f t="array" ref="D73">INDEX('Meta-Map2-1'!$I$7:$K$100,1+B73,C73)</f>
        <v/>
      </c>
    </row>
    <row r="74" spans="1:4" x14ac:dyDescent="0.75">
      <c r="A74" s="111">
        <v>72</v>
      </c>
      <c r="B74" s="111">
        <f t="shared" si="2"/>
        <v>23</v>
      </c>
      <c r="C74" s="111">
        <f t="shared" si="3"/>
        <v>3</v>
      </c>
      <c r="D74" s="109" t="str" cm="1">
        <f t="array" ref="D74">INDEX('Meta-Map2-1'!$I$7:$K$100,1+B74,C74)</f>
        <v/>
      </c>
    </row>
    <row r="75" spans="1:4" x14ac:dyDescent="0.75">
      <c r="A75" s="111">
        <v>73</v>
      </c>
      <c r="B75" s="111">
        <f t="shared" si="2"/>
        <v>24</v>
      </c>
      <c r="C75" s="111">
        <f t="shared" si="3"/>
        <v>1</v>
      </c>
      <c r="D75" s="109" t="str" cm="1">
        <f t="array" ref="D75">INDEX('Meta-Map2-1'!$I$7:$K$100,1+B75,C75)</f>
        <v/>
      </c>
    </row>
    <row r="76" spans="1:4" x14ac:dyDescent="0.75">
      <c r="A76" s="111">
        <v>74</v>
      </c>
      <c r="B76" s="111">
        <f t="shared" si="2"/>
        <v>24</v>
      </c>
      <c r="C76" s="111">
        <f t="shared" si="3"/>
        <v>2</v>
      </c>
      <c r="D76" s="109" t="str" cm="1">
        <f t="array" ref="D76">INDEX('Meta-Map2-1'!$I$7:$K$100,1+B76,C76)</f>
        <v/>
      </c>
    </row>
    <row r="77" spans="1:4" x14ac:dyDescent="0.75">
      <c r="A77" s="111">
        <v>75</v>
      </c>
      <c r="B77" s="111">
        <f t="shared" si="2"/>
        <v>24</v>
      </c>
      <c r="C77" s="111">
        <f t="shared" si="3"/>
        <v>3</v>
      </c>
      <c r="D77" s="109" t="str" cm="1">
        <f t="array" ref="D77">INDEX('Meta-Map2-1'!$I$7:$K$100,1+B77,C77)</f>
        <v/>
      </c>
    </row>
    <row r="78" spans="1:4" x14ac:dyDescent="0.75">
      <c r="A78" s="111">
        <v>76</v>
      </c>
      <c r="B78" s="111">
        <f t="shared" si="2"/>
        <v>25</v>
      </c>
      <c r="C78" s="111">
        <f t="shared" si="3"/>
        <v>1</v>
      </c>
      <c r="D78" s="109" t="str" cm="1">
        <f t="array" ref="D78">INDEX('Meta-Map2-1'!$I$7:$K$100,1+B78,C78)</f>
        <v/>
      </c>
    </row>
    <row r="79" spans="1:4" x14ac:dyDescent="0.75">
      <c r="A79" s="111">
        <v>77</v>
      </c>
      <c r="B79" s="111">
        <f t="shared" si="2"/>
        <v>25</v>
      </c>
      <c r="C79" s="111">
        <f t="shared" si="3"/>
        <v>2</v>
      </c>
      <c r="D79" s="109" t="str" cm="1">
        <f t="array" ref="D79">INDEX('Meta-Map2-1'!$I$7:$K$100,1+B79,C79)</f>
        <v/>
      </c>
    </row>
    <row r="80" spans="1:4" x14ac:dyDescent="0.75">
      <c r="A80" s="111">
        <v>78</v>
      </c>
      <c r="B80" s="111">
        <f t="shared" si="2"/>
        <v>25</v>
      </c>
      <c r="C80" s="111">
        <f t="shared" si="3"/>
        <v>3</v>
      </c>
      <c r="D80" s="109" t="str" cm="1">
        <f t="array" ref="D80">INDEX('Meta-Map2-1'!$I$7:$K$100,1+B80,C80)</f>
        <v/>
      </c>
    </row>
    <row r="81" spans="1:4" x14ac:dyDescent="0.75">
      <c r="A81" s="111">
        <v>79</v>
      </c>
      <c r="B81" s="111">
        <f t="shared" si="2"/>
        <v>26</v>
      </c>
      <c r="C81" s="111">
        <f t="shared" si="3"/>
        <v>1</v>
      </c>
      <c r="D81" s="109" t="str" cm="1">
        <f t="array" ref="D81">INDEX('Meta-Map2-1'!$I$7:$K$100,1+B81,C81)</f>
        <v/>
      </c>
    </row>
    <row r="82" spans="1:4" x14ac:dyDescent="0.75">
      <c r="A82" s="111">
        <v>80</v>
      </c>
      <c r="B82" s="111">
        <f t="shared" si="2"/>
        <v>26</v>
      </c>
      <c r="C82" s="111">
        <f t="shared" si="3"/>
        <v>2</v>
      </c>
      <c r="D82" s="109" t="str" cm="1">
        <f t="array" ref="D82">INDEX('Meta-Map2-1'!$I$7:$K$100,1+B82,C82)</f>
        <v/>
      </c>
    </row>
    <row r="83" spans="1:4" x14ac:dyDescent="0.75">
      <c r="A83" s="111">
        <v>81</v>
      </c>
      <c r="B83" s="111">
        <f t="shared" si="2"/>
        <v>26</v>
      </c>
      <c r="C83" s="111">
        <f t="shared" si="3"/>
        <v>3</v>
      </c>
      <c r="D83" s="109" t="str" cm="1">
        <f t="array" ref="D83">INDEX('Meta-Map2-1'!$I$7:$K$100,1+B83,C83)</f>
        <v/>
      </c>
    </row>
    <row r="84" spans="1:4" x14ac:dyDescent="0.75">
      <c r="A84" s="111">
        <v>82</v>
      </c>
      <c r="B84" s="111">
        <f t="shared" si="2"/>
        <v>27</v>
      </c>
      <c r="C84" s="111">
        <f t="shared" si="3"/>
        <v>1</v>
      </c>
      <c r="D84" s="109" t="str" cm="1">
        <f t="array" ref="D84">INDEX('Meta-Map2-1'!$I$7:$K$100,1+B84,C84)</f>
        <v/>
      </c>
    </row>
    <row r="85" spans="1:4" x14ac:dyDescent="0.75">
      <c r="A85" s="111">
        <v>83</v>
      </c>
      <c r="B85" s="111">
        <f t="shared" si="2"/>
        <v>27</v>
      </c>
      <c r="C85" s="111">
        <f t="shared" si="3"/>
        <v>2</v>
      </c>
      <c r="D85" s="109" t="str" cm="1">
        <f t="array" ref="D85">INDEX('Meta-Map2-1'!$I$7:$K$100,1+B85,C85)</f>
        <v/>
      </c>
    </row>
    <row r="86" spans="1:4" x14ac:dyDescent="0.75">
      <c r="A86" s="111">
        <v>84</v>
      </c>
      <c r="B86" s="111">
        <f t="shared" si="2"/>
        <v>27</v>
      </c>
      <c r="C86" s="111">
        <f t="shared" si="3"/>
        <v>3</v>
      </c>
      <c r="D86" s="109" t="str" cm="1">
        <f t="array" ref="D86">INDEX('Meta-Map2-1'!$I$7:$K$100,1+B86,C86)</f>
        <v/>
      </c>
    </row>
    <row r="87" spans="1:4" x14ac:dyDescent="0.75">
      <c r="A87" s="111">
        <v>85</v>
      </c>
      <c r="B87" s="111">
        <f t="shared" si="2"/>
        <v>28</v>
      </c>
      <c r="C87" s="111">
        <f t="shared" si="3"/>
        <v>1</v>
      </c>
      <c r="D87" s="109" t="str" cm="1">
        <f t="array" ref="D87">INDEX('Meta-Map2-1'!$I$7:$K$100,1+B87,C87)</f>
        <v/>
      </c>
    </row>
    <row r="88" spans="1:4" x14ac:dyDescent="0.75">
      <c r="A88" s="111">
        <v>86</v>
      </c>
      <c r="B88" s="111">
        <f t="shared" si="2"/>
        <v>28</v>
      </c>
      <c r="C88" s="111">
        <f t="shared" si="3"/>
        <v>2</v>
      </c>
      <c r="D88" s="109" t="str" cm="1">
        <f t="array" ref="D88">INDEX('Meta-Map2-1'!$I$7:$K$100,1+B88,C88)</f>
        <v/>
      </c>
    </row>
    <row r="89" spans="1:4" x14ac:dyDescent="0.75">
      <c r="A89" s="111">
        <v>87</v>
      </c>
      <c r="B89" s="111">
        <f t="shared" si="2"/>
        <v>28</v>
      </c>
      <c r="C89" s="111">
        <f t="shared" si="3"/>
        <v>3</v>
      </c>
      <c r="D89" s="109" t="str" cm="1">
        <f t="array" ref="D89">INDEX('Meta-Map2-1'!$I$7:$K$100,1+B89,C89)</f>
        <v/>
      </c>
    </row>
    <row r="90" spans="1:4" x14ac:dyDescent="0.75">
      <c r="A90" s="111">
        <v>88</v>
      </c>
      <c r="B90" s="111">
        <f t="shared" si="2"/>
        <v>29</v>
      </c>
      <c r="C90" s="111">
        <f t="shared" si="3"/>
        <v>1</v>
      </c>
      <c r="D90" s="109" t="str" cm="1">
        <f t="array" ref="D90">INDEX('Meta-Map2-1'!$I$7:$K$100,1+B90,C90)</f>
        <v/>
      </c>
    </row>
    <row r="91" spans="1:4" x14ac:dyDescent="0.75">
      <c r="A91" s="111">
        <v>89</v>
      </c>
      <c r="B91" s="111">
        <f t="shared" si="2"/>
        <v>29</v>
      </c>
      <c r="C91" s="111">
        <f t="shared" si="3"/>
        <v>2</v>
      </c>
      <c r="D91" s="109" t="str" cm="1">
        <f t="array" ref="D91">INDEX('Meta-Map2-1'!$I$7:$K$100,1+B91,C91)</f>
        <v/>
      </c>
    </row>
    <row r="92" spans="1:4" x14ac:dyDescent="0.75">
      <c r="A92" s="111">
        <v>90</v>
      </c>
      <c r="B92" s="111">
        <f t="shared" si="2"/>
        <v>29</v>
      </c>
      <c r="C92" s="111">
        <f t="shared" si="3"/>
        <v>3</v>
      </c>
      <c r="D92" s="109" t="str" cm="1">
        <f t="array" ref="D92">INDEX('Meta-Map2-1'!$I$7:$K$100,1+B92,C92)</f>
        <v/>
      </c>
    </row>
    <row r="93" spans="1:4" x14ac:dyDescent="0.75">
      <c r="A93" s="111">
        <v>91</v>
      </c>
      <c r="B93" s="111">
        <f t="shared" si="2"/>
        <v>30</v>
      </c>
      <c r="C93" s="111">
        <f t="shared" si="3"/>
        <v>1</v>
      </c>
      <c r="D93" s="109" t="str" cm="1">
        <f t="array" ref="D93">INDEX('Meta-Map2-1'!$I$7:$K$100,1+B93,C93)</f>
        <v/>
      </c>
    </row>
    <row r="94" spans="1:4" x14ac:dyDescent="0.75">
      <c r="A94" s="111">
        <v>92</v>
      </c>
      <c r="B94" s="111">
        <f t="shared" si="2"/>
        <v>30</v>
      </c>
      <c r="C94" s="111">
        <f t="shared" si="3"/>
        <v>2</v>
      </c>
      <c r="D94" s="109" t="str" cm="1">
        <f t="array" ref="D94">INDEX('Meta-Map2-1'!$I$7:$K$100,1+B94,C94)</f>
        <v/>
      </c>
    </row>
    <row r="95" spans="1:4" x14ac:dyDescent="0.75">
      <c r="A95" s="111">
        <v>93</v>
      </c>
      <c r="B95" s="111">
        <f t="shared" si="2"/>
        <v>30</v>
      </c>
      <c r="C95" s="111">
        <f t="shared" si="3"/>
        <v>3</v>
      </c>
      <c r="D95" s="109" t="str" cm="1">
        <f t="array" ref="D95">INDEX('Meta-Map2-1'!$I$7:$K$100,1+B95,C95)</f>
        <v/>
      </c>
    </row>
    <row r="96" spans="1:4" x14ac:dyDescent="0.75">
      <c r="A96" s="111">
        <v>94</v>
      </c>
      <c r="B96" s="111">
        <f t="shared" si="2"/>
        <v>31</v>
      </c>
      <c r="C96" s="111">
        <f t="shared" si="3"/>
        <v>1</v>
      </c>
      <c r="D96" s="109" t="str" cm="1">
        <f t="array" ref="D96">INDEX('Meta-Map2-1'!$I$7:$K$100,1+B96,C96)</f>
        <v/>
      </c>
    </row>
    <row r="97" spans="1:4" x14ac:dyDescent="0.75">
      <c r="A97" s="111">
        <v>95</v>
      </c>
      <c r="B97" s="111">
        <f t="shared" si="2"/>
        <v>31</v>
      </c>
      <c r="C97" s="111">
        <f t="shared" si="3"/>
        <v>2</v>
      </c>
      <c r="D97" s="109" t="str" cm="1">
        <f t="array" ref="D97">INDEX('Meta-Map2-1'!$I$7:$K$100,1+B97,C97)</f>
        <v/>
      </c>
    </row>
    <row r="98" spans="1:4" x14ac:dyDescent="0.75">
      <c r="A98" s="111">
        <v>96</v>
      </c>
      <c r="B98" s="111">
        <f t="shared" si="2"/>
        <v>31</v>
      </c>
      <c r="C98" s="111">
        <f t="shared" si="3"/>
        <v>3</v>
      </c>
      <c r="D98" s="109" t="str" cm="1">
        <f t="array" ref="D98">INDEX('Meta-Map2-1'!$I$7:$K$100,1+B98,C98)</f>
        <v/>
      </c>
    </row>
    <row r="99" spans="1:4" x14ac:dyDescent="0.75">
      <c r="A99" s="111">
        <v>97</v>
      </c>
      <c r="B99" s="111">
        <f t="shared" si="2"/>
        <v>32</v>
      </c>
      <c r="C99" s="111">
        <f t="shared" si="3"/>
        <v>1</v>
      </c>
      <c r="D99" s="109" t="str" cm="1">
        <f t="array" ref="D99">INDEX('Meta-Map2-1'!$I$7:$K$100,1+B99,C99)</f>
        <v/>
      </c>
    </row>
    <row r="100" spans="1:4" x14ac:dyDescent="0.75">
      <c r="A100" s="111">
        <v>98</v>
      </c>
      <c r="B100" s="111">
        <f t="shared" si="2"/>
        <v>32</v>
      </c>
      <c r="C100" s="111">
        <f t="shared" si="3"/>
        <v>2</v>
      </c>
      <c r="D100" s="109" t="str" cm="1">
        <f t="array" ref="D100">INDEX('Meta-Map2-1'!$I$7:$K$100,1+B100,C100)</f>
        <v/>
      </c>
    </row>
    <row r="101" spans="1:4" x14ac:dyDescent="0.75">
      <c r="A101" s="111">
        <v>99</v>
      </c>
      <c r="B101" s="111">
        <f t="shared" si="2"/>
        <v>32</v>
      </c>
      <c r="C101" s="111">
        <f t="shared" si="3"/>
        <v>3</v>
      </c>
      <c r="D101" s="109" t="str" cm="1">
        <f t="array" ref="D101">INDEX('Meta-Map2-1'!$I$7:$K$100,1+B101,C101)</f>
        <v/>
      </c>
    </row>
    <row r="102" spans="1:4" x14ac:dyDescent="0.75">
      <c r="A102" s="111">
        <v>100</v>
      </c>
      <c r="B102" s="111">
        <f t="shared" si="2"/>
        <v>33</v>
      </c>
      <c r="C102" s="111">
        <f t="shared" si="3"/>
        <v>1</v>
      </c>
      <c r="D102" s="109" t="str" cm="1">
        <f t="array" ref="D102">INDEX('Meta-Map2-1'!$I$7:$K$100,1+B102,C102)</f>
        <v/>
      </c>
    </row>
    <row r="103" spans="1:4" x14ac:dyDescent="0.75">
      <c r="A103" s="111">
        <v>101</v>
      </c>
      <c r="B103" s="111">
        <f t="shared" si="2"/>
        <v>33</v>
      </c>
      <c r="C103" s="111">
        <f t="shared" si="3"/>
        <v>2</v>
      </c>
      <c r="D103" s="109" t="str" cm="1">
        <f t="array" ref="D103">INDEX('Meta-Map2-1'!$I$7:$K$100,1+B103,C103)</f>
        <v/>
      </c>
    </row>
    <row r="104" spans="1:4" x14ac:dyDescent="0.75">
      <c r="A104" s="111">
        <v>102</v>
      </c>
      <c r="B104" s="111">
        <f t="shared" si="2"/>
        <v>33</v>
      </c>
      <c r="C104" s="111">
        <f t="shared" si="3"/>
        <v>3</v>
      </c>
      <c r="D104" s="109" t="str" cm="1">
        <f t="array" ref="D104">INDEX('Meta-Map2-1'!$I$7:$K$100,1+B104,C104)</f>
        <v/>
      </c>
    </row>
    <row r="105" spans="1:4" x14ac:dyDescent="0.75">
      <c r="A105" s="111">
        <v>103</v>
      </c>
      <c r="B105" s="111">
        <f t="shared" si="2"/>
        <v>34</v>
      </c>
      <c r="C105" s="111">
        <f t="shared" si="3"/>
        <v>1</v>
      </c>
      <c r="D105" s="109" t="str" cm="1">
        <f t="array" ref="D105">INDEX('Meta-Map2-1'!$I$7:$K$100,1+B105,C105)</f>
        <v/>
      </c>
    </row>
    <row r="106" spans="1:4" x14ac:dyDescent="0.75">
      <c r="A106" s="111">
        <v>104</v>
      </c>
      <c r="B106" s="111">
        <f t="shared" si="2"/>
        <v>34</v>
      </c>
      <c r="C106" s="111">
        <f t="shared" si="3"/>
        <v>2</v>
      </c>
      <c r="D106" s="109" t="str" cm="1">
        <f t="array" ref="D106">INDEX('Meta-Map2-1'!$I$7:$K$100,1+B106,C106)</f>
        <v/>
      </c>
    </row>
    <row r="107" spans="1:4" x14ac:dyDescent="0.75">
      <c r="A107" s="111">
        <v>105</v>
      </c>
      <c r="B107" s="111">
        <f t="shared" si="2"/>
        <v>34</v>
      </c>
      <c r="C107" s="111">
        <f t="shared" si="3"/>
        <v>3</v>
      </c>
      <c r="D107" s="109" t="str" cm="1">
        <f t="array" ref="D107">INDEX('Meta-Map2-1'!$I$7:$K$100,1+B107,C107)</f>
        <v/>
      </c>
    </row>
    <row r="108" spans="1:4" x14ac:dyDescent="0.75">
      <c r="A108" s="111">
        <v>106</v>
      </c>
      <c r="B108" s="111">
        <f t="shared" si="2"/>
        <v>35</v>
      </c>
      <c r="C108" s="111">
        <f t="shared" si="3"/>
        <v>1</v>
      </c>
      <c r="D108" s="109" t="str" cm="1">
        <f t="array" ref="D108">INDEX('Meta-Map2-1'!$I$7:$K$100,1+B108,C108)</f>
        <v/>
      </c>
    </row>
    <row r="109" spans="1:4" x14ac:dyDescent="0.75">
      <c r="A109" s="111">
        <v>107</v>
      </c>
      <c r="B109" s="111">
        <f t="shared" si="2"/>
        <v>35</v>
      </c>
      <c r="C109" s="111">
        <f t="shared" si="3"/>
        <v>2</v>
      </c>
      <c r="D109" s="109" t="str" cm="1">
        <f t="array" ref="D109">INDEX('Meta-Map2-1'!$I$7:$K$100,1+B109,C109)</f>
        <v/>
      </c>
    </row>
    <row r="110" spans="1:4" x14ac:dyDescent="0.75">
      <c r="A110" s="111">
        <v>108</v>
      </c>
      <c r="B110" s="111">
        <f t="shared" si="2"/>
        <v>35</v>
      </c>
      <c r="C110" s="111">
        <f t="shared" si="3"/>
        <v>3</v>
      </c>
      <c r="D110" s="109" t="str" cm="1">
        <f t="array" ref="D110">INDEX('Meta-Map2-1'!$I$7:$K$100,1+B110,C110)</f>
        <v/>
      </c>
    </row>
    <row r="111" spans="1:4" x14ac:dyDescent="0.75">
      <c r="A111" s="111">
        <v>109</v>
      </c>
      <c r="B111" s="111">
        <f t="shared" si="2"/>
        <v>36</v>
      </c>
      <c r="C111" s="111">
        <f t="shared" si="3"/>
        <v>1</v>
      </c>
      <c r="D111" s="109" t="str" cm="1">
        <f t="array" ref="D111">INDEX('Meta-Map2-1'!$I$7:$K$100,1+B111,C111)</f>
        <v/>
      </c>
    </row>
    <row r="112" spans="1:4" x14ac:dyDescent="0.75">
      <c r="A112" s="111">
        <v>110</v>
      </c>
      <c r="B112" s="111">
        <f t="shared" si="2"/>
        <v>36</v>
      </c>
      <c r="C112" s="111">
        <f t="shared" si="3"/>
        <v>2</v>
      </c>
      <c r="D112" s="109" t="str" cm="1">
        <f t="array" ref="D112">INDEX('Meta-Map2-1'!$I$7:$K$100,1+B112,C112)</f>
        <v/>
      </c>
    </row>
    <row r="113" spans="1:4" x14ac:dyDescent="0.75">
      <c r="A113" s="111">
        <v>111</v>
      </c>
      <c r="B113" s="111">
        <f t="shared" si="2"/>
        <v>36</v>
      </c>
      <c r="C113" s="111">
        <f t="shared" si="3"/>
        <v>3</v>
      </c>
      <c r="D113" s="109" t="str" cm="1">
        <f t="array" ref="D113">INDEX('Meta-Map2-1'!$I$7:$K$100,1+B113,C113)</f>
        <v/>
      </c>
    </row>
    <row r="114" spans="1:4" x14ac:dyDescent="0.75">
      <c r="A114" s="111">
        <v>112</v>
      </c>
      <c r="B114" s="111">
        <f t="shared" si="2"/>
        <v>37</v>
      </c>
      <c r="C114" s="111">
        <f t="shared" si="3"/>
        <v>1</v>
      </c>
      <c r="D114" s="109" t="str" cm="1">
        <f t="array" ref="D114">INDEX('Meta-Map2-1'!$I$7:$K$100,1+B114,C114)</f>
        <v/>
      </c>
    </row>
    <row r="115" spans="1:4" x14ac:dyDescent="0.75">
      <c r="A115" s="111">
        <v>113</v>
      </c>
      <c r="B115" s="111">
        <f t="shared" si="2"/>
        <v>37</v>
      </c>
      <c r="C115" s="111">
        <f t="shared" si="3"/>
        <v>2</v>
      </c>
      <c r="D115" s="109" t="str" cm="1">
        <f t="array" ref="D115">INDEX('Meta-Map2-1'!$I$7:$K$100,1+B115,C115)</f>
        <v/>
      </c>
    </row>
    <row r="116" spans="1:4" x14ac:dyDescent="0.75">
      <c r="A116" s="111">
        <v>114</v>
      </c>
      <c r="B116" s="111">
        <f t="shared" si="2"/>
        <v>37</v>
      </c>
      <c r="C116" s="111">
        <f t="shared" si="3"/>
        <v>3</v>
      </c>
      <c r="D116" s="109" t="str" cm="1">
        <f t="array" ref="D116">INDEX('Meta-Map2-1'!$I$7:$K$100,1+B116,C116)</f>
        <v/>
      </c>
    </row>
    <row r="117" spans="1:4" x14ac:dyDescent="0.75">
      <c r="A117" s="111">
        <v>115</v>
      </c>
      <c r="B117" s="111">
        <f t="shared" si="2"/>
        <v>38</v>
      </c>
      <c r="C117" s="111">
        <f t="shared" si="3"/>
        <v>1</v>
      </c>
      <c r="D117" s="109" t="str" cm="1">
        <f t="array" ref="D117">INDEX('Meta-Map2-1'!$I$7:$K$100,1+B117,C117)</f>
        <v/>
      </c>
    </row>
    <row r="118" spans="1:4" x14ac:dyDescent="0.75">
      <c r="A118" s="111">
        <v>116</v>
      </c>
      <c r="B118" s="111">
        <f t="shared" si="2"/>
        <v>38</v>
      </c>
      <c r="C118" s="111">
        <f t="shared" si="3"/>
        <v>2</v>
      </c>
      <c r="D118" s="109" t="str" cm="1">
        <f t="array" ref="D118">INDEX('Meta-Map2-1'!$I$7:$K$100,1+B118,C118)</f>
        <v/>
      </c>
    </row>
    <row r="119" spans="1:4" x14ac:dyDescent="0.75">
      <c r="A119" s="111">
        <v>117</v>
      </c>
      <c r="B119" s="111">
        <f t="shared" si="2"/>
        <v>38</v>
      </c>
      <c r="C119" s="111">
        <f t="shared" si="3"/>
        <v>3</v>
      </c>
      <c r="D119" s="109" t="str" cm="1">
        <f t="array" ref="D119">INDEX('Meta-Map2-1'!$I$7:$K$100,1+B119,C119)</f>
        <v/>
      </c>
    </row>
    <row r="120" spans="1:4" x14ac:dyDescent="0.75">
      <c r="A120" s="111">
        <v>118</v>
      </c>
      <c r="B120" s="111">
        <f t="shared" si="2"/>
        <v>39</v>
      </c>
      <c r="C120" s="111">
        <f t="shared" si="3"/>
        <v>1</v>
      </c>
      <c r="D120" s="109" t="str" cm="1">
        <f t="array" ref="D120">INDEX('Meta-Map2-1'!$I$7:$K$100,1+B120,C120)</f>
        <v/>
      </c>
    </row>
    <row r="121" spans="1:4" x14ac:dyDescent="0.75">
      <c r="A121" s="111">
        <v>119</v>
      </c>
      <c r="B121" s="111">
        <f t="shared" si="2"/>
        <v>39</v>
      </c>
      <c r="C121" s="111">
        <f t="shared" si="3"/>
        <v>2</v>
      </c>
      <c r="D121" s="109" t="str" cm="1">
        <f t="array" ref="D121">INDEX('Meta-Map2-1'!$I$7:$K$100,1+B121,C121)</f>
        <v/>
      </c>
    </row>
    <row r="122" spans="1:4" x14ac:dyDescent="0.75">
      <c r="A122" s="111">
        <v>120</v>
      </c>
      <c r="B122" s="111">
        <f t="shared" si="2"/>
        <v>39</v>
      </c>
      <c r="C122" s="111">
        <f t="shared" si="3"/>
        <v>3</v>
      </c>
      <c r="D122" s="109" t="str" cm="1">
        <f t="array" ref="D122">INDEX('Meta-Map2-1'!$I$7:$K$100,1+B122,C122)</f>
        <v/>
      </c>
    </row>
    <row r="123" spans="1:4" x14ac:dyDescent="0.75">
      <c r="A123" s="111">
        <v>121</v>
      </c>
      <c r="B123" s="111">
        <f t="shared" si="2"/>
        <v>40</v>
      </c>
      <c r="C123" s="111">
        <f t="shared" si="3"/>
        <v>1</v>
      </c>
      <c r="D123" s="109" t="str" cm="1">
        <f t="array" ref="D123">INDEX('Meta-Map2-1'!$I$7:$K$100,1+B123,C123)</f>
        <v/>
      </c>
    </row>
    <row r="124" spans="1:4" x14ac:dyDescent="0.75">
      <c r="A124" s="111">
        <v>122</v>
      </c>
      <c r="B124" s="111">
        <f t="shared" si="2"/>
        <v>40</v>
      </c>
      <c r="C124" s="111">
        <f t="shared" si="3"/>
        <v>2</v>
      </c>
      <c r="D124" s="109" t="str" cm="1">
        <f t="array" ref="D124">INDEX('Meta-Map2-1'!$I$7:$K$100,1+B124,C124)</f>
        <v/>
      </c>
    </row>
    <row r="125" spans="1:4" x14ac:dyDescent="0.75">
      <c r="A125" s="111">
        <v>123</v>
      </c>
      <c r="B125" s="111">
        <f t="shared" si="2"/>
        <v>40</v>
      </c>
      <c r="C125" s="111">
        <f t="shared" si="3"/>
        <v>3</v>
      </c>
      <c r="D125" s="109" t="str" cm="1">
        <f t="array" ref="D125">INDEX('Meta-Map2-1'!$I$7:$K$100,1+B125,C125)</f>
        <v/>
      </c>
    </row>
    <row r="126" spans="1:4" x14ac:dyDescent="0.75">
      <c r="A126" s="111">
        <v>124</v>
      </c>
      <c r="B126" s="111">
        <f t="shared" si="2"/>
        <v>41</v>
      </c>
      <c r="C126" s="111">
        <f t="shared" si="3"/>
        <v>1</v>
      </c>
      <c r="D126" s="109" t="str" cm="1">
        <f t="array" ref="D126">INDEX('Meta-Map2-1'!$I$7:$K$100,1+B126,C126)</f>
        <v/>
      </c>
    </row>
    <row r="127" spans="1:4" x14ac:dyDescent="0.75">
      <c r="A127" s="111">
        <v>125</v>
      </c>
      <c r="B127" s="111">
        <f t="shared" si="2"/>
        <v>41</v>
      </c>
      <c r="C127" s="111">
        <f t="shared" si="3"/>
        <v>2</v>
      </c>
      <c r="D127" s="109" t="str" cm="1">
        <f t="array" ref="D127">INDEX('Meta-Map2-1'!$I$7:$K$100,1+B127,C127)</f>
        <v/>
      </c>
    </row>
    <row r="128" spans="1:4" x14ac:dyDescent="0.75">
      <c r="A128" s="111">
        <v>126</v>
      </c>
      <c r="B128" s="111">
        <f t="shared" si="2"/>
        <v>41</v>
      </c>
      <c r="C128" s="111">
        <f t="shared" si="3"/>
        <v>3</v>
      </c>
      <c r="D128" s="109" t="str" cm="1">
        <f t="array" ref="D128">INDEX('Meta-Map2-1'!$I$7:$K$100,1+B128,C128)</f>
        <v/>
      </c>
    </row>
    <row r="129" spans="1:4" x14ac:dyDescent="0.75">
      <c r="A129" s="111">
        <v>127</v>
      </c>
      <c r="B129" s="111">
        <f t="shared" si="2"/>
        <v>42</v>
      </c>
      <c r="C129" s="111">
        <f t="shared" si="3"/>
        <v>1</v>
      </c>
      <c r="D129" s="109" t="str" cm="1">
        <f t="array" ref="D129">INDEX('Meta-Map2-1'!$I$7:$K$100,1+B129,C129)</f>
        <v/>
      </c>
    </row>
    <row r="130" spans="1:4" x14ac:dyDescent="0.75">
      <c r="A130" s="111">
        <v>128</v>
      </c>
      <c r="B130" s="111">
        <f t="shared" si="2"/>
        <v>42</v>
      </c>
      <c r="C130" s="111">
        <f t="shared" si="3"/>
        <v>2</v>
      </c>
      <c r="D130" s="109" t="str" cm="1">
        <f t="array" ref="D130">INDEX('Meta-Map2-1'!$I$7:$K$100,1+B130,C130)</f>
        <v/>
      </c>
    </row>
    <row r="131" spans="1:4" x14ac:dyDescent="0.75">
      <c r="A131" s="111">
        <v>129</v>
      </c>
      <c r="B131" s="111">
        <f t="shared" si="2"/>
        <v>42</v>
      </c>
      <c r="C131" s="111">
        <f t="shared" si="3"/>
        <v>3</v>
      </c>
      <c r="D131" s="109" t="str" cm="1">
        <f t="array" ref="D131">INDEX('Meta-Map2-1'!$I$7:$K$100,1+B131,C131)</f>
        <v/>
      </c>
    </row>
    <row r="132" spans="1:4" x14ac:dyDescent="0.75">
      <c r="A132" s="111">
        <v>130</v>
      </c>
      <c r="B132" s="111">
        <f t="shared" ref="B132:B195" si="4">IF(MOD(A132,3)=0,A132/3-1,INT(A132/3))</f>
        <v>43</v>
      </c>
      <c r="C132" s="111">
        <f t="shared" ref="C132:C195" si="5">IF(MOD(A132,3)=0,3,MOD(A132,3))</f>
        <v>1</v>
      </c>
      <c r="D132" s="109" t="str" cm="1">
        <f t="array" ref="D132">INDEX('Meta-Map2-1'!$I$7:$K$100,1+B132,C132)</f>
        <v/>
      </c>
    </row>
    <row r="133" spans="1:4" x14ac:dyDescent="0.75">
      <c r="A133" s="111">
        <v>131</v>
      </c>
      <c r="B133" s="111">
        <f t="shared" si="4"/>
        <v>43</v>
      </c>
      <c r="C133" s="111">
        <f t="shared" si="5"/>
        <v>2</v>
      </c>
      <c r="D133" s="109" t="str" cm="1">
        <f t="array" ref="D133">INDEX('Meta-Map2-1'!$I$7:$K$100,1+B133,C133)</f>
        <v/>
      </c>
    </row>
    <row r="134" spans="1:4" x14ac:dyDescent="0.75">
      <c r="A134" s="111">
        <v>132</v>
      </c>
      <c r="B134" s="111">
        <f t="shared" si="4"/>
        <v>43</v>
      </c>
      <c r="C134" s="111">
        <f t="shared" si="5"/>
        <v>3</v>
      </c>
      <c r="D134" s="109" t="str" cm="1">
        <f t="array" ref="D134">INDEX('Meta-Map2-1'!$I$7:$K$100,1+B134,C134)</f>
        <v/>
      </c>
    </row>
    <row r="135" spans="1:4" x14ac:dyDescent="0.75">
      <c r="A135" s="111">
        <v>133</v>
      </c>
      <c r="B135" s="111">
        <f t="shared" si="4"/>
        <v>44</v>
      </c>
      <c r="C135" s="111">
        <f t="shared" si="5"/>
        <v>1</v>
      </c>
      <c r="D135" s="109" cm="1">
        <f t="array" ref="D135">INDEX('Meta-Map2-1'!$I$7:$K$100,1+B135,C135)</f>
        <v>0</v>
      </c>
    </row>
    <row r="136" spans="1:4" x14ac:dyDescent="0.75">
      <c r="A136" s="111">
        <v>134</v>
      </c>
      <c r="B136" s="111">
        <f t="shared" si="4"/>
        <v>44</v>
      </c>
      <c r="C136" s="111">
        <f t="shared" si="5"/>
        <v>2</v>
      </c>
      <c r="D136" s="109" cm="1">
        <f t="array" ref="D136">INDEX('Meta-Map2-1'!$I$7:$K$100,1+B136,C136)</f>
        <v>0</v>
      </c>
    </row>
    <row r="137" spans="1:4" x14ac:dyDescent="0.75">
      <c r="A137" s="111">
        <v>135</v>
      </c>
      <c r="B137" s="111">
        <f t="shared" si="4"/>
        <v>44</v>
      </c>
      <c r="C137" s="111">
        <f t="shared" si="5"/>
        <v>3</v>
      </c>
      <c r="D137" s="109" cm="1">
        <f t="array" ref="D137">INDEX('Meta-Map2-1'!$I$7:$K$100,1+B137,C137)</f>
        <v>0</v>
      </c>
    </row>
    <row r="138" spans="1:4" x14ac:dyDescent="0.75">
      <c r="A138" s="111">
        <v>136</v>
      </c>
      <c r="B138" s="111">
        <f t="shared" si="4"/>
        <v>45</v>
      </c>
      <c r="C138" s="111">
        <f t="shared" si="5"/>
        <v>1</v>
      </c>
      <c r="D138" s="109" cm="1">
        <f t="array" ref="D138">INDEX('Meta-Map2-1'!$I$7:$K$100,1+B138,C138)</f>
        <v>0</v>
      </c>
    </row>
    <row r="139" spans="1:4" x14ac:dyDescent="0.75">
      <c r="A139" s="111">
        <v>137</v>
      </c>
      <c r="B139" s="111">
        <f t="shared" si="4"/>
        <v>45</v>
      </c>
      <c r="C139" s="111">
        <f t="shared" si="5"/>
        <v>2</v>
      </c>
      <c r="D139" s="109" cm="1">
        <f t="array" ref="D139">INDEX('Meta-Map2-1'!$I$7:$K$100,1+B139,C139)</f>
        <v>0</v>
      </c>
    </row>
    <row r="140" spans="1:4" x14ac:dyDescent="0.75">
      <c r="A140" s="111">
        <v>138</v>
      </c>
      <c r="B140" s="111">
        <f t="shared" si="4"/>
        <v>45</v>
      </c>
      <c r="C140" s="111">
        <f t="shared" si="5"/>
        <v>3</v>
      </c>
      <c r="D140" s="109" cm="1">
        <f t="array" ref="D140">INDEX('Meta-Map2-1'!$I$7:$K$100,1+B140,C140)</f>
        <v>0</v>
      </c>
    </row>
    <row r="141" spans="1:4" x14ac:dyDescent="0.75">
      <c r="A141" s="111">
        <v>139</v>
      </c>
      <c r="B141" s="111">
        <f t="shared" si="4"/>
        <v>46</v>
      </c>
      <c r="C141" s="111">
        <f t="shared" si="5"/>
        <v>1</v>
      </c>
      <c r="D141" s="109" cm="1">
        <f t="array" ref="D141">INDEX('Meta-Map2-1'!$I$7:$K$100,1+B141,C141)</f>
        <v>0</v>
      </c>
    </row>
    <row r="142" spans="1:4" x14ac:dyDescent="0.75">
      <c r="A142" s="111">
        <v>140</v>
      </c>
      <c r="B142" s="111">
        <f t="shared" si="4"/>
        <v>46</v>
      </c>
      <c r="C142" s="111">
        <f t="shared" si="5"/>
        <v>2</v>
      </c>
      <c r="D142" s="109" cm="1">
        <f t="array" ref="D142">INDEX('Meta-Map2-1'!$I$7:$K$100,1+B142,C142)</f>
        <v>0</v>
      </c>
    </row>
    <row r="143" spans="1:4" x14ac:dyDescent="0.75">
      <c r="A143" s="111">
        <v>141</v>
      </c>
      <c r="B143" s="111">
        <f t="shared" si="4"/>
        <v>46</v>
      </c>
      <c r="C143" s="111">
        <f t="shared" si="5"/>
        <v>3</v>
      </c>
      <c r="D143" s="109" cm="1">
        <f t="array" ref="D143">INDEX('Meta-Map2-1'!$I$7:$K$100,1+B143,C143)</f>
        <v>0</v>
      </c>
    </row>
    <row r="144" spans="1:4" x14ac:dyDescent="0.75">
      <c r="A144" s="111">
        <v>142</v>
      </c>
      <c r="B144" s="111">
        <f t="shared" si="4"/>
        <v>47</v>
      </c>
      <c r="C144" s="111">
        <f t="shared" si="5"/>
        <v>1</v>
      </c>
      <c r="D144" s="109" cm="1">
        <f t="array" ref="D144">INDEX('Meta-Map2-1'!$I$7:$K$100,1+B144,C144)</f>
        <v>0</v>
      </c>
    </row>
    <row r="145" spans="1:4" x14ac:dyDescent="0.75">
      <c r="A145" s="111">
        <v>143</v>
      </c>
      <c r="B145" s="111">
        <f t="shared" si="4"/>
        <v>47</v>
      </c>
      <c r="C145" s="111">
        <f t="shared" si="5"/>
        <v>2</v>
      </c>
      <c r="D145" s="109" cm="1">
        <f t="array" ref="D145">INDEX('Meta-Map2-1'!$I$7:$K$100,1+B145,C145)</f>
        <v>0</v>
      </c>
    </row>
    <row r="146" spans="1:4" x14ac:dyDescent="0.75">
      <c r="A146" s="111">
        <v>144</v>
      </c>
      <c r="B146" s="111">
        <f t="shared" si="4"/>
        <v>47</v>
      </c>
      <c r="C146" s="111">
        <f t="shared" si="5"/>
        <v>3</v>
      </c>
      <c r="D146" s="109" cm="1">
        <f t="array" ref="D146">INDEX('Meta-Map2-1'!$I$7:$K$100,1+B146,C146)</f>
        <v>0</v>
      </c>
    </row>
    <row r="147" spans="1:4" x14ac:dyDescent="0.75">
      <c r="A147" s="111">
        <v>145</v>
      </c>
      <c r="B147" s="111">
        <f t="shared" si="4"/>
        <v>48</v>
      </c>
      <c r="C147" s="111">
        <f t="shared" si="5"/>
        <v>1</v>
      </c>
      <c r="D147" s="109" cm="1">
        <f t="array" ref="D147">INDEX('Meta-Map2-1'!$I$7:$K$100,1+B147,C147)</f>
        <v>0</v>
      </c>
    </row>
    <row r="148" spans="1:4" x14ac:dyDescent="0.75">
      <c r="A148" s="111">
        <v>146</v>
      </c>
      <c r="B148" s="111">
        <f t="shared" si="4"/>
        <v>48</v>
      </c>
      <c r="C148" s="111">
        <f t="shared" si="5"/>
        <v>2</v>
      </c>
      <c r="D148" s="109" cm="1">
        <f t="array" ref="D148">INDEX('Meta-Map2-1'!$I$7:$K$100,1+B148,C148)</f>
        <v>0</v>
      </c>
    </row>
    <row r="149" spans="1:4" x14ac:dyDescent="0.75">
      <c r="A149" s="111">
        <v>147</v>
      </c>
      <c r="B149" s="111">
        <f t="shared" si="4"/>
        <v>48</v>
      </c>
      <c r="C149" s="111">
        <f t="shared" si="5"/>
        <v>3</v>
      </c>
      <c r="D149" s="109" cm="1">
        <f t="array" ref="D149">INDEX('Meta-Map2-1'!$I$7:$K$100,1+B149,C149)</f>
        <v>0</v>
      </c>
    </row>
    <row r="150" spans="1:4" x14ac:dyDescent="0.75">
      <c r="A150" s="111">
        <v>148</v>
      </c>
      <c r="B150" s="111">
        <f t="shared" si="4"/>
        <v>49</v>
      </c>
      <c r="C150" s="111">
        <f t="shared" si="5"/>
        <v>1</v>
      </c>
      <c r="D150" s="109" cm="1">
        <f t="array" ref="D150">INDEX('Meta-Map2-1'!$I$7:$K$100,1+B150,C150)</f>
        <v>0</v>
      </c>
    </row>
    <row r="151" spans="1:4" x14ac:dyDescent="0.75">
      <c r="A151" s="111">
        <v>149</v>
      </c>
      <c r="B151" s="111">
        <f t="shared" si="4"/>
        <v>49</v>
      </c>
      <c r="C151" s="111">
        <f t="shared" si="5"/>
        <v>2</v>
      </c>
      <c r="D151" s="109" cm="1">
        <f t="array" ref="D151">INDEX('Meta-Map2-1'!$I$7:$K$100,1+B151,C151)</f>
        <v>0</v>
      </c>
    </row>
    <row r="152" spans="1:4" x14ac:dyDescent="0.75">
      <c r="A152" s="111">
        <v>150</v>
      </c>
      <c r="B152" s="111">
        <f t="shared" si="4"/>
        <v>49</v>
      </c>
      <c r="C152" s="111">
        <f t="shared" si="5"/>
        <v>3</v>
      </c>
      <c r="D152" s="109" cm="1">
        <f t="array" ref="D152">INDEX('Meta-Map2-1'!$I$7:$K$100,1+B152,C152)</f>
        <v>0</v>
      </c>
    </row>
    <row r="153" spans="1:4" x14ac:dyDescent="0.75">
      <c r="A153" s="111">
        <v>151</v>
      </c>
      <c r="B153" s="111">
        <f t="shared" si="4"/>
        <v>50</v>
      </c>
      <c r="C153" s="111">
        <f t="shared" si="5"/>
        <v>1</v>
      </c>
      <c r="D153" s="109" cm="1">
        <f t="array" ref="D153">INDEX('Meta-Map2-1'!$I$7:$K$100,1+B153,C153)</f>
        <v>0</v>
      </c>
    </row>
    <row r="154" spans="1:4" x14ac:dyDescent="0.75">
      <c r="A154" s="111">
        <v>152</v>
      </c>
      <c r="B154" s="111">
        <f t="shared" si="4"/>
        <v>50</v>
      </c>
      <c r="C154" s="111">
        <f t="shared" si="5"/>
        <v>2</v>
      </c>
      <c r="D154" s="109" cm="1">
        <f t="array" ref="D154">INDEX('Meta-Map2-1'!$I$7:$K$100,1+B154,C154)</f>
        <v>0</v>
      </c>
    </row>
    <row r="155" spans="1:4" x14ac:dyDescent="0.75">
      <c r="A155" s="111">
        <v>153</v>
      </c>
      <c r="B155" s="111">
        <f t="shared" si="4"/>
        <v>50</v>
      </c>
      <c r="C155" s="111">
        <f t="shared" si="5"/>
        <v>3</v>
      </c>
      <c r="D155" s="109" cm="1">
        <f t="array" ref="D155">INDEX('Meta-Map2-1'!$I$7:$K$100,1+B155,C155)</f>
        <v>0</v>
      </c>
    </row>
    <row r="156" spans="1:4" x14ac:dyDescent="0.75">
      <c r="A156" s="111">
        <v>154</v>
      </c>
      <c r="B156" s="111">
        <f t="shared" si="4"/>
        <v>51</v>
      </c>
      <c r="C156" s="111">
        <f t="shared" si="5"/>
        <v>1</v>
      </c>
      <c r="D156" s="109" cm="1">
        <f t="array" ref="D156">INDEX('Meta-Map2-1'!$I$7:$K$100,1+B156,C156)</f>
        <v>0</v>
      </c>
    </row>
    <row r="157" spans="1:4" x14ac:dyDescent="0.75">
      <c r="A157" s="111">
        <v>155</v>
      </c>
      <c r="B157" s="111">
        <f t="shared" si="4"/>
        <v>51</v>
      </c>
      <c r="C157" s="111">
        <f t="shared" si="5"/>
        <v>2</v>
      </c>
      <c r="D157" s="109" cm="1">
        <f t="array" ref="D157">INDEX('Meta-Map2-1'!$I$7:$K$100,1+B157,C157)</f>
        <v>0</v>
      </c>
    </row>
    <row r="158" spans="1:4" x14ac:dyDescent="0.75">
      <c r="A158" s="111">
        <v>156</v>
      </c>
      <c r="B158" s="111">
        <f t="shared" si="4"/>
        <v>51</v>
      </c>
      <c r="C158" s="111">
        <f t="shared" si="5"/>
        <v>3</v>
      </c>
      <c r="D158" s="109" cm="1">
        <f t="array" ref="D158">INDEX('Meta-Map2-1'!$I$7:$K$100,1+B158,C158)</f>
        <v>0</v>
      </c>
    </row>
    <row r="159" spans="1:4" x14ac:dyDescent="0.75">
      <c r="A159" s="111">
        <v>157</v>
      </c>
      <c r="B159" s="111">
        <f t="shared" si="4"/>
        <v>52</v>
      </c>
      <c r="C159" s="111">
        <f t="shared" si="5"/>
        <v>1</v>
      </c>
      <c r="D159" s="109" cm="1">
        <f t="array" ref="D159">INDEX('Meta-Map2-1'!$I$7:$K$100,1+B159,C159)</f>
        <v>0</v>
      </c>
    </row>
    <row r="160" spans="1:4" x14ac:dyDescent="0.75">
      <c r="A160" s="111">
        <v>158</v>
      </c>
      <c r="B160" s="111">
        <f t="shared" si="4"/>
        <v>52</v>
      </c>
      <c r="C160" s="111">
        <f t="shared" si="5"/>
        <v>2</v>
      </c>
      <c r="D160" s="109" cm="1">
        <f t="array" ref="D160">INDEX('Meta-Map2-1'!$I$7:$K$100,1+B160,C160)</f>
        <v>0</v>
      </c>
    </row>
    <row r="161" spans="1:4" x14ac:dyDescent="0.75">
      <c r="A161" s="111">
        <v>159</v>
      </c>
      <c r="B161" s="111">
        <f t="shared" si="4"/>
        <v>52</v>
      </c>
      <c r="C161" s="111">
        <f t="shared" si="5"/>
        <v>3</v>
      </c>
      <c r="D161" s="109" cm="1">
        <f t="array" ref="D161">INDEX('Meta-Map2-1'!$I$7:$K$100,1+B161,C161)</f>
        <v>0</v>
      </c>
    </row>
    <row r="162" spans="1:4" x14ac:dyDescent="0.75">
      <c r="A162" s="111">
        <v>160</v>
      </c>
      <c r="B162" s="111">
        <f t="shared" si="4"/>
        <v>53</v>
      </c>
      <c r="C162" s="111">
        <f t="shared" si="5"/>
        <v>1</v>
      </c>
      <c r="D162" s="109" cm="1">
        <f t="array" ref="D162">INDEX('Meta-Map2-1'!$I$7:$K$100,1+B162,C162)</f>
        <v>0</v>
      </c>
    </row>
    <row r="163" spans="1:4" x14ac:dyDescent="0.75">
      <c r="A163" s="111">
        <v>161</v>
      </c>
      <c r="B163" s="111">
        <f t="shared" si="4"/>
        <v>53</v>
      </c>
      <c r="C163" s="111">
        <f t="shared" si="5"/>
        <v>2</v>
      </c>
      <c r="D163" s="109" cm="1">
        <f t="array" ref="D163">INDEX('Meta-Map2-1'!$I$7:$K$100,1+B163,C163)</f>
        <v>0</v>
      </c>
    </row>
    <row r="164" spans="1:4" x14ac:dyDescent="0.75">
      <c r="A164" s="111">
        <v>162</v>
      </c>
      <c r="B164" s="111">
        <f t="shared" si="4"/>
        <v>53</v>
      </c>
      <c r="C164" s="111">
        <f t="shared" si="5"/>
        <v>3</v>
      </c>
      <c r="D164" s="109" cm="1">
        <f t="array" ref="D164">INDEX('Meta-Map2-1'!$I$7:$K$100,1+B164,C164)</f>
        <v>0</v>
      </c>
    </row>
    <row r="165" spans="1:4" x14ac:dyDescent="0.75">
      <c r="A165" s="111">
        <v>163</v>
      </c>
      <c r="B165" s="111">
        <f t="shared" si="4"/>
        <v>54</v>
      </c>
      <c r="C165" s="111">
        <f t="shared" si="5"/>
        <v>1</v>
      </c>
      <c r="D165" s="109" cm="1">
        <f t="array" ref="D165">INDEX('Meta-Map2-1'!$I$7:$K$100,1+B165,C165)</f>
        <v>0</v>
      </c>
    </row>
    <row r="166" spans="1:4" x14ac:dyDescent="0.75">
      <c r="A166" s="111">
        <v>164</v>
      </c>
      <c r="B166" s="111">
        <f t="shared" si="4"/>
        <v>54</v>
      </c>
      <c r="C166" s="111">
        <f t="shared" si="5"/>
        <v>2</v>
      </c>
      <c r="D166" s="109" cm="1">
        <f t="array" ref="D166">INDEX('Meta-Map2-1'!$I$7:$K$100,1+B166,C166)</f>
        <v>0</v>
      </c>
    </row>
    <row r="167" spans="1:4" x14ac:dyDescent="0.75">
      <c r="A167" s="111">
        <v>165</v>
      </c>
      <c r="B167" s="111">
        <f t="shared" si="4"/>
        <v>54</v>
      </c>
      <c r="C167" s="111">
        <f t="shared" si="5"/>
        <v>3</v>
      </c>
      <c r="D167" s="109" cm="1">
        <f t="array" ref="D167">INDEX('Meta-Map2-1'!$I$7:$K$100,1+B167,C167)</f>
        <v>0</v>
      </c>
    </row>
    <row r="168" spans="1:4" x14ac:dyDescent="0.75">
      <c r="A168" s="111">
        <v>166</v>
      </c>
      <c r="B168" s="111">
        <f t="shared" si="4"/>
        <v>55</v>
      </c>
      <c r="C168" s="111">
        <f t="shared" si="5"/>
        <v>1</v>
      </c>
      <c r="D168" s="109" cm="1">
        <f t="array" ref="D168">INDEX('Meta-Map2-1'!$I$7:$K$100,1+B168,C168)</f>
        <v>0</v>
      </c>
    </row>
    <row r="169" spans="1:4" x14ac:dyDescent="0.75">
      <c r="A169" s="111">
        <v>167</v>
      </c>
      <c r="B169" s="111">
        <f t="shared" si="4"/>
        <v>55</v>
      </c>
      <c r="C169" s="111">
        <f t="shared" si="5"/>
        <v>2</v>
      </c>
      <c r="D169" s="109" cm="1">
        <f t="array" ref="D169">INDEX('Meta-Map2-1'!$I$7:$K$100,1+B169,C169)</f>
        <v>0</v>
      </c>
    </row>
    <row r="170" spans="1:4" x14ac:dyDescent="0.75">
      <c r="A170" s="111">
        <v>168</v>
      </c>
      <c r="B170" s="111">
        <f t="shared" si="4"/>
        <v>55</v>
      </c>
      <c r="C170" s="111">
        <f t="shared" si="5"/>
        <v>3</v>
      </c>
      <c r="D170" s="109" cm="1">
        <f t="array" ref="D170">INDEX('Meta-Map2-1'!$I$7:$K$100,1+B170,C170)</f>
        <v>0</v>
      </c>
    </row>
    <row r="171" spans="1:4" x14ac:dyDescent="0.75">
      <c r="A171" s="111">
        <v>169</v>
      </c>
      <c r="B171" s="111">
        <f t="shared" si="4"/>
        <v>56</v>
      </c>
      <c r="C171" s="111">
        <f t="shared" si="5"/>
        <v>1</v>
      </c>
      <c r="D171" s="109" cm="1">
        <f t="array" ref="D171">INDEX('Meta-Map2-1'!$I$7:$K$100,1+B171,C171)</f>
        <v>0</v>
      </c>
    </row>
    <row r="172" spans="1:4" x14ac:dyDescent="0.75">
      <c r="A172" s="111">
        <v>170</v>
      </c>
      <c r="B172" s="111">
        <f t="shared" si="4"/>
        <v>56</v>
      </c>
      <c r="C172" s="111">
        <f t="shared" si="5"/>
        <v>2</v>
      </c>
      <c r="D172" s="109" cm="1">
        <f t="array" ref="D172">INDEX('Meta-Map2-1'!$I$7:$K$100,1+B172,C172)</f>
        <v>0</v>
      </c>
    </row>
    <row r="173" spans="1:4" x14ac:dyDescent="0.75">
      <c r="A173" s="111">
        <v>171</v>
      </c>
      <c r="B173" s="111">
        <f t="shared" si="4"/>
        <v>56</v>
      </c>
      <c r="C173" s="111">
        <f t="shared" si="5"/>
        <v>3</v>
      </c>
      <c r="D173" s="109" cm="1">
        <f t="array" ref="D173">INDEX('Meta-Map2-1'!$I$7:$K$100,1+B173,C173)</f>
        <v>0</v>
      </c>
    </row>
    <row r="174" spans="1:4" x14ac:dyDescent="0.75">
      <c r="A174" s="111">
        <v>172</v>
      </c>
      <c r="B174" s="111">
        <f t="shared" si="4"/>
        <v>57</v>
      </c>
      <c r="C174" s="111">
        <f t="shared" si="5"/>
        <v>1</v>
      </c>
      <c r="D174" s="109" cm="1">
        <f t="array" ref="D174">INDEX('Meta-Map2-1'!$I$7:$K$100,1+B174,C174)</f>
        <v>0</v>
      </c>
    </row>
    <row r="175" spans="1:4" x14ac:dyDescent="0.75">
      <c r="A175" s="111">
        <v>173</v>
      </c>
      <c r="B175" s="111">
        <f t="shared" si="4"/>
        <v>57</v>
      </c>
      <c r="C175" s="111">
        <f t="shared" si="5"/>
        <v>2</v>
      </c>
      <c r="D175" s="109" cm="1">
        <f t="array" ref="D175">INDEX('Meta-Map2-1'!$I$7:$K$100,1+B175,C175)</f>
        <v>0</v>
      </c>
    </row>
    <row r="176" spans="1:4" x14ac:dyDescent="0.75">
      <c r="A176" s="111">
        <v>174</v>
      </c>
      <c r="B176" s="111">
        <f t="shared" si="4"/>
        <v>57</v>
      </c>
      <c r="C176" s="111">
        <f t="shared" si="5"/>
        <v>3</v>
      </c>
      <c r="D176" s="109" cm="1">
        <f t="array" ref="D176">INDEX('Meta-Map2-1'!$I$7:$K$100,1+B176,C176)</f>
        <v>0</v>
      </c>
    </row>
    <row r="177" spans="1:4" x14ac:dyDescent="0.75">
      <c r="A177" s="111">
        <v>175</v>
      </c>
      <c r="B177" s="111">
        <f t="shared" si="4"/>
        <v>58</v>
      </c>
      <c r="C177" s="111">
        <f t="shared" si="5"/>
        <v>1</v>
      </c>
      <c r="D177" s="109" cm="1">
        <f t="array" ref="D177">INDEX('Meta-Map2-1'!$I$7:$K$100,1+B177,C177)</f>
        <v>0</v>
      </c>
    </row>
    <row r="178" spans="1:4" x14ac:dyDescent="0.75">
      <c r="A178" s="111">
        <v>176</v>
      </c>
      <c r="B178" s="111">
        <f t="shared" si="4"/>
        <v>58</v>
      </c>
      <c r="C178" s="111">
        <f t="shared" si="5"/>
        <v>2</v>
      </c>
      <c r="D178" s="109" cm="1">
        <f t="array" ref="D178">INDEX('Meta-Map2-1'!$I$7:$K$100,1+B178,C178)</f>
        <v>0</v>
      </c>
    </row>
    <row r="179" spans="1:4" x14ac:dyDescent="0.75">
      <c r="A179" s="111">
        <v>177</v>
      </c>
      <c r="B179" s="111">
        <f t="shared" si="4"/>
        <v>58</v>
      </c>
      <c r="C179" s="111">
        <f t="shared" si="5"/>
        <v>3</v>
      </c>
      <c r="D179" s="109" cm="1">
        <f t="array" ref="D179">INDEX('Meta-Map2-1'!$I$7:$K$100,1+B179,C179)</f>
        <v>0</v>
      </c>
    </row>
    <row r="180" spans="1:4" x14ac:dyDescent="0.75">
      <c r="A180" s="111">
        <v>178</v>
      </c>
      <c r="B180" s="111">
        <f t="shared" si="4"/>
        <v>59</v>
      </c>
      <c r="C180" s="111">
        <f t="shared" si="5"/>
        <v>1</v>
      </c>
      <c r="D180" s="109" cm="1">
        <f t="array" ref="D180">INDEX('Meta-Map2-1'!$I$7:$K$100,1+B180,C180)</f>
        <v>0</v>
      </c>
    </row>
    <row r="181" spans="1:4" x14ac:dyDescent="0.75">
      <c r="A181" s="111">
        <v>179</v>
      </c>
      <c r="B181" s="111">
        <f t="shared" si="4"/>
        <v>59</v>
      </c>
      <c r="C181" s="111">
        <f t="shared" si="5"/>
        <v>2</v>
      </c>
      <c r="D181" s="109" cm="1">
        <f t="array" ref="D181">INDEX('Meta-Map2-1'!$I$7:$K$100,1+B181,C181)</f>
        <v>0</v>
      </c>
    </row>
    <row r="182" spans="1:4" x14ac:dyDescent="0.75">
      <c r="A182" s="111">
        <v>180</v>
      </c>
      <c r="B182" s="111">
        <f t="shared" si="4"/>
        <v>59</v>
      </c>
      <c r="C182" s="111">
        <f t="shared" si="5"/>
        <v>3</v>
      </c>
      <c r="D182" s="109" cm="1">
        <f t="array" ref="D182">INDEX('Meta-Map2-1'!$I$7:$K$100,1+B182,C182)</f>
        <v>0</v>
      </c>
    </row>
    <row r="183" spans="1:4" x14ac:dyDescent="0.75">
      <c r="A183" s="111">
        <v>181</v>
      </c>
      <c r="B183" s="111">
        <f t="shared" si="4"/>
        <v>60</v>
      </c>
      <c r="C183" s="111">
        <f t="shared" si="5"/>
        <v>1</v>
      </c>
      <c r="D183" s="109" cm="1">
        <f t="array" ref="D183">INDEX('Meta-Map2-1'!$I$7:$K$100,1+B183,C183)</f>
        <v>0</v>
      </c>
    </row>
    <row r="184" spans="1:4" x14ac:dyDescent="0.75">
      <c r="A184" s="111">
        <v>182</v>
      </c>
      <c r="B184" s="111">
        <f t="shared" si="4"/>
        <v>60</v>
      </c>
      <c r="C184" s="111">
        <f t="shared" si="5"/>
        <v>2</v>
      </c>
      <c r="D184" s="109" cm="1">
        <f t="array" ref="D184">INDEX('Meta-Map2-1'!$I$7:$K$100,1+B184,C184)</f>
        <v>0</v>
      </c>
    </row>
    <row r="185" spans="1:4" x14ac:dyDescent="0.75">
      <c r="A185" s="111">
        <v>183</v>
      </c>
      <c r="B185" s="111">
        <f t="shared" si="4"/>
        <v>60</v>
      </c>
      <c r="C185" s="111">
        <f t="shared" si="5"/>
        <v>3</v>
      </c>
      <c r="D185" s="109" cm="1">
        <f t="array" ref="D185">INDEX('Meta-Map2-1'!$I$7:$K$100,1+B185,C185)</f>
        <v>0</v>
      </c>
    </row>
    <row r="186" spans="1:4" x14ac:dyDescent="0.75">
      <c r="A186" s="111">
        <v>184</v>
      </c>
      <c r="B186" s="111">
        <f t="shared" si="4"/>
        <v>61</v>
      </c>
      <c r="C186" s="111">
        <f t="shared" si="5"/>
        <v>1</v>
      </c>
      <c r="D186" s="109" cm="1">
        <f t="array" ref="D186">INDEX('Meta-Map2-1'!$I$7:$K$100,1+B186,C186)</f>
        <v>0</v>
      </c>
    </row>
    <row r="187" spans="1:4" x14ac:dyDescent="0.75">
      <c r="A187" s="111">
        <v>185</v>
      </c>
      <c r="B187" s="111">
        <f t="shared" si="4"/>
        <v>61</v>
      </c>
      <c r="C187" s="111">
        <f t="shared" si="5"/>
        <v>2</v>
      </c>
      <c r="D187" s="109" cm="1">
        <f t="array" ref="D187">INDEX('Meta-Map2-1'!$I$7:$K$100,1+B187,C187)</f>
        <v>0</v>
      </c>
    </row>
    <row r="188" spans="1:4" x14ac:dyDescent="0.75">
      <c r="A188" s="111">
        <v>186</v>
      </c>
      <c r="B188" s="111">
        <f t="shared" si="4"/>
        <v>61</v>
      </c>
      <c r="C188" s="111">
        <f t="shared" si="5"/>
        <v>3</v>
      </c>
      <c r="D188" s="109" cm="1">
        <f t="array" ref="D188">INDEX('Meta-Map2-1'!$I$7:$K$100,1+B188,C188)</f>
        <v>0</v>
      </c>
    </row>
    <row r="189" spans="1:4" x14ac:dyDescent="0.75">
      <c r="A189" s="111">
        <v>187</v>
      </c>
      <c r="B189" s="111">
        <f t="shared" si="4"/>
        <v>62</v>
      </c>
      <c r="C189" s="111">
        <f t="shared" si="5"/>
        <v>1</v>
      </c>
      <c r="D189" s="109" cm="1">
        <f t="array" ref="D189">INDEX('Meta-Map2-1'!$I$7:$K$100,1+B189,C189)</f>
        <v>0</v>
      </c>
    </row>
    <row r="190" spans="1:4" x14ac:dyDescent="0.75">
      <c r="A190" s="111">
        <v>188</v>
      </c>
      <c r="B190" s="111">
        <f t="shared" si="4"/>
        <v>62</v>
      </c>
      <c r="C190" s="111">
        <f t="shared" si="5"/>
        <v>2</v>
      </c>
      <c r="D190" s="109" cm="1">
        <f t="array" ref="D190">INDEX('Meta-Map2-1'!$I$7:$K$100,1+B190,C190)</f>
        <v>0</v>
      </c>
    </row>
    <row r="191" spans="1:4" x14ac:dyDescent="0.75">
      <c r="A191" s="111">
        <v>189</v>
      </c>
      <c r="B191" s="111">
        <f t="shared" si="4"/>
        <v>62</v>
      </c>
      <c r="C191" s="111">
        <f t="shared" si="5"/>
        <v>3</v>
      </c>
      <c r="D191" s="109" cm="1">
        <f t="array" ref="D191">INDEX('Meta-Map2-1'!$I$7:$K$100,1+B191,C191)</f>
        <v>0</v>
      </c>
    </row>
    <row r="192" spans="1:4" x14ac:dyDescent="0.75">
      <c r="A192" s="111">
        <v>190</v>
      </c>
      <c r="B192" s="111">
        <f t="shared" si="4"/>
        <v>63</v>
      </c>
      <c r="C192" s="111">
        <f t="shared" si="5"/>
        <v>1</v>
      </c>
      <c r="D192" s="109" cm="1">
        <f t="array" ref="D192">INDEX('Meta-Map2-1'!$I$7:$K$100,1+B192,C192)</f>
        <v>0</v>
      </c>
    </row>
    <row r="193" spans="1:4" x14ac:dyDescent="0.75">
      <c r="A193" s="111">
        <v>191</v>
      </c>
      <c r="B193" s="111">
        <f t="shared" si="4"/>
        <v>63</v>
      </c>
      <c r="C193" s="111">
        <f t="shared" si="5"/>
        <v>2</v>
      </c>
      <c r="D193" s="109" cm="1">
        <f t="array" ref="D193">INDEX('Meta-Map2-1'!$I$7:$K$100,1+B193,C193)</f>
        <v>0</v>
      </c>
    </row>
    <row r="194" spans="1:4" x14ac:dyDescent="0.75">
      <c r="A194" s="111">
        <v>192</v>
      </c>
      <c r="B194" s="111">
        <f t="shared" si="4"/>
        <v>63</v>
      </c>
      <c r="C194" s="111">
        <f t="shared" si="5"/>
        <v>3</v>
      </c>
      <c r="D194" s="109" cm="1">
        <f t="array" ref="D194">INDEX('Meta-Map2-1'!$I$7:$K$100,1+B194,C194)</f>
        <v>0</v>
      </c>
    </row>
    <row r="195" spans="1:4" x14ac:dyDescent="0.75">
      <c r="A195" s="111">
        <v>193</v>
      </c>
      <c r="B195" s="111">
        <f t="shared" si="4"/>
        <v>64</v>
      </c>
      <c r="C195" s="111">
        <f t="shared" si="5"/>
        <v>1</v>
      </c>
      <c r="D195" s="109" cm="1">
        <f t="array" ref="D195">INDEX('Meta-Map2-1'!$I$7:$K$100,1+B195,C195)</f>
        <v>0</v>
      </c>
    </row>
    <row r="196" spans="1:4" x14ac:dyDescent="0.75">
      <c r="A196" s="111">
        <v>194</v>
      </c>
      <c r="B196" s="111">
        <f t="shared" ref="B196:B206" si="6">IF(MOD(A196,3)=0,A196/3-1,INT(A196/3))</f>
        <v>64</v>
      </c>
      <c r="C196" s="111">
        <f t="shared" ref="C196:C206" si="7">IF(MOD(A196,3)=0,3,MOD(A196,3))</f>
        <v>2</v>
      </c>
      <c r="D196" s="109" cm="1">
        <f t="array" ref="D196">INDEX('Meta-Map2-1'!$I$7:$K$100,1+B196,C196)</f>
        <v>0</v>
      </c>
    </row>
    <row r="197" spans="1:4" x14ac:dyDescent="0.75">
      <c r="A197" s="111">
        <v>195</v>
      </c>
      <c r="B197" s="111">
        <f t="shared" si="6"/>
        <v>64</v>
      </c>
      <c r="C197" s="111">
        <f t="shared" si="7"/>
        <v>3</v>
      </c>
      <c r="D197" s="109" cm="1">
        <f t="array" ref="D197">INDEX('Meta-Map2-1'!$I$7:$K$100,1+B197,C197)</f>
        <v>0</v>
      </c>
    </row>
    <row r="198" spans="1:4" x14ac:dyDescent="0.75">
      <c r="A198" s="111">
        <v>196</v>
      </c>
      <c r="B198" s="111">
        <f t="shared" si="6"/>
        <v>65</v>
      </c>
      <c r="C198" s="111">
        <f t="shared" si="7"/>
        <v>1</v>
      </c>
      <c r="D198" s="109" cm="1">
        <f t="array" ref="D198">INDEX('Meta-Map2-1'!$I$7:$K$100,1+B198,C198)</f>
        <v>0</v>
      </c>
    </row>
    <row r="199" spans="1:4" x14ac:dyDescent="0.75">
      <c r="A199" s="111">
        <v>197</v>
      </c>
      <c r="B199" s="111">
        <f t="shared" si="6"/>
        <v>65</v>
      </c>
      <c r="C199" s="111">
        <f t="shared" si="7"/>
        <v>2</v>
      </c>
      <c r="D199" s="109" cm="1">
        <f t="array" ref="D199">INDEX('Meta-Map2-1'!$I$7:$K$100,1+B199,C199)</f>
        <v>0</v>
      </c>
    </row>
    <row r="200" spans="1:4" x14ac:dyDescent="0.75">
      <c r="A200" s="111">
        <v>198</v>
      </c>
      <c r="B200" s="111">
        <f t="shared" si="6"/>
        <v>65</v>
      </c>
      <c r="C200" s="111">
        <f t="shared" si="7"/>
        <v>3</v>
      </c>
      <c r="D200" s="109" cm="1">
        <f t="array" ref="D200">INDEX('Meta-Map2-1'!$I$7:$K$100,1+B200,C200)</f>
        <v>0</v>
      </c>
    </row>
    <row r="201" spans="1:4" x14ac:dyDescent="0.75">
      <c r="A201" s="111">
        <v>199</v>
      </c>
      <c r="B201" s="111">
        <f t="shared" si="6"/>
        <v>66</v>
      </c>
      <c r="C201" s="111">
        <f t="shared" si="7"/>
        <v>1</v>
      </c>
      <c r="D201" s="109" cm="1">
        <f t="array" ref="D201">INDEX('Meta-Map2-1'!$I$7:$K$100,1+B201,C201)</f>
        <v>0</v>
      </c>
    </row>
    <row r="202" spans="1:4" x14ac:dyDescent="0.75">
      <c r="A202" s="111">
        <v>200</v>
      </c>
      <c r="B202" s="111">
        <f t="shared" si="6"/>
        <v>66</v>
      </c>
      <c r="C202" s="111">
        <f t="shared" si="7"/>
        <v>2</v>
      </c>
      <c r="D202" s="109" cm="1">
        <f t="array" ref="D202">INDEX('Meta-Map2-1'!$I$7:$K$100,1+B202,C202)</f>
        <v>0</v>
      </c>
    </row>
    <row r="203" spans="1:4" x14ac:dyDescent="0.75">
      <c r="A203" s="111">
        <v>201</v>
      </c>
      <c r="B203" s="111">
        <f t="shared" si="6"/>
        <v>66</v>
      </c>
      <c r="C203" s="111">
        <f t="shared" si="7"/>
        <v>3</v>
      </c>
      <c r="D203" s="109" cm="1">
        <f t="array" ref="D203">INDEX('Meta-Map2-1'!$I$7:$K$100,1+B203,C203)</f>
        <v>0</v>
      </c>
    </row>
    <row r="204" spans="1:4" x14ac:dyDescent="0.75">
      <c r="A204" s="111">
        <v>202</v>
      </c>
      <c r="B204" s="111">
        <f t="shared" si="6"/>
        <v>67</v>
      </c>
      <c r="C204" s="111">
        <f t="shared" si="7"/>
        <v>1</v>
      </c>
      <c r="D204" s="109" cm="1">
        <f t="array" ref="D204">INDEX('Meta-Map2-1'!$I$7:$K$100,1+B204,C204)</f>
        <v>0</v>
      </c>
    </row>
    <row r="205" spans="1:4" x14ac:dyDescent="0.75">
      <c r="A205" s="111">
        <v>203</v>
      </c>
      <c r="B205" s="111">
        <f t="shared" si="6"/>
        <v>67</v>
      </c>
      <c r="C205" s="111">
        <f t="shared" si="7"/>
        <v>2</v>
      </c>
      <c r="D205" s="109" cm="1">
        <f t="array" ref="D205">INDEX('Meta-Map2-1'!$I$7:$K$100,1+B205,C205)</f>
        <v>0</v>
      </c>
    </row>
    <row r="206" spans="1:4" x14ac:dyDescent="0.75">
      <c r="A206" s="111">
        <v>204</v>
      </c>
      <c r="B206" s="111">
        <f t="shared" si="6"/>
        <v>67</v>
      </c>
      <c r="C206" s="111">
        <f t="shared" si="7"/>
        <v>3</v>
      </c>
      <c r="D206" s="109" cm="1">
        <f t="array" ref="D206">INDEX('Meta-Map2-1'!$I$7:$K$100,1+B206,C206)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37" workbookViewId="0">
      <selection activeCell="D3" sqref="D3:D107"/>
    </sheetView>
  </sheetViews>
  <sheetFormatPr defaultRowHeight="14.75" x14ac:dyDescent="0.75"/>
  <cols>
    <col min="1" max="3" width="8.7265625" style="109"/>
    <col min="4" max="4" width="108.2265625" style="111" customWidth="1"/>
    <col min="5" max="16384" width="8.7265625" style="109"/>
  </cols>
  <sheetData>
    <row r="3" spans="4:4" x14ac:dyDescent="0.75">
      <c r="D3" s="111" t="str">
        <f>'Meta-Map-2'!D3</f>
        <v>* differential.element[0].mapping[0].identity = "fhir"</v>
      </c>
    </row>
    <row r="4" spans="4:4" x14ac:dyDescent="0.75">
      <c r="D4" s="111" t="str">
        <f>'Meta-Map-2'!D4</f>
        <v>* differential.element[0].mapping[0].map = "DocumentReference"</v>
      </c>
    </row>
    <row r="5" spans="4:4" x14ac:dyDescent="0.75">
      <c r="D5" s="111" t="str">
        <f>'Meta-Map-2'!D5</f>
        <v/>
      </c>
    </row>
    <row r="6" spans="4:4" x14ac:dyDescent="0.75">
      <c r="D6" s="111" t="str">
        <f>'Meta-Map-2'!D6</f>
        <v>* differential.element[1].mapping[0].identity = "fhir"</v>
      </c>
    </row>
    <row r="7" spans="4:4" x14ac:dyDescent="0.75">
      <c r="D7" s="111" t="str">
        <f>'Meta-Map-2'!D7</f>
        <v>* differential.element[1].mapping[0].map = " DocumentReference.masterIdentifier"</v>
      </c>
    </row>
    <row r="8" spans="4:4" x14ac:dyDescent="0.75">
      <c r="D8" s="111" t="str">
        <f>'Meta-Map-2'!D8</f>
        <v/>
      </c>
    </row>
    <row r="9" spans="4:4" x14ac:dyDescent="0.75">
      <c r="D9" s="111" t="str">
        <f>'Meta-Map-2'!D9</f>
        <v>* differential.element[2].mapping[0].identity = "fhir"</v>
      </c>
    </row>
    <row r="10" spans="4:4" x14ac:dyDescent="0.75">
      <c r="D10" s="111" t="str">
        <f>'Meta-Map-2'!D10</f>
        <v>* differential.element[2].mapping[0].map = "DocumentReference.content.attachment.contentType"</v>
      </c>
    </row>
    <row r="11" spans="4:4" x14ac:dyDescent="0.75">
      <c r="D11" s="111" t="str">
        <f>'Meta-Map-2'!D11</f>
        <v/>
      </c>
    </row>
    <row r="12" spans="4:4" x14ac:dyDescent="0.75">
      <c r="D12" s="111" t="str">
        <f>'Meta-Map-2'!D12</f>
        <v>* differential.element[3].mapping[0].identity = "fhir"</v>
      </c>
    </row>
    <row r="13" spans="4:4" x14ac:dyDescent="0.75">
      <c r="D13" s="111" t="str">
        <f>'Meta-Map-2'!D13</f>
        <v>* differential.element[3].mapping[0].map = "DocumentReference.content.attachment.size"</v>
      </c>
    </row>
    <row r="14" spans="4:4" x14ac:dyDescent="0.75">
      <c r="D14" s="111" t="str">
        <f>'Meta-Map-2'!D14</f>
        <v/>
      </c>
    </row>
    <row r="15" spans="4:4" x14ac:dyDescent="0.75">
      <c r="D15" s="111" t="str">
        <f>'Meta-Map-2'!D15</f>
        <v>* differential.element[4].mapping[0].identity = "fhir"</v>
      </c>
    </row>
    <row r="16" spans="4:4" x14ac:dyDescent="0.75">
      <c r="D16" s="111" t="str">
        <f>'Meta-Map-2'!D16</f>
        <v>* differential.element[4].mapping[0].map = "DocumentReference.content.attachment.hash"</v>
      </c>
    </row>
    <row r="17" spans="4:4" x14ac:dyDescent="0.75">
      <c r="D17" s="111" t="str">
        <f>'Meta-Map-2'!D17</f>
        <v/>
      </c>
    </row>
    <row r="18" spans="4:4" x14ac:dyDescent="0.75">
      <c r="D18" s="111" t="str">
        <f>'Meta-Map-2'!D18</f>
        <v>* differential.element[5].mapping[0].identity = "fhir"</v>
      </c>
    </row>
    <row r="19" spans="4:4" x14ac:dyDescent="0.75">
      <c r="D19" s="111" t="str">
        <f>'Meta-Map-2'!D19</f>
        <v>* differential.element[5].mapping[0].map = "DocumentReference.type"</v>
      </c>
    </row>
    <row r="20" spans="4:4" x14ac:dyDescent="0.75">
      <c r="D20" s="111" t="str">
        <f>'Meta-Map-2'!D20</f>
        <v/>
      </c>
    </row>
    <row r="21" spans="4:4" x14ac:dyDescent="0.75">
      <c r="D21" s="111" t="str">
        <f>'Meta-Map-2'!D21</f>
        <v>* differential.element[6].mapping[0].identity = "fhir"</v>
      </c>
    </row>
    <row r="22" spans="4:4" x14ac:dyDescent="0.75">
      <c r="D22" s="111" t="str">
        <f>'Meta-Map-2'!D22</f>
        <v>* differential.element[6].mapping[0].map = "DocumentReference.category"</v>
      </c>
    </row>
    <row r="23" spans="4:4" x14ac:dyDescent="0.75">
      <c r="D23" s="111" t="str">
        <f>'Meta-Map-2'!D23</f>
        <v/>
      </c>
    </row>
    <row r="24" spans="4:4" x14ac:dyDescent="0.75">
      <c r="D24" s="111" t="str">
        <f>'Meta-Map-2'!D24</f>
        <v>* differential.element[7].mapping[0].identity = "fhir"</v>
      </c>
    </row>
    <row r="25" spans="4:4" x14ac:dyDescent="0.75">
      <c r="D25" s="111" t="str">
        <f>'Meta-Map-2'!D25</f>
        <v>* differential.element[7].mapping[0].map = "DocumentReference.category (TBC)"</v>
      </c>
    </row>
    <row r="26" spans="4:4" x14ac:dyDescent="0.75">
      <c r="D26" s="111" t="str">
        <f>'Meta-Map-2'!D26</f>
        <v/>
      </c>
    </row>
    <row r="27" spans="4:4" x14ac:dyDescent="0.75">
      <c r="D27" s="111" t="str">
        <f>'Meta-Map-2'!D27</f>
        <v>* differential.element[8].mapping[0].identity = "fhir"</v>
      </c>
    </row>
    <row r="28" spans="4:4" x14ac:dyDescent="0.75">
      <c r="D28" s="111" t="str">
        <f>'Meta-Map-2'!D28</f>
        <v>* differential.element[8].mapping[0].map = "DocumentReference.content.attachment.creation"</v>
      </c>
    </row>
    <row r="29" spans="4:4" x14ac:dyDescent="0.75">
      <c r="D29" s="111" t="str">
        <f>'Meta-Map-2'!D29</f>
        <v/>
      </c>
    </row>
    <row r="30" spans="4:4" x14ac:dyDescent="0.75">
      <c r="D30" s="111" t="str">
        <f>'Meta-Map-2'!D30</f>
        <v>* differential.element[9].mapping[0].identity = "fhir"</v>
      </c>
    </row>
    <row r="31" spans="4:4" x14ac:dyDescent="0.75">
      <c r="D31" s="111" t="str">
        <f>'Meta-Map-2'!D31</f>
        <v>* differential.element[9].mapping[0].map = "DocumentReference.securityLabel"</v>
      </c>
    </row>
    <row r="32" spans="4:4" x14ac:dyDescent="0.75">
      <c r="D32" s="111" t="str">
        <f>'Meta-Map-2'!D32</f>
        <v/>
      </c>
    </row>
    <row r="33" spans="4:4" x14ac:dyDescent="0.75">
      <c r="D33" s="111" t="str">
        <f>'Meta-Map-2'!D33</f>
        <v>* differential.element[10].mapping[0].identity = "fhir"</v>
      </c>
    </row>
    <row r="34" spans="4:4" x14ac:dyDescent="0.75">
      <c r="D34" s="111" t="str">
        <f>'Meta-Map-2'!D34</f>
        <v>* differential.element[10].mapping[0].map = "DocumentReference.securityLabel"</v>
      </c>
    </row>
    <row r="35" spans="4:4" x14ac:dyDescent="0.75">
      <c r="D35" s="111" t="str">
        <f>'Meta-Map-2'!D35</f>
        <v/>
      </c>
    </row>
    <row r="36" spans="4:4" x14ac:dyDescent="0.75">
      <c r="D36" s="111" t="str">
        <f>'Meta-Map-2'!D36</f>
        <v>* differential.element[11].mapping[0].identity = "fhir"</v>
      </c>
    </row>
    <row r="37" spans="4:4" x14ac:dyDescent="0.75">
      <c r="D37" s="111" t="str">
        <f>'Meta-Map-2'!D37</f>
        <v>* differential.element[11].mapping[0].map = "DocumentReference.relatesTo.where(code = 'replaces').target"</v>
      </c>
    </row>
    <row r="38" spans="4:4" x14ac:dyDescent="0.75">
      <c r="D38" s="111" t="str">
        <f>'Meta-Map-2'!D38</f>
        <v/>
      </c>
    </row>
    <row r="39" spans="4:4" x14ac:dyDescent="0.75">
      <c r="D39" s="111" t="str">
        <f>'Meta-Map-2'!D39</f>
        <v>* differential.element[12].mapping[0].identity = "fhir"</v>
      </c>
    </row>
    <row r="40" spans="4:4" x14ac:dyDescent="0.75">
      <c r="D40" s="111" t="str">
        <f>'Meta-Map-2'!D40</f>
        <v>* differential.element[12].mapping[0].map = "DocumentReference.content.format"</v>
      </c>
    </row>
    <row r="41" spans="4:4" x14ac:dyDescent="0.75">
      <c r="D41" s="111" t="str">
        <f>'Meta-Map-2'!D41</f>
        <v/>
      </c>
    </row>
    <row r="42" spans="4:4" x14ac:dyDescent="0.75">
      <c r="D42" s="111" t="str">
        <f>'Meta-Map-2'!D42</f>
        <v>* differential.element[13].mapping[0].identity = "fhir"</v>
      </c>
    </row>
    <row r="43" spans="4:4" x14ac:dyDescent="0.75">
      <c r="D43" s="111" t="str">
        <f>'Meta-Map-2'!D43</f>
        <v>* differential.element[13].mapping[0].map = "DocumentReference.content.attachment.url"</v>
      </c>
    </row>
    <row r="44" spans="4:4" x14ac:dyDescent="0.75">
      <c r="D44" s="111" t="str">
        <f>'Meta-Map-2'!D44</f>
        <v/>
      </c>
    </row>
    <row r="45" spans="4:4" x14ac:dyDescent="0.75">
      <c r="D45" s="111" t="str">
        <f>'Meta-Map-2'!D45</f>
        <v>* differential.element[14].mapping[0].identity = "fhir"</v>
      </c>
    </row>
    <row r="46" spans="4:4" x14ac:dyDescent="0.75">
      <c r="D46" s="111" t="str">
        <f>'Meta-Map-2'!D46</f>
        <v>* differential.element[14].mapping[0].map = "DocumentReference.date (TBC)"</v>
      </c>
    </row>
    <row r="47" spans="4:4" x14ac:dyDescent="0.75">
      <c r="D47" s="111" t="str">
        <f>'Meta-Map-2'!D47</f>
        <v/>
      </c>
    </row>
    <row r="48" spans="4:4" x14ac:dyDescent="0.75">
      <c r="D48" s="111" t="str">
        <f>'Meta-Map-2'!D48</f>
        <v>* differential.element[15].mapping[0].identity = "fhir"</v>
      </c>
    </row>
    <row r="49" spans="4:4" x14ac:dyDescent="0.75">
      <c r="D49" s="111" t="str">
        <f>'Meta-Map-2'!D49</f>
        <v>* differential.element[15].mapping[0].map = "DocumentReference.context.practiceSetting"</v>
      </c>
    </row>
    <row r="50" spans="4:4" x14ac:dyDescent="0.75">
      <c r="D50" s="111" t="str">
        <f>'Meta-Map-2'!D50</f>
        <v/>
      </c>
    </row>
    <row r="51" spans="4:4" x14ac:dyDescent="0.75">
      <c r="D51" s="111" t="str">
        <f>'Meta-Map-2'!D51</f>
        <v>* differential.element[16].mapping[0].identity = "fhir"</v>
      </c>
    </row>
    <row r="52" spans="4:4" x14ac:dyDescent="0.75">
      <c r="D52" s="111" t="str">
        <f>'Meta-Map-2'!D52</f>
        <v>* differential.element[16].mapping[0].map = "DocumentReference.subject.resolve().ofType(Patient).identifier"</v>
      </c>
    </row>
    <row r="53" spans="4:4" x14ac:dyDescent="0.75">
      <c r="D53" s="111" t="str">
        <f>'Meta-Map-2'!D53</f>
        <v/>
      </c>
    </row>
    <row r="54" spans="4:4" x14ac:dyDescent="0.75">
      <c r="D54" s="111" t="str">
        <f>'Meta-Map-2'!D54</f>
        <v>* differential.element[17].mapping[0].identity = "fhir"</v>
      </c>
    </row>
    <row r="55" spans="4:4" x14ac:dyDescent="0.75">
      <c r="D55" s="111" t="str">
        <f>'Meta-Map-2'!D55</f>
        <v>* differential.element[17].mapping[0].map = "DocumentReference.author"</v>
      </c>
    </row>
    <row r="56" spans="4:4" x14ac:dyDescent="0.75">
      <c r="D56" s="111" t="str">
        <f>'Meta-Map-2'!D56</f>
        <v/>
      </c>
    </row>
    <row r="57" spans="4:4" x14ac:dyDescent="0.75">
      <c r="D57" s="111" t="str">
        <f>'Meta-Map-2'!D57</f>
        <v>* differential.element[18].mapping[0].identity = "fhir"</v>
      </c>
    </row>
    <row r="58" spans="4:4" x14ac:dyDescent="0.75">
      <c r="D58" s="111" t="str">
        <f>'Meta-Map-2'!D58</f>
        <v>* differential.element[18].mapping[0].map = "DocumentReference.author.resolve().ofType(PractitionerRole).organization.resolve().identifier"</v>
      </c>
    </row>
    <row r="59" spans="4:4" x14ac:dyDescent="0.75">
      <c r="D59" s="111" t="str">
        <f>'Meta-Map-2'!D59</f>
        <v/>
      </c>
    </row>
    <row r="60" spans="4:4" x14ac:dyDescent="0.75">
      <c r="D60" s="111" t="str">
        <f>'Meta-Map-2'!D60</f>
        <v>* differential.element[19].mapping[0].identity = "fhir"</v>
      </c>
    </row>
    <row r="61" spans="4:4" x14ac:dyDescent="0.75">
      <c r="D61" s="111" t="str">
        <f>'Meta-Map-2'!D61</f>
        <v>* differential.element[19].mapping[0].map = "DocumentReference.author.resolve().ofType(PractitionerRole).practitioner.resolve().ofType(Practitioner).identifier"</v>
      </c>
    </row>
    <row r="62" spans="4:4" x14ac:dyDescent="0.75">
      <c r="D62" s="111" t="str">
        <f>'Meta-Map-2'!D62</f>
        <v/>
      </c>
    </row>
    <row r="63" spans="4:4" x14ac:dyDescent="0.75">
      <c r="D63" s="111" t="str">
        <f>'Meta-Map-2'!D63</f>
        <v>* differential.element[20].mapping[0].identity = "fhir"</v>
      </c>
    </row>
    <row r="64" spans="4:4" x14ac:dyDescent="0.75">
      <c r="D64" s="111" t="str">
        <f>'Meta-Map-2'!D64</f>
        <v>* differential.element[20].mapping[0].map = "DocumentReference.author.resolve().ofType(PractitionerRole).organization.resolve().code"</v>
      </c>
    </row>
    <row r="65" spans="4:4" x14ac:dyDescent="0.75">
      <c r="D65" s="111" t="str">
        <f>'Meta-Map-2'!D65</f>
        <v/>
      </c>
    </row>
    <row r="66" spans="4:4" x14ac:dyDescent="0.75">
      <c r="D66" s="111" t="str">
        <f>'Meta-Map-2'!D66</f>
        <v>* differential.element[21].mapping[0].identity = "fhir"</v>
      </c>
    </row>
    <row r="67" spans="4:4" x14ac:dyDescent="0.75">
      <c r="D67" s="111" t="str">
        <f>'Meta-Map-2'!D67</f>
        <v>* differential.element[21].mapping[0].map = "DocumentReference.author.resolve().ofType(Practitioner).identifier"</v>
      </c>
    </row>
    <row r="68" spans="4:4" x14ac:dyDescent="0.75">
      <c r="D68" s="111" t="str">
        <f>'Meta-Map-2'!D68</f>
        <v/>
      </c>
    </row>
    <row r="69" spans="4:4" x14ac:dyDescent="0.75">
      <c r="D69" s="111" t="str">
        <f>'Meta-Map-2'!D69</f>
        <v>* differential.element[22].mapping[0].identity = "fhir"</v>
      </c>
    </row>
    <row r="70" spans="4:4" x14ac:dyDescent="0.75">
      <c r="D70" s="111" t="str">
        <f>'Meta-Map-2'!D70</f>
        <v>* differential.element[22].mapping[0].map = "DocumentReference.custodian.resolve().identifier"</v>
      </c>
    </row>
    <row r="71" spans="4:4" x14ac:dyDescent="0.75">
      <c r="D71" s="111" t="str">
        <f>'Meta-Map-2'!D71</f>
        <v/>
      </c>
    </row>
    <row r="72" spans="4:4" x14ac:dyDescent="0.75">
      <c r="D72" s="111" t="str">
        <f>'Meta-Map-2'!D72</f>
        <v/>
      </c>
    </row>
    <row r="73" spans="4:4" x14ac:dyDescent="0.75">
      <c r="D73" s="111" t="str">
        <f>'Meta-Map-2'!D73</f>
        <v/>
      </c>
    </row>
    <row r="74" spans="4:4" x14ac:dyDescent="0.75">
      <c r="D74" s="111" t="str">
        <f>'Meta-Map-2'!D74</f>
        <v/>
      </c>
    </row>
    <row r="75" spans="4:4" x14ac:dyDescent="0.75">
      <c r="D75" s="111" t="str">
        <f>'Meta-Map-2'!D75</f>
        <v/>
      </c>
    </row>
    <row r="76" spans="4:4" x14ac:dyDescent="0.75">
      <c r="D76" s="111" t="str">
        <f>'Meta-Map-2'!D76</f>
        <v/>
      </c>
    </row>
    <row r="77" spans="4:4" x14ac:dyDescent="0.75">
      <c r="D77" s="111" t="str">
        <f>'Meta-Map-2'!D77</f>
        <v/>
      </c>
    </row>
    <row r="78" spans="4:4" x14ac:dyDescent="0.75">
      <c r="D78" s="111" t="str">
        <f>'Meta-Map-2'!D78</f>
        <v/>
      </c>
    </row>
    <row r="79" spans="4:4" x14ac:dyDescent="0.75">
      <c r="D79" s="111" t="str">
        <f>'Meta-Map-2'!D79</f>
        <v/>
      </c>
    </row>
    <row r="80" spans="4:4" x14ac:dyDescent="0.75">
      <c r="D80" s="111" t="str">
        <f>'Meta-Map-2'!D80</f>
        <v/>
      </c>
    </row>
    <row r="81" spans="4:4" x14ac:dyDescent="0.75">
      <c r="D81" s="111" t="str">
        <f>'Meta-Map-2'!D81</f>
        <v/>
      </c>
    </row>
    <row r="82" spans="4:4" x14ac:dyDescent="0.75">
      <c r="D82" s="111" t="str">
        <f>'Meta-Map-2'!D82</f>
        <v/>
      </c>
    </row>
    <row r="83" spans="4:4" x14ac:dyDescent="0.75">
      <c r="D83" s="111" t="str">
        <f>'Meta-Map-2'!D83</f>
        <v/>
      </c>
    </row>
    <row r="84" spans="4:4" x14ac:dyDescent="0.75">
      <c r="D84" s="111" t="str">
        <f>'Meta-Map-2'!D84</f>
        <v/>
      </c>
    </row>
    <row r="85" spans="4:4" x14ac:dyDescent="0.75">
      <c r="D85" s="111" t="str">
        <f>'Meta-Map-2'!D85</f>
        <v/>
      </c>
    </row>
    <row r="86" spans="4:4" x14ac:dyDescent="0.75">
      <c r="D86" s="111" t="str">
        <f>'Meta-Map-2'!D86</f>
        <v/>
      </c>
    </row>
    <row r="87" spans="4:4" x14ac:dyDescent="0.75">
      <c r="D87" s="111" t="str">
        <f>'Meta-Map-2'!D87</f>
        <v/>
      </c>
    </row>
    <row r="88" spans="4:4" x14ac:dyDescent="0.75">
      <c r="D88" s="111" t="str">
        <f>'Meta-Map-2'!D88</f>
        <v/>
      </c>
    </row>
    <row r="89" spans="4:4" x14ac:dyDescent="0.75">
      <c r="D89" s="111" t="str">
        <f>'Meta-Map-2'!D89</f>
        <v/>
      </c>
    </row>
    <row r="90" spans="4:4" x14ac:dyDescent="0.75">
      <c r="D90" s="111" t="str">
        <f>'Meta-Map-2'!D90</f>
        <v/>
      </c>
    </row>
    <row r="91" spans="4:4" x14ac:dyDescent="0.75">
      <c r="D91" s="111" t="str">
        <f>'Meta-Map-2'!D91</f>
        <v/>
      </c>
    </row>
    <row r="92" spans="4:4" x14ac:dyDescent="0.75">
      <c r="D92" s="111" t="str">
        <f>'Meta-Map-2'!D92</f>
        <v/>
      </c>
    </row>
    <row r="93" spans="4:4" x14ac:dyDescent="0.75">
      <c r="D93" s="111" t="str">
        <f>'Meta-Map-2'!D93</f>
        <v/>
      </c>
    </row>
    <row r="94" spans="4:4" x14ac:dyDescent="0.75">
      <c r="D94" s="111" t="str">
        <f>'Meta-Map-2'!D94</f>
        <v/>
      </c>
    </row>
    <row r="95" spans="4:4" x14ac:dyDescent="0.75">
      <c r="D95" s="111" t="str">
        <f>'Meta-Map-2'!D95</f>
        <v/>
      </c>
    </row>
    <row r="96" spans="4:4" x14ac:dyDescent="0.75">
      <c r="D96" s="111" t="str">
        <f>'Meta-Map-2'!D96</f>
        <v/>
      </c>
    </row>
    <row r="97" spans="4:4" x14ac:dyDescent="0.75">
      <c r="D97" s="111" t="str">
        <f>'Meta-Map-2'!D97</f>
        <v/>
      </c>
    </row>
    <row r="98" spans="4:4" x14ac:dyDescent="0.75">
      <c r="D98" s="111" t="str">
        <f>'Meta-Map-2'!D98</f>
        <v/>
      </c>
    </row>
    <row r="99" spans="4:4" x14ac:dyDescent="0.75">
      <c r="D99" s="111" t="str">
        <f>'Meta-Map-2'!D99</f>
        <v/>
      </c>
    </row>
    <row r="100" spans="4:4" x14ac:dyDescent="0.75">
      <c r="D100" s="111" t="str">
        <f>'Meta-Map-2'!D100</f>
        <v/>
      </c>
    </row>
    <row r="101" spans="4:4" x14ac:dyDescent="0.75">
      <c r="D101" s="111" t="str">
        <f>'Meta-Map-2'!D101</f>
        <v/>
      </c>
    </row>
    <row r="102" spans="4:4" x14ac:dyDescent="0.75">
      <c r="D102" s="111" t="str">
        <f>'Meta-Map-2'!D102</f>
        <v/>
      </c>
    </row>
    <row r="103" spans="4:4" x14ac:dyDescent="0.75">
      <c r="D103" s="111" t="str">
        <f>'Meta-Map-2'!D103</f>
        <v/>
      </c>
    </row>
    <row r="104" spans="4:4" x14ac:dyDescent="0.75">
      <c r="D104" s="111" t="str">
        <f>'Meta-Map-2'!D104</f>
        <v/>
      </c>
    </row>
    <row r="105" spans="4:4" x14ac:dyDescent="0.75">
      <c r="D105" s="111" t="str">
        <f>'Meta-Map-2'!D105</f>
        <v/>
      </c>
    </row>
    <row r="106" spans="4:4" x14ac:dyDescent="0.75">
      <c r="D106" s="111" t="str">
        <f>'Meta-Map-2'!D106</f>
        <v/>
      </c>
    </row>
    <row r="107" spans="4:4" x14ac:dyDescent="0.75">
      <c r="D107" s="111" t="str">
        <f>'Meta-Map-2'!D107</f>
        <v/>
      </c>
    </row>
    <row r="108" spans="4:4" x14ac:dyDescent="0.75">
      <c r="D108" s="106"/>
    </row>
    <row r="110" spans="4:4" x14ac:dyDescent="0.75">
      <c r="D110" s="111" t="str">
        <f>'Meta-Map2-2'!D3</f>
        <v/>
      </c>
    </row>
    <row r="111" spans="4:4" x14ac:dyDescent="0.75">
      <c r="D111" s="111" t="str">
        <f>'Meta-Map2-2'!D4</f>
        <v/>
      </c>
    </row>
    <row r="112" spans="4:4" x14ac:dyDescent="0.75">
      <c r="D112" s="111" t="str">
        <f>'Meta-Map2-2'!D5</f>
        <v/>
      </c>
    </row>
    <row r="113" spans="4:4" x14ac:dyDescent="0.75">
      <c r="D113" s="111" t="str">
        <f>'Meta-Map2-2'!D6</f>
        <v/>
      </c>
    </row>
    <row r="114" spans="4:4" x14ac:dyDescent="0.75">
      <c r="D114" s="111" t="str">
        <f>'Meta-Map2-2'!D7</f>
        <v/>
      </c>
    </row>
    <row r="115" spans="4:4" x14ac:dyDescent="0.75">
      <c r="D115" s="111" t="str">
        <f>'Meta-Map2-2'!D8</f>
        <v/>
      </c>
    </row>
    <row r="116" spans="4:4" x14ac:dyDescent="0.75">
      <c r="D116" s="111" t="str">
        <f>'Meta-Map2-2'!D9</f>
        <v/>
      </c>
    </row>
    <row r="117" spans="4:4" x14ac:dyDescent="0.75">
      <c r="D117" s="111" t="str">
        <f>'Meta-Map2-2'!D10</f>
        <v/>
      </c>
    </row>
    <row r="118" spans="4:4" x14ac:dyDescent="0.75">
      <c r="D118" s="111" t="str">
        <f>'Meta-Map2-2'!D11</f>
        <v/>
      </c>
    </row>
    <row r="119" spans="4:4" x14ac:dyDescent="0.75">
      <c r="D119" s="111" t="str">
        <f>'Meta-Map2-2'!D12</f>
        <v/>
      </c>
    </row>
    <row r="120" spans="4:4" x14ac:dyDescent="0.75">
      <c r="D120" s="111" t="str">
        <f>'Meta-Map2-2'!D13</f>
        <v/>
      </c>
    </row>
    <row r="121" spans="4:4" x14ac:dyDescent="0.75">
      <c r="D121" s="111" t="str">
        <f>'Meta-Map2-2'!D14</f>
        <v/>
      </c>
    </row>
    <row r="122" spans="4:4" x14ac:dyDescent="0.75">
      <c r="D122" s="111" t="str">
        <f>'Meta-Map2-2'!D15</f>
        <v/>
      </c>
    </row>
    <row r="123" spans="4:4" x14ac:dyDescent="0.75">
      <c r="D123" s="111" t="str">
        <f>'Meta-Map2-2'!D16</f>
        <v/>
      </c>
    </row>
    <row r="124" spans="4:4" x14ac:dyDescent="0.75">
      <c r="D124" s="111" t="str">
        <f>'Meta-Map2-2'!D17</f>
        <v/>
      </c>
    </row>
    <row r="125" spans="4:4" x14ac:dyDescent="0.75">
      <c r="D125" s="111" t="str">
        <f>'Meta-Map2-2'!D18</f>
        <v/>
      </c>
    </row>
    <row r="126" spans="4:4" x14ac:dyDescent="0.75">
      <c r="D126" s="111" t="str">
        <f>'Meta-Map2-2'!D19</f>
        <v/>
      </c>
    </row>
    <row r="127" spans="4:4" x14ac:dyDescent="0.75">
      <c r="D127" s="111" t="str">
        <f>'Meta-Map2-2'!D20</f>
        <v/>
      </c>
    </row>
    <row r="128" spans="4:4" x14ac:dyDescent="0.75">
      <c r="D128" s="111" t="str">
        <f>'Meta-Map2-2'!D21</f>
        <v/>
      </c>
    </row>
    <row r="129" spans="4:4" x14ac:dyDescent="0.75">
      <c r="D129" s="111" t="str">
        <f>'Meta-Map2-2'!D22</f>
        <v/>
      </c>
    </row>
    <row r="130" spans="4:4" x14ac:dyDescent="0.75">
      <c r="D130" s="111" t="str">
        <f>'Meta-Map2-2'!D23</f>
        <v/>
      </c>
    </row>
    <row r="131" spans="4:4" x14ac:dyDescent="0.75">
      <c r="D131" s="111" t="str">
        <f>'Meta-Map2-2'!D24</f>
        <v/>
      </c>
    </row>
    <row r="132" spans="4:4" x14ac:dyDescent="0.75">
      <c r="D132" s="111" t="str">
        <f>'Meta-Map2-2'!D25</f>
        <v/>
      </c>
    </row>
    <row r="133" spans="4:4" x14ac:dyDescent="0.75">
      <c r="D133" s="111" t="str">
        <f>'Meta-Map2-2'!D26</f>
        <v/>
      </c>
    </row>
    <row r="134" spans="4:4" x14ac:dyDescent="0.75">
      <c r="D134" s="111" t="str">
        <f>'Meta-Map2-2'!D27</f>
        <v/>
      </c>
    </row>
    <row r="135" spans="4:4" x14ac:dyDescent="0.75">
      <c r="D135" s="111" t="str">
        <f>'Meta-Map2-2'!D28</f>
        <v/>
      </c>
    </row>
    <row r="136" spans="4:4" x14ac:dyDescent="0.75">
      <c r="D136" s="111" t="str">
        <f>'Meta-Map2-2'!D29</f>
        <v/>
      </c>
    </row>
    <row r="137" spans="4:4" x14ac:dyDescent="0.75">
      <c r="D137" s="111" t="str">
        <f>'Meta-Map2-2'!D30</f>
        <v/>
      </c>
    </row>
    <row r="138" spans="4:4" x14ac:dyDescent="0.75">
      <c r="D138" s="111" t="str">
        <f>'Meta-Map2-2'!D31</f>
        <v/>
      </c>
    </row>
    <row r="139" spans="4:4" x14ac:dyDescent="0.75">
      <c r="D139" s="111" t="str">
        <f>'Meta-Map2-2'!D32</f>
        <v/>
      </c>
    </row>
    <row r="140" spans="4:4" x14ac:dyDescent="0.75">
      <c r="D140" s="111" t="str">
        <f>'Meta-Map2-2'!D33</f>
        <v/>
      </c>
    </row>
    <row r="141" spans="4:4" x14ac:dyDescent="0.75">
      <c r="D141" s="111" t="str">
        <f>'Meta-Map2-2'!D34</f>
        <v/>
      </c>
    </row>
    <row r="142" spans="4:4" x14ac:dyDescent="0.75">
      <c r="D142" s="111" t="str">
        <f>'Meta-Map2-2'!D35</f>
        <v/>
      </c>
    </row>
    <row r="143" spans="4:4" x14ac:dyDescent="0.75">
      <c r="D143" s="111" t="str">
        <f>'Meta-Map2-2'!D36</f>
        <v/>
      </c>
    </row>
    <row r="144" spans="4:4" x14ac:dyDescent="0.75">
      <c r="D144" s="111" t="str">
        <f>'Meta-Map2-2'!D37</f>
        <v/>
      </c>
    </row>
    <row r="145" spans="4:4" x14ac:dyDescent="0.75">
      <c r="D145" s="111" t="str">
        <f>'Meta-Map2-2'!D38</f>
        <v/>
      </c>
    </row>
    <row r="146" spans="4:4" x14ac:dyDescent="0.75">
      <c r="D146" s="111" t="str">
        <f>'Meta-Map2-2'!D39</f>
        <v/>
      </c>
    </row>
    <row r="147" spans="4:4" x14ac:dyDescent="0.75">
      <c r="D147" s="111" t="str">
        <f>'Meta-Map2-2'!D40</f>
        <v/>
      </c>
    </row>
    <row r="148" spans="4:4" x14ac:dyDescent="0.75">
      <c r="D148" s="111" t="str">
        <f>'Meta-Map2-2'!D41</f>
        <v/>
      </c>
    </row>
    <row r="149" spans="4:4" x14ac:dyDescent="0.75">
      <c r="D149" s="111" t="str">
        <f>'Meta-Map2-2'!D42</f>
        <v/>
      </c>
    </row>
    <row r="150" spans="4:4" x14ac:dyDescent="0.75">
      <c r="D150" s="111" t="str">
        <f>'Meta-Map2-2'!D43</f>
        <v/>
      </c>
    </row>
    <row r="151" spans="4:4" x14ac:dyDescent="0.75">
      <c r="D151" s="111" t="str">
        <f>'Meta-Map2-2'!D44</f>
        <v/>
      </c>
    </row>
    <row r="152" spans="4:4" x14ac:dyDescent="0.75">
      <c r="D152" s="111" t="str">
        <f>'Meta-Map2-2'!D45</f>
        <v/>
      </c>
    </row>
    <row r="153" spans="4:4" x14ac:dyDescent="0.75">
      <c r="D153" s="111" t="str">
        <f>'Meta-Map2-2'!D46</f>
        <v/>
      </c>
    </row>
    <row r="154" spans="4:4" x14ac:dyDescent="0.75">
      <c r="D154" s="111" t="str">
        <f>'Meta-Map2-2'!D47</f>
        <v/>
      </c>
    </row>
    <row r="155" spans="4:4" x14ac:dyDescent="0.75">
      <c r="D155" s="111" t="str">
        <f>'Meta-Map2-2'!D48</f>
        <v/>
      </c>
    </row>
    <row r="156" spans="4:4" x14ac:dyDescent="0.75">
      <c r="D156" s="111" t="str">
        <f>'Meta-Map2-2'!D49</f>
        <v/>
      </c>
    </row>
    <row r="157" spans="4:4" x14ac:dyDescent="0.75">
      <c r="D157" s="111" t="str">
        <f>'Meta-Map2-2'!D50</f>
        <v/>
      </c>
    </row>
    <row r="158" spans="4:4" x14ac:dyDescent="0.75">
      <c r="D158" s="111" t="str">
        <f>'Meta-Map2-2'!D51</f>
        <v/>
      </c>
    </row>
    <row r="159" spans="4:4" x14ac:dyDescent="0.75">
      <c r="D159" s="111" t="str">
        <f>'Meta-Map2-2'!D52</f>
        <v/>
      </c>
    </row>
    <row r="160" spans="4:4" x14ac:dyDescent="0.75">
      <c r="D160" s="111" t="str">
        <f>'Meta-Map2-2'!D53</f>
        <v/>
      </c>
    </row>
    <row r="161" spans="4:4" x14ac:dyDescent="0.75">
      <c r="D161" s="111" t="str">
        <f>'Meta-Map2-2'!D54</f>
        <v/>
      </c>
    </row>
    <row r="162" spans="4:4" x14ac:dyDescent="0.75">
      <c r="D162" s="111" t="str">
        <f>'Meta-Map2-2'!D55</f>
        <v/>
      </c>
    </row>
    <row r="163" spans="4:4" x14ac:dyDescent="0.75">
      <c r="D163" s="111" t="str">
        <f>'Meta-Map2-2'!D56</f>
        <v/>
      </c>
    </row>
    <row r="164" spans="4:4" x14ac:dyDescent="0.75">
      <c r="D164" s="111" t="str">
        <f>'Meta-Map2-2'!D57</f>
        <v/>
      </c>
    </row>
    <row r="165" spans="4:4" x14ac:dyDescent="0.75">
      <c r="D165" s="111" t="str">
        <f>'Meta-Map2-2'!D58</f>
        <v/>
      </c>
    </row>
    <row r="166" spans="4:4" x14ac:dyDescent="0.75">
      <c r="D166" s="111" t="str">
        <f>'Meta-Map2-2'!D59</f>
        <v/>
      </c>
    </row>
    <row r="167" spans="4:4" x14ac:dyDescent="0.75">
      <c r="D167" s="111" t="str">
        <f>'Meta-Map2-2'!D60</f>
        <v/>
      </c>
    </row>
    <row r="168" spans="4:4" x14ac:dyDescent="0.75">
      <c r="D168" s="111" t="str">
        <f>'Meta-Map2-2'!D61</f>
        <v/>
      </c>
    </row>
    <row r="169" spans="4:4" x14ac:dyDescent="0.75">
      <c r="D169" s="111" t="str">
        <f>'Meta-Map2-2'!D62</f>
        <v/>
      </c>
    </row>
    <row r="170" spans="4:4" x14ac:dyDescent="0.75">
      <c r="D170" s="111" t="str">
        <f>'Meta-Map2-2'!D63</f>
        <v/>
      </c>
    </row>
    <row r="171" spans="4:4" x14ac:dyDescent="0.75">
      <c r="D171" s="111" t="str">
        <f>'Meta-Map2-2'!D64</f>
        <v/>
      </c>
    </row>
    <row r="172" spans="4:4" x14ac:dyDescent="0.75">
      <c r="D172" s="111" t="str">
        <f>'Meta-Map2-2'!D65</f>
        <v/>
      </c>
    </row>
    <row r="173" spans="4:4" x14ac:dyDescent="0.75">
      <c r="D173" s="111" t="str">
        <f>'Meta-Map2-2'!D66</f>
        <v/>
      </c>
    </row>
    <row r="174" spans="4:4" x14ac:dyDescent="0.75">
      <c r="D174" s="111" t="str">
        <f>'Meta-Map2-2'!D67</f>
        <v/>
      </c>
    </row>
    <row r="175" spans="4:4" x14ac:dyDescent="0.75">
      <c r="D175" s="111" t="str">
        <f>'Meta-Map2-2'!D68</f>
        <v/>
      </c>
    </row>
    <row r="176" spans="4:4" x14ac:dyDescent="0.75">
      <c r="D176" s="111" t="str">
        <f>'Meta-Map2-2'!D69</f>
        <v/>
      </c>
    </row>
    <row r="177" spans="4:4" x14ac:dyDescent="0.75">
      <c r="D177" s="111" t="str">
        <f>'Meta-Map2-2'!D70</f>
        <v/>
      </c>
    </row>
    <row r="178" spans="4:4" x14ac:dyDescent="0.75">
      <c r="D178" s="111" t="str">
        <f>'Meta-Map2-2'!D71</f>
        <v/>
      </c>
    </row>
    <row r="179" spans="4:4" x14ac:dyDescent="0.75">
      <c r="D179" s="111" t="str">
        <f>'Meta-Map2-2'!D72</f>
        <v/>
      </c>
    </row>
    <row r="180" spans="4:4" x14ac:dyDescent="0.75">
      <c r="D180" s="111" t="str">
        <f>'Meta-Map2-2'!D73</f>
        <v/>
      </c>
    </row>
    <row r="181" spans="4:4" x14ac:dyDescent="0.75">
      <c r="D181" s="111" t="str">
        <f>'Meta-Map2-2'!D74</f>
        <v/>
      </c>
    </row>
    <row r="182" spans="4:4" x14ac:dyDescent="0.75">
      <c r="D182" s="111" t="str">
        <f>'Meta-Map2-2'!D75</f>
        <v/>
      </c>
    </row>
    <row r="183" spans="4:4" x14ac:dyDescent="0.75">
      <c r="D183" s="111" t="str">
        <f>'Meta-Map2-2'!D76</f>
        <v/>
      </c>
    </row>
    <row r="184" spans="4:4" x14ac:dyDescent="0.75">
      <c r="D184" s="111" t="str">
        <f>'Meta-Map2-2'!D77</f>
        <v/>
      </c>
    </row>
    <row r="185" spans="4:4" x14ac:dyDescent="0.75">
      <c r="D185" s="111" t="str">
        <f>'Meta-Map2-2'!D78</f>
        <v/>
      </c>
    </row>
    <row r="186" spans="4:4" x14ac:dyDescent="0.75">
      <c r="D186" s="111" t="str">
        <f>'Meta-Map2-2'!D79</f>
        <v/>
      </c>
    </row>
    <row r="187" spans="4:4" x14ac:dyDescent="0.75">
      <c r="D187" s="111" t="str">
        <f>'Meta-Map2-2'!D80</f>
        <v/>
      </c>
    </row>
    <row r="188" spans="4:4" x14ac:dyDescent="0.75">
      <c r="D188" s="111" t="str">
        <f>'Meta-Map2-2'!D81</f>
        <v/>
      </c>
    </row>
    <row r="189" spans="4:4" x14ac:dyDescent="0.75">
      <c r="D189" s="111" t="str">
        <f>'Meta-Map2-2'!D82</f>
        <v/>
      </c>
    </row>
    <row r="190" spans="4:4" x14ac:dyDescent="0.75">
      <c r="D190" s="111" t="str">
        <f>'Meta-Map2-2'!D83</f>
        <v/>
      </c>
    </row>
    <row r="191" spans="4:4" x14ac:dyDescent="0.75">
      <c r="D191" s="111" t="str">
        <f>'Meta-Map2-2'!D84</f>
        <v/>
      </c>
    </row>
    <row r="192" spans="4:4" x14ac:dyDescent="0.75">
      <c r="D192" s="111" t="str">
        <f>'Meta-Map2-2'!D85</f>
        <v/>
      </c>
    </row>
    <row r="193" spans="4:4" x14ac:dyDescent="0.75">
      <c r="D193" s="111" t="str">
        <f>'Meta-Map2-2'!D86</f>
        <v/>
      </c>
    </row>
    <row r="194" spans="4:4" x14ac:dyDescent="0.75">
      <c r="D194" s="111" t="str">
        <f>'Meta-Map2-2'!D87</f>
        <v/>
      </c>
    </row>
    <row r="195" spans="4:4" x14ac:dyDescent="0.75">
      <c r="D195" s="111" t="str">
        <f>'Meta-Map2-2'!D88</f>
        <v/>
      </c>
    </row>
    <row r="196" spans="4:4" x14ac:dyDescent="0.75">
      <c r="D196" s="111" t="str">
        <f>'Meta-Map2-2'!D89</f>
        <v/>
      </c>
    </row>
    <row r="197" spans="4:4" x14ac:dyDescent="0.75">
      <c r="D197" s="111" t="str">
        <f>'Meta-Map2-2'!D90</f>
        <v/>
      </c>
    </row>
    <row r="198" spans="4:4" x14ac:dyDescent="0.75">
      <c r="D198" s="111" t="str">
        <f>'Meta-Map2-2'!D91</f>
        <v/>
      </c>
    </row>
    <row r="199" spans="4:4" x14ac:dyDescent="0.75">
      <c r="D199" s="111" t="str">
        <f>'Meta-Map2-2'!D92</f>
        <v/>
      </c>
    </row>
    <row r="200" spans="4:4" x14ac:dyDescent="0.75">
      <c r="D200" s="111" t="str">
        <f>'Meta-Map2-2'!D93</f>
        <v/>
      </c>
    </row>
    <row r="201" spans="4:4" x14ac:dyDescent="0.75">
      <c r="D201" s="111" t="str">
        <f>'Meta-Map2-2'!D94</f>
        <v/>
      </c>
    </row>
    <row r="202" spans="4:4" x14ac:dyDescent="0.75">
      <c r="D202" s="111" t="str">
        <f>'Meta-Map2-2'!D95</f>
        <v/>
      </c>
    </row>
    <row r="203" spans="4:4" x14ac:dyDescent="0.75">
      <c r="D203" s="111" t="str">
        <f>'Meta-Map2-2'!D96</f>
        <v/>
      </c>
    </row>
    <row r="204" spans="4:4" x14ac:dyDescent="0.75">
      <c r="D204" s="111" t="str">
        <f>'Meta-Map2-2'!D97</f>
        <v/>
      </c>
    </row>
    <row r="205" spans="4:4" x14ac:dyDescent="0.75">
      <c r="D205" s="111" t="str">
        <f>'Meta-Map2-2'!D98</f>
        <v/>
      </c>
    </row>
    <row r="206" spans="4:4" x14ac:dyDescent="0.75">
      <c r="D206" s="111" t="str">
        <f>'Meta-Map2-2'!D99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workbookViewId="0"/>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912</v>
      </c>
      <c r="D2" s="152" t="s">
        <v>989</v>
      </c>
      <c r="E2" s="25"/>
      <c r="F2" s="25"/>
      <c r="G2" s="25"/>
    </row>
    <row r="3" spans="1:9" x14ac:dyDescent="0.75">
      <c r="B3" s="20" t="s">
        <v>34</v>
      </c>
      <c r="C3" s="25"/>
      <c r="D3" s="56"/>
      <c r="E3" s="25"/>
      <c r="F3" s="25"/>
      <c r="G3" s="25"/>
    </row>
    <row r="4" spans="1:9" ht="15.5" thickBot="1" x14ac:dyDescent="0.9">
      <c r="B4" s="22" t="s">
        <v>52</v>
      </c>
      <c r="C4" s="148" t="s">
        <v>913</v>
      </c>
      <c r="D4" s="57"/>
      <c r="E4" s="25"/>
      <c r="F4" s="25"/>
      <c r="G4" s="25"/>
    </row>
    <row r="5" spans="1:9" x14ac:dyDescent="0.75">
      <c r="B5" s="25"/>
      <c r="C5" s="51" t="s">
        <v>7</v>
      </c>
      <c r="D5" s="4" t="s">
        <v>8</v>
      </c>
      <c r="E5" s="11" t="s">
        <v>17</v>
      </c>
      <c r="F5" s="11" t="s">
        <v>18</v>
      </c>
      <c r="G5" s="11" t="s">
        <v>19</v>
      </c>
    </row>
    <row r="6" spans="1:9" ht="15.5" thickBot="1" x14ac:dyDescent="0.9">
      <c r="A6">
        <v>0</v>
      </c>
      <c r="B6" s="33" t="s">
        <v>913</v>
      </c>
      <c r="C6" s="148" t="s">
        <v>912</v>
      </c>
      <c r="D6" s="148" t="s">
        <v>912</v>
      </c>
      <c r="E6" s="34">
        <v>1</v>
      </c>
      <c r="F6" s="34">
        <v>1</v>
      </c>
      <c r="G6" s="34" t="s">
        <v>21</v>
      </c>
    </row>
    <row r="7" spans="1:9" x14ac:dyDescent="0.75">
      <c r="A7" s="2">
        <v>1</v>
      </c>
      <c r="B7" s="26" t="s">
        <v>35</v>
      </c>
      <c r="C7" s="111" t="s">
        <v>914</v>
      </c>
      <c r="D7" s="111" t="s">
        <v>342</v>
      </c>
      <c r="E7" s="26">
        <v>1</v>
      </c>
      <c r="F7" s="26" t="s">
        <v>20</v>
      </c>
      <c r="G7" s="26" t="s">
        <v>0</v>
      </c>
      <c r="H7" s="2"/>
      <c r="I7" s="2"/>
    </row>
    <row r="8" spans="1:9" x14ac:dyDescent="0.75">
      <c r="A8" s="25">
        <v>2</v>
      </c>
      <c r="B8" s="111" t="s">
        <v>895</v>
      </c>
      <c r="C8" s="111" t="s">
        <v>128</v>
      </c>
      <c r="D8" s="111" t="s">
        <v>128</v>
      </c>
      <c r="E8" s="26">
        <v>1</v>
      </c>
      <c r="F8" s="26" t="s">
        <v>20</v>
      </c>
      <c r="G8" s="111" t="s">
        <v>0</v>
      </c>
      <c r="H8" s="2"/>
      <c r="I8" s="2"/>
    </row>
    <row r="9" spans="1:9" x14ac:dyDescent="0.75">
      <c r="A9" s="26">
        <v>3</v>
      </c>
      <c r="B9" s="111" t="s">
        <v>896</v>
      </c>
      <c r="C9" s="111" t="s">
        <v>281</v>
      </c>
      <c r="D9" s="111" t="s">
        <v>281</v>
      </c>
      <c r="E9" s="26">
        <v>1</v>
      </c>
      <c r="F9" s="26" t="s">
        <v>20</v>
      </c>
      <c r="G9" s="111" t="s">
        <v>0</v>
      </c>
      <c r="H9" s="2"/>
      <c r="I9" s="2"/>
    </row>
    <row r="10" spans="1:9" x14ac:dyDescent="0.75">
      <c r="A10" s="25">
        <v>4</v>
      </c>
      <c r="B10" s="112" t="s">
        <v>874</v>
      </c>
      <c r="C10" s="112" t="s">
        <v>887</v>
      </c>
      <c r="D10" s="112" t="s">
        <v>915</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947</v>
      </c>
      <c r="D16" s="67" t="s">
        <v>350</v>
      </c>
      <c r="E16" s="26">
        <v>0</v>
      </c>
      <c r="F16" s="26" t="s">
        <v>20</v>
      </c>
      <c r="G16" s="26" t="s">
        <v>5</v>
      </c>
      <c r="H16" s="2"/>
      <c r="I16" s="2"/>
    </row>
    <row r="17" spans="1:11" ht="74" x14ac:dyDescent="0.75">
      <c r="A17" s="111">
        <v>11</v>
      </c>
      <c r="B17" s="149" t="s">
        <v>918</v>
      </c>
      <c r="C17" s="26" t="s">
        <v>948</v>
      </c>
      <c r="D17" s="67" t="s">
        <v>917</v>
      </c>
      <c r="E17" s="26">
        <v>0</v>
      </c>
      <c r="F17" s="26">
        <v>1</v>
      </c>
      <c r="G17" s="111" t="s">
        <v>1</v>
      </c>
      <c r="H17" s="67"/>
      <c r="I17" s="2"/>
    </row>
    <row r="18" spans="1:11" ht="240.5" x14ac:dyDescent="0.75">
      <c r="A18" s="109">
        <v>12</v>
      </c>
      <c r="B18" s="149" t="s">
        <v>919</v>
      </c>
      <c r="C18" s="26" t="s">
        <v>921</v>
      </c>
      <c r="D18" s="95" t="s">
        <v>920</v>
      </c>
      <c r="E18" s="26">
        <v>0</v>
      </c>
      <c r="F18" s="26">
        <v>1</v>
      </c>
      <c r="G18" s="111" t="s">
        <v>1</v>
      </c>
      <c r="H18" s="67"/>
      <c r="I18" s="2"/>
    </row>
    <row r="19" spans="1:11" ht="92.5" x14ac:dyDescent="0.75">
      <c r="A19" s="109">
        <v>13</v>
      </c>
      <c r="B19" s="149" t="s">
        <v>922</v>
      </c>
      <c r="C19" s="26" t="s">
        <v>365</v>
      </c>
      <c r="D19" s="67" t="s">
        <v>916</v>
      </c>
      <c r="E19" s="32">
        <v>0</v>
      </c>
      <c r="F19" s="2">
        <v>1</v>
      </c>
      <c r="G19" s="111" t="s">
        <v>1</v>
      </c>
      <c r="H19" s="67"/>
    </row>
    <row r="20" spans="1:11" ht="129.5" x14ac:dyDescent="0.75">
      <c r="A20" s="111">
        <v>14</v>
      </c>
      <c r="B20" s="151" t="s">
        <v>944</v>
      </c>
      <c r="C20" s="24" t="s">
        <v>949</v>
      </c>
      <c r="D20" s="71" t="s">
        <v>372</v>
      </c>
      <c r="E20" s="32">
        <v>0</v>
      </c>
      <c r="F20" s="2">
        <v>1</v>
      </c>
      <c r="G20" s="2" t="s">
        <v>3</v>
      </c>
      <c r="H20" s="67"/>
    </row>
    <row r="21" spans="1:11" s="109" customFormat="1" ht="18.5" x14ac:dyDescent="0.75">
      <c r="A21" s="109">
        <v>15</v>
      </c>
      <c r="B21" s="149" t="s">
        <v>923</v>
      </c>
      <c r="C21" s="111" t="s">
        <v>960</v>
      </c>
      <c r="D21" s="95" t="s">
        <v>960</v>
      </c>
      <c r="E21" s="113">
        <v>0</v>
      </c>
      <c r="F21" s="111">
        <v>1</v>
      </c>
      <c r="G21" s="111" t="s">
        <v>5</v>
      </c>
      <c r="H21" s="67"/>
    </row>
    <row r="22" spans="1:11" ht="111" x14ac:dyDescent="0.75">
      <c r="A22" s="111">
        <v>16</v>
      </c>
      <c r="B22" s="26" t="s">
        <v>924</v>
      </c>
      <c r="C22" s="26" t="s">
        <v>950</v>
      </c>
      <c r="D22" s="95" t="s">
        <v>945</v>
      </c>
      <c r="E22" s="32">
        <v>0</v>
      </c>
      <c r="F22" s="2">
        <v>1</v>
      </c>
      <c r="G22" s="111" t="s">
        <v>1</v>
      </c>
      <c r="H22" s="67"/>
    </row>
    <row r="23" spans="1:11" ht="18.5" x14ac:dyDescent="0.75">
      <c r="A23" s="109">
        <v>17</v>
      </c>
      <c r="B23" s="111" t="s">
        <v>925</v>
      </c>
      <c r="C23" s="26" t="s">
        <v>951</v>
      </c>
      <c r="D23" s="67" t="s">
        <v>961</v>
      </c>
      <c r="E23" s="113">
        <v>0</v>
      </c>
      <c r="F23" s="113">
        <v>1</v>
      </c>
      <c r="G23" s="111" t="s">
        <v>5</v>
      </c>
      <c r="H23" s="67"/>
      <c r="K23">
        <f>800*20</f>
        <v>16000</v>
      </c>
    </row>
    <row r="24" spans="1:11" s="109" customFormat="1" ht="74" x14ac:dyDescent="0.75">
      <c r="A24" s="111">
        <v>18</v>
      </c>
      <c r="B24" s="111" t="s">
        <v>933</v>
      </c>
      <c r="C24" s="111" t="s">
        <v>952</v>
      </c>
      <c r="D24" s="67" t="s">
        <v>962</v>
      </c>
      <c r="E24" s="113">
        <v>1</v>
      </c>
      <c r="F24" s="113">
        <v>1</v>
      </c>
      <c r="G24" s="111" t="s">
        <v>1</v>
      </c>
      <c r="H24" s="67"/>
    </row>
    <row r="25" spans="1:11" ht="129.5" x14ac:dyDescent="0.75">
      <c r="A25" s="109">
        <v>19</v>
      </c>
      <c r="B25" s="111" t="s">
        <v>927</v>
      </c>
      <c r="C25" s="26" t="s">
        <v>381</v>
      </c>
      <c r="D25" s="67" t="s">
        <v>963</v>
      </c>
      <c r="E25" s="113">
        <v>1</v>
      </c>
      <c r="F25" s="113">
        <v>1</v>
      </c>
      <c r="G25" s="111" t="s">
        <v>1</v>
      </c>
      <c r="H25" s="67"/>
    </row>
    <row r="26" spans="1:11" ht="37" x14ac:dyDescent="0.75">
      <c r="A26" s="111">
        <v>20</v>
      </c>
      <c r="B26" s="111" t="s">
        <v>928</v>
      </c>
      <c r="C26" s="26" t="s">
        <v>885</v>
      </c>
      <c r="D26" s="67" t="s">
        <v>388</v>
      </c>
      <c r="E26" s="32">
        <v>0</v>
      </c>
      <c r="F26" s="2">
        <v>1</v>
      </c>
      <c r="G26" s="2" t="s">
        <v>4</v>
      </c>
      <c r="H26" s="67" t="s">
        <v>108</v>
      </c>
    </row>
    <row r="27" spans="1:11" ht="37" x14ac:dyDescent="0.75">
      <c r="A27" s="109">
        <v>21</v>
      </c>
      <c r="B27" s="111" t="s">
        <v>929</v>
      </c>
      <c r="C27" s="26" t="s">
        <v>886</v>
      </c>
      <c r="D27" s="67" t="s">
        <v>391</v>
      </c>
      <c r="E27" s="113">
        <v>0</v>
      </c>
      <c r="F27" s="111">
        <v>1</v>
      </c>
      <c r="G27" s="111" t="s">
        <v>4</v>
      </c>
      <c r="H27" s="67" t="s">
        <v>108</v>
      </c>
    </row>
    <row r="28" spans="1:11" ht="18.5" x14ac:dyDescent="0.75">
      <c r="A28" s="111">
        <v>22</v>
      </c>
      <c r="B28" s="111" t="s">
        <v>926</v>
      </c>
      <c r="C28" s="111" t="s">
        <v>953</v>
      </c>
      <c r="D28" s="111" t="s">
        <v>964</v>
      </c>
      <c r="E28" s="113">
        <v>0</v>
      </c>
      <c r="F28" s="113">
        <v>1</v>
      </c>
      <c r="G28" s="111" t="s">
        <v>5</v>
      </c>
      <c r="H28" s="67"/>
    </row>
    <row r="29" spans="1:11" s="109" customFormat="1" ht="74" x14ac:dyDescent="0.75">
      <c r="A29" s="109">
        <v>23</v>
      </c>
      <c r="B29" s="111" t="s">
        <v>934</v>
      </c>
      <c r="C29" s="111" t="s">
        <v>954</v>
      </c>
      <c r="D29" s="95" t="s">
        <v>965</v>
      </c>
      <c r="E29" s="113">
        <v>1</v>
      </c>
      <c r="F29" s="113">
        <v>1</v>
      </c>
      <c r="G29" s="111" t="s">
        <v>1</v>
      </c>
      <c r="H29" s="67"/>
    </row>
    <row r="30" spans="1:11" ht="74" x14ac:dyDescent="0.75">
      <c r="A30" s="111">
        <v>24</v>
      </c>
      <c r="B30" s="111" t="s">
        <v>930</v>
      </c>
      <c r="C30" s="111" t="s">
        <v>381</v>
      </c>
      <c r="D30" s="67" t="s">
        <v>966</v>
      </c>
      <c r="E30" s="113">
        <v>1</v>
      </c>
      <c r="F30" s="113">
        <v>1</v>
      </c>
      <c r="G30" s="111" t="s">
        <v>1</v>
      </c>
      <c r="H30" s="67"/>
    </row>
    <row r="31" spans="1:11" ht="37" x14ac:dyDescent="0.75">
      <c r="A31" s="109">
        <v>25</v>
      </c>
      <c r="B31" s="111" t="s">
        <v>931</v>
      </c>
      <c r="C31" s="111" t="s">
        <v>885</v>
      </c>
      <c r="D31" s="67" t="s">
        <v>400</v>
      </c>
      <c r="E31" s="10">
        <v>0</v>
      </c>
      <c r="F31" s="10">
        <v>1</v>
      </c>
      <c r="G31" s="2" t="s">
        <v>4</v>
      </c>
      <c r="H31" s="67" t="s">
        <v>108</v>
      </c>
    </row>
    <row r="32" spans="1:11" ht="37" x14ac:dyDescent="0.75">
      <c r="A32" s="109">
        <v>26</v>
      </c>
      <c r="B32" s="111" t="s">
        <v>932</v>
      </c>
      <c r="C32" s="111" t="s">
        <v>886</v>
      </c>
      <c r="D32" s="67" t="s">
        <v>402</v>
      </c>
      <c r="E32" s="10">
        <v>0</v>
      </c>
      <c r="F32" s="10">
        <v>1</v>
      </c>
      <c r="G32" s="2" t="s">
        <v>4</v>
      </c>
      <c r="H32" s="67" t="s">
        <v>108</v>
      </c>
    </row>
    <row r="33" spans="1:8" ht="18.5" x14ac:dyDescent="0.75">
      <c r="A33" s="111">
        <v>27</v>
      </c>
      <c r="B33" s="26" t="s">
        <v>935</v>
      </c>
      <c r="C33" s="111" t="s">
        <v>955</v>
      </c>
      <c r="D33" s="67" t="s">
        <v>406</v>
      </c>
      <c r="E33" s="10">
        <v>0</v>
      </c>
      <c r="F33" s="10" t="s">
        <v>20</v>
      </c>
      <c r="G33" s="2" t="s">
        <v>3</v>
      </c>
      <c r="H33" s="67"/>
    </row>
    <row r="34" spans="1:8" s="109" customFormat="1" ht="18.5" x14ac:dyDescent="0.75">
      <c r="A34" s="109">
        <v>28</v>
      </c>
      <c r="B34" s="111" t="s">
        <v>936</v>
      </c>
      <c r="C34" s="111" t="s">
        <v>956</v>
      </c>
      <c r="D34" s="111" t="s">
        <v>967</v>
      </c>
      <c r="E34" s="113">
        <v>0</v>
      </c>
      <c r="F34" s="113">
        <v>1</v>
      </c>
      <c r="G34" s="111" t="s">
        <v>5</v>
      </c>
      <c r="H34" s="67"/>
    </row>
    <row r="35" spans="1:8" ht="111" x14ac:dyDescent="0.75">
      <c r="A35" s="111">
        <v>29</v>
      </c>
      <c r="B35" s="111" t="s">
        <v>938</v>
      </c>
      <c r="C35" s="111" t="s">
        <v>937</v>
      </c>
      <c r="D35" s="67" t="s">
        <v>968</v>
      </c>
      <c r="E35" s="10">
        <v>1</v>
      </c>
      <c r="F35" s="10">
        <v>1</v>
      </c>
      <c r="G35" s="111" t="s">
        <v>1</v>
      </c>
      <c r="H35" s="70"/>
    </row>
    <row r="36" spans="1:8" ht="74" x14ac:dyDescent="0.75">
      <c r="A36" s="109">
        <v>30</v>
      </c>
      <c r="B36" s="111" t="s">
        <v>939</v>
      </c>
      <c r="C36" s="111" t="s">
        <v>957</v>
      </c>
      <c r="D36" s="67" t="s">
        <v>969</v>
      </c>
      <c r="E36" s="10">
        <v>1</v>
      </c>
      <c r="F36" s="10">
        <v>1</v>
      </c>
      <c r="G36" s="111" t="s">
        <v>1</v>
      </c>
      <c r="H36" s="67"/>
    </row>
    <row r="37" spans="1:8" s="109" customFormat="1" ht="18.5" x14ac:dyDescent="0.75">
      <c r="A37" s="111">
        <v>31</v>
      </c>
      <c r="B37" s="111" t="s">
        <v>940</v>
      </c>
      <c r="C37" s="111" t="s">
        <v>958</v>
      </c>
      <c r="D37" s="111" t="s">
        <v>970</v>
      </c>
      <c r="E37" s="113">
        <v>0</v>
      </c>
      <c r="F37" s="113">
        <v>1</v>
      </c>
      <c r="G37" s="111" t="s">
        <v>5</v>
      </c>
      <c r="H37" s="67"/>
    </row>
    <row r="38" spans="1:8" ht="111" x14ac:dyDescent="0.75">
      <c r="A38" s="109">
        <v>32</v>
      </c>
      <c r="B38" s="111" t="s">
        <v>941</v>
      </c>
      <c r="C38" s="111" t="s">
        <v>937</v>
      </c>
      <c r="D38" s="67" t="s">
        <v>971</v>
      </c>
      <c r="E38" s="113">
        <v>1</v>
      </c>
      <c r="F38" s="113">
        <v>1</v>
      </c>
      <c r="G38" s="111" t="s">
        <v>1</v>
      </c>
      <c r="H38" s="70"/>
    </row>
    <row r="39" spans="1:8" ht="74" x14ac:dyDescent="0.75">
      <c r="A39" s="111">
        <v>33</v>
      </c>
      <c r="B39" s="111" t="s">
        <v>942</v>
      </c>
      <c r="C39" s="111" t="s">
        <v>957</v>
      </c>
      <c r="D39" s="67" t="s">
        <v>972</v>
      </c>
      <c r="E39" s="113">
        <v>1</v>
      </c>
      <c r="F39" s="113">
        <v>1</v>
      </c>
      <c r="G39" s="111" t="s">
        <v>1</v>
      </c>
      <c r="H39" s="67"/>
    </row>
    <row r="40" spans="1:8" ht="55.5" x14ac:dyDescent="0.75">
      <c r="A40" s="109">
        <v>34</v>
      </c>
      <c r="B40" s="150" t="s">
        <v>943</v>
      </c>
      <c r="C40" s="111" t="s">
        <v>959</v>
      </c>
      <c r="D40" s="67" t="s">
        <v>424</v>
      </c>
      <c r="E40" s="150">
        <v>0</v>
      </c>
      <c r="F40" s="150">
        <v>1</v>
      </c>
      <c r="G40" s="150" t="s">
        <v>4</v>
      </c>
      <c r="H40" s="67" t="s">
        <v>108</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workbookViewId="0"/>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#BackboneElement</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#BackboneElement</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1028</v>
      </c>
      <c r="E2" s="35"/>
      <c r="G2" s="25" t="s">
        <v>38</v>
      </c>
      <c r="M2" s="44"/>
      <c r="N2" s="25" t="str">
        <f>CONCATENATE("Mapping: ",E2)</f>
        <v xml:space="preserve">Mapping: </v>
      </c>
    </row>
    <row r="3" spans="1:14" x14ac:dyDescent="0.75">
      <c r="C3" s="104" t="str">
        <f>'Sct-1'!B3</f>
        <v>Publisher</v>
      </c>
      <c r="D3" s="40"/>
      <c r="E3" s="36"/>
      <c r="G3" s="25" t="s">
        <v>1028</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946</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905</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904</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904</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73.75" x14ac:dyDescent="0.75">
      <c r="A11" s="26">
        <v>0</v>
      </c>
      <c r="B11" s="111">
        <f>'Sct-1'!A10</f>
        <v>4</v>
      </c>
      <c r="C11" s="111" t="str">
        <f>'Sct-1'!B10</f>
        <v>istitutionOfTreatment</v>
      </c>
      <c r="D11" s="112" t="s">
        <v>899</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ht="29.5" x14ac:dyDescent="0.75">
      <c r="A12" s="26">
        <v>0</v>
      </c>
      <c r="B12" s="111">
        <f>'Sct-1'!A11</f>
        <v>5</v>
      </c>
      <c r="C12" s="111" t="str">
        <f>'Sct-1'!B11</f>
        <v>istitutionOfTreatment.description</v>
      </c>
      <c r="D12" s="138" t="s">
        <v>900</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901</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902</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903</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973</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906</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984</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985</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986</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974</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987</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978</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979</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975</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897</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898</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980</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981</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975</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897</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898</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907</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976</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982</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983</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977</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982</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983</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988</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855</v>
      </c>
      <c r="N1" s="25" t="s">
        <v>39</v>
      </c>
    </row>
    <row r="2" spans="1:14" ht="30.25" thickBot="1" x14ac:dyDescent="0.9">
      <c r="C2" s="105" t="str">
        <f>'Sct-1'!B2</f>
        <v>http://hl7.eu/fhir/ig/pcsp</v>
      </c>
      <c r="D2" s="16" t="s">
        <v>846</v>
      </c>
      <c r="E2" s="35"/>
      <c r="G2" s="137" t="s">
        <v>892</v>
      </c>
      <c r="M2" s="44"/>
      <c r="N2" s="25" t="str">
        <f>CONCATENATE("Mapping: ",E2)</f>
        <v xml:space="preserve">Mapping: </v>
      </c>
    </row>
    <row r="3" spans="1:14" x14ac:dyDescent="0.75">
      <c r="C3" s="104" t="str">
        <f>'Sct-1'!B3</f>
        <v>Publisher</v>
      </c>
      <c r="D3" s="40"/>
      <c r="E3" s="36"/>
      <c r="G3" s="25" t="s">
        <v>893</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847</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848</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850</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851</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851</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852</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851</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849</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853</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854</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891</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894</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894</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'Sug-1'!#REF!</f>
        <v>#REF!</v>
      </c>
      <c r="H46" s="25" t="b">
        <f t="shared" si="1"/>
        <v>0</v>
      </c>
      <c r="I46" s="1" t="str">
        <f t="shared" si="2"/>
        <v/>
      </c>
      <c r="J46" s="1" t="str">
        <f t="shared" si="3"/>
        <v/>
      </c>
      <c r="K46" s="1" t="str">
        <f t="shared" si="4"/>
        <v/>
      </c>
    </row>
    <row r="47" spans="1:14" x14ac:dyDescent="0.75">
      <c r="B47" s="25" t="e">
        <f>'Sug-1'!#REF!</f>
        <v>#REF!</v>
      </c>
      <c r="C47" s="25" t="e">
        <f>'Sug-1'!#REF!</f>
        <v>#REF!</v>
      </c>
      <c r="H47" s="25" t="b">
        <f t="shared" si="1"/>
        <v>0</v>
      </c>
      <c r="I47" s="1" t="str">
        <f t="shared" si="2"/>
        <v/>
      </c>
      <c r="J47" s="1" t="str">
        <f t="shared" si="3"/>
        <v/>
      </c>
      <c r="K47" s="1" t="str">
        <f t="shared" si="4"/>
        <v/>
      </c>
    </row>
    <row r="48" spans="1:14" x14ac:dyDescent="0.75">
      <c r="B48" s="25" t="e">
        <f>'Sug-1'!#REF!</f>
        <v>#REF!</v>
      </c>
      <c r="C48" s="25" t="e">
        <f>'Sug-1'!#REF!</f>
        <v>#REF!</v>
      </c>
      <c r="H48" s="25" t="b">
        <f t="shared" si="1"/>
        <v>0</v>
      </c>
      <c r="I48" s="1" t="str">
        <f t="shared" si="2"/>
        <v/>
      </c>
      <c r="J48" s="1" t="str">
        <f t="shared" si="3"/>
        <v/>
      </c>
      <c r="K48" s="1" t="str">
        <f t="shared" si="4"/>
        <v/>
      </c>
    </row>
    <row r="49" spans="2:11" x14ac:dyDescent="0.75">
      <c r="B49" s="25" t="e">
        <f>'Sug-1'!#REF!</f>
        <v>#REF!</v>
      </c>
      <c r="C49" s="25" t="e">
        <f>'Sug-1'!#REF!</f>
        <v>#REF!</v>
      </c>
      <c r="H49" s="25" t="b">
        <f t="shared" si="1"/>
        <v>0</v>
      </c>
      <c r="I49" s="1" t="str">
        <f t="shared" si="2"/>
        <v/>
      </c>
      <c r="J49" s="1" t="str">
        <f t="shared" si="3"/>
        <v/>
      </c>
      <c r="K49" s="1" t="str">
        <f t="shared" si="4"/>
        <v/>
      </c>
    </row>
    <row r="50" spans="2:11" x14ac:dyDescent="0.75">
      <c r="B50" s="25" t="e">
        <f>'Sug-1'!#REF!</f>
        <v>#REF!</v>
      </c>
      <c r="C50" s="25" t="e">
        <f>'Sug-1'!#REF!</f>
        <v>#REF!</v>
      </c>
      <c r="H50" s="25" t="b">
        <f t="shared" si="1"/>
        <v>0</v>
      </c>
      <c r="I50" s="1" t="str">
        <f t="shared" si="2"/>
        <v/>
      </c>
      <c r="J50" s="1" t="str">
        <f t="shared" si="3"/>
        <v/>
      </c>
      <c r="K50" s="1" t="str">
        <f t="shared" si="4"/>
        <v/>
      </c>
    </row>
    <row r="51" spans="2:11" x14ac:dyDescent="0.75">
      <c r="B51" s="25">
        <f>'Sug-1'!A41</f>
        <v>0</v>
      </c>
      <c r="C51" s="25">
        <f>'Sug-1'!B41</f>
        <v>0</v>
      </c>
    </row>
    <row r="52" spans="2:11" x14ac:dyDescent="0.75">
      <c r="B52" s="25">
        <f>'Sug-1'!A42</f>
        <v>0</v>
      </c>
      <c r="C52" s="25">
        <f>'Sug-1'!B42</f>
        <v>0</v>
      </c>
    </row>
    <row r="53" spans="2:11" x14ac:dyDescent="0.75">
      <c r="B53" s="25">
        <f>'Sug-1'!A43</f>
        <v>0</v>
      </c>
      <c r="C53" s="25">
        <f>'Sug-1'!B43</f>
        <v>0</v>
      </c>
    </row>
    <row r="54" spans="2:11" x14ac:dyDescent="0.75">
      <c r="B54" s="25">
        <f>'Sug-1'!A44</f>
        <v>0</v>
      </c>
      <c r="C54" s="25">
        <f>'Sug-1'!B44</f>
        <v>0</v>
      </c>
    </row>
    <row r="55" spans="2:11" x14ac:dyDescent="0.75">
      <c r="B55" s="25">
        <f>'Sug-1'!A45</f>
        <v>0</v>
      </c>
      <c r="C55" s="25">
        <f>'Sug-1'!B45</f>
        <v>0</v>
      </c>
    </row>
    <row r="56" spans="2:11" x14ac:dyDescent="0.75">
      <c r="B56" s="25">
        <f>'Sug-1'!A46</f>
        <v>0</v>
      </c>
      <c r="C56" s="25">
        <f>'Sug-1'!B46</f>
        <v>0</v>
      </c>
    </row>
    <row r="57" spans="2:11" x14ac:dyDescent="0.75">
      <c r="B57" s="25">
        <f>'Sug-1'!A47</f>
        <v>0</v>
      </c>
      <c r="C57" s="25">
        <f>'Sug-1'!B47</f>
        <v>0</v>
      </c>
    </row>
    <row r="58" spans="2:11" x14ac:dyDescent="0.75">
      <c r="B58" s="25">
        <f>'Sug-1'!A48</f>
        <v>0</v>
      </c>
      <c r="C58" s="25">
        <f>'Sug-1'!B48</f>
        <v>0</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".extension(http://hl7.eu/fhir/ig/pcsp/StructureDefinition/ActLocation-eu-pcsp).conformsTo(http://hl7.eu/fhir/ig/pcsp/StructureDefinition/Location-eu-pcsp)"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topLeftCell="A3" workbookViewId="0"/>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12" t="s">
        <v>990</v>
      </c>
      <c r="D2" s="112" t="s">
        <v>1053</v>
      </c>
    </row>
    <row r="3" spans="1:9" x14ac:dyDescent="0.75">
      <c r="B3" s="118" t="s">
        <v>34</v>
      </c>
      <c r="C3" s="123" t="s">
        <v>36</v>
      </c>
      <c r="D3" s="56"/>
    </row>
    <row r="4" spans="1:9" ht="15.5" thickBot="1" x14ac:dyDescent="0.9">
      <c r="B4" s="119" t="s">
        <v>52</v>
      </c>
      <c r="C4" s="112" t="s">
        <v>990</v>
      </c>
      <c r="D4" s="57"/>
    </row>
    <row r="5" spans="1:9" x14ac:dyDescent="0.75">
      <c r="B5" s="110"/>
      <c r="C5" s="3" t="s">
        <v>7</v>
      </c>
      <c r="D5" s="4" t="s">
        <v>8</v>
      </c>
      <c r="E5" s="11" t="s">
        <v>17</v>
      </c>
      <c r="F5" s="11" t="s">
        <v>18</v>
      </c>
      <c r="G5" s="11" t="s">
        <v>19</v>
      </c>
    </row>
    <row r="6" spans="1:9" x14ac:dyDescent="0.75">
      <c r="A6" s="109">
        <v>0</v>
      </c>
      <c r="B6" s="112" t="s">
        <v>990</v>
      </c>
      <c r="C6" s="111" t="s">
        <v>63</v>
      </c>
      <c r="D6" s="111" t="s">
        <v>63</v>
      </c>
      <c r="E6" s="34">
        <v>1</v>
      </c>
      <c r="F6" s="34">
        <v>1</v>
      </c>
      <c r="G6" s="34"/>
    </row>
    <row r="7" spans="1:9" x14ac:dyDescent="0.75">
      <c r="A7" s="109">
        <v>1</v>
      </c>
      <c r="B7" s="112" t="s">
        <v>1004</v>
      </c>
      <c r="C7" s="111" t="s">
        <v>857</v>
      </c>
      <c r="D7" s="111" t="s">
        <v>857</v>
      </c>
      <c r="E7" s="111">
        <v>0</v>
      </c>
      <c r="F7" s="111" t="s">
        <v>20</v>
      </c>
      <c r="G7" s="111" t="s">
        <v>5</v>
      </c>
      <c r="H7" s="111"/>
      <c r="I7" s="111"/>
    </row>
    <row r="8" spans="1:9" ht="59" x14ac:dyDescent="0.75">
      <c r="A8" s="109">
        <v>2</v>
      </c>
      <c r="B8" s="112" t="s">
        <v>991</v>
      </c>
      <c r="C8" s="111" t="s">
        <v>861</v>
      </c>
      <c r="D8" s="112" t="s">
        <v>860</v>
      </c>
      <c r="E8" s="111">
        <v>0</v>
      </c>
      <c r="F8" s="111">
        <v>1</v>
      </c>
      <c r="G8" s="111" t="s">
        <v>1</v>
      </c>
      <c r="H8" s="111"/>
      <c r="I8" s="111"/>
    </row>
    <row r="9" spans="1:9" x14ac:dyDescent="0.75">
      <c r="A9" s="109">
        <v>3</v>
      </c>
      <c r="B9" s="112" t="s">
        <v>1016</v>
      </c>
      <c r="C9" s="111" t="s">
        <v>1017</v>
      </c>
      <c r="D9" s="111" t="s">
        <v>1017</v>
      </c>
      <c r="E9" s="111">
        <v>0</v>
      </c>
      <c r="F9" s="111">
        <v>1</v>
      </c>
      <c r="G9" s="111" t="s">
        <v>3</v>
      </c>
      <c r="H9" s="111"/>
      <c r="I9" s="111"/>
    </row>
    <row r="10" spans="1:9" ht="59" x14ac:dyDescent="0.75">
      <c r="A10" s="109">
        <v>4</v>
      </c>
      <c r="B10" s="112" t="s">
        <v>992</v>
      </c>
      <c r="C10" s="111" t="s">
        <v>858</v>
      </c>
      <c r="D10" s="112" t="s">
        <v>859</v>
      </c>
      <c r="E10" s="111">
        <v>0</v>
      </c>
      <c r="F10" s="111">
        <v>1</v>
      </c>
      <c r="G10" s="111" t="s">
        <v>3</v>
      </c>
      <c r="H10" s="111"/>
      <c r="I10" s="111"/>
    </row>
    <row r="11" spans="1:9" x14ac:dyDescent="0.75">
      <c r="A11" s="109">
        <v>5</v>
      </c>
      <c r="B11" s="112" t="s">
        <v>993</v>
      </c>
      <c r="C11" s="115" t="s">
        <v>869</v>
      </c>
      <c r="D11" s="111" t="s">
        <v>249</v>
      </c>
      <c r="E11" s="111">
        <v>0</v>
      </c>
      <c r="F11" s="111">
        <v>1</v>
      </c>
      <c r="G11" s="111" t="s">
        <v>3</v>
      </c>
      <c r="H11" s="111"/>
      <c r="I11" s="111"/>
    </row>
    <row r="12" spans="1:9" x14ac:dyDescent="0.75">
      <c r="A12" s="109">
        <v>6</v>
      </c>
      <c r="B12" s="112" t="s">
        <v>994</v>
      </c>
      <c r="C12" s="111" t="s">
        <v>870</v>
      </c>
      <c r="D12" s="111" t="s">
        <v>870</v>
      </c>
      <c r="E12" s="111">
        <v>0</v>
      </c>
      <c r="F12" s="111">
        <v>1</v>
      </c>
      <c r="G12" s="111" t="s">
        <v>3</v>
      </c>
      <c r="H12" s="111"/>
      <c r="I12" s="111"/>
    </row>
    <row r="13" spans="1:9" x14ac:dyDescent="0.75">
      <c r="A13" s="109">
        <v>7</v>
      </c>
      <c r="B13" s="112" t="s">
        <v>995</v>
      </c>
      <c r="C13" s="112" t="s">
        <v>865</v>
      </c>
      <c r="D13" s="112" t="s">
        <v>865</v>
      </c>
      <c r="E13" s="111">
        <v>0</v>
      </c>
      <c r="F13" s="111">
        <v>1</v>
      </c>
      <c r="G13" s="111" t="s">
        <v>5</v>
      </c>
      <c r="H13" s="111"/>
      <c r="I13" s="111"/>
    </row>
    <row r="14" spans="1:9" x14ac:dyDescent="0.75">
      <c r="A14" s="109">
        <v>8</v>
      </c>
      <c r="B14" s="112" t="s">
        <v>996</v>
      </c>
      <c r="C14" s="112" t="s">
        <v>866</v>
      </c>
      <c r="D14" s="112" t="s">
        <v>866</v>
      </c>
      <c r="E14" s="111">
        <v>1</v>
      </c>
      <c r="F14" s="111">
        <v>1</v>
      </c>
      <c r="G14" s="111" t="s">
        <v>2</v>
      </c>
      <c r="I14" s="111"/>
    </row>
    <row r="15" spans="1:9" x14ac:dyDescent="0.75">
      <c r="A15" s="109">
        <v>9</v>
      </c>
      <c r="B15" s="112" t="s">
        <v>997</v>
      </c>
      <c r="C15" s="112" t="s">
        <v>867</v>
      </c>
      <c r="D15" s="112" t="s">
        <v>867</v>
      </c>
      <c r="E15" s="111">
        <v>1</v>
      </c>
      <c r="F15" s="111">
        <v>1</v>
      </c>
      <c r="G15" s="111" t="s">
        <v>1</v>
      </c>
      <c r="H15" s="111"/>
      <c r="I15" s="111"/>
    </row>
    <row r="16" spans="1:9" x14ac:dyDescent="0.75">
      <c r="A16" s="109">
        <v>10</v>
      </c>
      <c r="B16" s="112" t="s">
        <v>998</v>
      </c>
      <c r="C16" s="115" t="s">
        <v>862</v>
      </c>
      <c r="D16" s="115" t="s">
        <v>862</v>
      </c>
      <c r="E16" s="111">
        <v>0</v>
      </c>
      <c r="F16" s="111">
        <v>1</v>
      </c>
      <c r="G16" s="111" t="s">
        <v>3</v>
      </c>
      <c r="H16" s="111"/>
      <c r="I16" s="111"/>
    </row>
    <row r="17" spans="1:9" x14ac:dyDescent="0.75">
      <c r="A17" s="109">
        <v>11</v>
      </c>
      <c r="B17" s="112" t="s">
        <v>999</v>
      </c>
      <c r="C17" s="115" t="s">
        <v>863</v>
      </c>
      <c r="D17" s="115" t="s">
        <v>863</v>
      </c>
      <c r="E17" s="111">
        <v>0</v>
      </c>
      <c r="F17" s="111">
        <v>1</v>
      </c>
      <c r="G17" s="111" t="s">
        <v>1</v>
      </c>
      <c r="H17" s="111"/>
      <c r="I17" s="111"/>
    </row>
    <row r="18" spans="1:9" x14ac:dyDescent="0.75">
      <c r="A18" s="109">
        <v>12</v>
      </c>
      <c r="B18" s="112" t="s">
        <v>1000</v>
      </c>
      <c r="C18" s="115" t="s">
        <v>871</v>
      </c>
      <c r="D18" s="115" t="s">
        <v>871</v>
      </c>
      <c r="E18" s="111">
        <v>0</v>
      </c>
      <c r="F18" s="111">
        <v>1</v>
      </c>
      <c r="G18" s="111" t="s">
        <v>1</v>
      </c>
      <c r="H18" s="111"/>
      <c r="I18" s="111"/>
    </row>
    <row r="19" spans="1:9" x14ac:dyDescent="0.75">
      <c r="A19" s="109">
        <v>13</v>
      </c>
      <c r="B19" s="112" t="s">
        <v>1001</v>
      </c>
      <c r="C19" s="115" t="s">
        <v>864</v>
      </c>
      <c r="D19" s="115" t="s">
        <v>864</v>
      </c>
      <c r="E19" s="111">
        <v>0</v>
      </c>
      <c r="F19" s="111">
        <v>1</v>
      </c>
      <c r="G19" s="111" t="s">
        <v>1</v>
      </c>
      <c r="H19" s="111"/>
      <c r="I19" s="111"/>
    </row>
    <row r="20" spans="1:9" x14ac:dyDescent="0.75">
      <c r="A20" s="109">
        <v>14</v>
      </c>
      <c r="B20" s="112" t="s">
        <v>1002</v>
      </c>
      <c r="C20" s="111" t="s">
        <v>872</v>
      </c>
      <c r="D20" s="111" t="s">
        <v>872</v>
      </c>
      <c r="E20" s="111">
        <v>0</v>
      </c>
      <c r="F20" s="111">
        <v>1</v>
      </c>
      <c r="G20" s="111" t="s">
        <v>1</v>
      </c>
      <c r="H20" s="111"/>
      <c r="I20" s="111"/>
    </row>
    <row r="21" spans="1:9" ht="29.5" x14ac:dyDescent="0.75">
      <c r="A21" s="109">
        <v>15</v>
      </c>
      <c r="B21" s="112" t="s">
        <v>1003</v>
      </c>
      <c r="C21" s="112" t="s">
        <v>868</v>
      </c>
      <c r="D21" s="112" t="s">
        <v>868</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workbookViewId="0"/>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#string</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"FrontLineTreatment
Marturity Level: 1 - Profiles in progress"</v>
      </c>
      <c r="E4" s="15"/>
    </row>
    <row r="5" spans="4:7" x14ac:dyDescent="0.75">
      <c r="D5" s="15" t="str">
        <f>CONCATENATE("Title: """,'Flt-1'!C2,"""")</f>
        <v>Title: "FrontLineTreatment"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26</v>
      </c>
      <c r="E13" s="15"/>
    </row>
    <row r="14" spans="4:7" x14ac:dyDescent="0.75">
      <c r="D14" s="15" t="s">
        <v>27</v>
      </c>
      <c r="E14" s="15"/>
    </row>
    <row r="15" spans="4:7" x14ac:dyDescent="0.75">
      <c r="D15" s="15" t="str">
        <f>CONCATENATE("* description = """,'Flt-1'!D2,"""")</f>
        <v>* description = "FrontLineTreatment
Marturity Level: 1 - Profiles in progress"</v>
      </c>
      <c r="E15" s="15"/>
    </row>
    <row r="16" spans="4:7" x14ac:dyDescent="0.75">
      <c r="D16" s="15" t="s">
        <v>28</v>
      </c>
      <c r="E16" s="15"/>
    </row>
    <row r="18" spans="2:7" x14ac:dyDescent="0.75">
      <c r="C18" s="109">
        <v>0</v>
      </c>
      <c r="D18" s="46" t="e">
        <f>CONCATENATE("* mapping[",C18,"].identity = """,#REF!,"""")</f>
        <v>#REF!</v>
      </c>
      <c r="G18" s="110" t="s">
        <v>42</v>
      </c>
    </row>
    <row r="19" spans="2:7" x14ac:dyDescent="0.75">
      <c r="B19" s="47" t="s">
        <v>44</v>
      </c>
      <c r="C19" s="109">
        <v>0</v>
      </c>
      <c r="D19" s="46" t="e">
        <f>CONCATENATE("* mapping[",C19,"].uri = """,#REF!,"""")</f>
        <v>#REF!</v>
      </c>
      <c r="G19" s="110" t="s">
        <v>43</v>
      </c>
    </row>
    <row r="20" spans="2:7" x14ac:dyDescent="0.75">
      <c r="C20" s="109">
        <v>0</v>
      </c>
      <c r="D20" s="46" t="e">
        <f>CONCATENATE("* mapping[",C20,"].name = """,#REF!,"""")</f>
        <v>#REF!</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#string</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46</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1015</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1005</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1018</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1019</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1020</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1021</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1006</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1007</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1008</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1009</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1010</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1011</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1012</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1013</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1014</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1006</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1006</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'Sug-1'!A70</f>
        <v>0</v>
      </c>
      <c r="C81" s="110">
        <f>'Sug-1'!B70</f>
        <v>0</v>
      </c>
    </row>
    <row r="82" spans="2:3" x14ac:dyDescent="0.75">
      <c r="B82" s="109">
        <f>'Sug-1'!A71</f>
        <v>0</v>
      </c>
      <c r="C82" s="110">
        <f>'Sug-1'!B71</f>
        <v>0</v>
      </c>
    </row>
    <row r="83" spans="2:3" x14ac:dyDescent="0.75">
      <c r="B83" s="109">
        <f>'Sug-1'!A72</f>
        <v>0</v>
      </c>
      <c r="C83" s="110">
        <f>'Sug-1'!B72</f>
        <v>0</v>
      </c>
    </row>
    <row r="84" spans="2:3" x14ac:dyDescent="0.75">
      <c r="B84" s="109">
        <f>'Sug-1'!A73</f>
        <v>0</v>
      </c>
      <c r="C84" s="110">
        <f>'Sug-1'!B73</f>
        <v>0</v>
      </c>
    </row>
    <row r="85" spans="2:3" x14ac:dyDescent="0.75">
      <c r="B85" s="109">
        <f>'Sug-1'!A74</f>
        <v>0</v>
      </c>
      <c r="C85" s="110">
        <f>'Sug-1'!B74</f>
        <v>0</v>
      </c>
    </row>
    <row r="86" spans="2:3" x14ac:dyDescent="0.75">
      <c r="B86" s="109">
        <f>'Sug-1'!A75</f>
        <v>0</v>
      </c>
      <c r="C86" s="110">
        <f>'Sug-1'!B75</f>
        <v>0</v>
      </c>
    </row>
    <row r="87" spans="2:3" x14ac:dyDescent="0.75">
      <c r="B87" s="109">
        <f>'Sug-1'!A76</f>
        <v>0</v>
      </c>
      <c r="C87" s="110">
        <f>'Sug-1'!B76</f>
        <v>0</v>
      </c>
    </row>
    <row r="88" spans="2:3" x14ac:dyDescent="0.75">
      <c r="B88" s="109">
        <f>'Sug-1'!A77</f>
        <v>0</v>
      </c>
      <c r="C88" s="110">
        <f>'Sug-1'!B77</f>
        <v>0</v>
      </c>
    </row>
    <row r="89" spans="2:3" x14ac:dyDescent="0.75">
      <c r="B89" s="109">
        <f>'Sug-1'!A78</f>
        <v>0</v>
      </c>
      <c r="C89" s="110">
        <f>'Sug-1'!B78</f>
        <v>0</v>
      </c>
    </row>
    <row r="90" spans="2:3" x14ac:dyDescent="0.75">
      <c r="B90" s="109">
        <f>'Sug-1'!A79</f>
        <v>0</v>
      </c>
      <c r="C90" s="110">
        <f>'Sug-1'!B79</f>
        <v>0</v>
      </c>
    </row>
    <row r="91" spans="2:3" x14ac:dyDescent="0.75">
      <c r="B91" s="109">
        <f>'Sug-1'!A80</f>
        <v>0</v>
      </c>
      <c r="C91" s="110">
        <f>'Sug-1'!B80</f>
        <v>0</v>
      </c>
    </row>
    <row r="92" spans="2:3" x14ac:dyDescent="0.75">
      <c r="B92" s="109">
        <f>'Sug-1'!A81</f>
        <v>0</v>
      </c>
      <c r="C92" s="110">
        <f>'Sug-1'!B81</f>
        <v>0</v>
      </c>
    </row>
    <row r="93" spans="2:3" x14ac:dyDescent="0.75">
      <c r="B93" s="109">
        <f>'Sug-1'!A82</f>
        <v>0</v>
      </c>
      <c r="C93" s="110">
        <f>'Sug-1'!B82</f>
        <v>0</v>
      </c>
    </row>
    <row r="94" spans="2:3" x14ac:dyDescent="0.75">
      <c r="B94" s="109">
        <f>'Sug-1'!A83</f>
        <v>0</v>
      </c>
      <c r="C94" s="110">
        <f>'Sug-1'!B83</f>
        <v>0</v>
      </c>
    </row>
    <row r="95" spans="2:3" x14ac:dyDescent="0.75">
      <c r="B95" s="109">
        <f>'Sug-1'!A84</f>
        <v>0</v>
      </c>
      <c r="C95" s="110">
        <f>'Sug-1'!B84</f>
        <v>0</v>
      </c>
    </row>
    <row r="96" spans="2:3" x14ac:dyDescent="0.75">
      <c r="B96" s="109">
        <f>'Sug-1'!A85</f>
        <v>0</v>
      </c>
      <c r="C96" s="110">
        <f>'Sug-1'!B85</f>
        <v>0</v>
      </c>
    </row>
    <row r="97" spans="2:3" x14ac:dyDescent="0.75">
      <c r="B97" s="109">
        <f>'Sug-1'!A86</f>
        <v>0</v>
      </c>
      <c r="C97" s="110">
        <f>'Sug-1'!B86</f>
        <v>0</v>
      </c>
    </row>
    <row r="98" spans="2:3" x14ac:dyDescent="0.75">
      <c r="B98" s="109">
        <f>'Sug-1'!A87</f>
        <v>0</v>
      </c>
      <c r="C98" s="110">
        <f>'Sug-1'!B87</f>
        <v>0</v>
      </c>
    </row>
    <row r="99" spans="2:3" x14ac:dyDescent="0.75">
      <c r="B99" s="109">
        <f>'Sug-1'!A88</f>
        <v>0</v>
      </c>
      <c r="C99" s="110">
        <f>'Sug-1'!B88</f>
        <v>0</v>
      </c>
    </row>
    <row r="100" spans="2:3" x14ac:dyDescent="0.75">
      <c r="B100" s="109">
        <f>'Sug-1'!A89</f>
        <v>0</v>
      </c>
      <c r="C100" s="110">
        <f>'Sug-1'!B89</f>
        <v>0</v>
      </c>
    </row>
    <row r="101" spans="2:3" x14ac:dyDescent="0.75">
      <c r="B101" s="109">
        <f>'Sug-1'!A90</f>
        <v>0</v>
      </c>
      <c r="C101" s="110">
        <f>'Sug-1'!B90</f>
        <v>0</v>
      </c>
    </row>
    <row r="102" spans="2:3" x14ac:dyDescent="0.75">
      <c r="B102" s="109">
        <f>'Sug-1'!A91</f>
        <v>0</v>
      </c>
      <c r="C102" s="110">
        <f>'Sug-1'!B91</f>
        <v>0</v>
      </c>
    </row>
    <row r="103" spans="2:3" x14ac:dyDescent="0.75">
      <c r="B103" s="109">
        <f>'Sug-1'!A92</f>
        <v>0</v>
      </c>
      <c r="C103" s="110">
        <f>'Sug-1'!B92</f>
        <v>0</v>
      </c>
    </row>
    <row r="104" spans="2:3" x14ac:dyDescent="0.75">
      <c r="B104" s="109">
        <f>'Sug-1'!A93</f>
        <v>0</v>
      </c>
      <c r="C104" s="110">
        <f>'Sug-1'!B93</f>
        <v>0</v>
      </c>
    </row>
    <row r="105" spans="2:3" x14ac:dyDescent="0.75">
      <c r="B105" s="109">
        <f>'Sug-1'!A94</f>
        <v>0</v>
      </c>
      <c r="C105" s="110">
        <f>'Sug-1'!B94</f>
        <v>0</v>
      </c>
    </row>
    <row r="106" spans="2:3" x14ac:dyDescent="0.75">
      <c r="B106" s="109">
        <f>'Sug-1'!A95</f>
        <v>0</v>
      </c>
      <c r="C106" s="110">
        <f>'Sug-1'!B95</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855</v>
      </c>
      <c r="N1" s="109" t="s">
        <v>39</v>
      </c>
    </row>
    <row r="2" spans="1:14" ht="15.5" thickBot="1" x14ac:dyDescent="0.9">
      <c r="C2" s="105" t="str">
        <f>'Flt-1'!B2</f>
        <v>http://hl7.eu/fhir/ig/pcsp</v>
      </c>
      <c r="D2" s="16" t="s">
        <v>846</v>
      </c>
      <c r="E2" s="35"/>
      <c r="G2" s="52" t="s">
        <v>856</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35</vt:i4>
      </vt:variant>
    </vt:vector>
  </HeadingPairs>
  <TitlesOfParts>
    <vt:vector size="75" baseType="lpstr">
      <vt:lpstr>VariablesList</vt:lpstr>
      <vt:lpstr>Common</vt:lpstr>
      <vt:lpstr>Sug-1</vt:lpstr>
      <vt:lpstr>Sug-2</vt:lpstr>
      <vt:lpstr>Sug-3</vt:lpstr>
      <vt:lpstr>Sug-Map-1</vt:lpstr>
      <vt:lpstr>Sug-Map-2</vt:lpstr>
      <vt:lpstr>Sug-Map-2-all</vt:lpstr>
      <vt:lpstr>RelAftFlt-1</vt:lpstr>
      <vt:lpstr>RelAftFlt-2</vt:lpstr>
      <vt:lpstr>RelAftFlt-3</vt:lpstr>
      <vt:lpstr>RelAftFlt-Map-1</vt:lpstr>
      <vt:lpstr>RelAftFlt-Map-2</vt:lpstr>
      <vt:lpstr>RelAftFlt-Map2-1</vt:lpstr>
      <vt:lpstr>RelAftFlt-Map2-2</vt:lpstr>
      <vt:lpstr>RelAftFlt-Map-all</vt:lpstr>
      <vt:lpstr>Meta-1</vt:lpstr>
      <vt:lpstr>Meta-2</vt:lpstr>
      <vt:lpstr>Meta-3</vt:lpstr>
      <vt:lpstr>Meta-Map-1</vt:lpstr>
      <vt:lpstr>Meta-Map-2</vt:lpstr>
      <vt:lpstr>Meta-Map2-1</vt:lpstr>
      <vt:lpstr>Meta-Map2-2</vt:lpstr>
      <vt:lpstr>Meta-Map-all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'Meta-Map-1'!DocumentReference</vt:lpstr>
      <vt:lpstr>'Flt-Map-1'!MedicationStatement.medication_x_</vt:lpstr>
      <vt:lpstr>'Flt-Map2-1'!PatientRole</vt:lpstr>
      <vt:lpstr>'Meta-Map2-1'!PatientRole</vt:lpstr>
      <vt:lpstr>'RelAftFlt-Map2-1'!PatientRole</vt:lpstr>
      <vt:lpstr>'Sct-Map2-1'!PatientRole</vt:lpstr>
      <vt:lpstr>'Flt-Map2-1'!PatientRole.addr</vt:lpstr>
      <vt:lpstr>'Meta-Map2-1'!PatientRole.addr</vt:lpstr>
      <vt:lpstr>'RelAftFlt-Map2-1'!PatientRole.addr</vt:lpstr>
      <vt:lpstr>'Sct-Map2-1'!PatientRole.addr</vt:lpstr>
      <vt:lpstr>'Flt-Map2-1'!PatientRole.classCode</vt:lpstr>
      <vt:lpstr>'Meta-Map2-1'!PatientRole.classCode</vt:lpstr>
      <vt:lpstr>'RelAftFlt-Map2-1'!PatientRole.classCode</vt:lpstr>
      <vt:lpstr>'Sct-Map2-1'!PatientRole.classCode</vt:lpstr>
      <vt:lpstr>'Flt-Map2-1'!PatientRole.identifiedBy</vt:lpstr>
      <vt:lpstr>'Meta-Map2-1'!PatientRole.identifiedBy</vt:lpstr>
      <vt:lpstr>'RelAftFlt-Map2-1'!PatientRole.identifiedBy</vt:lpstr>
      <vt:lpstr>'Sct-Map2-1'!PatientRole.identifiedBy</vt:lpstr>
      <vt:lpstr>'Flt-Map2-1'!PatientRole.patient</vt:lpstr>
      <vt:lpstr>'Meta-Map2-1'!PatientRole.patient</vt:lpstr>
      <vt:lpstr>'RelAftFlt-Map2-1'!PatientRole.patient</vt:lpstr>
      <vt:lpstr>'Sct-Map2-1'!PatientRole.patient</vt:lpstr>
      <vt:lpstr>'Flt-Map2-1'!PatientRole.providerOrganization</vt:lpstr>
      <vt:lpstr>'Meta-Map2-1'!PatientRole.providerOrganization</vt:lpstr>
      <vt:lpstr>'RelAftFlt-Map2-1'!PatientRole.providerOrganization</vt:lpstr>
      <vt:lpstr>'Sct-Map2-1'!PatientRole.providerOrganization</vt:lpstr>
      <vt:lpstr>'Flt-Map2-1'!PatientRole.telecom</vt:lpstr>
      <vt:lpstr>'Meta-Map2-1'!PatientRole.telecom</vt:lpstr>
      <vt:lpstr>'RelAftFlt-Map2-1'!PatientRole.telecom</vt:lpstr>
      <vt:lpstr>'Sct-Map2-1'!PatientRole.telecom</vt:lpstr>
      <vt:lpstr>'Flt-Map2-1'!PatientRole.templateId</vt:lpstr>
      <vt:lpstr>'Meta-Map2-1'!PatientRole.templateId</vt:lpstr>
      <vt:lpstr>'RelAftFlt-Map2-1'!PatientRole.templateId</vt:lpstr>
      <vt:lpstr>'Sct-Map2-1'!PatientRole.templateId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2022-08-23T12:58:51Z</dcterms:modified>
</cp:coreProperties>
</file>