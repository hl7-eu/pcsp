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68B6E20C-BF2E-4D90-BF6B-1E541C9CDD75}"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<sst xmlns="http://schemas.openxmlformats.org/spreadsheetml/2006/main" count="2943" uniqueCount="1260">
  <si>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</si>
  <si>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</si>
  <si>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</si>
  <si>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</si>
  <si>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</si>
  <si>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</si>
  <si>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</si>
  <si>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</si>
  <si>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</si>
  <si>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</si>
  <si>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</si>
  <si>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</si>
  <si>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</si>
  <si>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</si>
  <si>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</si>
  <si>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</si>
  <si>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</si>
  <si>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</si>
  <si>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</si>
  <si>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</si>
  <si>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</si>
  <si>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</si>
  <si>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</si>
  <si>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</si>
  <si>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</si>
  <si>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</si>
  <si>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</si>
  <si>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</si>
  <si>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</si>
  <si>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</si>
  <si>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</si>
  <si>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</si>
  <si>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</si>
  <si>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</si>
  <si>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</si>
  <si>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</si>
  <si>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</si>
  <si>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</si>
  <si>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</si>
  <si>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</si>
  <si>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</si>
  <si>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</si>
  <si>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</si>
  <si>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</si>
  <si>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</si>
  <si>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</si>
  <si>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</si>
  <si>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</si>
  <si>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</si>
  <si>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</si>
  <si>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</si>
  <si>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</si>
  <si>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</si>
  <si>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</si>
  <si>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</si>
  <si>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</si>
  <si>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</si>
  <si>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</si>
  <si>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</si>
  <si>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</si>
  <si>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</si>
  <si>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</si>
  <si>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</si>
  <si>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</si>
  <si>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</si>
  <si>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</si>
  <si>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</si>
  <si>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</si>
  <si>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</si>
  <si>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</si>
  <si>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</si>
  <si>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</si>
  <si>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</si>
  <si>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</si>
  <si>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</si>
  <si>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</si>
  <si>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</si>
  <si>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</si>
  <si>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</si>
  <si>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</si>
  <si>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</si>
  <si>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</si>
  <si>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</si>
  <si>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</si>
  <si>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</si>
  <si>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</si>
  <si>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</si>
  <si>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</si>
  <si>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</si>
  <si>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</si>
  <si>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</si>
  <si>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</si>
  <si>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</si>
  <si>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</si>
  <si>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</si>
  <si>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</si>
  <si>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</si>
  <si>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</si>
  <si>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</si>
  <si>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</si>
  <si>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</si>
  <si>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</si>
  <si>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</si>
  <si>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</si>
  <si>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</si>
  <si>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</si>
  <si>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</si>
  <si>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</si>
  <si>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</si>
  <si>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</si>
  <si>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</si>
  <si>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</si>
  <si>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</si>
  <si>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</si>
  <si>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</si>
  <si>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</si>
  <si>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</si>
  <si>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</si>
  <si>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</si>
  <si>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</si>
  <si>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</si>
  <si>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</si>
  <si>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</si>
  <si>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</si>
  <si>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</si>
  <si>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</si>
  <si>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</si>
  <si>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</si>
  <si>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</si>
  <si>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</si>
  <si>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</si>
  <si>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</si>
  <si>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</si>
  <si>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</si>
  <si>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</si>
  <si>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</si>
  <si>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</si>
  <si>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</si>
  <si>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</si>
  <si>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</si>
  <si>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</si>
  <si>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</si>
  <si>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</si>
  <si>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</si>
  <si>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</si>
  <si>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</si>
  <si>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</si>
  <si>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</si>
  <si>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</si>
  <si>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</si>
  <si>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</si>
  <si>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</si>
  <si>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</si>
  <si>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</si>
  <si>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</si>
  <si>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</si>
  <si>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</si>
  <si>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</si>
  <si>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</si>
  <si>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</si>
  <si>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</si>
  <si>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</si>
  <si>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</si>
  <si>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</si>
  <si>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</si>
  <si>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</si>
  <si>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</si>
  <si>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</si>
  <si>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</si>
  <si>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</si>
  <si>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</si>
  <si>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</si>
  <si>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</si>
  <si>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</si>
  <si>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</si>
  <si>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</si>
  <si>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</si>
  <si>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</si>
  <si>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</si>
  <si>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</si>
  <si>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</si>
  <si>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</si>
  <si>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</si>
  <si>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</si>
  <si>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</si>
  <si>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</si>
  <si>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</si>
  <si>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</si>
  <si>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</si>
  <si>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</si>
  <si>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</si>
  <si>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</si>
  <si>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</si>
  <si>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</si>
  <si>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</si>
  <si>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</si>
  <si>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</si>
  <si>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</si>
  <si>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</si>
  <si>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</si>
  <si>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</si>
  <si>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</si>
  <si>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</si>
  <si>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</si>
  <si>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</si>
  <si>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</si>
  <si>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</si>
  <si>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</si>
  <si>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</si>
  <si>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</si>
  <si>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</si>
  <si>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</si>
  <si>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</si>
  <si>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</si>
  <si>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</si>
  <si>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</si>
  <si>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</si>
  <si>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</si>
  <si>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</si>
  <si>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</si>
  <si>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</si>
  <si>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</si>
  <si>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</si>
  <si>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</si>
  <si>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</si>
  <si>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Immunology  </t>
  </si>
  <si>
    <t>IMMUNOLOGY</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</si>
  <si>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</si>
  <si>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</si>
  <si>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</si>
  <si>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</si>
  <si>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</si>
  <si>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</si>
  <si>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Yes, if SYNDR = 1</t>
  </si>
  <si>
    <t>If not listed, please specify</t>
  </si>
  <si>
    <t>HEREDITARYSYNDROME_OTH</t>
  </si>
  <si>
    <t>Yes, if HEREDITARYSYNDROME = -9900</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</si>
  <si>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</si>
  <si>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</si>
  <si>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</si>
  <si>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</si>
  <si>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</si>
  <si>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</si>
  <si>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</si>
  <si>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</si>
  <si>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</si>
  <si>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</si>
  <si>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</si>
  <si>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</si>
  <si>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</si>
  <si>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</si>
  <si>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</si>
  <si>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</si>
  <si>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</si>
  <si>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</si>
  <si>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</si>
  <si>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</si>
  <si>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</si>
  <si>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</si>
  <si>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</si>
  <si>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</si>
  <si>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</si>
  <si>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</si>
  <si>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</si>
  <si>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</si>
  <si>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</si>
  <si>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</si>
  <si>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</si>
  <si>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</si>
  <si>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</si>
  <si>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</si>
  <si>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</si>
  <si>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</si>
  <si>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</si>
  <si>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</si>
  <si>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</si>
  <si>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</si>
  <si>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</si>
  <si>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</si>
  <si>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</si>
  <si>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</si>
  <si>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</si>
  <si>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</si>
  <si>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</si>
  <si>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</si>
  <si>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</si>
  <si>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</si>
  <si>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</si>
  <si>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</si>
  <si>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</si>
  <si>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</si>
  <si>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</si>
  <si>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</si>
  <si>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</si>
  <si>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</si>
  <si>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</si>
  <si>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</si>
  <si>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</si>
  <si>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</si>
  <si>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</si>
  <si>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</si>
  <si>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</si>
  <si>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</si>
  <si>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</si>
  <si>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</si>
  <si>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</si>
  <si>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</si>
  <si>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</si>
  <si>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</si>
  <si>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</si>
  <si>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</si>
  <si>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</si>
  <si>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</si>
  <si>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</si>
  <si>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</si>
  <si>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</si>
  <si>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</si>
  <si>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</si>
  <si>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Dose (estimation or calculation)</t>
  </si>
  <si>
    <t>DT_1,DT_2,…DT_20</t>
  </si>
  <si>
    <t>1 =&gt; Dose given
2 =&gt; Dose estimated
-9922 = NK</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</si>
  <si>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</si>
  <si>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</si>
  <si>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</si>
  <si>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</si>
  <si>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</si>
  <si>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</si>
  <si>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</si>
  <si>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</si>
  <si>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</si>
  <si>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</si>
  <si>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</si>
  <si>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</si>
  <si>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</si>
  <si>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</si>
  <si>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</si>
  <si>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</si>
  <si>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</si>
  <si>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</si>
  <si>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</si>
  <si>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</si>
  <si>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</si>
  <si>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</si>
  <si>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</si>
  <si>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</si>
  <si>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</si>
  <si>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</si>
  <si>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</si>
  <si>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</si>
  <si>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</si>
  <si>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</si>
  <si>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</si>
  <si>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</si>
  <si>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</si>
  <si>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</si>
  <si>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</si>
  <si>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</si>
  <si>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</si>
  <si>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</si>
  <si>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</si>
  <si>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</si>
  <si>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</si>
  <si>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</si>
  <si>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</si>
  <si>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</si>
  <si>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</si>
  <si>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</si>
  <si>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</si>
  <si>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</si>
  <si>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</si>
  <si>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</si>
  <si>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</si>
  <si>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</si>
  <si>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</si>
  <si>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</si>
  <si>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</si>
  <si>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</si>
  <si>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</si>
  <si>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</si>
  <si>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</si>
  <si>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</si>
  <si>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</si>
  <si>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</si>
  <si>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</si>
  <si>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</si>
  <si>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</si>
  <si>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</si>
  <si>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</si>
  <si>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</si>
  <si>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</si>
  <si>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</si>
  <si>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</si>
  <si>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</si>
  <si>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</si>
  <si>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</si>
  <si>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</si>
  <si>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</si>
  <si>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</si>
  <si>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</si>
  <si>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</si>
  <si>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</si>
  <si>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</si>
  <si>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</si>
  <si>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</si>
  <si>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</si>
  <si>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</si>
  <si>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</si>
  <si>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</si>
  <si>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</si>
  <si>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</si>
  <si>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</si>
  <si>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</si>
  <si>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</si>
  <si>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</si>
  <si>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</si>
  <si>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</si>
  <si>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</si>
  <si>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</si>
  <si>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</si>
  <si>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</si>
  <si>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</si>
  <si>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</si>
  <si>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</si>
  <si>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</si>
  <si>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</si>
  <si>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</si>
  <si>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</si>
  <si>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</si>
  <si>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</si>
  <si>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</si>
  <si>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</si>
  <si>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</si>
  <si>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</si>
  <si>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</si>
  <si>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</si>
  <si>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</si>
  <si>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</si>
  <si>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</si>
  <si>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</si>
  <si>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</si>
  <si>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</si>
  <si>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</si>
  <si>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</si>
  <si>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</si>
  <si>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</si>
  <si>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</si>
  <si>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</si>
  <si>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</si>
  <si>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</si>
  <si>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</si>
  <si>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</si>
  <si>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</si>
  <si>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</si>
  <si>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</si>
  <si>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</si>
  <si>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</si>
  <si>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</si>
  <si>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</si>
  <si>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</si>
  <si>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</si>
  <si>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</si>
  <si>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</si>
  <si>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</si>
  <si>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</si>
  <si>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</si>
  <si>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</si>
  <si>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</si>
  <si>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</si>
  <si>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</si>
  <si>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</si>
  <si>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</si>
  <si>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</si>
  <si>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</si>
  <si>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</si>
  <si>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</si>
  <si>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</si>
  <si>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</si>
  <si>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</si>
  <si>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</si>
  <si>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</si>
  <si>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</si>
  <si>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</si>
  <si>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</si>
  <si>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</si>
  <si>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</si>
  <si>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</si>
  <si>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</si>
  <si>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</si>
  <si>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</si>
  <si>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</si>
  <si>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</si>
  <si>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</si>
  <si>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</si>
  <si>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</si>
  <si>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</si>
  <si>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</si>
  <si>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</si>
  <si>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</si>
  <si>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</si>
  <si>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</si>
  <si>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</si>
  <si>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</si>
  <si>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</si>
  <si>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</si>
  <si>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</si>
  <si>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</si>
  <si>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</si>
  <si>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</si>
  <si>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</si>
  <si>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</si>
  <si>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</si>
  <si>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</si>
  <si>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</si>
  <si>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</si>
  <si>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</si>
  <si>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</si>
  <si>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</si>
  <si>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</si>
  <si>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</si>
  <si>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</si>
  <si>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</si>
  <si>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</si>
  <si>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</si>
  <si>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</si>
  <si>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</si>
  <si>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</si>
  <si>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</si>
  <si>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</si>
  <si>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</si>
  <si>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</si>
  <si>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</si>
  <si>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</si>
  <si>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</si>
  <si>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</si>
  <si>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</si>
  <si>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</si>
  <si>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</si>
  <si>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</si>
  <si>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</si>
  <si>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</si>
  <si>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</si>
  <si>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</si>
  <si>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</si>
  <si>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</si>
  <si>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</si>
  <si>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</si>
  <si>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</si>
  <si>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</si>
  <si>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</si>
  <si>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</si>
  <si>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</si>
  <si>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</si>
  <si>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</si>
  <si>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</si>
  <si>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</si>
  <si>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</si>
  <si>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</si>
  <si>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</si>
  <si>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</si>
  <si>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</si>
  <si>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</si>
  <si>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</si>
  <si>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</si>
  <si>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</si>
  <si>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</si>
  <si>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</si>
  <si>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</si>
  <si>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</si>
  <si>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</si>
  <si>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</si>
  <si>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</si>
  <si>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</si>
  <si>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</si>
  <si>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</si>
  <si>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</si>
  <si>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</si>
  <si>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</si>
  <si>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</si>
  <si>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</si>
  <si>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</si>
  <si>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</si>
  <si>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</si>
  <si>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</si>
  <si>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</si>
  <si>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</si>
  <si>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</si>
  <si>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</si>
  <si>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</si>
  <si>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</si>
  <si>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</si>
  <si>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</si>
  <si>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</si>
  <si>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</si>
  <si>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</si>
  <si>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</si>
  <si>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</si>
  <si>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</si>
  <si>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</si>
  <si>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</si>
  <si>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</si>
  <si>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</si>
  <si>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</si>
  <si>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</si>
  <si>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</si>
  <si>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</si>
  <si>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</si>
  <si>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</si>
  <si>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</si>
  <si>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</si>
  <si>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</si>
  <si>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</si>
  <si>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</si>
  <si>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</si>
  <si>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</si>
  <si>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</si>
  <si>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</si>
  <si>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</si>
  <si>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</si>
  <si>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</si>
  <si>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</si>
  <si>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</si>
  <si>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</si>
  <si>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</si>
  <si>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</si>
  <si>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</si>
  <si>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</si>
  <si>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</si>
  <si>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</si>
  <si>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</si>
  <si>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</si>
  <si>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</si>
  <si>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</si>
  <si>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</si>
  <si>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</si>
  <si>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</si>
  <si>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</si>
  <si>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</si>
  <si>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</si>
  <si>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</si>
  <si>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</si>
  <si>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</si>
  <si>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</si>
  <si>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</si>
  <si>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</si>
  <si>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</si>
  <si>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</si>
  <si>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</si>
  <si>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</si>
  <si>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</si>
  <si>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</si>
  <si>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</si>
  <si>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</si>
  <si>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</si>
  <si>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</si>
  <si>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</si>
  <si>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</si>
  <si>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</si>
  <si>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</si>
  <si>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</si>
  <si>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</si>
  <si>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</si>
  <si>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</si>
  <si>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</si>
  <si>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</si>
  <si>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</si>
  <si>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</si>
  <si>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</si>
  <si>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</si>
  <si>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</si>
  <si>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</si>
  <si>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</si>
  <si>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</si>
  <si>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</si>
  <si>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</si>
  <si>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</si>
  <si>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</si>
  <si>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</si>
  <si>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</si>
  <si>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</si>
  <si>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</si>
  <si>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</si>
  <si>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</si>
  <si>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</si>
  <si>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</si>
  <si>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</si>
  <si>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</si>
  <si>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</si>
  <si>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</si>
  <si>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</si>
  <si>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</si>
  <si>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</si>
  <si>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</si>
  <si>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</si>
  <si>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</si>
  <si>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</si>
  <si>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</si>
  <si>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</si>
  <si>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</si>
  <si>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</si>
  <si>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</si>
  <si>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</si>
  <si>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</si>
  <si>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</si>
  <si>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</si>
  <si>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</si>
  <si>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</si>
  <si>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</si>
  <si>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</si>
  <si>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</si>
  <si>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</si>
  <si>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</si>
  <si>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</si>
  <si>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</si>
  <si>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</si>
  <si>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</si>
  <si>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</si>
  <si>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</si>
  <si>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</si>
  <si>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</si>
  <si>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</si>
  <si>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</si>
  <si>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</si>
  <si>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</si>
  <si>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</si>
  <si>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</si>
  <si>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</si>
  <si>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</si>
  <si>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</si>
  <si>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</si>
  <si>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</si>
  <si>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</si>
  <si>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</si>
  <si>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</si>
  <si>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</si>
  <si>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</si>
  <si>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</si>
  <si>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</si>
  <si>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</si>
  <si>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</si>
  <si>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</si>
  <si>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</si>
  <si>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</si>
  <si>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</si>
  <si>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</si>
  <si>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</si>
  <si>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</si>
  <si>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</si>
  <si>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</si>
  <si>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</si>
  <si>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</si>
  <si>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</si>
  <si>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</si>
  <si>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</si>
  <si>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</si>
  <si>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</si>
  <si>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</si>
  <si>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</si>
  <si>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</si>
  <si>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</si>
  <si>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</si>
  <si>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</si>
  <si>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</si>
  <si>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</si>
  <si>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</si>
  <si>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</si>
  <si>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</si>
  <si>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</si>
  <si>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</si>
  <si>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</si>
  <si>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</si>
  <si>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</si>
  <si>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</si>
  <si>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</si>
  <si>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</si>
  <si>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</si>
  <si>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</si>
  <si>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</si>
  <si>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</si>
  <si>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</si>
  <si>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</si>
  <si>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</si>
  <si>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</si>
  <si>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</si>
  <si>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</si>
  <si>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</si>
  <si>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</si>
  <si>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</si>
  <si>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</si>
  <si>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</si>
  <si>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</si>
  <si>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</si>
  <si>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</si>
  <si>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</si>
  <si>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</si>
  <si>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</si>
  <si>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</si>
  <si>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</si>
  <si>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</si>
  <si>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</si>
  <si>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</si>
  <si>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</si>
  <si>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</si>
  <si>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</si>
  <si>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</si>
  <si>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</si>
  <si>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</si>
  <si>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</si>
  <si>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</si>
  <si>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</si>
  <si>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</si>
  <si>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</si>
  <si>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</si>
  <si>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</si>
  <si>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</si>
  <si>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</si>
  <si>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</si>
  <si>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</si>
  <si>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</si>
  <si>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</si>
  <si>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</si>
  <si>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</si>
  <si>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</si>
  <si>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</si>
  <si>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</si>
  <si>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</si>
  <si>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</si>
  <si>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</si>
  <si>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</si>
  <si>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</si>
  <si>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</si>
  <si>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</si>
  <si>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</si>
  <si>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</si>
  <si>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</si>
  <si>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</si>
  <si>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</si>
  <si>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</si>
  <si>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</si>
  <si>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</si>
  <si>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</si>
  <si>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</si>
  <si>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</si>
  <si>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</si>
  <si>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</si>
  <si>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</si>
  <si>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</si>
  <si>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</si>
  <si>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</si>
  <si>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</si>
  <si>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</si>
  <si>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</si>
  <si>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</si>
  <si>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</si>
  <si>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</si>
  <si>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</si>
  <si>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</si>
  <si>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</si>
  <si>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</si>
  <si>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</si>
  <si>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</si>
  <si>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</si>
  <si>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</si>
  <si>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</si>
  <si>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</si>
  <si>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</si>
  <si>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</si>
  <si>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</si>
  <si>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</si>
  <si>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</si>
  <si>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</si>
  <si>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</si>
  <si>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</si>
  <si>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</si>
  <si>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</si>
  <si>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</si>
  <si>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</si>
  <si>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</si>
  <si>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</si>
  <si>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</si>
  <si>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</si>
  <si>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</si>
  <si>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</si>
  <si>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</si>
  <si>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</si>
  <si>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</si>
  <si>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</si>
  <si>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</si>
  <si>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</si>
  <si>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</si>
  <si>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</si>
  <si>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</si>
  <si>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</si>
  <si>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</si>
  <si>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</si>
  <si>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</si>
  <si>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</si>
  <si>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</si>
  <si>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</si>
  <si>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</si>
  <si>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</si>
  <si>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</si>
  <si>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</si>
  <si>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</si>
  <si>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</si>
  <si>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</si>
  <si>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</si>
  <si>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</si>
  <si>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</si>
  <si>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</si>
  <si>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</si>
  <si>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</si>
  <si>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</si>
  <si>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</si>
  <si>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</si>
  <si>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</si>
  <si>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</si>
  <si>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</si>
  <si>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</si>
  <si>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</si>
  <si>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</si>
  <si>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</si>
  <si>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</si>
  <si>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</si>
  <si>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</si>
  <si>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</si>
  <si>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</si>
  <si>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</si>
  <si>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</si>
  <si>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</si>
  <si>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</si>
  <si>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</si>
  <si>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</si>
  <si>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</si>
  <si>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</si>
  <si>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</si>
  <si>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</si>
  <si>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</si>
  <si>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</si>
  <si>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</si>
  <si>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</si>
  <si>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</si>
  <si>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</si>
  <si>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</si>
  <si>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</si>
  <si>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</si>
  <si>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</si>
  <si>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</si>
  <si>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</si>
  <si>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</si>
  <si>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</si>
  <si>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</si>
  <si>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</si>
  <si>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</si>
  <si>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</si>
  <si>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</si>
  <si>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</si>
  <si>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</si>
  <si>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</si>
  <si>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</si>
  <si>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</si>
  <si>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</si>
  <si>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</si>
  <si>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</si>
  <si>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</si>
  <si>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</si>
  <si>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</si>
  <si>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</si>
  <si>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</si>
  <si>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</si>
  <si>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</si>
  <si>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</si>
  <si>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</si>
  <si>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</si>
  <si>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</si>
  <si>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</si>
  <si>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</si>
  <si>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</si>
  <si>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</si>
  <si>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</si>
  <si>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</si>
  <si>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</si>
  <si>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</si>
  <si>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</si>
  <si>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</si>
  <si>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</si>
  <si>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</si>
  <si>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</si>
  <si>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</si>
  <si>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</si>
  <si>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</si>
  <si>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</si>
  <si>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</si>
  <si>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</si>
  <si>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</si>
  <si>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</si>
  <si>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</si>
  <si>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</si>
  <si>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</si>
  <si>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</si>
  <si>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</si>
  <si>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</si>
  <si>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</si>
  <si>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</si>
  <si>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</si>
  <si>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</si>
  <si>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</si>
  <si>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</si>
  <si>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</si>
  <si>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</si>
  <si>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</si>
  <si>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</si>
  <si>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</si>
  <si>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</si>
  <si>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</si>
  <si>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</si>
  <si>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</si>
  <si>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</si>
  <si>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</si>
  <si>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</si>
  <si>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</si>
  <si>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</si>
  <si>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</si>
  <si>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</si>
  <si>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</si>
  <si>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</si>
  <si>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</si>
  <si>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</si>
  <si>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</si>
  <si>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</si>
  <si>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</si>
  <si>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</si>
  <si>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</si>
  <si>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</si>
  <si>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</si>
  <si>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</si>
  <si>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</si>
  <si>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</si>
  <si>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</si>
  <si>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</si>
  <si>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</si>
  <si>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</si>
  <si>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</si>
  <si>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</si>
  <si>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</si>
  <si>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</si>
  <si>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</si>
  <si>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</si>
  <si>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</si>
  <si>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</si>
  <si>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</si>
  <si>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</si>
  <si>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</si>
  <si>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</si>
  <si>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</si>
  <si>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</si>
  <si>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</si>
  <si>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</si>
  <si>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</si>
  <si>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</si>
  <si>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</si>
  <si>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</si>
  <si>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</si>
  <si>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</si>
  <si>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</si>
  <si>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</si>
  <si>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</si>
  <si>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</si>
  <si>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</si>
  <si>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</si>
  <si>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</si>
  <si>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</si>
  <si>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</si>
  <si>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</si>
  <si>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</si>
  <si>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</si>
  <si>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</si>
  <si>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</si>
  <si>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</si>
  <si>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</si>
  <si>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</si>
  <si>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</si>
  <si>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</si>
  <si>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</si>
  <si>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</si>
  <si>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</si>
  <si>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</si>
  <si>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</si>
  <si>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</si>
  <si>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</si>
  <si>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</si>
  <si>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</si>
  <si>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</si>
  <si>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</si>
  <si>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</si>
  <si>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</si>
  <si>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</si>
  <si>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</si>
  <si>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</si>
  <si>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</si>
  <si>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</si>
  <si>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</si>
  <si>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</si>
  <si>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</si>
  <si>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</si>
  <si>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</si>
  <si>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</si>
  <si>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</si>
  <si>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</si>
  <si>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</si>
  <si>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</si>
  <si>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</si>
  <si>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</si>
  <si>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</si>
  <si>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</si>
  <si>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</si>
  <si>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</si>
  <si>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</si>
  <si>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</si>
  <si>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</si>
  <si>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</si>
  <si>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</si>
  <si>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</si>
  <si>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</si>
  <si>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</si>
  <si>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</si>
  <si>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</si>
  <si>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</si>
  <si>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</si>
  <si>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</si>
  <si>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</si>
  <si>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</si>
  <si>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</si>
  <si>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</si>
  <si>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</si>
  <si>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</si>
  <si>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</si>
  <si>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</si>
  <si>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</si>
  <si>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</si>
  <si>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</si>
  <si>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</si>
  <si>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</si>
  <si>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</si>
  <si>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</si>
  <si>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</si>
  <si>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</si>
  <si>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</si>
  <si>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</si>
  <si>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</si>
  <si>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</si>
  <si>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</si>
  <si>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</si>
  <si>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</si>
  <si>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</si>
  <si>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</si>
  <si>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</si>
  <si>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</si>
  <si>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</si>
  <si>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</si>
  <si>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</si>
  <si>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</si>
  <si>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</si>
  <si>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</si>
  <si>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</si>
  <si>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</si>
  <si>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</si>
  <si>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</si>
  <si>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</si>
  <si>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</si>
  <si>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</si>
  <si>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</si>
  <si>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</si>
  <si>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</si>
  <si>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</si>
  <si>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</si>
  <si>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</si>
  <si>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</si>
  <si>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</si>
  <si>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</si>
  <si>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</si>
  <si>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</si>
  <si>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</si>
  <si>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</si>
  <si>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</si>
  <si>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</si>
  <si>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</si>
  <si>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</si>
  <si>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</si>
  <si>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</si>
  <si>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</si>
  <si>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</si>
  <si>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</si>
  <si>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</si>
  <si>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</si>
  <si>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</si>
  <si>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</si>
  <si>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</si>
  <si>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</si>
  <si>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</si>
  <si>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</si>
  <si>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</si>
  <si>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</si>
  <si>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</si>
  <si>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</si>
  <si>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</si>
  <si>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</si>
  <si>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</si>
  <si>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</si>
  <si>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</si>
  <si>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</si>
  <si>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</si>
  <si>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</si>
  <si>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</si>
  <si>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</si>
  <si>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</si>
  <si>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</si>
  <si>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</si>
  <si>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</si>
  <si>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</si>
  <si>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</si>
  <si>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</si>
  <si>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</si>
  <si>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</si>
  <si>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</si>
  <si>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</si>
  <si>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</si>
  <si>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</si>
  <si>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</si>
  <si>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</si>
  <si>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Variables in PanCareFollowUp (*)  
(*) Variables marked as 'no' are available in SurPass Platform either to allow automatic activation of algorithms, or to order events (e.g. 'relapses' in case of multiple events)</t>
  </si>
  <si>
    <t>Please insert 'Other' if individuals are neither male or female in gender identity</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</si>
  <si>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</si>
  <si>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</si>
  <si>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Please report laterality of the tumor (in case of bilateral organs or sites, e.g. kidneys, eyes, femur).  In case of single organs (e.g. liver, bladder, vertebrae  or bone marrow in case of leukemia) code 'not applicable'</t>
  </si>
  <si>
    <t xml:space="preserve">Please report here the site(s) of metastases detected at diagnosis (using ICD-O-3 Topography). If site(s) is unknown, code C80.9' </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</si>
  <si>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</si>
  <si>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This is a free text field.  Report here, if applicable (e.g. leukemias) the immunophenotype of the disease (sometimes already reported in the ICD-O-3 Morphology coding). If immunology is unknown, specify 'NK'</t>
  </si>
  <si>
    <t>See 'Hereditary syndromes' sheet</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</si>
  <si>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</si>
  <si>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Please report here the Syndrome or condition in case it has not been found in the list provided in the 'Specification of syndrome or condtion' field</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</si>
  <si>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</si>
  <si>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</si>
  <si>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Report the total cumulative dose received of each drug.  If the dose was not calculated, write 'NC'</t>
  </si>
  <si>
    <t>Report 'yes' if the survivor was treated with steroids for at least 4 weeks continuously</t>
  </si>
  <si>
    <t xml:space="preserve">State if any GVHD prophylaxis was given. Details on the drug names used for GVHD prophylaxis should be listed in the chemotherapy section under 'immunotherapy)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</si>
  <si>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</si>
  <si>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</si>
  <si>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See 'Radiotherapy sites codes' sheet</t>
  </si>
  <si>
    <t>Yes, visibility depends on column 'LAT' of sheet 'Radiotherapy sites codes'</t>
  </si>
  <si>
    <t>Dose number or 'NK=-9922' if dose unknown</t>
  </si>
  <si>
    <t>Yes, visibility depends on column 'LAT' of sheet 'Radiotherapy sites codes' and if RD_SITE1_BOOST,RD_SITE2_BOOST,...RD_SITE5_BOOST= 1  </t>
  </si>
  <si>
    <t>Specify the cumulative / total dose given to the boost site.
If not known, insert 'NK'</t>
  </si>
  <si>
    <t>Answer 'yes' if you need to insert another site of radiotherapy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</si>
  <si>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</si>
  <si>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</si>
  <si>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Report here if a relapse or progression occurred after the elective end of therapies.
Please note that 'progressions' may occurr since in some cases (e.g. stage 3 unoperable residual neuroblastoma or residual CNS tumor) that were considered as 'non active' may progress</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</si>
  <si>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</si>
  <si>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.bodySite.where(extension('mcode-body-location-qualifier').valueCodeableConcept = http://snomed.info/sct#272488003 'From-structure')</t>
  </si>
  <si>
    <t>.bodySite.where(extension('mcode-body-location-qualifier').valueCodeableConcept = http://hl7.eu/fhir/ig/pcsp/CodeSystem/cs-generic-eu-pcsp#to-structure 'To-structure')</t>
  </si>
  <si>
    <t>.partOf.resolve().code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</si>
</sst>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5"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5" fillId="0" borderId="15" xfId="0" applyFont="1" applyBorder="1" applyAlignment="1">
      <alignment horizontal="left" vertical="top" wrapText="1"/>
    </xf>
    <xf numFmtId="0" fontId="15"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5" fillId="3"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5" fillId="0" borderId="14" xfId="0" applyFont="1" applyBorder="1" applyAlignment="1">
      <alignment horizontal="left" vertical="top" wrapText="1"/>
    </xf>
    <xf numFmtId="0" fontId="15" fillId="0" borderId="1" xfId="0" applyFont="1" applyBorder="1" applyAlignment="1">
      <alignment horizontal="left" vertical="top"/>
    </xf>
    <xf numFmtId="0" fontId="15" fillId="0" borderId="0" xfId="0" applyFont="1" applyAlignment="1">
      <alignment horizontal="left" vertical="top"/>
    </xf>
    <xf numFmtId="49" fontId="15"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5"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6" fillId="15" borderId="1" xfId="0" applyFont="1" applyFill="1" applyBorder="1" applyAlignment="1">
      <alignment horizontal="left" vertical="top"/>
    </xf>
    <xf numFmtId="0" fontId="13" fillId="15" borderId="1" xfId="0" applyFont="1" applyFill="1" applyBorder="1" applyAlignment="1">
      <alignment horizontal="left" vertical="top"/>
    </xf>
    <xf numFmtId="0" fontId="15"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5" fillId="0" borderId="8" xfId="0" applyFont="1" applyBorder="1" applyAlignment="1">
      <alignment horizontal="left" vertical="top"/>
    </xf>
    <xf numFmtId="0" fontId="15" fillId="0" borderId="0" xfId="0" applyFont="1" applyAlignment="1">
      <alignment horizontal="left" vertical="top" wrapText="1"/>
    </xf>
    <xf numFmtId="0" fontId="15" fillId="0" borderId="3" xfId="0" applyFont="1" applyBorder="1" applyAlignment="1">
      <alignment horizontal="left" vertical="top" wrapText="1"/>
    </xf>
    <xf numFmtId="0" fontId="15" fillId="0" borderId="3" xfId="0" applyFont="1" applyBorder="1" applyAlignment="1">
      <alignment horizontal="left" vertical="top"/>
    </xf>
    <xf numFmtId="0" fontId="15"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19" fillId="0" borderId="3" xfId="0" applyFont="1" applyBorder="1" applyAlignment="1">
      <alignment horizontal="left" vertical="top" wrapText="1"/>
    </xf>
    <xf numFmtId="0" fontId="19"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1" fillId="0" borderId="0" xfId="0" applyFont="1"/>
    <xf numFmtId="0" fontId="21" fillId="0" borderId="1" xfId="0" applyFont="1" applyBorder="1" applyAlignment="1">
      <alignment horizontal="left" vertical="top" wrapText="1"/>
    </xf>
    <xf numFmtId="0" fontId="22" fillId="0" borderId="0" xfId="0" applyFont="1"/>
    <xf numFmtId="0" fontId="22" fillId="0" borderId="1" xfId="0" applyFont="1" applyBorder="1" applyAlignment="1">
      <alignment horizontal="left" vertical="top" wrapText="1"/>
    </xf>
    <xf numFmtId="0" fontId="23" fillId="0" borderId="0" xfId="0" applyFont="1"/>
    <xf numFmtId="0" fontId="22"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3" xfId="0" applyFill="1" applyBorder="1"/>
    <xf numFmtId="0" fontId="0" fillId="0" borderId="4" xfId="0" applyFill="1" applyBorder="1"/>
    <xf numFmtId="0" fontId="0" fillId="17" borderId="1" xfId="0" applyFill="1" applyBorder="1"/>
    <xf numFmtId="0" fontId="0" fillId="2"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30" zoomScale="85" zoomScaleNormal="85" workbookViewId="0">
      <selection activeCell="H30" sqref="H30"/>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1229</v>
      </c>
    </row>
    <row r="2" spans="1:11" ht="40.5" customHeight="1" x14ac:dyDescent="0.75">
      <c r="A2" s="157" t="s">
        <v>110</v>
      </c>
      <c r="B2" s="62"/>
      <c r="C2" s="63" t="s">
        <v>111</v>
      </c>
      <c r="D2" s="64"/>
      <c r="E2" s="64"/>
      <c r="F2" s="64"/>
      <c r="G2" s="64"/>
      <c r="H2" s="64"/>
      <c r="I2" s="64"/>
      <c r="J2" s="65"/>
      <c r="K2" s="64"/>
    </row>
    <row r="3" spans="1:11" ht="40.5" customHeight="1" x14ac:dyDescent="0.75">
      <c r="A3" s="158"/>
      <c r="B3" s="66"/>
      <c r="C3" s="67" t="s">
        <v>23</v>
      </c>
      <c r="D3" s="68" t="s">
        <v>23</v>
      </c>
      <c r="E3" s="68" t="s">
        <v>112</v>
      </c>
      <c r="F3" s="68"/>
      <c r="G3" s="68" t="s">
        <v>113</v>
      </c>
      <c r="H3" s="68"/>
      <c r="I3" s="68" t="s">
        <v>114</v>
      </c>
      <c r="J3" s="68" t="s">
        <v>115</v>
      </c>
      <c r="K3" s="69" t="s">
        <v>114</v>
      </c>
    </row>
    <row r="4" spans="1:11" ht="40.5" customHeight="1" x14ac:dyDescent="0.75">
      <c r="A4" s="158"/>
      <c r="B4" s="66"/>
      <c r="C4" s="70" t="s">
        <v>72</v>
      </c>
      <c r="D4" s="71" t="s">
        <v>116</v>
      </c>
      <c r="E4" s="71" t="s">
        <v>112</v>
      </c>
      <c r="F4" s="71"/>
      <c r="G4" s="68" t="s">
        <v>117</v>
      </c>
      <c r="H4" s="68"/>
      <c r="I4" s="71" t="s">
        <v>118</v>
      </c>
      <c r="J4" s="68" t="s">
        <v>119</v>
      </c>
      <c r="K4" s="69" t="s">
        <v>120</v>
      </c>
    </row>
    <row r="5" spans="1:11" ht="40.5" customHeight="1" x14ac:dyDescent="0.75">
      <c r="A5" s="158"/>
      <c r="B5" s="66"/>
      <c r="C5" s="70" t="s">
        <v>77</v>
      </c>
      <c r="D5" s="71" t="s">
        <v>121</v>
      </c>
      <c r="E5" s="71" t="s">
        <v>112</v>
      </c>
      <c r="F5" s="71"/>
      <c r="G5" s="68" t="s">
        <v>117</v>
      </c>
      <c r="H5" s="68"/>
      <c r="I5" s="71" t="s">
        <v>122</v>
      </c>
      <c r="J5" s="68" t="s">
        <v>123</v>
      </c>
      <c r="K5" s="69" t="s">
        <v>120</v>
      </c>
    </row>
    <row r="6" spans="1:11" ht="40.5" customHeight="1" x14ac:dyDescent="0.75">
      <c r="A6" s="158"/>
      <c r="B6" s="66"/>
      <c r="C6" s="70" t="s">
        <v>74</v>
      </c>
      <c r="D6" s="71" t="s">
        <v>124</v>
      </c>
      <c r="E6" s="71" t="s">
        <v>112</v>
      </c>
      <c r="F6" s="71"/>
      <c r="G6" s="68" t="s">
        <v>117</v>
      </c>
      <c r="H6" s="68"/>
      <c r="I6" s="71" t="s">
        <v>122</v>
      </c>
      <c r="J6" s="68" t="s">
        <v>125</v>
      </c>
      <c r="K6" s="69" t="s">
        <v>120</v>
      </c>
    </row>
    <row r="7" spans="1:11" ht="40.5" customHeight="1" x14ac:dyDescent="0.75">
      <c r="A7" s="158"/>
      <c r="B7" s="66"/>
      <c r="C7" s="70" t="s">
        <v>75</v>
      </c>
      <c r="D7" s="71" t="s">
        <v>126</v>
      </c>
      <c r="E7" s="71" t="s">
        <v>112</v>
      </c>
      <c r="F7" s="71"/>
      <c r="G7" s="68" t="s">
        <v>117</v>
      </c>
      <c r="H7" s="68"/>
      <c r="I7" s="71" t="s">
        <v>118</v>
      </c>
      <c r="J7" s="68" t="s">
        <v>127</v>
      </c>
      <c r="K7" s="69" t="s">
        <v>120</v>
      </c>
    </row>
    <row r="8" spans="1:11" ht="55.5" x14ac:dyDescent="0.75">
      <c r="A8" s="158"/>
      <c r="B8" s="160" t="s">
        <v>128</v>
      </c>
      <c r="C8" s="70" t="s">
        <v>78</v>
      </c>
      <c r="D8" s="71" t="s">
        <v>129</v>
      </c>
      <c r="E8" s="71" t="s">
        <v>130</v>
      </c>
      <c r="F8" s="71"/>
      <c r="G8" s="72" t="s">
        <v>113</v>
      </c>
      <c r="H8" s="68" t="s">
        <v>131</v>
      </c>
      <c r="I8" s="71" t="s">
        <v>118</v>
      </c>
      <c r="J8" s="68" t="s">
        <v>1230</v>
      </c>
      <c r="K8" s="69" t="s">
        <v>114</v>
      </c>
    </row>
    <row r="9" spans="1:11" ht="40.5" customHeight="1" x14ac:dyDescent="0.75">
      <c r="A9" s="158"/>
      <c r="B9" s="160"/>
      <c r="C9" s="67" t="s">
        <v>132</v>
      </c>
      <c r="D9" s="68" t="s">
        <v>133</v>
      </c>
      <c r="E9" s="71" t="s">
        <v>112</v>
      </c>
      <c r="F9" s="71"/>
      <c r="G9" s="72" t="s">
        <v>117</v>
      </c>
      <c r="H9" s="68"/>
      <c r="I9" s="68" t="s">
        <v>134</v>
      </c>
      <c r="J9" s="68" t="s">
        <v>135</v>
      </c>
      <c r="K9" s="69" t="s">
        <v>114</v>
      </c>
    </row>
    <row r="10" spans="1:11" ht="40.5" customHeight="1" x14ac:dyDescent="0.75">
      <c r="A10" s="158"/>
      <c r="B10" s="160" t="s">
        <v>136</v>
      </c>
      <c r="C10" s="70" t="s">
        <v>79</v>
      </c>
      <c r="D10" s="71" t="s">
        <v>137</v>
      </c>
      <c r="E10" s="71" t="s">
        <v>4</v>
      </c>
      <c r="F10" s="71"/>
      <c r="G10" s="68" t="s">
        <v>4</v>
      </c>
      <c r="H10" s="68" t="s">
        <v>138</v>
      </c>
      <c r="I10" s="71" t="s">
        <v>118</v>
      </c>
      <c r="J10" s="68" t="s">
        <v>139</v>
      </c>
      <c r="K10" s="69" t="s">
        <v>120</v>
      </c>
    </row>
    <row r="11" spans="1:11" ht="40.5" customHeight="1" x14ac:dyDescent="0.75">
      <c r="A11" s="158"/>
      <c r="B11" s="160"/>
      <c r="C11" s="70" t="s">
        <v>140</v>
      </c>
      <c r="D11" s="71" t="s">
        <v>141</v>
      </c>
      <c r="E11" s="71" t="s">
        <v>113</v>
      </c>
      <c r="F11" s="71" t="s">
        <v>114</v>
      </c>
      <c r="G11" s="68" t="s">
        <v>113</v>
      </c>
      <c r="H11" s="68"/>
      <c r="I11" s="71" t="s">
        <v>114</v>
      </c>
      <c r="J11" s="68" t="s">
        <v>142</v>
      </c>
      <c r="K11" s="69" t="s">
        <v>114</v>
      </c>
    </row>
    <row r="12" spans="1:11" ht="40.5" customHeight="1" x14ac:dyDescent="0.75">
      <c r="A12" s="158"/>
      <c r="B12" s="66"/>
      <c r="C12" s="70" t="s">
        <v>81</v>
      </c>
      <c r="D12" s="71" t="s">
        <v>143</v>
      </c>
      <c r="E12" s="71" t="s">
        <v>112</v>
      </c>
      <c r="F12" s="71"/>
      <c r="G12" s="68" t="s">
        <v>117</v>
      </c>
      <c r="H12" s="68"/>
      <c r="I12" s="71" t="s">
        <v>122</v>
      </c>
      <c r="J12" s="68" t="s">
        <v>144</v>
      </c>
      <c r="K12" s="69" t="s">
        <v>120</v>
      </c>
    </row>
    <row r="13" spans="1:11" ht="40.5" customHeight="1" x14ac:dyDescent="0.75">
      <c r="A13" s="158"/>
      <c r="B13" s="161" t="s">
        <v>145</v>
      </c>
      <c r="C13" s="70" t="s">
        <v>146</v>
      </c>
      <c r="D13" s="71" t="s">
        <v>147</v>
      </c>
      <c r="E13" s="71" t="s">
        <v>130</v>
      </c>
      <c r="F13" s="71"/>
      <c r="G13" s="68" t="s">
        <v>113</v>
      </c>
      <c r="H13" s="68" t="s">
        <v>148</v>
      </c>
      <c r="I13" s="71" t="s">
        <v>118</v>
      </c>
      <c r="J13" s="68" t="s">
        <v>149</v>
      </c>
      <c r="K13" s="69" t="s">
        <v>120</v>
      </c>
    </row>
    <row r="14" spans="1:11" ht="40.5" customHeight="1" x14ac:dyDescent="0.75">
      <c r="A14" s="158"/>
      <c r="B14" s="162"/>
      <c r="C14" s="70" t="s">
        <v>85</v>
      </c>
      <c r="D14" s="71" t="s">
        <v>150</v>
      </c>
      <c r="E14" s="71" t="s">
        <v>112</v>
      </c>
      <c r="F14" s="71"/>
      <c r="G14" s="68" t="s">
        <v>117</v>
      </c>
      <c r="H14" s="68"/>
      <c r="I14" s="71" t="s">
        <v>151</v>
      </c>
      <c r="J14" s="68" t="s">
        <v>152</v>
      </c>
      <c r="K14" s="71" t="s">
        <v>120</v>
      </c>
    </row>
    <row r="15" spans="1:11" ht="40.5" customHeight="1" thickBot="1" x14ac:dyDescent="0.9">
      <c r="A15" s="159"/>
      <c r="B15" s="163"/>
      <c r="C15" s="70" t="s">
        <v>88</v>
      </c>
      <c r="D15" s="71" t="s">
        <v>153</v>
      </c>
      <c r="E15" s="71" t="s">
        <v>112</v>
      </c>
      <c r="F15" s="71"/>
      <c r="G15" s="68" t="s">
        <v>117</v>
      </c>
      <c r="H15" s="68"/>
      <c r="I15" s="71" t="s">
        <v>154</v>
      </c>
      <c r="J15" s="68" t="s">
        <v>155</v>
      </c>
      <c r="K15" s="71" t="s">
        <v>120</v>
      </c>
    </row>
    <row r="16" spans="1:11" ht="40.5" customHeight="1" thickBot="1" x14ac:dyDescent="0.9">
      <c r="B16" s="60" t="s">
        <v>156</v>
      </c>
      <c r="C16" s="73" t="s">
        <v>91</v>
      </c>
      <c r="D16" s="73"/>
      <c r="E16" s="73"/>
      <c r="F16" s="73"/>
      <c r="G16" s="64"/>
      <c r="H16" s="64"/>
      <c r="I16" s="73"/>
      <c r="J16" s="65"/>
      <c r="K16" s="73"/>
    </row>
    <row r="17" spans="1:14" ht="40.5" customHeight="1" x14ac:dyDescent="0.75">
      <c r="A17" s="164" t="s">
        <v>157</v>
      </c>
      <c r="B17" s="62"/>
      <c r="C17" s="67" t="s">
        <v>158</v>
      </c>
      <c r="D17" s="68" t="s">
        <v>159</v>
      </c>
      <c r="E17" s="68" t="s">
        <v>113</v>
      </c>
      <c r="F17" s="68" t="s">
        <v>114</v>
      </c>
      <c r="G17" s="68" t="s">
        <v>113</v>
      </c>
      <c r="H17" s="68"/>
      <c r="I17" s="68" t="s">
        <v>114</v>
      </c>
      <c r="J17" s="68" t="s">
        <v>160</v>
      </c>
      <c r="K17" s="69" t="s">
        <v>114</v>
      </c>
    </row>
    <row r="18" spans="1:14" ht="40.5" customHeight="1" x14ac:dyDescent="0.75">
      <c r="A18" s="165"/>
      <c r="B18" s="66"/>
      <c r="C18" s="70" t="s">
        <v>161</v>
      </c>
      <c r="D18" s="71" t="s">
        <v>162</v>
      </c>
      <c r="E18" s="71" t="s">
        <v>4</v>
      </c>
      <c r="F18" s="71"/>
      <c r="G18" s="68" t="s">
        <v>4</v>
      </c>
      <c r="H18" s="68" t="s">
        <v>138</v>
      </c>
      <c r="I18" s="71" t="s">
        <v>118</v>
      </c>
      <c r="J18" s="68" t="s">
        <v>1231</v>
      </c>
      <c r="K18" s="69" t="s">
        <v>114</v>
      </c>
    </row>
    <row r="19" spans="1:14" s="75" customFormat="1" ht="40.5" customHeight="1" x14ac:dyDescent="0.75">
      <c r="A19" s="165"/>
      <c r="B19" s="74"/>
      <c r="C19" s="67" t="s">
        <v>163</v>
      </c>
      <c r="D19" s="68" t="s">
        <v>164</v>
      </c>
      <c r="E19" s="71" t="s">
        <v>130</v>
      </c>
      <c r="F19" s="71" t="s">
        <v>114</v>
      </c>
      <c r="G19" s="68" t="s">
        <v>113</v>
      </c>
      <c r="H19" s="71" t="s">
        <v>165</v>
      </c>
      <c r="I19" s="68" t="s">
        <v>114</v>
      </c>
      <c r="J19" s="68" t="s">
        <v>166</v>
      </c>
      <c r="K19" s="69" t="s">
        <v>167</v>
      </c>
      <c r="L19" s="59"/>
      <c r="M19" s="59"/>
      <c r="N19" s="59"/>
    </row>
    <row r="20" spans="1:14" ht="40.5" customHeight="1" x14ac:dyDescent="0.75">
      <c r="A20" s="165"/>
      <c r="B20" s="66"/>
      <c r="C20" s="70" t="s">
        <v>168</v>
      </c>
      <c r="D20" s="71" t="s">
        <v>169</v>
      </c>
      <c r="E20" s="71" t="s">
        <v>112</v>
      </c>
      <c r="F20" s="71" t="s">
        <v>114</v>
      </c>
      <c r="G20" s="71" t="s">
        <v>117</v>
      </c>
      <c r="H20" s="71"/>
      <c r="I20" s="71" t="s">
        <v>114</v>
      </c>
      <c r="J20" s="68" t="s">
        <v>170</v>
      </c>
      <c r="K20" s="76" t="s">
        <v>114</v>
      </c>
    </row>
    <row r="21" spans="1:14" ht="40.5" customHeight="1" x14ac:dyDescent="0.75">
      <c r="A21" s="165"/>
      <c r="B21" s="66"/>
      <c r="C21" s="70" t="s">
        <v>171</v>
      </c>
      <c r="D21" s="71" t="s">
        <v>172</v>
      </c>
      <c r="E21" s="71" t="s">
        <v>130</v>
      </c>
      <c r="F21" s="71"/>
      <c r="G21" s="68" t="s">
        <v>113</v>
      </c>
      <c r="H21" s="68" t="s">
        <v>173</v>
      </c>
      <c r="I21" s="71" t="s">
        <v>118</v>
      </c>
      <c r="J21" s="68" t="s">
        <v>174</v>
      </c>
      <c r="K21" s="69" t="s">
        <v>114</v>
      </c>
    </row>
    <row r="22" spans="1:14" s="79" customFormat="1" ht="40.5" customHeight="1" x14ac:dyDescent="0.75">
      <c r="A22" s="165"/>
      <c r="B22" s="77"/>
      <c r="C22" s="67" t="s">
        <v>175</v>
      </c>
      <c r="D22" s="68" t="s">
        <v>176</v>
      </c>
      <c r="E22" s="71" t="s">
        <v>112</v>
      </c>
      <c r="F22" s="71"/>
      <c r="G22" s="68" t="s">
        <v>117</v>
      </c>
      <c r="H22" s="68"/>
      <c r="I22" s="68" t="s">
        <v>177</v>
      </c>
      <c r="J22" s="68" t="s">
        <v>178</v>
      </c>
      <c r="K22" s="78" t="s">
        <v>114</v>
      </c>
    </row>
    <row r="23" spans="1:14" ht="40.5" customHeight="1" x14ac:dyDescent="0.75">
      <c r="A23" s="165"/>
      <c r="B23" s="66"/>
      <c r="C23" s="70" t="s">
        <v>179</v>
      </c>
      <c r="D23" s="71" t="s">
        <v>180</v>
      </c>
      <c r="E23" s="71" t="s">
        <v>4</v>
      </c>
      <c r="F23" s="71"/>
      <c r="G23" s="68" t="s">
        <v>4</v>
      </c>
      <c r="H23" s="68" t="s">
        <v>138</v>
      </c>
      <c r="I23" s="71" t="s">
        <v>181</v>
      </c>
      <c r="J23" s="68" t="s">
        <v>182</v>
      </c>
      <c r="K23" s="71" t="s">
        <v>120</v>
      </c>
    </row>
    <row r="24" spans="1:14" ht="40.5" customHeight="1" x14ac:dyDescent="0.75">
      <c r="A24" s="165"/>
      <c r="B24" s="66"/>
      <c r="C24" s="70" t="s">
        <v>183</v>
      </c>
      <c r="D24" s="71" t="s">
        <v>184</v>
      </c>
      <c r="E24" s="71" t="s">
        <v>130</v>
      </c>
      <c r="F24" s="71" t="s">
        <v>114</v>
      </c>
      <c r="G24" s="68" t="s">
        <v>117</v>
      </c>
      <c r="H24" s="68" t="s">
        <v>185</v>
      </c>
      <c r="I24" s="71" t="s">
        <v>114</v>
      </c>
      <c r="J24" s="68" t="s">
        <v>186</v>
      </c>
      <c r="K24" s="69" t="s">
        <v>114</v>
      </c>
    </row>
    <row r="25" spans="1:14" ht="40.5" customHeight="1" x14ac:dyDescent="0.75">
      <c r="A25" s="165"/>
      <c r="B25" s="66"/>
      <c r="C25" s="70" t="s">
        <v>91</v>
      </c>
      <c r="D25" s="71" t="s">
        <v>187</v>
      </c>
      <c r="E25" s="71" t="s">
        <v>130</v>
      </c>
      <c r="F25" s="71"/>
      <c r="G25" s="68" t="s">
        <v>117</v>
      </c>
      <c r="H25" s="68" t="s">
        <v>188</v>
      </c>
      <c r="I25" s="71" t="s">
        <v>118</v>
      </c>
      <c r="J25" s="68" t="s">
        <v>1232</v>
      </c>
      <c r="K25" s="69" t="s">
        <v>114</v>
      </c>
    </row>
    <row r="26" spans="1:14" ht="40.5" customHeight="1" x14ac:dyDescent="0.75">
      <c r="A26" s="165"/>
      <c r="B26" s="66"/>
      <c r="C26" s="70" t="s">
        <v>189</v>
      </c>
      <c r="D26" s="71" t="s">
        <v>190</v>
      </c>
      <c r="E26" s="71" t="s">
        <v>130</v>
      </c>
      <c r="F26" s="71" t="s">
        <v>114</v>
      </c>
      <c r="G26" s="68" t="s">
        <v>113</v>
      </c>
      <c r="H26" s="68"/>
      <c r="I26" s="71" t="s">
        <v>114</v>
      </c>
      <c r="J26" s="68" t="s">
        <v>191</v>
      </c>
      <c r="K26" s="69" t="s">
        <v>120</v>
      </c>
    </row>
    <row r="27" spans="1:14" ht="40.5" customHeight="1" x14ac:dyDescent="0.75">
      <c r="A27" s="165"/>
      <c r="B27" s="66"/>
      <c r="C27" s="70" t="s">
        <v>192</v>
      </c>
      <c r="D27" s="71" t="s">
        <v>193</v>
      </c>
      <c r="E27" s="71" t="s">
        <v>112</v>
      </c>
      <c r="F27" s="71"/>
      <c r="G27" s="68" t="s">
        <v>117</v>
      </c>
      <c r="H27" s="68"/>
      <c r="I27" s="71" t="s">
        <v>122</v>
      </c>
      <c r="J27" s="68" t="s">
        <v>194</v>
      </c>
      <c r="K27" s="69" t="s">
        <v>114</v>
      </c>
    </row>
    <row r="28" spans="1:14" ht="40.5" customHeight="1" x14ac:dyDescent="0.75">
      <c r="A28" s="165"/>
      <c r="B28" s="66"/>
      <c r="C28" s="70" t="s">
        <v>195</v>
      </c>
      <c r="D28" s="68" t="s">
        <v>196</v>
      </c>
      <c r="E28" s="71" t="s">
        <v>130</v>
      </c>
      <c r="F28" s="71"/>
      <c r="G28" s="68" t="s">
        <v>117</v>
      </c>
      <c r="H28" s="68" t="s">
        <v>197</v>
      </c>
      <c r="I28" s="71" t="s">
        <v>118</v>
      </c>
      <c r="J28" s="68" t="s">
        <v>198</v>
      </c>
      <c r="K28" s="69" t="s">
        <v>114</v>
      </c>
    </row>
    <row r="29" spans="1:14" ht="40.5" customHeight="1" x14ac:dyDescent="0.75">
      <c r="A29" s="165"/>
      <c r="B29" s="66"/>
      <c r="C29" s="70" t="s">
        <v>199</v>
      </c>
      <c r="D29" s="71" t="s">
        <v>200</v>
      </c>
      <c r="E29" s="71" t="s">
        <v>112</v>
      </c>
      <c r="F29" s="71"/>
      <c r="G29" s="68" t="s">
        <v>117</v>
      </c>
      <c r="H29" s="68"/>
      <c r="I29" s="71" t="s">
        <v>122</v>
      </c>
      <c r="J29" s="68" t="s">
        <v>201</v>
      </c>
      <c r="K29" s="69" t="s">
        <v>114</v>
      </c>
    </row>
    <row r="30" spans="1:14" ht="111" x14ac:dyDescent="0.75">
      <c r="A30" s="165"/>
      <c r="B30" s="66"/>
      <c r="C30" s="70" t="s">
        <v>202</v>
      </c>
      <c r="D30" s="71" t="s">
        <v>203</v>
      </c>
      <c r="E30" s="71" t="s">
        <v>130</v>
      </c>
      <c r="F30" s="71"/>
      <c r="G30" s="68" t="s">
        <v>113</v>
      </c>
      <c r="H30" s="68" t="s">
        <v>204</v>
      </c>
      <c r="I30" s="68" t="s">
        <v>114</v>
      </c>
      <c r="J30" s="68" t="s">
        <v>1233</v>
      </c>
      <c r="K30" s="69" t="s">
        <v>114</v>
      </c>
    </row>
    <row r="31" spans="1:14" ht="40.5" customHeight="1" x14ac:dyDescent="0.75">
      <c r="A31" s="165"/>
      <c r="B31" s="66"/>
      <c r="C31" s="70" t="s">
        <v>205</v>
      </c>
      <c r="D31" s="71" t="s">
        <v>206</v>
      </c>
      <c r="E31" s="71" t="s">
        <v>130</v>
      </c>
      <c r="F31" s="71"/>
      <c r="G31" s="68" t="s">
        <v>113</v>
      </c>
      <c r="H31" s="68" t="s">
        <v>207</v>
      </c>
      <c r="I31" s="68" t="s">
        <v>114</v>
      </c>
      <c r="J31" s="68" t="s">
        <v>208</v>
      </c>
      <c r="K31" s="69" t="s">
        <v>114</v>
      </c>
    </row>
    <row r="32" spans="1:14" ht="40.5" customHeight="1" x14ac:dyDescent="0.75">
      <c r="A32" s="165"/>
      <c r="B32" s="66"/>
      <c r="C32" s="70" t="s">
        <v>209</v>
      </c>
      <c r="D32" s="71" t="s">
        <v>210</v>
      </c>
      <c r="E32" s="71" t="s">
        <v>130</v>
      </c>
      <c r="F32" s="71"/>
      <c r="G32" s="68" t="s">
        <v>113</v>
      </c>
      <c r="H32" s="68" t="s">
        <v>211</v>
      </c>
      <c r="I32" s="68" t="s">
        <v>212</v>
      </c>
      <c r="J32" s="68"/>
      <c r="K32" s="69" t="s">
        <v>120</v>
      </c>
    </row>
    <row r="33" spans="1:11" ht="40.5" customHeight="1" x14ac:dyDescent="0.75">
      <c r="A33" s="165"/>
      <c r="B33" s="66"/>
      <c r="C33" s="70" t="s">
        <v>213</v>
      </c>
      <c r="D33" s="71" t="s">
        <v>214</v>
      </c>
      <c r="E33" s="71" t="s">
        <v>130</v>
      </c>
      <c r="F33" s="71"/>
      <c r="G33" s="68" t="s">
        <v>117</v>
      </c>
      <c r="H33" s="68"/>
      <c r="I33" s="71" t="s">
        <v>215</v>
      </c>
      <c r="J33" s="68" t="s">
        <v>1234</v>
      </c>
      <c r="K33" s="69" t="s">
        <v>114</v>
      </c>
    </row>
    <row r="34" spans="1:11" ht="40.5" customHeight="1" x14ac:dyDescent="0.75">
      <c r="A34" s="165"/>
      <c r="B34" s="66"/>
      <c r="C34" s="70" t="s">
        <v>216</v>
      </c>
      <c r="D34" s="71" t="s">
        <v>217</v>
      </c>
      <c r="E34" s="71" t="s">
        <v>112</v>
      </c>
      <c r="F34" s="71"/>
      <c r="G34" s="68" t="s">
        <v>117</v>
      </c>
      <c r="H34" s="68"/>
      <c r="I34" s="71" t="s">
        <v>218</v>
      </c>
      <c r="J34" s="68" t="s">
        <v>219</v>
      </c>
      <c r="K34" s="69" t="s">
        <v>114</v>
      </c>
    </row>
    <row r="35" spans="1:11" ht="40.5" customHeight="1" x14ac:dyDescent="0.75">
      <c r="A35" s="165"/>
      <c r="B35" s="66"/>
      <c r="C35" s="70" t="s">
        <v>220</v>
      </c>
      <c r="D35" s="71" t="s">
        <v>221</v>
      </c>
      <c r="E35" s="71" t="s">
        <v>112</v>
      </c>
      <c r="F35" s="71"/>
      <c r="G35" s="68" t="s">
        <v>117</v>
      </c>
      <c r="H35" s="68"/>
      <c r="I35" s="71" t="s">
        <v>122</v>
      </c>
      <c r="J35" s="68" t="s">
        <v>222</v>
      </c>
      <c r="K35" s="69" t="s">
        <v>114</v>
      </c>
    </row>
    <row r="36" spans="1:11" ht="40.5" customHeight="1" x14ac:dyDescent="0.75">
      <c r="A36" s="165"/>
      <c r="B36" s="66"/>
      <c r="C36" s="70" t="s">
        <v>223</v>
      </c>
      <c r="D36" s="71" t="s">
        <v>224</v>
      </c>
      <c r="E36" s="71" t="s">
        <v>112</v>
      </c>
      <c r="F36" s="71"/>
      <c r="G36" s="68" t="s">
        <v>117</v>
      </c>
      <c r="H36" s="68"/>
      <c r="I36" s="71" t="s">
        <v>122</v>
      </c>
      <c r="J36" s="68" t="s">
        <v>1235</v>
      </c>
      <c r="K36" s="69" t="s">
        <v>114</v>
      </c>
    </row>
    <row r="37" spans="1:11" ht="40.5" customHeight="1" x14ac:dyDescent="0.75">
      <c r="A37" s="165"/>
      <c r="B37" s="66"/>
      <c r="C37" s="70" t="s">
        <v>225</v>
      </c>
      <c r="D37" s="71" t="s">
        <v>226</v>
      </c>
      <c r="E37" s="71" t="s">
        <v>112</v>
      </c>
      <c r="F37" s="71"/>
      <c r="G37" s="68" t="s">
        <v>117</v>
      </c>
      <c r="H37" s="68"/>
      <c r="I37" s="71" t="s">
        <v>122</v>
      </c>
      <c r="J37" s="68" t="s">
        <v>1236</v>
      </c>
      <c r="K37" s="69" t="s">
        <v>114</v>
      </c>
    </row>
    <row r="38" spans="1:11" ht="40.5" customHeight="1" x14ac:dyDescent="0.75">
      <c r="A38" s="165"/>
      <c r="B38" s="66"/>
      <c r="C38" s="70" t="s">
        <v>227</v>
      </c>
      <c r="D38" s="71" t="s">
        <v>228</v>
      </c>
      <c r="E38" s="71" t="s">
        <v>130</v>
      </c>
      <c r="F38" s="71"/>
      <c r="G38" s="68" t="s">
        <v>113</v>
      </c>
      <c r="H38" s="80" t="s">
        <v>229</v>
      </c>
      <c r="I38" s="71" t="s">
        <v>118</v>
      </c>
      <c r="J38" s="68" t="s">
        <v>230</v>
      </c>
      <c r="K38" s="69" t="s">
        <v>114</v>
      </c>
    </row>
    <row r="39" spans="1:11" ht="40.5" customHeight="1" x14ac:dyDescent="0.75">
      <c r="A39" s="165"/>
      <c r="B39" s="66"/>
      <c r="C39" s="70" t="s">
        <v>231</v>
      </c>
      <c r="D39" s="68" t="s">
        <v>232</v>
      </c>
      <c r="E39" s="71" t="s">
        <v>130</v>
      </c>
      <c r="F39" s="71"/>
      <c r="G39" s="68" t="s">
        <v>117</v>
      </c>
      <c r="H39" s="68" t="s">
        <v>1237</v>
      </c>
      <c r="I39" s="68" t="s">
        <v>233</v>
      </c>
      <c r="J39" s="68" t="s">
        <v>1238</v>
      </c>
      <c r="K39" s="69" t="s">
        <v>114</v>
      </c>
    </row>
    <row r="40" spans="1:11" ht="40.5" customHeight="1" x14ac:dyDescent="0.75">
      <c r="A40" s="165"/>
      <c r="B40" s="66"/>
      <c r="C40" s="70" t="s">
        <v>234</v>
      </c>
      <c r="D40" s="68" t="s">
        <v>235</v>
      </c>
      <c r="E40" s="71" t="s">
        <v>112</v>
      </c>
      <c r="F40" s="71"/>
      <c r="G40" s="68" t="s">
        <v>117</v>
      </c>
      <c r="H40" s="68"/>
      <c r="I40" s="68" t="s">
        <v>236</v>
      </c>
      <c r="J40" s="68" t="s">
        <v>1239</v>
      </c>
      <c r="K40" s="69" t="s">
        <v>114</v>
      </c>
    </row>
    <row r="41" spans="1:11" ht="40.5" customHeight="1" x14ac:dyDescent="0.75">
      <c r="A41" s="165"/>
      <c r="B41" s="81" t="s">
        <v>237</v>
      </c>
      <c r="C41" s="70" t="s">
        <v>238</v>
      </c>
      <c r="D41" s="71" t="s">
        <v>239</v>
      </c>
      <c r="E41" s="71" t="s">
        <v>130</v>
      </c>
      <c r="F41" s="71"/>
      <c r="G41" s="68" t="s">
        <v>113</v>
      </c>
      <c r="H41" s="68" t="s">
        <v>229</v>
      </c>
      <c r="I41" s="71" t="s">
        <v>118</v>
      </c>
      <c r="J41" s="68" t="s">
        <v>240</v>
      </c>
      <c r="K41" s="69" t="s">
        <v>114</v>
      </c>
    </row>
    <row r="42" spans="1:11" ht="40.5" customHeight="1" x14ac:dyDescent="0.75">
      <c r="A42" s="165"/>
      <c r="B42" s="81" t="s">
        <v>241</v>
      </c>
      <c r="C42" s="82" t="s">
        <v>242</v>
      </c>
      <c r="D42" s="80" t="s">
        <v>243</v>
      </c>
      <c r="E42" s="68" t="s">
        <v>244</v>
      </c>
      <c r="F42" s="68"/>
      <c r="G42" s="68" t="s">
        <v>117</v>
      </c>
      <c r="H42" s="78"/>
      <c r="I42" s="68" t="s">
        <v>245</v>
      </c>
      <c r="J42" s="80" t="s">
        <v>246</v>
      </c>
      <c r="K42" s="69" t="s">
        <v>114</v>
      </c>
    </row>
    <row r="43" spans="1:11" ht="40.5" customHeight="1" thickBot="1" x14ac:dyDescent="0.9">
      <c r="A43" s="166"/>
      <c r="B43" s="83"/>
      <c r="C43" s="70" t="s">
        <v>247</v>
      </c>
      <c r="D43" s="71" t="s">
        <v>248</v>
      </c>
      <c r="E43" s="68" t="s">
        <v>244</v>
      </c>
      <c r="F43" s="68"/>
      <c r="G43" s="68" t="s">
        <v>117</v>
      </c>
      <c r="H43" s="68" t="s">
        <v>249</v>
      </c>
      <c r="I43" s="71" t="s">
        <v>122</v>
      </c>
      <c r="J43" s="68" t="s">
        <v>250</v>
      </c>
      <c r="K43" s="71" t="s">
        <v>114</v>
      </c>
    </row>
    <row r="44" spans="1:11" ht="130.25" thickBot="1" x14ac:dyDescent="0.9">
      <c r="B44" s="60" t="s">
        <v>251</v>
      </c>
      <c r="C44" s="84" t="s">
        <v>92</v>
      </c>
      <c r="D44" s="85"/>
      <c r="E44" s="85"/>
      <c r="F44" s="85"/>
      <c r="G44" s="86"/>
      <c r="H44" s="86"/>
      <c r="I44" s="87"/>
      <c r="J44" s="65"/>
      <c r="K44" s="85"/>
    </row>
    <row r="45" spans="1:11" ht="40.5" customHeight="1" x14ac:dyDescent="0.75">
      <c r="A45" s="88"/>
      <c r="B45" s="89" t="s">
        <v>252</v>
      </c>
      <c r="C45" s="67" t="s">
        <v>158</v>
      </c>
      <c r="D45" s="68" t="s">
        <v>159</v>
      </c>
      <c r="E45" s="68" t="s">
        <v>113</v>
      </c>
      <c r="F45" s="68" t="s">
        <v>114</v>
      </c>
      <c r="G45" s="68" t="s">
        <v>113</v>
      </c>
      <c r="H45" s="68"/>
      <c r="I45" s="68" t="s">
        <v>114</v>
      </c>
      <c r="J45" s="68" t="s">
        <v>253</v>
      </c>
      <c r="K45" s="78" t="s">
        <v>120</v>
      </c>
    </row>
    <row r="46" spans="1:11" ht="40.5" customHeight="1" x14ac:dyDescent="0.75">
      <c r="A46" s="90"/>
      <c r="B46" s="161" t="s">
        <v>254</v>
      </c>
      <c r="C46" s="70" t="s">
        <v>255</v>
      </c>
      <c r="D46" s="71" t="s">
        <v>256</v>
      </c>
      <c r="E46" s="71" t="s">
        <v>130</v>
      </c>
      <c r="F46" s="71"/>
      <c r="G46" s="68" t="s">
        <v>113</v>
      </c>
      <c r="H46" s="68" t="s">
        <v>257</v>
      </c>
      <c r="I46" s="71" t="s">
        <v>118</v>
      </c>
      <c r="J46" s="68" t="s">
        <v>258</v>
      </c>
      <c r="K46" s="69" t="s">
        <v>114</v>
      </c>
    </row>
    <row r="47" spans="1:11" ht="40.5" customHeight="1" x14ac:dyDescent="0.75">
      <c r="A47" s="90"/>
      <c r="B47" s="162"/>
      <c r="C47" s="70" t="s">
        <v>259</v>
      </c>
      <c r="D47" s="71" t="s">
        <v>260</v>
      </c>
      <c r="E47" s="71" t="s">
        <v>112</v>
      </c>
      <c r="F47" s="71"/>
      <c r="G47" s="68" t="s">
        <v>117</v>
      </c>
      <c r="H47" s="68"/>
      <c r="I47" s="68" t="s">
        <v>261</v>
      </c>
      <c r="J47" s="68" t="s">
        <v>262</v>
      </c>
      <c r="K47" s="69" t="s">
        <v>114</v>
      </c>
    </row>
    <row r="48" spans="1:11" ht="40.5" customHeight="1" x14ac:dyDescent="0.75">
      <c r="A48" s="90"/>
      <c r="B48" s="163"/>
      <c r="C48" s="70" t="s">
        <v>263</v>
      </c>
      <c r="D48" s="71" t="s">
        <v>264</v>
      </c>
      <c r="E48" s="71" t="s">
        <v>112</v>
      </c>
      <c r="F48" s="71"/>
      <c r="G48" s="68" t="s">
        <v>117</v>
      </c>
      <c r="H48" s="68"/>
      <c r="I48" s="68" t="s">
        <v>265</v>
      </c>
      <c r="J48" s="68" t="s">
        <v>266</v>
      </c>
      <c r="K48" s="69" t="s">
        <v>114</v>
      </c>
    </row>
    <row r="49" spans="1:11" ht="40.5" customHeight="1" x14ac:dyDescent="0.75">
      <c r="A49" s="90"/>
      <c r="B49" s="66"/>
      <c r="C49" s="70" t="s">
        <v>267</v>
      </c>
      <c r="D49" s="71" t="s">
        <v>268</v>
      </c>
      <c r="E49" s="71" t="s">
        <v>112</v>
      </c>
      <c r="F49" s="71"/>
      <c r="G49" s="68" t="s">
        <v>117</v>
      </c>
      <c r="H49" s="68"/>
      <c r="I49" s="68" t="s">
        <v>269</v>
      </c>
      <c r="J49" s="68" t="s">
        <v>270</v>
      </c>
      <c r="K49" s="69" t="s">
        <v>114</v>
      </c>
    </row>
    <row r="50" spans="1:11" ht="40.5" customHeight="1" x14ac:dyDescent="0.75">
      <c r="A50" s="90"/>
      <c r="B50" s="81"/>
      <c r="C50" s="70" t="s">
        <v>271</v>
      </c>
      <c r="D50" s="71" t="s">
        <v>272</v>
      </c>
      <c r="E50" s="71" t="s">
        <v>130</v>
      </c>
      <c r="F50" s="71"/>
      <c r="G50" s="68" t="s">
        <v>113</v>
      </c>
      <c r="H50" s="68" t="s">
        <v>207</v>
      </c>
      <c r="I50" s="71" t="s">
        <v>118</v>
      </c>
      <c r="J50" s="68" t="s">
        <v>1240</v>
      </c>
      <c r="K50" s="69" t="s">
        <v>114</v>
      </c>
    </row>
    <row r="51" spans="1:11" ht="40.5" customHeight="1" x14ac:dyDescent="0.75">
      <c r="A51" s="90"/>
      <c r="B51" s="81"/>
      <c r="C51" s="70" t="s">
        <v>273</v>
      </c>
      <c r="D51" s="71" t="s">
        <v>94</v>
      </c>
      <c r="E51" s="71" t="s">
        <v>130</v>
      </c>
      <c r="F51" s="71"/>
      <c r="G51" s="68" t="s">
        <v>113</v>
      </c>
      <c r="H51" s="68" t="s">
        <v>229</v>
      </c>
      <c r="I51" s="71" t="s">
        <v>118</v>
      </c>
      <c r="J51" s="68" t="s">
        <v>274</v>
      </c>
      <c r="K51" s="69" t="s">
        <v>114</v>
      </c>
    </row>
    <row r="52" spans="1:11" ht="40.5" customHeight="1" x14ac:dyDescent="0.75">
      <c r="A52" s="90"/>
      <c r="B52" s="81"/>
      <c r="C52" s="70" t="s">
        <v>275</v>
      </c>
      <c r="D52" s="71" t="s">
        <v>276</v>
      </c>
      <c r="E52" s="71" t="s">
        <v>130</v>
      </c>
      <c r="F52" s="71"/>
      <c r="G52" s="68" t="s">
        <v>113</v>
      </c>
      <c r="H52" s="68" t="s">
        <v>207</v>
      </c>
      <c r="I52" s="71" t="s">
        <v>118</v>
      </c>
      <c r="J52" s="68" t="s">
        <v>277</v>
      </c>
      <c r="K52" s="69" t="s">
        <v>114</v>
      </c>
    </row>
    <row r="53" spans="1:11" ht="40.5" customHeight="1" x14ac:dyDescent="0.75">
      <c r="A53" s="90"/>
      <c r="B53" s="81"/>
      <c r="C53" s="70" t="s">
        <v>278</v>
      </c>
      <c r="D53" s="71" t="s">
        <v>279</v>
      </c>
      <c r="E53" s="71" t="s">
        <v>130</v>
      </c>
      <c r="F53" s="71"/>
      <c r="G53" s="68" t="s">
        <v>113</v>
      </c>
      <c r="H53" s="68" t="s">
        <v>280</v>
      </c>
      <c r="I53" s="71" t="s">
        <v>118</v>
      </c>
      <c r="J53" s="68" t="s">
        <v>1241</v>
      </c>
      <c r="K53" s="69" t="s">
        <v>114</v>
      </c>
    </row>
    <row r="54" spans="1:11" ht="55.5" x14ac:dyDescent="0.75">
      <c r="A54" s="90"/>
      <c r="B54" s="81"/>
      <c r="C54" s="70" t="s">
        <v>281</v>
      </c>
      <c r="D54" s="71" t="s">
        <v>282</v>
      </c>
      <c r="E54" s="71" t="s">
        <v>130</v>
      </c>
      <c r="F54" s="71"/>
      <c r="G54" s="68" t="s">
        <v>113</v>
      </c>
      <c r="H54" s="68" t="s">
        <v>280</v>
      </c>
      <c r="I54" s="71" t="s">
        <v>118</v>
      </c>
      <c r="J54" s="68" t="s">
        <v>283</v>
      </c>
      <c r="K54" s="69" t="s">
        <v>114</v>
      </c>
    </row>
    <row r="55" spans="1:11" ht="40.5" customHeight="1" x14ac:dyDescent="0.75">
      <c r="A55" s="90"/>
      <c r="B55" s="66"/>
      <c r="C55" s="70" t="s">
        <v>284</v>
      </c>
      <c r="D55" s="71" t="s">
        <v>285</v>
      </c>
      <c r="E55" s="71" t="s">
        <v>4</v>
      </c>
      <c r="F55" s="71"/>
      <c r="G55" s="68" t="s">
        <v>4</v>
      </c>
      <c r="H55" s="68" t="s">
        <v>138</v>
      </c>
      <c r="I55" s="71" t="s">
        <v>118</v>
      </c>
      <c r="J55" s="68" t="s">
        <v>286</v>
      </c>
      <c r="K55" s="69" t="s">
        <v>114</v>
      </c>
    </row>
    <row r="56" spans="1:11" ht="40.5" customHeight="1" x14ac:dyDescent="0.75">
      <c r="A56" s="90"/>
      <c r="B56" s="66"/>
      <c r="C56" s="67" t="s">
        <v>287</v>
      </c>
      <c r="D56" s="68" t="s">
        <v>288</v>
      </c>
      <c r="E56" s="71" t="s">
        <v>130</v>
      </c>
      <c r="F56" s="71"/>
      <c r="G56" s="68" t="s">
        <v>113</v>
      </c>
      <c r="H56" s="68" t="s">
        <v>289</v>
      </c>
      <c r="I56" s="68" t="s">
        <v>114</v>
      </c>
      <c r="J56" s="68" t="s">
        <v>290</v>
      </c>
      <c r="K56" s="69" t="s">
        <v>114</v>
      </c>
    </row>
    <row r="57" spans="1:11" ht="40.5" customHeight="1" x14ac:dyDescent="0.75">
      <c r="A57" s="90"/>
      <c r="B57" s="66"/>
      <c r="C57" s="67" t="s">
        <v>291</v>
      </c>
      <c r="D57" s="68" t="s">
        <v>292</v>
      </c>
      <c r="E57" s="71" t="s">
        <v>112</v>
      </c>
      <c r="F57" s="71"/>
      <c r="G57" s="68" t="s">
        <v>117</v>
      </c>
      <c r="H57" s="68"/>
      <c r="I57" s="68" t="s">
        <v>293</v>
      </c>
      <c r="J57" s="68" t="s">
        <v>294</v>
      </c>
      <c r="K57" s="69" t="s">
        <v>114</v>
      </c>
    </row>
    <row r="58" spans="1:11" ht="54.25" customHeight="1" thickBot="1" x14ac:dyDescent="0.9">
      <c r="A58" s="91"/>
      <c r="B58" s="83"/>
      <c r="C58" s="67" t="s">
        <v>295</v>
      </c>
      <c r="D58" s="68" t="s">
        <v>296</v>
      </c>
      <c r="E58" s="71" t="s">
        <v>130</v>
      </c>
      <c r="F58" s="71"/>
      <c r="G58" s="68" t="s">
        <v>113</v>
      </c>
      <c r="H58" s="68" t="s">
        <v>289</v>
      </c>
      <c r="I58" s="68" t="s">
        <v>114</v>
      </c>
      <c r="J58" s="68" t="s">
        <v>297</v>
      </c>
      <c r="K58" s="78" t="s">
        <v>114</v>
      </c>
    </row>
    <row r="59" spans="1:11" ht="40.5" customHeight="1" thickBot="1" x14ac:dyDescent="0.9">
      <c r="B59" s="92" t="s">
        <v>298</v>
      </c>
      <c r="C59" s="84" t="s">
        <v>271</v>
      </c>
      <c r="D59" s="85"/>
      <c r="E59" s="85"/>
      <c r="F59" s="85"/>
      <c r="G59" s="86"/>
      <c r="H59" s="86"/>
      <c r="I59" s="87"/>
      <c r="J59" s="65"/>
      <c r="K59" s="85"/>
    </row>
    <row r="60" spans="1:11" ht="40.5" customHeight="1" x14ac:dyDescent="0.75">
      <c r="A60" s="88"/>
      <c r="B60" s="89" t="s">
        <v>252</v>
      </c>
      <c r="C60" s="67" t="s">
        <v>158</v>
      </c>
      <c r="D60" s="68" t="s">
        <v>159</v>
      </c>
      <c r="E60" s="68" t="s">
        <v>113</v>
      </c>
      <c r="F60" s="68" t="s">
        <v>114</v>
      </c>
      <c r="G60" s="68" t="s">
        <v>113</v>
      </c>
      <c r="H60" s="68"/>
      <c r="I60" s="68" t="s">
        <v>114</v>
      </c>
      <c r="J60" s="68" t="s">
        <v>299</v>
      </c>
      <c r="K60" s="78" t="s">
        <v>120</v>
      </c>
    </row>
    <row r="61" spans="1:11" ht="40.5" customHeight="1" x14ac:dyDescent="0.75">
      <c r="A61" s="90"/>
      <c r="B61" s="66"/>
      <c r="C61" s="67" t="s">
        <v>300</v>
      </c>
      <c r="D61" s="68" t="s">
        <v>301</v>
      </c>
      <c r="E61" s="68" t="s">
        <v>113</v>
      </c>
      <c r="F61" s="68" t="s">
        <v>114</v>
      </c>
      <c r="G61" s="68" t="s">
        <v>113</v>
      </c>
      <c r="H61" s="68"/>
      <c r="I61" s="68" t="s">
        <v>114</v>
      </c>
      <c r="J61" s="68"/>
      <c r="K61" s="78" t="s">
        <v>120</v>
      </c>
    </row>
    <row r="62" spans="1:11" ht="40.5" customHeight="1" x14ac:dyDescent="0.75">
      <c r="A62" s="90"/>
      <c r="B62" s="66"/>
      <c r="C62" s="70" t="s">
        <v>302</v>
      </c>
      <c r="D62" s="71" t="s">
        <v>172</v>
      </c>
      <c r="E62" s="71" t="s">
        <v>130</v>
      </c>
      <c r="F62" s="71"/>
      <c r="G62" s="68" t="s">
        <v>113</v>
      </c>
      <c r="H62" s="68" t="s">
        <v>303</v>
      </c>
      <c r="I62" s="71" t="s">
        <v>118</v>
      </c>
      <c r="J62" s="68" t="s">
        <v>304</v>
      </c>
      <c r="K62" s="69" t="s">
        <v>114</v>
      </c>
    </row>
    <row r="63" spans="1:11" ht="40.5" customHeight="1" x14ac:dyDescent="0.75">
      <c r="A63" s="90"/>
      <c r="B63" s="66"/>
      <c r="C63" s="70" t="s">
        <v>175</v>
      </c>
      <c r="D63" s="71" t="s">
        <v>176</v>
      </c>
      <c r="E63" s="71" t="s">
        <v>112</v>
      </c>
      <c r="F63" s="71"/>
      <c r="G63" s="68" t="s">
        <v>117</v>
      </c>
      <c r="H63" s="68"/>
      <c r="I63" s="68" t="s">
        <v>305</v>
      </c>
      <c r="J63" s="68" t="s">
        <v>306</v>
      </c>
      <c r="K63" s="69" t="s">
        <v>114</v>
      </c>
    </row>
    <row r="64" spans="1:11" ht="40.5" customHeight="1" x14ac:dyDescent="0.75">
      <c r="A64" s="90"/>
      <c r="B64" s="66"/>
      <c r="C64" s="70" t="s">
        <v>307</v>
      </c>
      <c r="D64" s="71" t="s">
        <v>308</v>
      </c>
      <c r="E64" s="71" t="s">
        <v>4</v>
      </c>
      <c r="F64" s="71"/>
      <c r="G64" s="68" t="s">
        <v>4</v>
      </c>
      <c r="H64" s="68" t="s">
        <v>138</v>
      </c>
      <c r="I64" s="71" t="s">
        <v>118</v>
      </c>
      <c r="J64" s="68" t="s">
        <v>309</v>
      </c>
      <c r="K64" s="69" t="s">
        <v>114</v>
      </c>
    </row>
    <row r="65" spans="1:11" ht="40.5" customHeight="1" x14ac:dyDescent="0.75">
      <c r="A65" s="90"/>
      <c r="B65" s="66"/>
      <c r="C65" s="70" t="s">
        <v>310</v>
      </c>
      <c r="D65" s="71" t="s">
        <v>311</v>
      </c>
      <c r="E65" s="71" t="s">
        <v>4</v>
      </c>
      <c r="F65" s="71"/>
      <c r="G65" s="68" t="s">
        <v>4</v>
      </c>
      <c r="H65" s="68" t="s">
        <v>138</v>
      </c>
      <c r="I65" s="71" t="s">
        <v>118</v>
      </c>
      <c r="J65" s="68" t="s">
        <v>312</v>
      </c>
      <c r="K65" s="69" t="s">
        <v>114</v>
      </c>
    </row>
    <row r="66" spans="1:11" ht="40.5" customHeight="1" x14ac:dyDescent="0.75">
      <c r="A66" s="90"/>
      <c r="B66" s="66"/>
      <c r="C66" s="70" t="s">
        <v>313</v>
      </c>
      <c r="D66" s="71" t="s">
        <v>314</v>
      </c>
      <c r="E66" s="71" t="s">
        <v>130</v>
      </c>
      <c r="F66" s="71"/>
      <c r="G66" s="68" t="s">
        <v>117</v>
      </c>
      <c r="H66" s="68"/>
      <c r="I66" s="71" t="s">
        <v>118</v>
      </c>
      <c r="J66" s="68" t="s">
        <v>315</v>
      </c>
      <c r="K66" s="69" t="s">
        <v>114</v>
      </c>
    </row>
    <row r="67" spans="1:11" ht="40.5" customHeight="1" x14ac:dyDescent="0.75">
      <c r="A67" s="90"/>
      <c r="B67" s="66"/>
      <c r="C67" s="70" t="s">
        <v>316</v>
      </c>
      <c r="D67" s="71" t="s">
        <v>317</v>
      </c>
      <c r="E67" s="71" t="s">
        <v>112</v>
      </c>
      <c r="F67" s="71"/>
      <c r="G67" s="68" t="s">
        <v>117</v>
      </c>
      <c r="H67" s="68"/>
      <c r="I67" s="71" t="s">
        <v>118</v>
      </c>
      <c r="J67" s="68" t="s">
        <v>1242</v>
      </c>
      <c r="K67" s="69" t="s">
        <v>114</v>
      </c>
    </row>
    <row r="68" spans="1:11" ht="40.5" customHeight="1" x14ac:dyDescent="0.75">
      <c r="A68" s="90"/>
      <c r="B68" s="66"/>
      <c r="C68" s="70" t="s">
        <v>318</v>
      </c>
      <c r="D68" s="71" t="s">
        <v>319</v>
      </c>
      <c r="E68" s="71" t="s">
        <v>130</v>
      </c>
      <c r="F68" s="71"/>
      <c r="G68" s="68" t="s">
        <v>113</v>
      </c>
      <c r="H68" s="68" t="s">
        <v>320</v>
      </c>
      <c r="I68" s="93" t="s">
        <v>118</v>
      </c>
      <c r="J68" s="68" t="s">
        <v>929</v>
      </c>
      <c r="K68" s="69" t="s">
        <v>114</v>
      </c>
    </row>
    <row r="69" spans="1:11" ht="40.5" customHeight="1" x14ac:dyDescent="0.75">
      <c r="A69" s="90"/>
      <c r="B69" s="66"/>
      <c r="C69" s="70" t="s">
        <v>321</v>
      </c>
      <c r="D69" s="71" t="s">
        <v>322</v>
      </c>
      <c r="E69" s="71" t="s">
        <v>130</v>
      </c>
      <c r="F69" s="71"/>
      <c r="G69" s="68" t="s">
        <v>113</v>
      </c>
      <c r="H69" s="68" t="s">
        <v>323</v>
      </c>
      <c r="I69" s="71" t="s">
        <v>118</v>
      </c>
      <c r="J69" s="68" t="s">
        <v>324</v>
      </c>
      <c r="K69" s="69" t="s">
        <v>114</v>
      </c>
    </row>
    <row r="70" spans="1:11" ht="40.5" customHeight="1" x14ac:dyDescent="0.75">
      <c r="A70" s="90"/>
      <c r="B70" s="81"/>
      <c r="C70" s="67" t="s">
        <v>325</v>
      </c>
      <c r="D70" s="68" t="s">
        <v>326</v>
      </c>
      <c r="E70" s="71" t="s">
        <v>130</v>
      </c>
      <c r="F70" s="71"/>
      <c r="G70" s="68" t="s">
        <v>113</v>
      </c>
      <c r="H70" s="68" t="s">
        <v>207</v>
      </c>
      <c r="I70" s="68" t="s">
        <v>114</v>
      </c>
      <c r="J70" s="68" t="s">
        <v>1243</v>
      </c>
      <c r="K70" s="78" t="s">
        <v>114</v>
      </c>
    </row>
    <row r="71" spans="1:11" s="79" customFormat="1" ht="40.5" customHeight="1" x14ac:dyDescent="0.75">
      <c r="A71" s="94"/>
      <c r="B71" s="77"/>
      <c r="C71" s="67" t="s">
        <v>327</v>
      </c>
      <c r="D71" s="68" t="s">
        <v>328</v>
      </c>
      <c r="E71" s="68" t="s">
        <v>329</v>
      </c>
      <c r="F71" s="68"/>
      <c r="G71" s="68" t="s">
        <v>113</v>
      </c>
      <c r="H71" s="71" t="s">
        <v>330</v>
      </c>
      <c r="I71" s="68" t="s">
        <v>120</v>
      </c>
      <c r="J71" s="68" t="s">
        <v>331</v>
      </c>
      <c r="K71" s="78" t="s">
        <v>120</v>
      </c>
    </row>
    <row r="72" spans="1:11" s="79" customFormat="1" ht="40.5" customHeight="1" x14ac:dyDescent="0.75">
      <c r="A72" s="94"/>
      <c r="B72" s="77"/>
      <c r="C72" s="67" t="s">
        <v>332</v>
      </c>
      <c r="D72" s="68" t="s">
        <v>333</v>
      </c>
      <c r="E72" s="71" t="s">
        <v>112</v>
      </c>
      <c r="F72" s="71"/>
      <c r="G72" s="68" t="s">
        <v>117</v>
      </c>
      <c r="H72" s="68"/>
      <c r="I72" s="71" t="s">
        <v>334</v>
      </c>
      <c r="J72" s="68" t="s">
        <v>335</v>
      </c>
      <c r="K72" s="78" t="s">
        <v>120</v>
      </c>
    </row>
    <row r="73" spans="1:11" ht="40.5" customHeight="1" x14ac:dyDescent="0.75">
      <c r="A73" s="90"/>
      <c r="B73" s="66"/>
      <c r="C73" s="70" t="s">
        <v>336</v>
      </c>
      <c r="D73" s="71" t="s">
        <v>337</v>
      </c>
      <c r="E73" s="71" t="s">
        <v>130</v>
      </c>
      <c r="F73" s="71"/>
      <c r="G73" s="68" t="s">
        <v>113</v>
      </c>
      <c r="H73" s="68" t="s">
        <v>229</v>
      </c>
      <c r="I73" s="71" t="s">
        <v>118</v>
      </c>
      <c r="J73" s="68" t="s">
        <v>338</v>
      </c>
      <c r="K73" s="69" t="s">
        <v>114</v>
      </c>
    </row>
    <row r="74" spans="1:11" ht="40.5" customHeight="1" x14ac:dyDescent="0.75">
      <c r="A74" s="90"/>
      <c r="B74" s="66"/>
      <c r="C74" s="70" t="s">
        <v>339</v>
      </c>
      <c r="D74" s="71" t="s">
        <v>340</v>
      </c>
      <c r="E74" s="71" t="s">
        <v>112</v>
      </c>
      <c r="F74" s="71"/>
      <c r="G74" s="68" t="s">
        <v>117</v>
      </c>
      <c r="H74" s="68"/>
      <c r="I74" s="68" t="s">
        <v>341</v>
      </c>
      <c r="J74" s="68" t="s">
        <v>342</v>
      </c>
      <c r="K74" s="71" t="s">
        <v>343</v>
      </c>
    </row>
    <row r="75" spans="1:11" ht="40.5" customHeight="1" x14ac:dyDescent="0.75">
      <c r="A75" s="90"/>
      <c r="B75" s="66"/>
      <c r="C75" s="67" t="s">
        <v>344</v>
      </c>
      <c r="D75" s="68" t="s">
        <v>345</v>
      </c>
      <c r="E75" s="71" t="s">
        <v>112</v>
      </c>
      <c r="F75" s="71"/>
      <c r="G75" s="68" t="s">
        <v>117</v>
      </c>
      <c r="H75" s="68"/>
      <c r="I75" s="68" t="s">
        <v>341</v>
      </c>
      <c r="J75" s="68" t="s">
        <v>346</v>
      </c>
      <c r="K75" s="69" t="s">
        <v>114</v>
      </c>
    </row>
    <row r="76" spans="1:11" ht="40.5" customHeight="1" x14ac:dyDescent="0.75">
      <c r="A76" s="90"/>
      <c r="B76" s="66"/>
      <c r="C76" s="70" t="s">
        <v>347</v>
      </c>
      <c r="D76" s="71" t="s">
        <v>348</v>
      </c>
      <c r="E76" s="71" t="s">
        <v>130</v>
      </c>
      <c r="F76" s="71"/>
      <c r="G76" s="68" t="s">
        <v>113</v>
      </c>
      <c r="H76" s="68" t="s">
        <v>349</v>
      </c>
      <c r="I76" s="71" t="s">
        <v>118</v>
      </c>
      <c r="J76" s="68" t="s">
        <v>350</v>
      </c>
      <c r="K76" s="69" t="s">
        <v>114</v>
      </c>
    </row>
    <row r="77" spans="1:11" ht="40.5" customHeight="1" thickBot="1" x14ac:dyDescent="0.9">
      <c r="A77" s="91"/>
      <c r="B77" s="83"/>
      <c r="C77" s="70" t="s">
        <v>351</v>
      </c>
      <c r="D77" s="71" t="s">
        <v>352</v>
      </c>
      <c r="E77" s="68" t="s">
        <v>244</v>
      </c>
      <c r="F77" s="68"/>
      <c r="G77" s="68" t="s">
        <v>117</v>
      </c>
      <c r="H77" s="68"/>
      <c r="I77" s="68" t="s">
        <v>353</v>
      </c>
      <c r="J77" s="68" t="s">
        <v>354</v>
      </c>
      <c r="K77" s="69" t="s">
        <v>114</v>
      </c>
    </row>
    <row r="78" spans="1:11" ht="40.5" customHeight="1" x14ac:dyDescent="0.75">
      <c r="B78" s="60" t="s">
        <v>355</v>
      </c>
      <c r="C78" s="84" t="s">
        <v>94</v>
      </c>
      <c r="D78" s="85"/>
      <c r="E78" s="85"/>
      <c r="F78" s="85"/>
      <c r="G78" s="86"/>
      <c r="H78" s="86"/>
      <c r="I78" s="87"/>
      <c r="J78" s="65"/>
      <c r="K78" s="85"/>
    </row>
    <row r="79" spans="1:11" ht="40.5" customHeight="1" x14ac:dyDescent="0.75">
      <c r="B79" s="60" t="s">
        <v>356</v>
      </c>
      <c r="C79" s="68" t="s">
        <v>158</v>
      </c>
      <c r="D79" s="68" t="s">
        <v>159</v>
      </c>
      <c r="E79" s="68" t="s">
        <v>113</v>
      </c>
      <c r="F79" s="68" t="s">
        <v>114</v>
      </c>
      <c r="G79" s="68" t="s">
        <v>113</v>
      </c>
      <c r="H79" s="68"/>
      <c r="I79" s="68" t="s">
        <v>114</v>
      </c>
      <c r="J79" s="68" t="s">
        <v>357</v>
      </c>
      <c r="K79" s="78" t="s">
        <v>120</v>
      </c>
    </row>
    <row r="80" spans="1:11" ht="40.5" customHeight="1" x14ac:dyDescent="0.75">
      <c r="C80" s="68" t="s">
        <v>300</v>
      </c>
      <c r="D80" s="68" t="s">
        <v>301</v>
      </c>
      <c r="E80" s="68" t="s">
        <v>113</v>
      </c>
      <c r="F80" s="68" t="s">
        <v>114</v>
      </c>
      <c r="G80" s="68" t="s">
        <v>113</v>
      </c>
      <c r="H80" s="68"/>
      <c r="I80" s="68" t="s">
        <v>114</v>
      </c>
      <c r="J80" s="68"/>
      <c r="K80" s="78" t="s">
        <v>120</v>
      </c>
    </row>
    <row r="81" spans="2:11" ht="40.5" customHeight="1" x14ac:dyDescent="0.75">
      <c r="C81" s="68" t="s">
        <v>358</v>
      </c>
      <c r="D81" s="68" t="s">
        <v>359</v>
      </c>
      <c r="E81" s="68" t="s">
        <v>113</v>
      </c>
      <c r="F81" s="68" t="s">
        <v>114</v>
      </c>
      <c r="G81" s="68" t="s">
        <v>113</v>
      </c>
      <c r="H81" s="68"/>
      <c r="I81" s="68" t="s">
        <v>114</v>
      </c>
      <c r="J81" s="68" t="s">
        <v>360</v>
      </c>
      <c r="K81" s="78" t="s">
        <v>120</v>
      </c>
    </row>
    <row r="82" spans="2:11" ht="40.5" customHeight="1" x14ac:dyDescent="0.75">
      <c r="C82" s="71" t="s">
        <v>302</v>
      </c>
      <c r="D82" s="71" t="s">
        <v>172</v>
      </c>
      <c r="E82" s="71" t="s">
        <v>130</v>
      </c>
      <c r="F82" s="71"/>
      <c r="G82" s="68" t="s">
        <v>113</v>
      </c>
      <c r="H82" s="68" t="s">
        <v>361</v>
      </c>
      <c r="I82" s="71" t="s">
        <v>118</v>
      </c>
      <c r="J82" s="68" t="s">
        <v>362</v>
      </c>
      <c r="K82" s="69" t="s">
        <v>114</v>
      </c>
    </row>
    <row r="83" spans="2:11" ht="40.5" customHeight="1" x14ac:dyDescent="0.75">
      <c r="C83" s="71" t="s">
        <v>175</v>
      </c>
      <c r="D83" s="71" t="s">
        <v>176</v>
      </c>
      <c r="E83" s="71" t="s">
        <v>112</v>
      </c>
      <c r="F83" s="71"/>
      <c r="G83" s="68" t="s">
        <v>117</v>
      </c>
      <c r="H83" s="68"/>
      <c r="I83" s="68" t="s">
        <v>363</v>
      </c>
      <c r="J83" s="68" t="s">
        <v>306</v>
      </c>
      <c r="K83" s="69" t="s">
        <v>114</v>
      </c>
    </row>
    <row r="84" spans="2:11" ht="40.5" customHeight="1" x14ac:dyDescent="0.75">
      <c r="C84" s="71" t="s">
        <v>364</v>
      </c>
      <c r="D84" s="71" t="s">
        <v>365</v>
      </c>
      <c r="E84" s="71" t="s">
        <v>4</v>
      </c>
      <c r="F84" s="71"/>
      <c r="G84" s="68" t="s">
        <v>4</v>
      </c>
      <c r="H84" s="68" t="s">
        <v>138</v>
      </c>
      <c r="I84" s="71" t="s">
        <v>118</v>
      </c>
      <c r="J84" s="68" t="s">
        <v>366</v>
      </c>
      <c r="K84" s="69" t="s">
        <v>114</v>
      </c>
    </row>
    <row r="85" spans="2:11" s="79" customFormat="1" ht="40.5" customHeight="1" x14ac:dyDescent="0.75">
      <c r="B85" s="95"/>
      <c r="C85" s="68" t="s">
        <v>367</v>
      </c>
      <c r="D85" s="68" t="s">
        <v>368</v>
      </c>
      <c r="E85" s="71" t="s">
        <v>130</v>
      </c>
      <c r="F85" s="71"/>
      <c r="G85" s="68" t="s">
        <v>113</v>
      </c>
      <c r="H85" s="68" t="s">
        <v>369</v>
      </c>
      <c r="I85" s="71" t="s">
        <v>118</v>
      </c>
      <c r="J85" s="68" t="s">
        <v>370</v>
      </c>
      <c r="K85" s="78" t="s">
        <v>114</v>
      </c>
    </row>
    <row r="86" spans="2:11" ht="40.5" customHeight="1" x14ac:dyDescent="0.75">
      <c r="C86" s="96" t="s">
        <v>371</v>
      </c>
      <c r="D86" s="96" t="s">
        <v>372</v>
      </c>
      <c r="E86" s="68" t="s">
        <v>130</v>
      </c>
      <c r="F86" s="68"/>
      <c r="G86" s="68" t="s">
        <v>113</v>
      </c>
      <c r="H86" s="68" t="s">
        <v>373</v>
      </c>
      <c r="I86" s="96" t="s">
        <v>374</v>
      </c>
      <c r="J86" s="96" t="s">
        <v>375</v>
      </c>
      <c r="K86" s="97" t="s">
        <v>114</v>
      </c>
    </row>
    <row r="87" spans="2:11" ht="40.5" customHeight="1" x14ac:dyDescent="0.75">
      <c r="C87" s="96" t="s">
        <v>376</v>
      </c>
      <c r="D87" s="96" t="s">
        <v>377</v>
      </c>
      <c r="E87" s="68" t="s">
        <v>130</v>
      </c>
      <c r="F87" s="68"/>
      <c r="G87" s="68" t="s">
        <v>113</v>
      </c>
      <c r="H87" s="68" t="s">
        <v>378</v>
      </c>
      <c r="I87" s="96" t="s">
        <v>379</v>
      </c>
      <c r="J87" s="96" t="s">
        <v>380</v>
      </c>
      <c r="K87" s="97" t="s">
        <v>114</v>
      </c>
    </row>
    <row r="88" spans="2:11" ht="40.5" customHeight="1" x14ac:dyDescent="0.75">
      <c r="C88" s="68" t="s">
        <v>381</v>
      </c>
      <c r="D88" s="68" t="s">
        <v>382</v>
      </c>
      <c r="E88" s="71" t="s">
        <v>130</v>
      </c>
      <c r="F88" s="71"/>
      <c r="G88" s="68" t="s">
        <v>113</v>
      </c>
      <c r="H88" s="68" t="s">
        <v>383</v>
      </c>
      <c r="I88" s="68" t="s">
        <v>384</v>
      </c>
      <c r="J88" s="68" t="s">
        <v>385</v>
      </c>
      <c r="K88" s="69" t="s">
        <v>114</v>
      </c>
    </row>
    <row r="89" spans="2:11" ht="40.5" customHeight="1" x14ac:dyDescent="0.75">
      <c r="C89" s="71" t="s">
        <v>386</v>
      </c>
      <c r="D89" s="71" t="s">
        <v>387</v>
      </c>
      <c r="E89" s="71" t="s">
        <v>112</v>
      </c>
      <c r="F89" s="71"/>
      <c r="G89" s="68" t="s">
        <v>117</v>
      </c>
      <c r="H89" s="68"/>
      <c r="I89" s="71" t="s">
        <v>118</v>
      </c>
      <c r="J89" s="68" t="s">
        <v>388</v>
      </c>
      <c r="K89" s="69" t="s">
        <v>114</v>
      </c>
    </row>
    <row r="90" spans="2:11" ht="40.5" customHeight="1" x14ac:dyDescent="0.75">
      <c r="C90" s="93" t="s">
        <v>389</v>
      </c>
      <c r="D90" s="93" t="s">
        <v>390</v>
      </c>
      <c r="E90" s="71" t="s">
        <v>130</v>
      </c>
      <c r="F90" s="71"/>
      <c r="G90" s="68" t="s">
        <v>113</v>
      </c>
      <c r="H90" s="68" t="s">
        <v>391</v>
      </c>
      <c r="I90" s="96" t="s">
        <v>392</v>
      </c>
      <c r="J90" s="96" t="s">
        <v>1244</v>
      </c>
      <c r="K90" s="76" t="s">
        <v>114</v>
      </c>
    </row>
    <row r="91" spans="2:11" ht="40.5" customHeight="1" x14ac:dyDescent="0.75">
      <c r="C91" s="71" t="s">
        <v>393</v>
      </c>
      <c r="D91" s="71" t="s">
        <v>394</v>
      </c>
      <c r="E91" s="71" t="s">
        <v>130</v>
      </c>
      <c r="F91" s="71"/>
      <c r="G91" s="68" t="s">
        <v>113</v>
      </c>
      <c r="H91" s="68" t="s">
        <v>280</v>
      </c>
      <c r="I91" s="68" t="s">
        <v>392</v>
      </c>
      <c r="J91" s="68" t="s">
        <v>395</v>
      </c>
      <c r="K91" s="69" t="s">
        <v>114</v>
      </c>
    </row>
    <row r="92" spans="2:11" ht="40.5" customHeight="1" x14ac:dyDescent="0.75">
      <c r="C92" s="71" t="s">
        <v>396</v>
      </c>
      <c r="D92" s="71" t="s">
        <v>397</v>
      </c>
      <c r="E92" s="71" t="s">
        <v>130</v>
      </c>
      <c r="F92" s="71"/>
      <c r="G92" s="68" t="s">
        <v>113</v>
      </c>
      <c r="H92" s="68" t="s">
        <v>398</v>
      </c>
      <c r="I92" s="68" t="s">
        <v>399</v>
      </c>
      <c r="J92" s="68" t="s">
        <v>400</v>
      </c>
      <c r="K92" s="69" t="s">
        <v>114</v>
      </c>
    </row>
    <row r="93" spans="2:11" ht="40.5" customHeight="1" x14ac:dyDescent="0.75">
      <c r="C93" s="71" t="s">
        <v>307</v>
      </c>
      <c r="D93" s="71" t="s">
        <v>401</v>
      </c>
      <c r="E93" s="71" t="s">
        <v>4</v>
      </c>
      <c r="F93" s="71"/>
      <c r="G93" s="68" t="s">
        <v>4</v>
      </c>
      <c r="H93" s="68" t="s">
        <v>138</v>
      </c>
      <c r="I93" s="71" t="s">
        <v>402</v>
      </c>
      <c r="J93" s="68" t="s">
        <v>403</v>
      </c>
      <c r="K93" s="71" t="s">
        <v>120</v>
      </c>
    </row>
    <row r="94" spans="2:11" ht="40.5" customHeight="1" x14ac:dyDescent="0.75">
      <c r="C94" s="71" t="s">
        <v>310</v>
      </c>
      <c r="D94" s="71" t="s">
        <v>404</v>
      </c>
      <c r="E94" s="71" t="s">
        <v>4</v>
      </c>
      <c r="F94" s="71"/>
      <c r="G94" s="68" t="s">
        <v>4</v>
      </c>
      <c r="H94" s="68" t="s">
        <v>138</v>
      </c>
      <c r="I94" s="71" t="s">
        <v>405</v>
      </c>
      <c r="J94" s="68" t="s">
        <v>406</v>
      </c>
      <c r="K94" s="71" t="s">
        <v>120</v>
      </c>
    </row>
    <row r="95" spans="2:11" ht="40.5" customHeight="1" x14ac:dyDescent="0.75">
      <c r="C95" s="93" t="s">
        <v>407</v>
      </c>
      <c r="D95" s="93" t="s">
        <v>408</v>
      </c>
      <c r="E95" s="71" t="s">
        <v>130</v>
      </c>
      <c r="F95" s="71"/>
      <c r="G95" s="68" t="s">
        <v>113</v>
      </c>
      <c r="H95" s="68" t="s">
        <v>280</v>
      </c>
      <c r="I95" s="96" t="s">
        <v>392</v>
      </c>
      <c r="J95" s="96" t="s">
        <v>409</v>
      </c>
      <c r="K95" s="76" t="s">
        <v>114</v>
      </c>
    </row>
    <row r="96" spans="2:11" ht="40.5" customHeight="1" x14ac:dyDescent="0.75">
      <c r="C96" s="71" t="s">
        <v>396</v>
      </c>
      <c r="D96" s="71" t="s">
        <v>410</v>
      </c>
      <c r="E96" s="71" t="s">
        <v>130</v>
      </c>
      <c r="F96" s="71"/>
      <c r="G96" s="68" t="s">
        <v>113</v>
      </c>
      <c r="H96" s="68" t="s">
        <v>411</v>
      </c>
      <c r="I96" s="68" t="s">
        <v>412</v>
      </c>
      <c r="J96" s="68" t="s">
        <v>413</v>
      </c>
      <c r="K96" s="69" t="s">
        <v>114</v>
      </c>
    </row>
    <row r="97" spans="1:11" ht="40.5" customHeight="1" x14ac:dyDescent="0.75">
      <c r="C97" s="71" t="s">
        <v>307</v>
      </c>
      <c r="D97" s="71" t="s">
        <v>414</v>
      </c>
      <c r="E97" s="71" t="s">
        <v>4</v>
      </c>
      <c r="F97" s="71"/>
      <c r="G97" s="68" t="s">
        <v>4</v>
      </c>
      <c r="H97" s="68" t="s">
        <v>138</v>
      </c>
      <c r="I97" s="68" t="s">
        <v>120</v>
      </c>
      <c r="J97" s="68" t="s">
        <v>415</v>
      </c>
      <c r="K97" s="69" t="s">
        <v>114</v>
      </c>
    </row>
    <row r="98" spans="1:11" ht="40.5" customHeight="1" x14ac:dyDescent="0.75">
      <c r="C98" s="71" t="s">
        <v>310</v>
      </c>
      <c r="D98" s="71" t="s">
        <v>416</v>
      </c>
      <c r="E98" s="71" t="s">
        <v>4</v>
      </c>
      <c r="F98" s="71"/>
      <c r="G98" s="68" t="s">
        <v>4</v>
      </c>
      <c r="H98" s="68" t="s">
        <v>138</v>
      </c>
      <c r="I98" s="71" t="s">
        <v>405</v>
      </c>
      <c r="J98" s="68" t="s">
        <v>417</v>
      </c>
      <c r="K98" s="71" t="s">
        <v>120</v>
      </c>
    </row>
    <row r="99" spans="1:11" ht="40.5" customHeight="1" x14ac:dyDescent="0.75">
      <c r="C99" s="71" t="s">
        <v>418</v>
      </c>
      <c r="D99" s="71" t="s">
        <v>419</v>
      </c>
      <c r="E99" s="71" t="s">
        <v>112</v>
      </c>
      <c r="F99" s="71"/>
      <c r="G99" s="68" t="s">
        <v>117</v>
      </c>
      <c r="H99" s="68"/>
      <c r="I99" s="68" t="s">
        <v>420</v>
      </c>
      <c r="J99" s="68" t="s">
        <v>421</v>
      </c>
      <c r="K99" s="69" t="s">
        <v>114</v>
      </c>
    </row>
    <row r="100" spans="1:11" ht="40.5" customHeight="1" x14ac:dyDescent="0.75">
      <c r="A100" s="69"/>
      <c r="B100" s="154" t="s">
        <v>422</v>
      </c>
      <c r="C100" s="71" t="s">
        <v>423</v>
      </c>
      <c r="D100" s="71" t="s">
        <v>424</v>
      </c>
      <c r="E100" s="71" t="s">
        <v>130</v>
      </c>
      <c r="F100" s="71"/>
      <c r="G100" s="68" t="s">
        <v>113</v>
      </c>
      <c r="H100" s="71" t="s">
        <v>425</v>
      </c>
      <c r="I100" s="71" t="s">
        <v>122</v>
      </c>
      <c r="J100" s="68" t="s">
        <v>423</v>
      </c>
      <c r="K100" s="69" t="s">
        <v>120</v>
      </c>
    </row>
    <row r="101" spans="1:11" ht="40.5" customHeight="1" x14ac:dyDescent="0.75">
      <c r="A101" s="69"/>
      <c r="B101" s="155"/>
      <c r="C101" s="68" t="s">
        <v>426</v>
      </c>
      <c r="D101" s="68" t="s">
        <v>427</v>
      </c>
      <c r="E101" s="71" t="s">
        <v>130</v>
      </c>
      <c r="F101" s="71"/>
      <c r="G101" s="68" t="s">
        <v>113</v>
      </c>
      <c r="H101" s="68" t="s">
        <v>428</v>
      </c>
      <c r="I101" s="71" t="s">
        <v>122</v>
      </c>
      <c r="J101" s="68" t="s">
        <v>429</v>
      </c>
      <c r="K101" s="69" t="s">
        <v>120</v>
      </c>
    </row>
    <row r="102" spans="1:11" ht="40.5" customHeight="1" x14ac:dyDescent="0.75">
      <c r="A102" s="69"/>
      <c r="B102" s="155"/>
      <c r="C102" s="71" t="s">
        <v>430</v>
      </c>
      <c r="D102" s="71" t="s">
        <v>431</v>
      </c>
      <c r="E102" s="71" t="s">
        <v>130</v>
      </c>
      <c r="F102" s="71"/>
      <c r="G102" s="68" t="s">
        <v>113</v>
      </c>
      <c r="H102" s="71" t="s">
        <v>432</v>
      </c>
      <c r="I102" s="71" t="s">
        <v>433</v>
      </c>
      <c r="J102" s="68" t="s">
        <v>430</v>
      </c>
      <c r="K102" s="69" t="s">
        <v>120</v>
      </c>
    </row>
    <row r="103" spans="1:11" ht="40.5" customHeight="1" x14ac:dyDescent="0.75">
      <c r="A103" s="69"/>
      <c r="B103" s="156"/>
      <c r="C103" s="96" t="s">
        <v>426</v>
      </c>
      <c r="D103" s="96" t="s">
        <v>434</v>
      </c>
      <c r="E103" s="71" t="s">
        <v>130</v>
      </c>
      <c r="F103" s="71"/>
      <c r="G103" s="68" t="s">
        <v>113</v>
      </c>
      <c r="H103" s="68" t="s">
        <v>428</v>
      </c>
      <c r="I103" s="93" t="s">
        <v>122</v>
      </c>
      <c r="J103" s="96" t="s">
        <v>435</v>
      </c>
      <c r="K103" s="76" t="s">
        <v>120</v>
      </c>
    </row>
    <row r="104" spans="1:11" ht="40.5" customHeight="1" x14ac:dyDescent="0.75">
      <c r="C104" s="71" t="s">
        <v>436</v>
      </c>
      <c r="D104" s="71" t="s">
        <v>437</v>
      </c>
      <c r="E104" s="71" t="s">
        <v>4</v>
      </c>
      <c r="F104" s="71"/>
      <c r="G104" s="68" t="s">
        <v>4</v>
      </c>
      <c r="H104" s="68" t="s">
        <v>138</v>
      </c>
      <c r="I104" s="68" t="s">
        <v>438</v>
      </c>
      <c r="J104" s="68" t="s">
        <v>439</v>
      </c>
      <c r="K104" s="69" t="s">
        <v>114</v>
      </c>
    </row>
    <row r="105" spans="1:11" ht="40.5" customHeight="1" x14ac:dyDescent="0.75">
      <c r="C105" s="84" t="s">
        <v>275</v>
      </c>
      <c r="D105" s="85"/>
      <c r="E105" s="85"/>
      <c r="F105" s="85"/>
      <c r="G105" s="86"/>
      <c r="H105" s="86"/>
      <c r="I105" s="87"/>
      <c r="J105" s="65"/>
      <c r="K105" s="85"/>
    </row>
    <row r="106" spans="1:11" ht="40.5" customHeight="1" x14ac:dyDescent="0.75">
      <c r="B106" s="60"/>
      <c r="C106" s="68" t="s">
        <v>158</v>
      </c>
      <c r="D106" s="68" t="s">
        <v>159</v>
      </c>
      <c r="E106" s="68" t="s">
        <v>113</v>
      </c>
      <c r="F106" s="68" t="s">
        <v>114</v>
      </c>
      <c r="G106" s="68" t="s">
        <v>113</v>
      </c>
      <c r="H106" s="68"/>
      <c r="I106" s="68" t="s">
        <v>114</v>
      </c>
      <c r="J106" s="68" t="s">
        <v>440</v>
      </c>
      <c r="K106" s="78" t="s">
        <v>120</v>
      </c>
    </row>
    <row r="107" spans="1:11" ht="40.5" customHeight="1" x14ac:dyDescent="0.75">
      <c r="C107" s="68" t="s">
        <v>300</v>
      </c>
      <c r="D107" s="68" t="s">
        <v>301</v>
      </c>
      <c r="E107" s="68" t="s">
        <v>113</v>
      </c>
      <c r="F107" s="68" t="s">
        <v>114</v>
      </c>
      <c r="G107" s="68" t="s">
        <v>113</v>
      </c>
      <c r="H107" s="68"/>
      <c r="I107" s="68" t="s">
        <v>114</v>
      </c>
      <c r="J107" s="68"/>
      <c r="K107" s="78" t="s">
        <v>120</v>
      </c>
    </row>
    <row r="108" spans="1:11" ht="40.5" customHeight="1" x14ac:dyDescent="0.75">
      <c r="C108" s="68" t="s">
        <v>441</v>
      </c>
      <c r="D108" s="68" t="s">
        <v>442</v>
      </c>
      <c r="E108" s="68" t="s">
        <v>113</v>
      </c>
      <c r="F108" s="68" t="s">
        <v>114</v>
      </c>
      <c r="G108" s="68" t="s">
        <v>113</v>
      </c>
      <c r="H108" s="68"/>
      <c r="I108" s="68" t="s">
        <v>114</v>
      </c>
      <c r="J108" s="68" t="s">
        <v>443</v>
      </c>
      <c r="K108" s="78" t="s">
        <v>120</v>
      </c>
    </row>
    <row r="109" spans="1:11" ht="40.5" customHeight="1" x14ac:dyDescent="0.75">
      <c r="C109" s="71" t="s">
        <v>302</v>
      </c>
      <c r="D109" s="71" t="s">
        <v>172</v>
      </c>
      <c r="E109" s="71" t="s">
        <v>130</v>
      </c>
      <c r="F109" s="71"/>
      <c r="G109" s="68" t="s">
        <v>113</v>
      </c>
      <c r="H109" s="68" t="s">
        <v>303</v>
      </c>
      <c r="I109" s="71" t="s">
        <v>114</v>
      </c>
      <c r="J109" s="68" t="s">
        <v>444</v>
      </c>
      <c r="K109" s="69" t="s">
        <v>114</v>
      </c>
    </row>
    <row r="110" spans="1:11" ht="40.5" customHeight="1" x14ac:dyDescent="0.75">
      <c r="C110" s="71" t="s">
        <v>175</v>
      </c>
      <c r="D110" s="71" t="s">
        <v>176</v>
      </c>
      <c r="E110" s="71" t="s">
        <v>112</v>
      </c>
      <c r="F110" s="71"/>
      <c r="G110" s="68" t="s">
        <v>117</v>
      </c>
      <c r="H110" s="68"/>
      <c r="I110" s="68" t="s">
        <v>445</v>
      </c>
      <c r="J110" s="68" t="s">
        <v>306</v>
      </c>
      <c r="K110" s="69" t="s">
        <v>114</v>
      </c>
    </row>
    <row r="111" spans="1:11" ht="40.5" customHeight="1" x14ac:dyDescent="0.75">
      <c r="C111" s="71" t="s">
        <v>446</v>
      </c>
      <c r="D111" s="71" t="s">
        <v>447</v>
      </c>
      <c r="E111" s="71" t="s">
        <v>130</v>
      </c>
      <c r="F111" s="71"/>
      <c r="G111" s="68" t="s">
        <v>113</v>
      </c>
      <c r="H111" s="68" t="s">
        <v>448</v>
      </c>
      <c r="I111" s="71" t="s">
        <v>114</v>
      </c>
      <c r="J111" s="68" t="s">
        <v>449</v>
      </c>
      <c r="K111" s="69" t="s">
        <v>114</v>
      </c>
    </row>
    <row r="112" spans="1:11" ht="40.5" customHeight="1" x14ac:dyDescent="0.75">
      <c r="C112" s="96" t="s">
        <v>450</v>
      </c>
      <c r="D112" s="93" t="s">
        <v>451</v>
      </c>
      <c r="E112" s="71" t="s">
        <v>130</v>
      </c>
      <c r="F112" s="71"/>
      <c r="G112" s="68" t="s">
        <v>113</v>
      </c>
      <c r="H112" s="68" t="s">
        <v>452</v>
      </c>
      <c r="I112" s="68" t="s">
        <v>453</v>
      </c>
      <c r="J112" s="96" t="s">
        <v>1245</v>
      </c>
      <c r="K112" s="76" t="s">
        <v>114</v>
      </c>
    </row>
    <row r="113" spans="2:14" ht="40.5" customHeight="1" x14ac:dyDescent="0.75">
      <c r="C113" s="71" t="s">
        <v>454</v>
      </c>
      <c r="D113" s="71" t="s">
        <v>455</v>
      </c>
      <c r="E113" s="71" t="s">
        <v>112</v>
      </c>
      <c r="F113" s="71"/>
      <c r="G113" s="68" t="s">
        <v>117</v>
      </c>
      <c r="H113" s="68"/>
      <c r="I113" s="68" t="s">
        <v>456</v>
      </c>
      <c r="J113" s="68" t="s">
        <v>457</v>
      </c>
      <c r="K113" s="69" t="s">
        <v>114</v>
      </c>
    </row>
    <row r="114" spans="2:14" ht="40.5" customHeight="1" x14ac:dyDescent="0.75">
      <c r="C114" s="71" t="s">
        <v>458</v>
      </c>
      <c r="D114" s="71" t="s">
        <v>459</v>
      </c>
      <c r="E114" s="71" t="s">
        <v>130</v>
      </c>
      <c r="F114" s="71"/>
      <c r="G114" s="68" t="s">
        <v>113</v>
      </c>
      <c r="H114" s="68" t="s">
        <v>460</v>
      </c>
      <c r="I114" s="68" t="s">
        <v>461</v>
      </c>
      <c r="J114" s="98" t="s">
        <v>462</v>
      </c>
      <c r="K114" s="69" t="s">
        <v>114</v>
      </c>
    </row>
    <row r="115" spans="2:14" ht="40.5" customHeight="1" x14ac:dyDescent="0.75">
      <c r="C115" s="71" t="s">
        <v>463</v>
      </c>
      <c r="D115" s="71" t="s">
        <v>464</v>
      </c>
      <c r="E115" s="71" t="s">
        <v>130</v>
      </c>
      <c r="F115" s="71"/>
      <c r="G115" s="68" t="s">
        <v>113</v>
      </c>
      <c r="H115" s="68" t="s">
        <v>465</v>
      </c>
      <c r="I115" s="68" t="s">
        <v>466</v>
      </c>
      <c r="J115" s="68" t="s">
        <v>467</v>
      </c>
      <c r="K115" s="69" t="s">
        <v>114</v>
      </c>
    </row>
    <row r="116" spans="2:14" ht="40.5" customHeight="1" x14ac:dyDescent="0.75">
      <c r="C116" s="71" t="s">
        <v>454</v>
      </c>
      <c r="D116" s="71" t="s">
        <v>468</v>
      </c>
      <c r="E116" s="71" t="s">
        <v>112</v>
      </c>
      <c r="F116" s="71"/>
      <c r="G116" s="68" t="s">
        <v>117</v>
      </c>
      <c r="H116" s="68"/>
      <c r="I116" s="68" t="s">
        <v>469</v>
      </c>
      <c r="J116" s="68" t="s">
        <v>470</v>
      </c>
      <c r="K116" s="69" t="s">
        <v>114</v>
      </c>
    </row>
    <row r="117" spans="2:14" ht="40.5" customHeight="1" x14ac:dyDescent="0.75">
      <c r="C117" s="93" t="s">
        <v>471</v>
      </c>
      <c r="D117" s="93" t="s">
        <v>472</v>
      </c>
      <c r="E117" s="71" t="s">
        <v>130</v>
      </c>
      <c r="F117" s="71"/>
      <c r="G117" s="68" t="s">
        <v>113</v>
      </c>
      <c r="H117" s="68" t="s">
        <v>473</v>
      </c>
      <c r="I117" s="96" t="s">
        <v>474</v>
      </c>
      <c r="J117" s="96" t="s">
        <v>1246</v>
      </c>
      <c r="K117" s="76" t="s">
        <v>114</v>
      </c>
    </row>
    <row r="118" spans="2:14" ht="40.5" customHeight="1" x14ac:dyDescent="0.75">
      <c r="C118" s="71" t="s">
        <v>454</v>
      </c>
      <c r="D118" s="71" t="s">
        <v>475</v>
      </c>
      <c r="E118" s="71" t="s">
        <v>112</v>
      </c>
      <c r="F118" s="71"/>
      <c r="G118" s="68" t="s">
        <v>117</v>
      </c>
      <c r="H118" s="68"/>
      <c r="I118" s="68" t="s">
        <v>476</v>
      </c>
      <c r="J118" s="68" t="s">
        <v>477</v>
      </c>
      <c r="K118" s="69" t="s">
        <v>114</v>
      </c>
    </row>
    <row r="119" spans="2:14" ht="40.5" customHeight="1" x14ac:dyDescent="0.75">
      <c r="C119" s="71" t="s">
        <v>478</v>
      </c>
      <c r="D119" s="71" t="s">
        <v>479</v>
      </c>
      <c r="E119" s="71" t="s">
        <v>113</v>
      </c>
      <c r="F119" s="71"/>
      <c r="G119" s="68" t="s">
        <v>113</v>
      </c>
      <c r="H119" s="68"/>
      <c r="I119" s="68" t="s">
        <v>480</v>
      </c>
      <c r="J119" s="68" t="s">
        <v>481</v>
      </c>
      <c r="K119" s="69" t="s">
        <v>114</v>
      </c>
    </row>
    <row r="120" spans="2:14" ht="40.5" customHeight="1" x14ac:dyDescent="0.75">
      <c r="C120" s="71" t="s">
        <v>307</v>
      </c>
      <c r="D120" s="71" t="s">
        <v>482</v>
      </c>
      <c r="E120" s="71" t="s">
        <v>4</v>
      </c>
      <c r="F120" s="71"/>
      <c r="G120" s="68" t="s">
        <v>4</v>
      </c>
      <c r="H120" s="68" t="s">
        <v>138</v>
      </c>
      <c r="I120" s="68" t="s">
        <v>114</v>
      </c>
      <c r="J120" s="68" t="s">
        <v>483</v>
      </c>
      <c r="K120" s="69" t="s">
        <v>114</v>
      </c>
    </row>
    <row r="121" spans="2:14" ht="40.5" customHeight="1" x14ac:dyDescent="0.75">
      <c r="C121" s="71" t="s">
        <v>310</v>
      </c>
      <c r="D121" s="71" t="s">
        <v>484</v>
      </c>
      <c r="E121" s="71" t="s">
        <v>4</v>
      </c>
      <c r="F121" s="71"/>
      <c r="G121" s="68" t="s">
        <v>4</v>
      </c>
      <c r="H121" s="68" t="s">
        <v>138</v>
      </c>
      <c r="I121" s="68" t="s">
        <v>114</v>
      </c>
      <c r="J121" s="68" t="s">
        <v>485</v>
      </c>
      <c r="K121" s="69" t="s">
        <v>114</v>
      </c>
    </row>
    <row r="122" spans="2:14" ht="40.5" customHeight="1" x14ac:dyDescent="0.75">
      <c r="C122" s="71" t="s">
        <v>486</v>
      </c>
      <c r="D122" s="71" t="s">
        <v>487</v>
      </c>
      <c r="E122" s="71" t="s">
        <v>130</v>
      </c>
      <c r="F122" s="71"/>
      <c r="G122" s="68" t="s">
        <v>117</v>
      </c>
      <c r="H122" s="68" t="s">
        <v>1247</v>
      </c>
      <c r="I122" s="71" t="s">
        <v>488</v>
      </c>
      <c r="J122" s="68" t="s">
        <v>489</v>
      </c>
      <c r="K122" s="69" t="s">
        <v>114</v>
      </c>
    </row>
    <row r="123" spans="2:14" ht="40.5" customHeight="1" x14ac:dyDescent="0.75">
      <c r="C123" s="71" t="s">
        <v>490</v>
      </c>
      <c r="D123" s="71" t="s">
        <v>491</v>
      </c>
      <c r="E123" s="71" t="s">
        <v>113</v>
      </c>
      <c r="F123" s="71" t="s">
        <v>114</v>
      </c>
      <c r="G123" s="68" t="s">
        <v>113</v>
      </c>
      <c r="H123" s="68"/>
      <c r="I123" s="71" t="s">
        <v>488</v>
      </c>
      <c r="J123" s="68" t="s">
        <v>492</v>
      </c>
      <c r="K123" s="69" t="s">
        <v>120</v>
      </c>
    </row>
    <row r="124" spans="2:14" ht="40.5" customHeight="1" x14ac:dyDescent="0.75">
      <c r="C124" s="71" t="s">
        <v>493</v>
      </c>
      <c r="D124" s="71" t="s">
        <v>494</v>
      </c>
      <c r="E124" s="71" t="s">
        <v>113</v>
      </c>
      <c r="F124" s="71" t="s">
        <v>114</v>
      </c>
      <c r="G124" s="68" t="s">
        <v>113</v>
      </c>
      <c r="H124" s="68"/>
      <c r="I124" s="71" t="s">
        <v>488</v>
      </c>
      <c r="J124" s="68" t="s">
        <v>495</v>
      </c>
      <c r="K124" s="69" t="s">
        <v>120</v>
      </c>
    </row>
    <row r="125" spans="2:14" ht="40.5" customHeight="1" x14ac:dyDescent="0.75">
      <c r="C125" s="71" t="s">
        <v>496</v>
      </c>
      <c r="D125" s="71" t="s">
        <v>497</v>
      </c>
      <c r="E125" s="71" t="s">
        <v>113</v>
      </c>
      <c r="F125" s="71" t="s">
        <v>114</v>
      </c>
      <c r="G125" s="68" t="s">
        <v>113</v>
      </c>
      <c r="H125" s="68"/>
      <c r="I125" s="71" t="s">
        <v>488</v>
      </c>
      <c r="J125" s="68" t="s">
        <v>498</v>
      </c>
      <c r="K125" s="69" t="s">
        <v>120</v>
      </c>
    </row>
    <row r="126" spans="2:14" s="75" customFormat="1" ht="40.5" customHeight="1" x14ac:dyDescent="0.75">
      <c r="B126" s="99"/>
      <c r="C126" s="96" t="s">
        <v>499</v>
      </c>
      <c r="D126" s="96" t="s">
        <v>500</v>
      </c>
      <c r="E126" s="71" t="s">
        <v>130</v>
      </c>
      <c r="F126" s="71" t="s">
        <v>114</v>
      </c>
      <c r="G126" s="68" t="s">
        <v>117</v>
      </c>
      <c r="H126" s="68" t="s">
        <v>501</v>
      </c>
      <c r="I126" s="71" t="s">
        <v>120</v>
      </c>
      <c r="J126" s="96" t="s">
        <v>502</v>
      </c>
      <c r="K126" s="76" t="s">
        <v>114</v>
      </c>
      <c r="L126" s="59"/>
      <c r="M126" s="59"/>
      <c r="N126" s="59"/>
    </row>
    <row r="127" spans="2:14" s="75" customFormat="1" ht="40.5" customHeight="1" x14ac:dyDescent="0.75">
      <c r="B127" s="99"/>
      <c r="C127" s="68" t="s">
        <v>503</v>
      </c>
      <c r="D127" s="68" t="s">
        <v>504</v>
      </c>
      <c r="E127" s="71" t="s">
        <v>112</v>
      </c>
      <c r="F127" s="71"/>
      <c r="G127" s="68" t="s">
        <v>117</v>
      </c>
      <c r="H127" s="68"/>
      <c r="I127" s="68" t="s">
        <v>505</v>
      </c>
      <c r="J127" s="68" t="s">
        <v>506</v>
      </c>
      <c r="K127" s="69" t="s">
        <v>114</v>
      </c>
      <c r="L127" s="59"/>
      <c r="M127" s="59"/>
      <c r="N127" s="59"/>
    </row>
    <row r="128" spans="2:14" s="75" customFormat="1" ht="40.5" customHeight="1" x14ac:dyDescent="0.75">
      <c r="B128" s="99"/>
      <c r="C128" s="68" t="s">
        <v>507</v>
      </c>
      <c r="D128" s="68" t="s">
        <v>508</v>
      </c>
      <c r="E128" s="71" t="s">
        <v>112</v>
      </c>
      <c r="F128" s="71"/>
      <c r="G128" s="68" t="s">
        <v>117</v>
      </c>
      <c r="H128" s="68"/>
      <c r="I128" s="68" t="s">
        <v>120</v>
      </c>
      <c r="J128" s="68" t="s">
        <v>509</v>
      </c>
      <c r="K128" s="69" t="s">
        <v>120</v>
      </c>
      <c r="L128" s="59"/>
      <c r="M128" s="59"/>
      <c r="N128" s="59"/>
    </row>
    <row r="129" spans="2:14" ht="40.5" customHeight="1" x14ac:dyDescent="0.75">
      <c r="C129" s="71" t="s">
        <v>510</v>
      </c>
      <c r="D129" s="71" t="s">
        <v>511</v>
      </c>
      <c r="E129" s="71" t="s">
        <v>130</v>
      </c>
      <c r="F129" s="71"/>
      <c r="G129" s="68" t="s">
        <v>117</v>
      </c>
      <c r="H129" s="68"/>
      <c r="I129" s="68" t="s">
        <v>1248</v>
      </c>
      <c r="J129" s="68" t="s">
        <v>512</v>
      </c>
      <c r="K129" s="69" t="s">
        <v>114</v>
      </c>
    </row>
    <row r="130" spans="2:14" ht="40.5" customHeight="1" x14ac:dyDescent="0.75">
      <c r="C130" s="71" t="s">
        <v>503</v>
      </c>
      <c r="D130" s="71" t="s">
        <v>513</v>
      </c>
      <c r="E130" s="71" t="s">
        <v>112</v>
      </c>
      <c r="F130" s="71"/>
      <c r="G130" s="68" t="s">
        <v>117</v>
      </c>
      <c r="H130" s="68"/>
      <c r="I130" s="71" t="s">
        <v>514</v>
      </c>
      <c r="J130" s="68"/>
      <c r="K130" s="69" t="s">
        <v>120</v>
      </c>
    </row>
    <row r="131" spans="2:14" ht="40.5" customHeight="1" x14ac:dyDescent="0.75">
      <c r="C131" s="71" t="s">
        <v>515</v>
      </c>
      <c r="D131" s="71" t="s">
        <v>516</v>
      </c>
      <c r="E131" s="71" t="s">
        <v>130</v>
      </c>
      <c r="F131" s="71"/>
      <c r="G131" s="68" t="s">
        <v>117</v>
      </c>
      <c r="H131" s="68"/>
      <c r="I131" s="68" t="s">
        <v>1248</v>
      </c>
      <c r="J131" s="68" t="s">
        <v>517</v>
      </c>
      <c r="K131" s="69" t="s">
        <v>114</v>
      </c>
    </row>
    <row r="132" spans="2:14" ht="40.5" customHeight="1" x14ac:dyDescent="0.75">
      <c r="C132" s="71" t="s">
        <v>503</v>
      </c>
      <c r="D132" s="71" t="s">
        <v>518</v>
      </c>
      <c r="E132" s="71" t="s">
        <v>112</v>
      </c>
      <c r="F132" s="71"/>
      <c r="G132" s="68" t="s">
        <v>117</v>
      </c>
      <c r="H132" s="68"/>
      <c r="I132" s="71" t="s">
        <v>514</v>
      </c>
      <c r="J132" s="68"/>
      <c r="K132" s="69" t="s">
        <v>120</v>
      </c>
    </row>
    <row r="133" spans="2:14" ht="40.5" customHeight="1" x14ac:dyDescent="0.75">
      <c r="C133" s="71" t="s">
        <v>519</v>
      </c>
      <c r="D133" s="71" t="s">
        <v>520</v>
      </c>
      <c r="E133" s="71" t="s">
        <v>130</v>
      </c>
      <c r="F133" s="71"/>
      <c r="G133" s="68" t="s">
        <v>113</v>
      </c>
      <c r="H133" s="68" t="s">
        <v>521</v>
      </c>
      <c r="I133" s="71" t="s">
        <v>522</v>
      </c>
      <c r="J133" s="68" t="s">
        <v>523</v>
      </c>
      <c r="K133" s="69" t="s">
        <v>114</v>
      </c>
    </row>
    <row r="134" spans="2:14" ht="40.5" customHeight="1" x14ac:dyDescent="0.75">
      <c r="C134" s="71" t="s">
        <v>524</v>
      </c>
      <c r="D134" s="71" t="s">
        <v>525</v>
      </c>
      <c r="E134" s="71" t="s">
        <v>113</v>
      </c>
      <c r="F134" s="71"/>
      <c r="G134" s="68" t="s">
        <v>113</v>
      </c>
      <c r="H134" s="71" t="s">
        <v>1249</v>
      </c>
      <c r="I134" s="71" t="s">
        <v>114</v>
      </c>
      <c r="J134" s="68" t="s">
        <v>526</v>
      </c>
      <c r="K134" s="69" t="s">
        <v>114</v>
      </c>
    </row>
    <row r="135" spans="2:14" ht="40.5" customHeight="1" x14ac:dyDescent="0.75">
      <c r="C135" s="71" t="s">
        <v>527</v>
      </c>
      <c r="D135" s="71" t="s">
        <v>528</v>
      </c>
      <c r="E135" s="71" t="s">
        <v>529</v>
      </c>
      <c r="F135" s="71"/>
      <c r="G135" s="68" t="s">
        <v>113</v>
      </c>
      <c r="H135" s="71" t="s">
        <v>530</v>
      </c>
      <c r="I135" s="71" t="s">
        <v>968</v>
      </c>
      <c r="J135" s="68" t="s">
        <v>531</v>
      </c>
      <c r="K135" s="69" t="s">
        <v>114</v>
      </c>
    </row>
    <row r="136" spans="2:14" ht="40.5" customHeight="1" x14ac:dyDescent="0.75">
      <c r="C136" s="71" t="s">
        <v>527</v>
      </c>
      <c r="D136" s="71" t="s">
        <v>532</v>
      </c>
      <c r="E136" s="71" t="s">
        <v>130</v>
      </c>
      <c r="F136" s="71"/>
      <c r="G136" s="68" t="s">
        <v>113</v>
      </c>
      <c r="H136" s="71" t="s">
        <v>533</v>
      </c>
      <c r="I136" s="68" t="s">
        <v>534</v>
      </c>
      <c r="J136" s="68" t="s">
        <v>535</v>
      </c>
      <c r="K136" s="69" t="s">
        <v>114</v>
      </c>
    </row>
    <row r="137" spans="2:14" ht="40.5" customHeight="1" x14ac:dyDescent="0.75">
      <c r="C137" s="71" t="s">
        <v>536</v>
      </c>
      <c r="D137" s="71" t="s">
        <v>537</v>
      </c>
      <c r="E137" s="71" t="s">
        <v>113</v>
      </c>
      <c r="F137" s="71"/>
      <c r="G137" s="68" t="s">
        <v>113</v>
      </c>
      <c r="H137" s="71" t="s">
        <v>1249</v>
      </c>
      <c r="I137" s="68" t="s">
        <v>538</v>
      </c>
      <c r="J137" s="68" t="s">
        <v>1105</v>
      </c>
      <c r="K137" s="69" t="s">
        <v>114</v>
      </c>
    </row>
    <row r="138" spans="2:14" ht="40.5" customHeight="1" x14ac:dyDescent="0.75">
      <c r="C138" s="71" t="s">
        <v>539</v>
      </c>
      <c r="D138" s="71" t="s">
        <v>540</v>
      </c>
      <c r="E138" s="71" t="s">
        <v>130</v>
      </c>
      <c r="F138" s="71"/>
      <c r="G138" s="68" t="s">
        <v>113</v>
      </c>
      <c r="H138" s="68" t="s">
        <v>541</v>
      </c>
      <c r="I138" s="68" t="s">
        <v>538</v>
      </c>
      <c r="J138" s="68" t="s">
        <v>542</v>
      </c>
      <c r="K138" s="69" t="s">
        <v>114</v>
      </c>
    </row>
    <row r="139" spans="2:14" ht="40.5" customHeight="1" x14ac:dyDescent="0.75">
      <c r="C139" s="71" t="s">
        <v>543</v>
      </c>
      <c r="D139" s="71" t="s">
        <v>544</v>
      </c>
      <c r="E139" s="71" t="s">
        <v>130</v>
      </c>
      <c r="F139" s="71"/>
      <c r="G139" s="68" t="s">
        <v>117</v>
      </c>
      <c r="H139" s="68"/>
      <c r="I139" s="71" t="s">
        <v>545</v>
      </c>
      <c r="J139" s="68" t="s">
        <v>546</v>
      </c>
      <c r="K139" s="69" t="s">
        <v>114</v>
      </c>
    </row>
    <row r="140" spans="2:14" ht="40.5" customHeight="1" x14ac:dyDescent="0.75">
      <c r="C140" s="71" t="s">
        <v>503</v>
      </c>
      <c r="D140" s="71" t="s">
        <v>547</v>
      </c>
      <c r="E140" s="71" t="s">
        <v>112</v>
      </c>
      <c r="F140" s="71"/>
      <c r="G140" s="68" t="s">
        <v>117</v>
      </c>
      <c r="H140" s="68"/>
      <c r="I140" s="71" t="s">
        <v>548</v>
      </c>
      <c r="J140" s="68"/>
      <c r="K140" s="69" t="s">
        <v>114</v>
      </c>
    </row>
    <row r="141" spans="2:14" s="75" customFormat="1" ht="40.5" customHeight="1" x14ac:dyDescent="0.75">
      <c r="B141" s="99"/>
      <c r="C141" s="68" t="s">
        <v>549</v>
      </c>
      <c r="D141" s="68" t="s">
        <v>550</v>
      </c>
      <c r="E141" s="71" t="s">
        <v>112</v>
      </c>
      <c r="F141" s="71"/>
      <c r="G141" s="68" t="s">
        <v>117</v>
      </c>
      <c r="H141" s="68"/>
      <c r="I141" s="68" t="s">
        <v>551</v>
      </c>
      <c r="J141" s="68"/>
      <c r="K141" s="69" t="s">
        <v>120</v>
      </c>
      <c r="L141" s="59"/>
      <c r="M141" s="59"/>
      <c r="N141" s="59"/>
    </row>
    <row r="142" spans="2:14" ht="40.5" customHeight="1" x14ac:dyDescent="0.75">
      <c r="C142" s="71" t="s">
        <v>510</v>
      </c>
      <c r="D142" s="71" t="s">
        <v>552</v>
      </c>
      <c r="E142" s="71" t="s">
        <v>130</v>
      </c>
      <c r="F142" s="71"/>
      <c r="G142" s="68" t="s">
        <v>117</v>
      </c>
      <c r="H142" s="68"/>
      <c r="I142" s="71" t="s">
        <v>1250</v>
      </c>
      <c r="J142" s="68" t="s">
        <v>512</v>
      </c>
      <c r="K142" s="69" t="s">
        <v>120</v>
      </c>
    </row>
    <row r="143" spans="2:14" ht="40.5" customHeight="1" x14ac:dyDescent="0.75">
      <c r="C143" s="71" t="s">
        <v>503</v>
      </c>
      <c r="D143" s="71" t="s">
        <v>553</v>
      </c>
      <c r="E143" s="71" t="s">
        <v>112</v>
      </c>
      <c r="F143" s="71"/>
      <c r="G143" s="68" t="s">
        <v>117</v>
      </c>
      <c r="H143" s="68"/>
      <c r="I143" s="71" t="s">
        <v>548</v>
      </c>
      <c r="J143" s="68"/>
      <c r="K143" s="69" t="s">
        <v>120</v>
      </c>
    </row>
    <row r="144" spans="2:14" ht="40.5" customHeight="1" x14ac:dyDescent="0.75">
      <c r="C144" s="71" t="s">
        <v>515</v>
      </c>
      <c r="D144" s="71" t="s">
        <v>554</v>
      </c>
      <c r="E144" s="71" t="s">
        <v>130</v>
      </c>
      <c r="F144" s="71"/>
      <c r="G144" s="68" t="s">
        <v>117</v>
      </c>
      <c r="H144" s="68"/>
      <c r="I144" s="71" t="s">
        <v>1250</v>
      </c>
      <c r="J144" s="68" t="s">
        <v>517</v>
      </c>
      <c r="K144" s="69" t="s">
        <v>120</v>
      </c>
    </row>
    <row r="145" spans="2:14" ht="40.5" customHeight="1" x14ac:dyDescent="0.75">
      <c r="C145" s="71" t="s">
        <v>503</v>
      </c>
      <c r="D145" s="71" t="s">
        <v>555</v>
      </c>
      <c r="E145" s="71" t="s">
        <v>112</v>
      </c>
      <c r="F145" s="71"/>
      <c r="G145" s="68" t="s">
        <v>117</v>
      </c>
      <c r="H145" s="68"/>
      <c r="I145" s="71" t="s">
        <v>548</v>
      </c>
      <c r="J145" s="68"/>
      <c r="K145" s="69" t="s">
        <v>120</v>
      </c>
    </row>
    <row r="146" spans="2:14" ht="40.5" customHeight="1" x14ac:dyDescent="0.75">
      <c r="C146" s="96" t="s">
        <v>519</v>
      </c>
      <c r="D146" s="96" t="s">
        <v>556</v>
      </c>
      <c r="E146" s="96" t="s">
        <v>130</v>
      </c>
      <c r="F146" s="96"/>
      <c r="G146" s="68" t="s">
        <v>113</v>
      </c>
      <c r="H146" s="68" t="s">
        <v>557</v>
      </c>
      <c r="I146" s="96" t="s">
        <v>558</v>
      </c>
      <c r="J146" s="96" t="s">
        <v>523</v>
      </c>
      <c r="K146" s="76" t="s">
        <v>114</v>
      </c>
    </row>
    <row r="147" spans="2:14" s="75" customFormat="1" ht="40.5" customHeight="1" x14ac:dyDescent="0.75">
      <c r="B147" s="99"/>
      <c r="C147" s="96" t="s">
        <v>559</v>
      </c>
      <c r="D147" s="96" t="s">
        <v>560</v>
      </c>
      <c r="E147" s="68" t="s">
        <v>130</v>
      </c>
      <c r="F147" s="68" t="s">
        <v>114</v>
      </c>
      <c r="G147" s="68" t="s">
        <v>113</v>
      </c>
      <c r="H147" s="68" t="s">
        <v>501</v>
      </c>
      <c r="I147" s="96" t="s">
        <v>120</v>
      </c>
      <c r="J147" s="96" t="s">
        <v>561</v>
      </c>
      <c r="K147" s="76" t="s">
        <v>114</v>
      </c>
      <c r="L147" s="59"/>
      <c r="M147" s="59"/>
      <c r="N147" s="59"/>
    </row>
    <row r="148" spans="2:14" ht="40.5" customHeight="1" x14ac:dyDescent="0.75">
      <c r="C148" s="71" t="s">
        <v>562</v>
      </c>
      <c r="D148" s="71" t="s">
        <v>563</v>
      </c>
      <c r="E148" s="71" t="s">
        <v>130</v>
      </c>
      <c r="F148" s="71"/>
      <c r="G148" s="68" t="s">
        <v>113</v>
      </c>
      <c r="H148" s="68" t="s">
        <v>564</v>
      </c>
      <c r="I148" s="71" t="s">
        <v>565</v>
      </c>
      <c r="J148" s="96" t="s">
        <v>566</v>
      </c>
      <c r="K148" s="69" t="s">
        <v>114</v>
      </c>
    </row>
    <row r="149" spans="2:14" ht="40.5" customHeight="1" x14ac:dyDescent="0.75">
      <c r="C149" s="71" t="s">
        <v>524</v>
      </c>
      <c r="D149" s="71" t="s">
        <v>567</v>
      </c>
      <c r="E149" s="71" t="s">
        <v>113</v>
      </c>
      <c r="F149" s="71"/>
      <c r="G149" s="68" t="s">
        <v>113</v>
      </c>
      <c r="H149" s="71" t="s">
        <v>1249</v>
      </c>
      <c r="I149" s="71" t="s">
        <v>568</v>
      </c>
      <c r="J149" s="68" t="s">
        <v>1251</v>
      </c>
      <c r="K149" s="69" t="s">
        <v>114</v>
      </c>
    </row>
    <row r="150" spans="2:14" ht="40.5" customHeight="1" x14ac:dyDescent="0.75">
      <c r="C150" s="68" t="s">
        <v>569</v>
      </c>
      <c r="D150" s="68" t="s">
        <v>570</v>
      </c>
      <c r="E150" s="68" t="s">
        <v>571</v>
      </c>
      <c r="F150" s="68"/>
      <c r="G150" s="68" t="s">
        <v>113</v>
      </c>
      <c r="H150" s="71" t="s">
        <v>572</v>
      </c>
      <c r="I150" s="71" t="s">
        <v>573</v>
      </c>
      <c r="J150" s="68" t="s">
        <v>574</v>
      </c>
      <c r="K150" s="69" t="s">
        <v>114</v>
      </c>
    </row>
    <row r="151" spans="2:14" ht="40.5" customHeight="1" x14ac:dyDescent="0.75">
      <c r="C151" s="68" t="s">
        <v>575</v>
      </c>
      <c r="D151" s="68" t="s">
        <v>576</v>
      </c>
      <c r="E151" s="68" t="s">
        <v>130</v>
      </c>
      <c r="F151" s="68"/>
      <c r="G151" s="68" t="s">
        <v>113</v>
      </c>
      <c r="H151" s="68" t="s">
        <v>577</v>
      </c>
      <c r="I151" s="71" t="s">
        <v>568</v>
      </c>
      <c r="J151" s="68"/>
      <c r="K151" s="69" t="s">
        <v>114</v>
      </c>
    </row>
    <row r="152" spans="2:14" ht="40.5" customHeight="1" x14ac:dyDescent="0.75">
      <c r="C152" s="71" t="s">
        <v>536</v>
      </c>
      <c r="D152" s="71" t="s">
        <v>578</v>
      </c>
      <c r="E152" s="71" t="s">
        <v>113</v>
      </c>
      <c r="F152" s="71"/>
      <c r="G152" s="68" t="s">
        <v>113</v>
      </c>
      <c r="H152" s="71" t="s">
        <v>1249</v>
      </c>
      <c r="I152" s="68" t="s">
        <v>579</v>
      </c>
      <c r="J152" s="68" t="s">
        <v>580</v>
      </c>
      <c r="K152" s="69" t="s">
        <v>114</v>
      </c>
    </row>
    <row r="153" spans="2:14" ht="40.5" customHeight="1" x14ac:dyDescent="0.75">
      <c r="C153" s="71" t="s">
        <v>581</v>
      </c>
      <c r="D153" s="71" t="s">
        <v>582</v>
      </c>
      <c r="E153" s="71" t="s">
        <v>130</v>
      </c>
      <c r="F153" s="71"/>
      <c r="G153" s="68" t="s">
        <v>113</v>
      </c>
      <c r="H153" s="68" t="s">
        <v>280</v>
      </c>
      <c r="I153" s="68" t="s">
        <v>583</v>
      </c>
      <c r="J153" s="68" t="s">
        <v>584</v>
      </c>
      <c r="K153" s="69" t="s">
        <v>114</v>
      </c>
    </row>
    <row r="154" spans="2:14" ht="40.5" customHeight="1" x14ac:dyDescent="0.75">
      <c r="C154" s="71" t="s">
        <v>585</v>
      </c>
      <c r="D154" s="71" t="s">
        <v>586</v>
      </c>
      <c r="E154" s="71" t="s">
        <v>112</v>
      </c>
      <c r="F154" s="71"/>
      <c r="G154" s="68" t="s">
        <v>117</v>
      </c>
      <c r="H154" s="68"/>
      <c r="I154" s="68" t="s">
        <v>587</v>
      </c>
      <c r="J154" s="68" t="s">
        <v>588</v>
      </c>
      <c r="K154" s="69" t="s">
        <v>114</v>
      </c>
    </row>
    <row r="155" spans="2:14" ht="40.5" customHeight="1" x14ac:dyDescent="0.75">
      <c r="C155" s="71" t="s">
        <v>589</v>
      </c>
      <c r="D155" s="71" t="s">
        <v>590</v>
      </c>
      <c r="E155" s="71" t="s">
        <v>244</v>
      </c>
      <c r="F155" s="71"/>
      <c r="G155" s="68" t="s">
        <v>117</v>
      </c>
      <c r="H155" s="68"/>
      <c r="I155" s="71" t="s">
        <v>122</v>
      </c>
      <c r="J155" s="68" t="s">
        <v>591</v>
      </c>
      <c r="K155" s="69" t="s">
        <v>114</v>
      </c>
    </row>
    <row r="156" spans="2:14" ht="40.5" customHeight="1" x14ac:dyDescent="0.75">
      <c r="C156" s="71" t="s">
        <v>592</v>
      </c>
      <c r="D156" s="71" t="s">
        <v>593</v>
      </c>
      <c r="E156" s="71" t="s">
        <v>130</v>
      </c>
      <c r="F156" s="71"/>
      <c r="G156" s="68" t="s">
        <v>113</v>
      </c>
      <c r="H156" s="68" t="s">
        <v>280</v>
      </c>
      <c r="I156" s="71" t="s">
        <v>120</v>
      </c>
      <c r="J156" s="68" t="s">
        <v>1252</v>
      </c>
      <c r="K156" s="69" t="s">
        <v>120</v>
      </c>
    </row>
    <row r="157" spans="2:14" ht="40.5" customHeight="1" x14ac:dyDescent="0.75">
      <c r="C157" s="71" t="s">
        <v>327</v>
      </c>
      <c r="D157" s="71" t="s">
        <v>328</v>
      </c>
      <c r="E157" s="71" t="s">
        <v>329</v>
      </c>
      <c r="F157" s="71"/>
      <c r="G157" s="68" t="s">
        <v>113</v>
      </c>
      <c r="H157" s="71" t="s">
        <v>594</v>
      </c>
      <c r="I157" s="68" t="s">
        <v>120</v>
      </c>
      <c r="J157" s="68"/>
      <c r="K157" s="69" t="s">
        <v>120</v>
      </c>
    </row>
    <row r="158" spans="2:14" ht="40.5" customHeight="1" x14ac:dyDescent="0.75">
      <c r="C158" s="71" t="s">
        <v>332</v>
      </c>
      <c r="D158" s="71" t="s">
        <v>333</v>
      </c>
      <c r="E158" s="71" t="s">
        <v>112</v>
      </c>
      <c r="F158" s="71"/>
      <c r="G158" s="68" t="s">
        <v>117</v>
      </c>
      <c r="H158" s="68"/>
      <c r="I158" s="68" t="s">
        <v>334</v>
      </c>
      <c r="J158" s="68"/>
      <c r="K158" s="69" t="s">
        <v>120</v>
      </c>
    </row>
    <row r="159" spans="2:14" ht="40.5" customHeight="1" x14ac:dyDescent="0.75">
      <c r="C159" s="71" t="s">
        <v>595</v>
      </c>
      <c r="D159" s="71" t="s">
        <v>596</v>
      </c>
      <c r="E159" s="71" t="s">
        <v>130</v>
      </c>
      <c r="F159" s="71"/>
      <c r="G159" s="68" t="s">
        <v>113</v>
      </c>
      <c r="H159" s="68" t="s">
        <v>597</v>
      </c>
      <c r="I159" s="71" t="s">
        <v>122</v>
      </c>
      <c r="J159" s="68" t="s">
        <v>598</v>
      </c>
      <c r="K159" s="69" t="s">
        <v>120</v>
      </c>
    </row>
    <row r="160" spans="2:14" ht="40.5" customHeight="1" x14ac:dyDescent="0.75">
      <c r="C160" s="71" t="s">
        <v>599</v>
      </c>
      <c r="D160" s="71" t="s">
        <v>600</v>
      </c>
      <c r="E160" s="71" t="s">
        <v>601</v>
      </c>
      <c r="F160" s="71"/>
      <c r="G160" s="68" t="s">
        <v>601</v>
      </c>
      <c r="H160" s="68"/>
      <c r="I160" s="71" t="s">
        <v>122</v>
      </c>
      <c r="J160" s="68" t="s">
        <v>602</v>
      </c>
      <c r="K160" s="69" t="s">
        <v>120</v>
      </c>
    </row>
    <row r="161" spans="3:11" ht="40.5" customHeight="1" x14ac:dyDescent="0.75">
      <c r="C161" s="71" t="s">
        <v>603</v>
      </c>
      <c r="D161" s="71" t="s">
        <v>604</v>
      </c>
      <c r="E161" s="71" t="s">
        <v>601</v>
      </c>
      <c r="F161" s="71"/>
      <c r="G161" s="68" t="s">
        <v>601</v>
      </c>
      <c r="H161" s="68"/>
      <c r="I161" s="71" t="s">
        <v>122</v>
      </c>
      <c r="J161" s="68" t="s">
        <v>602</v>
      </c>
      <c r="K161" s="69" t="s">
        <v>120</v>
      </c>
    </row>
    <row r="162" spans="3:11" ht="40.5" customHeight="1" x14ac:dyDescent="0.75">
      <c r="C162" s="71" t="s">
        <v>605</v>
      </c>
      <c r="D162" s="71" t="s">
        <v>606</v>
      </c>
      <c r="E162" s="71" t="s">
        <v>601</v>
      </c>
      <c r="F162" s="71"/>
      <c r="G162" s="68" t="s">
        <v>601</v>
      </c>
      <c r="H162" s="68"/>
      <c r="I162" s="71" t="s">
        <v>122</v>
      </c>
      <c r="J162" s="68" t="s">
        <v>607</v>
      </c>
      <c r="K162" s="69" t="s">
        <v>120</v>
      </c>
    </row>
    <row r="163" spans="3:11" ht="40.5" customHeight="1" x14ac:dyDescent="0.75">
      <c r="C163" s="71" t="s">
        <v>608</v>
      </c>
      <c r="D163" s="71" t="s">
        <v>609</v>
      </c>
      <c r="E163" s="71" t="s">
        <v>601</v>
      </c>
      <c r="F163" s="71"/>
      <c r="G163" s="68" t="s">
        <v>601</v>
      </c>
      <c r="H163" s="68"/>
      <c r="I163" s="71" t="s">
        <v>122</v>
      </c>
      <c r="J163" s="68" t="s">
        <v>607</v>
      </c>
      <c r="K163" s="69" t="s">
        <v>120</v>
      </c>
    </row>
    <row r="164" spans="3:11" ht="40.5" customHeight="1" x14ac:dyDescent="0.75">
      <c r="C164" s="71" t="s">
        <v>610</v>
      </c>
      <c r="D164" s="71" t="s">
        <v>611</v>
      </c>
      <c r="E164" s="71" t="s">
        <v>610</v>
      </c>
      <c r="F164" s="71" t="s">
        <v>114</v>
      </c>
      <c r="G164" s="71" t="s">
        <v>610</v>
      </c>
      <c r="H164" s="71" t="s">
        <v>610</v>
      </c>
      <c r="I164" s="71" t="s">
        <v>610</v>
      </c>
      <c r="J164" s="68" t="s">
        <v>612</v>
      </c>
      <c r="K164" s="78" t="s">
        <v>120</v>
      </c>
    </row>
    <row r="165" spans="3:11" ht="40.5" customHeight="1" x14ac:dyDescent="0.75">
      <c r="C165" s="71" t="s">
        <v>247</v>
      </c>
      <c r="D165" s="71" t="s">
        <v>248</v>
      </c>
      <c r="E165" s="71" t="s">
        <v>244</v>
      </c>
      <c r="F165" s="71"/>
      <c r="G165" s="68" t="s">
        <v>117</v>
      </c>
      <c r="H165" s="68"/>
      <c r="I165" s="71" t="s">
        <v>122</v>
      </c>
      <c r="J165" s="68" t="s">
        <v>250</v>
      </c>
      <c r="K165" s="69" t="s">
        <v>120</v>
      </c>
    </row>
    <row r="166" spans="3:11" ht="40.5" customHeight="1" x14ac:dyDescent="0.75">
      <c r="C166" s="84" t="s">
        <v>278</v>
      </c>
      <c r="D166" s="85"/>
      <c r="E166" s="85"/>
      <c r="F166" s="85"/>
      <c r="G166" s="86"/>
      <c r="H166" s="86"/>
      <c r="I166" s="87"/>
      <c r="J166" s="65"/>
      <c r="K166" s="85"/>
    </row>
    <row r="167" spans="3:11" ht="40.5" customHeight="1" x14ac:dyDescent="0.75">
      <c r="C167" s="68" t="s">
        <v>158</v>
      </c>
      <c r="D167" s="68" t="s">
        <v>159</v>
      </c>
      <c r="E167" s="68" t="s">
        <v>113</v>
      </c>
      <c r="F167" s="68" t="s">
        <v>114</v>
      </c>
      <c r="G167" s="68" t="s">
        <v>113</v>
      </c>
      <c r="H167" s="68"/>
      <c r="I167" s="68" t="s">
        <v>114</v>
      </c>
      <c r="J167" s="68" t="s">
        <v>613</v>
      </c>
      <c r="K167" s="78" t="s">
        <v>120</v>
      </c>
    </row>
    <row r="168" spans="3:11" ht="40.5" customHeight="1" x14ac:dyDescent="0.75">
      <c r="C168" s="68" t="s">
        <v>300</v>
      </c>
      <c r="D168" s="68" t="s">
        <v>301</v>
      </c>
      <c r="E168" s="68" t="s">
        <v>113</v>
      </c>
      <c r="F168" s="68" t="s">
        <v>114</v>
      </c>
      <c r="G168" s="68" t="s">
        <v>113</v>
      </c>
      <c r="H168" s="68"/>
      <c r="I168" s="68" t="s">
        <v>114</v>
      </c>
      <c r="J168" s="68"/>
      <c r="K168" s="78" t="s">
        <v>120</v>
      </c>
    </row>
    <row r="169" spans="3:11" ht="40.5" customHeight="1" x14ac:dyDescent="0.75">
      <c r="C169" s="68" t="s">
        <v>614</v>
      </c>
      <c r="D169" s="68" t="s">
        <v>615</v>
      </c>
      <c r="E169" s="68" t="s">
        <v>113</v>
      </c>
      <c r="F169" s="68" t="s">
        <v>114</v>
      </c>
      <c r="G169" s="68" t="s">
        <v>113</v>
      </c>
      <c r="H169" s="68"/>
      <c r="I169" s="68" t="s">
        <v>114</v>
      </c>
      <c r="J169" s="68" t="s">
        <v>616</v>
      </c>
      <c r="K169" s="78" t="s">
        <v>120</v>
      </c>
    </row>
    <row r="170" spans="3:11" ht="40.5" customHeight="1" x14ac:dyDescent="0.75">
      <c r="C170" s="71" t="s">
        <v>302</v>
      </c>
      <c r="D170" s="71" t="s">
        <v>172</v>
      </c>
      <c r="E170" s="71" t="s">
        <v>130</v>
      </c>
      <c r="F170" s="71"/>
      <c r="G170" s="68" t="s">
        <v>113</v>
      </c>
      <c r="H170" s="68" t="s">
        <v>173</v>
      </c>
      <c r="I170" s="71" t="s">
        <v>617</v>
      </c>
      <c r="J170" s="68" t="s">
        <v>618</v>
      </c>
      <c r="K170" s="69" t="s">
        <v>114</v>
      </c>
    </row>
    <row r="171" spans="3:11" ht="40.5" customHeight="1" x14ac:dyDescent="0.75">
      <c r="C171" s="71" t="s">
        <v>175</v>
      </c>
      <c r="D171" s="71" t="s">
        <v>176</v>
      </c>
      <c r="E171" s="71" t="s">
        <v>112</v>
      </c>
      <c r="F171" s="71"/>
      <c r="G171" s="68" t="s">
        <v>117</v>
      </c>
      <c r="H171" s="68"/>
      <c r="I171" s="71" t="s">
        <v>619</v>
      </c>
      <c r="J171" s="68" t="s">
        <v>306</v>
      </c>
      <c r="K171" s="69" t="s">
        <v>114</v>
      </c>
    </row>
    <row r="172" spans="3:11" ht="40.5" customHeight="1" x14ac:dyDescent="0.75">
      <c r="C172" s="71" t="s">
        <v>620</v>
      </c>
      <c r="D172" s="71" t="s">
        <v>621</v>
      </c>
      <c r="E172" s="71" t="s">
        <v>4</v>
      </c>
      <c r="F172" s="71"/>
      <c r="G172" s="68" t="s">
        <v>4</v>
      </c>
      <c r="H172" s="68" t="s">
        <v>138</v>
      </c>
      <c r="I172" s="71" t="s">
        <v>617</v>
      </c>
      <c r="J172" s="68" t="s">
        <v>622</v>
      </c>
      <c r="K172" s="69" t="s">
        <v>114</v>
      </c>
    </row>
    <row r="173" spans="3:11" ht="40.5" customHeight="1" x14ac:dyDescent="0.75">
      <c r="C173" s="71" t="s">
        <v>623</v>
      </c>
      <c r="D173" s="71" t="s">
        <v>624</v>
      </c>
      <c r="E173" s="71" t="s">
        <v>244</v>
      </c>
      <c r="F173" s="71"/>
      <c r="G173" s="68" t="s">
        <v>117</v>
      </c>
      <c r="H173" s="68"/>
      <c r="I173" s="71" t="s">
        <v>617</v>
      </c>
      <c r="J173" s="68" t="s">
        <v>625</v>
      </c>
      <c r="K173" s="78" t="s">
        <v>114</v>
      </c>
    </row>
    <row r="174" spans="3:11" ht="40.5" customHeight="1" x14ac:dyDescent="0.75">
      <c r="C174" s="68" t="s">
        <v>626</v>
      </c>
      <c r="D174" s="68" t="s">
        <v>627</v>
      </c>
      <c r="E174" s="71" t="s">
        <v>130</v>
      </c>
      <c r="F174" s="71"/>
      <c r="G174" s="68" t="s">
        <v>113</v>
      </c>
      <c r="H174" s="68" t="s">
        <v>289</v>
      </c>
      <c r="I174" s="71" t="s">
        <v>617</v>
      </c>
      <c r="J174" s="68" t="s">
        <v>628</v>
      </c>
      <c r="K174" s="78" t="s">
        <v>114</v>
      </c>
    </row>
    <row r="175" spans="3:11" ht="40.5" customHeight="1" x14ac:dyDescent="0.75">
      <c r="C175" s="96" t="s">
        <v>629</v>
      </c>
      <c r="D175" s="96" t="s">
        <v>630</v>
      </c>
      <c r="E175" s="71" t="s">
        <v>130</v>
      </c>
      <c r="F175" s="71"/>
      <c r="G175" s="68" t="s">
        <v>113</v>
      </c>
      <c r="H175" s="68" t="s">
        <v>289</v>
      </c>
      <c r="I175" s="71" t="s">
        <v>617</v>
      </c>
      <c r="J175" s="96" t="s">
        <v>631</v>
      </c>
      <c r="K175" s="78" t="s">
        <v>114</v>
      </c>
    </row>
    <row r="176" spans="3:11" ht="40.5" customHeight="1" x14ac:dyDescent="0.75">
      <c r="C176" s="68" t="s">
        <v>632</v>
      </c>
      <c r="D176" s="68" t="s">
        <v>633</v>
      </c>
      <c r="E176" s="71" t="s">
        <v>130</v>
      </c>
      <c r="F176" s="71"/>
      <c r="G176" s="68" t="s">
        <v>113</v>
      </c>
      <c r="H176" s="68" t="s">
        <v>289</v>
      </c>
      <c r="I176" s="71" t="s">
        <v>617</v>
      </c>
      <c r="J176" s="68" t="s">
        <v>634</v>
      </c>
      <c r="K176" s="78" t="s">
        <v>114</v>
      </c>
    </row>
    <row r="177" spans="2:14" ht="40.5" customHeight="1" x14ac:dyDescent="0.75">
      <c r="C177" s="96" t="s">
        <v>635</v>
      </c>
      <c r="D177" s="96" t="s">
        <v>636</v>
      </c>
      <c r="E177" s="71" t="s">
        <v>130</v>
      </c>
      <c r="F177" s="71"/>
      <c r="G177" s="68" t="s">
        <v>113</v>
      </c>
      <c r="H177" s="68" t="s">
        <v>289</v>
      </c>
      <c r="I177" s="71" t="s">
        <v>617</v>
      </c>
      <c r="J177" s="96" t="s">
        <v>637</v>
      </c>
      <c r="K177" s="78" t="s">
        <v>114</v>
      </c>
    </row>
    <row r="178" spans="2:14" ht="40.5" customHeight="1" x14ac:dyDescent="0.75">
      <c r="C178" s="96" t="s">
        <v>638</v>
      </c>
      <c r="D178" s="96" t="s">
        <v>639</v>
      </c>
      <c r="E178" s="71" t="s">
        <v>130</v>
      </c>
      <c r="F178" s="71"/>
      <c r="G178" s="68" t="s">
        <v>113</v>
      </c>
      <c r="H178" s="68" t="s">
        <v>289</v>
      </c>
      <c r="I178" s="71" t="s">
        <v>617</v>
      </c>
      <c r="J178" s="96" t="s">
        <v>640</v>
      </c>
      <c r="K178" s="78" t="s">
        <v>114</v>
      </c>
    </row>
    <row r="179" spans="2:14" ht="40.5" customHeight="1" x14ac:dyDescent="0.75">
      <c r="C179" s="96" t="s">
        <v>641</v>
      </c>
      <c r="D179" s="96" t="s">
        <v>642</v>
      </c>
      <c r="E179" s="71" t="s">
        <v>130</v>
      </c>
      <c r="F179" s="71"/>
      <c r="G179" s="68" t="s">
        <v>113</v>
      </c>
      <c r="H179" s="68" t="s">
        <v>289</v>
      </c>
      <c r="I179" s="71" t="s">
        <v>617</v>
      </c>
      <c r="J179" s="96" t="s">
        <v>643</v>
      </c>
      <c r="K179" s="78" t="s">
        <v>114</v>
      </c>
    </row>
    <row r="180" spans="2:14" ht="40.5" customHeight="1" x14ac:dyDescent="0.75">
      <c r="C180" s="93" t="s">
        <v>644</v>
      </c>
      <c r="D180" s="93" t="s">
        <v>645</v>
      </c>
      <c r="E180" s="93" t="s">
        <v>130</v>
      </c>
      <c r="F180" s="93"/>
      <c r="G180" s="68" t="s">
        <v>113</v>
      </c>
      <c r="H180" s="68" t="s">
        <v>289</v>
      </c>
      <c r="I180" s="71" t="s">
        <v>617</v>
      </c>
      <c r="J180" s="96" t="s">
        <v>646</v>
      </c>
      <c r="K180" s="78" t="s">
        <v>114</v>
      </c>
    </row>
    <row r="181" spans="2:14" ht="40.5" customHeight="1" x14ac:dyDescent="0.75">
      <c r="C181" s="93" t="s">
        <v>647</v>
      </c>
      <c r="D181" s="93" t="s">
        <v>648</v>
      </c>
      <c r="E181" s="93" t="s">
        <v>130</v>
      </c>
      <c r="F181" s="93"/>
      <c r="G181" s="68" t="s">
        <v>113</v>
      </c>
      <c r="H181" s="68" t="s">
        <v>289</v>
      </c>
      <c r="I181" s="71" t="s">
        <v>617</v>
      </c>
      <c r="J181" s="96" t="s">
        <v>649</v>
      </c>
      <c r="K181" s="78" t="s">
        <v>114</v>
      </c>
    </row>
    <row r="182" spans="2:14" ht="40.5" customHeight="1" x14ac:dyDescent="0.75">
      <c r="C182" s="96" t="s">
        <v>650</v>
      </c>
      <c r="D182" s="96" t="s">
        <v>651</v>
      </c>
      <c r="E182" s="71" t="s">
        <v>130</v>
      </c>
      <c r="F182" s="71"/>
      <c r="G182" s="68" t="s">
        <v>113</v>
      </c>
      <c r="H182" s="68" t="s">
        <v>289</v>
      </c>
      <c r="I182" s="71" t="s">
        <v>617</v>
      </c>
      <c r="J182" s="96" t="s">
        <v>652</v>
      </c>
      <c r="K182" s="78" t="s">
        <v>114</v>
      </c>
    </row>
    <row r="183" spans="2:14" ht="40.5" customHeight="1" x14ac:dyDescent="0.75">
      <c r="C183" s="93" t="s">
        <v>653</v>
      </c>
      <c r="D183" s="93" t="s">
        <v>654</v>
      </c>
      <c r="E183" s="93" t="s">
        <v>130</v>
      </c>
      <c r="F183" s="93"/>
      <c r="G183" s="68" t="s">
        <v>113</v>
      </c>
      <c r="H183" s="68" t="s">
        <v>289</v>
      </c>
      <c r="I183" s="71" t="s">
        <v>617</v>
      </c>
      <c r="J183" s="96" t="s">
        <v>655</v>
      </c>
      <c r="K183" s="78" t="s">
        <v>114</v>
      </c>
    </row>
    <row r="184" spans="2:14" ht="40.5" customHeight="1" x14ac:dyDescent="0.75">
      <c r="C184" s="93" t="s">
        <v>656</v>
      </c>
      <c r="D184" s="93" t="s">
        <v>657</v>
      </c>
      <c r="E184" s="93" t="s">
        <v>130</v>
      </c>
      <c r="F184" s="93"/>
      <c r="G184" s="68" t="s">
        <v>113</v>
      </c>
      <c r="H184" s="68" t="s">
        <v>289</v>
      </c>
      <c r="I184" s="71" t="s">
        <v>617</v>
      </c>
      <c r="J184" s="68" t="s">
        <v>1253</v>
      </c>
      <c r="K184" s="78" t="s">
        <v>114</v>
      </c>
    </row>
    <row r="185" spans="2:14" ht="40.5" customHeight="1" x14ac:dyDescent="0.75">
      <c r="C185" s="93" t="s">
        <v>658</v>
      </c>
      <c r="D185" s="93" t="s">
        <v>659</v>
      </c>
      <c r="E185" s="93" t="s">
        <v>130</v>
      </c>
      <c r="F185" s="93"/>
      <c r="G185" s="68" t="s">
        <v>113</v>
      </c>
      <c r="H185" s="68" t="s">
        <v>660</v>
      </c>
      <c r="I185" s="71" t="s">
        <v>661</v>
      </c>
      <c r="J185" s="68" t="s">
        <v>662</v>
      </c>
      <c r="K185" s="69" t="s">
        <v>114</v>
      </c>
    </row>
    <row r="186" spans="2:14" ht="40.5" customHeight="1" x14ac:dyDescent="0.75">
      <c r="C186" s="71" t="s">
        <v>663</v>
      </c>
      <c r="D186" s="71" t="s">
        <v>664</v>
      </c>
      <c r="E186" s="71" t="s">
        <v>112</v>
      </c>
      <c r="F186" s="71"/>
      <c r="G186" s="68" t="s">
        <v>117</v>
      </c>
      <c r="H186" s="68"/>
      <c r="I186" s="71" t="s">
        <v>665</v>
      </c>
      <c r="J186" s="68" t="s">
        <v>666</v>
      </c>
      <c r="K186" s="69" t="s">
        <v>114</v>
      </c>
    </row>
    <row r="187" spans="2:14" s="75" customFormat="1" ht="40.5" customHeight="1" x14ac:dyDescent="0.75">
      <c r="B187" s="99"/>
      <c r="C187" s="68" t="s">
        <v>667</v>
      </c>
      <c r="D187" s="68" t="s">
        <v>668</v>
      </c>
      <c r="E187" s="68" t="s">
        <v>529</v>
      </c>
      <c r="F187" s="68"/>
      <c r="G187" s="68" t="s">
        <v>113</v>
      </c>
      <c r="H187" s="68" t="s">
        <v>669</v>
      </c>
      <c r="I187" s="68" t="s">
        <v>114</v>
      </c>
      <c r="J187" s="68" t="s">
        <v>670</v>
      </c>
      <c r="K187" s="69" t="s">
        <v>114</v>
      </c>
      <c r="L187" s="59"/>
      <c r="M187" s="59"/>
      <c r="N187" s="59"/>
    </row>
    <row r="188" spans="2:14" ht="40.5" customHeight="1" x14ac:dyDescent="0.75">
      <c r="C188" s="100" t="s">
        <v>671</v>
      </c>
      <c r="D188" s="100" t="s">
        <v>672</v>
      </c>
      <c r="E188" s="71" t="s">
        <v>130</v>
      </c>
      <c r="F188" s="93"/>
      <c r="G188" s="96" t="s">
        <v>113</v>
      </c>
      <c r="H188" s="68" t="s">
        <v>673</v>
      </c>
      <c r="I188" s="96" t="s">
        <v>674</v>
      </c>
      <c r="J188" s="96" t="s">
        <v>675</v>
      </c>
      <c r="K188" s="76" t="s">
        <v>114</v>
      </c>
    </row>
    <row r="189" spans="2:14" ht="40.5" customHeight="1" x14ac:dyDescent="0.75">
      <c r="C189" s="96" t="s">
        <v>676</v>
      </c>
      <c r="D189" s="96" t="s">
        <v>677</v>
      </c>
      <c r="E189" s="96" t="s">
        <v>571</v>
      </c>
      <c r="F189" s="96"/>
      <c r="G189" s="68" t="s">
        <v>113</v>
      </c>
      <c r="H189" s="68" t="s">
        <v>678</v>
      </c>
      <c r="I189" s="96" t="s">
        <v>674</v>
      </c>
      <c r="J189" s="68" t="s">
        <v>679</v>
      </c>
      <c r="K189" s="69" t="s">
        <v>114</v>
      </c>
    </row>
    <row r="190" spans="2:14" ht="40.5" customHeight="1" x14ac:dyDescent="0.75">
      <c r="C190" s="100" t="s">
        <v>680</v>
      </c>
      <c r="D190" s="100" t="s">
        <v>681</v>
      </c>
      <c r="E190" s="100" t="s">
        <v>529</v>
      </c>
      <c r="F190" s="100"/>
      <c r="G190" s="68" t="s">
        <v>113</v>
      </c>
      <c r="H190" s="68" t="s">
        <v>682</v>
      </c>
      <c r="I190" s="96" t="s">
        <v>674</v>
      </c>
      <c r="J190" s="68" t="s">
        <v>683</v>
      </c>
      <c r="K190" s="69" t="s">
        <v>114</v>
      </c>
    </row>
    <row r="191" spans="2:14" ht="40.5" customHeight="1" x14ac:dyDescent="0.75">
      <c r="C191" s="100" t="s">
        <v>684</v>
      </c>
      <c r="D191" s="100" t="s">
        <v>685</v>
      </c>
      <c r="E191" s="100" t="s">
        <v>529</v>
      </c>
      <c r="F191" s="100"/>
      <c r="G191" s="68" t="s">
        <v>113</v>
      </c>
      <c r="H191" s="68" t="s">
        <v>686</v>
      </c>
      <c r="I191" s="68" t="s">
        <v>114</v>
      </c>
      <c r="J191" s="68" t="s">
        <v>687</v>
      </c>
      <c r="K191" s="69" t="s">
        <v>114</v>
      </c>
    </row>
    <row r="192" spans="2:14" ht="40.5" customHeight="1" x14ac:dyDescent="0.75">
      <c r="C192" s="100" t="s">
        <v>688</v>
      </c>
      <c r="D192" s="100" t="s">
        <v>689</v>
      </c>
      <c r="E192" s="100" t="s">
        <v>529</v>
      </c>
      <c r="F192" s="100"/>
      <c r="G192" s="68" t="s">
        <v>113</v>
      </c>
      <c r="H192" s="68" t="s">
        <v>690</v>
      </c>
      <c r="I192" s="71" t="s">
        <v>691</v>
      </c>
      <c r="J192" s="68" t="s">
        <v>692</v>
      </c>
      <c r="K192" s="69" t="s">
        <v>114</v>
      </c>
    </row>
    <row r="193" spans="2:14" ht="40.5" customHeight="1" x14ac:dyDescent="0.75">
      <c r="C193" s="100" t="s">
        <v>693</v>
      </c>
      <c r="D193" s="100" t="s">
        <v>694</v>
      </c>
      <c r="E193" s="100" t="s">
        <v>529</v>
      </c>
      <c r="F193" s="100"/>
      <c r="G193" s="68" t="s">
        <v>113</v>
      </c>
      <c r="H193" s="68" t="s">
        <v>695</v>
      </c>
      <c r="I193" s="68" t="s">
        <v>696</v>
      </c>
      <c r="J193" s="68" t="s">
        <v>697</v>
      </c>
      <c r="K193" s="69" t="s">
        <v>114</v>
      </c>
    </row>
    <row r="194" spans="2:14" ht="40.5" customHeight="1" x14ac:dyDescent="0.75">
      <c r="C194" s="100" t="s">
        <v>698</v>
      </c>
      <c r="D194" s="100" t="s">
        <v>699</v>
      </c>
      <c r="E194" s="100" t="s">
        <v>529</v>
      </c>
      <c r="F194" s="100"/>
      <c r="G194" s="68" t="s">
        <v>113</v>
      </c>
      <c r="H194" s="68" t="s">
        <v>700</v>
      </c>
      <c r="I194" s="68" t="s">
        <v>114</v>
      </c>
      <c r="J194" s="68" t="s">
        <v>701</v>
      </c>
      <c r="K194" s="69" t="s">
        <v>114</v>
      </c>
    </row>
    <row r="195" spans="2:14" ht="40.5" customHeight="1" x14ac:dyDescent="0.75">
      <c r="C195" s="100" t="s">
        <v>693</v>
      </c>
      <c r="D195" s="100" t="s">
        <v>702</v>
      </c>
      <c r="E195" s="100" t="s">
        <v>529</v>
      </c>
      <c r="F195" s="100"/>
      <c r="G195" s="68" t="s">
        <v>113</v>
      </c>
      <c r="H195" s="68" t="s">
        <v>703</v>
      </c>
      <c r="I195" s="101" t="s">
        <v>704</v>
      </c>
      <c r="J195" s="68" t="s">
        <v>705</v>
      </c>
      <c r="K195" s="69" t="s">
        <v>114</v>
      </c>
    </row>
    <row r="196" spans="2:14" ht="40.5" customHeight="1" x14ac:dyDescent="0.75">
      <c r="C196" s="100" t="s">
        <v>706</v>
      </c>
      <c r="D196" s="100" t="s">
        <v>707</v>
      </c>
      <c r="E196" s="100" t="s">
        <v>529</v>
      </c>
      <c r="F196" s="100"/>
      <c r="G196" s="68" t="s">
        <v>113</v>
      </c>
      <c r="H196" s="68" t="s">
        <v>708</v>
      </c>
      <c r="I196" s="68" t="s">
        <v>114</v>
      </c>
      <c r="J196" s="68" t="s">
        <v>709</v>
      </c>
      <c r="K196" s="69" t="s">
        <v>114</v>
      </c>
    </row>
    <row r="197" spans="2:14" ht="40.5" customHeight="1" x14ac:dyDescent="0.75">
      <c r="C197" s="84" t="s">
        <v>97</v>
      </c>
      <c r="D197" s="85"/>
      <c r="E197" s="85"/>
      <c r="F197" s="85"/>
      <c r="G197" s="86"/>
      <c r="H197" s="86"/>
      <c r="I197" s="87"/>
      <c r="J197" s="65"/>
      <c r="K197" s="85"/>
    </row>
    <row r="198" spans="2:14" ht="40.5" customHeight="1" x14ac:dyDescent="0.75">
      <c r="C198" s="68" t="s">
        <v>158</v>
      </c>
      <c r="D198" s="68" t="s">
        <v>159</v>
      </c>
      <c r="E198" s="68" t="s">
        <v>113</v>
      </c>
      <c r="F198" s="68" t="s">
        <v>114</v>
      </c>
      <c r="G198" s="68" t="s">
        <v>113</v>
      </c>
      <c r="H198" s="68"/>
      <c r="I198" s="68" t="s">
        <v>114</v>
      </c>
      <c r="J198" s="68" t="s">
        <v>710</v>
      </c>
      <c r="K198" s="78" t="s">
        <v>120</v>
      </c>
    </row>
    <row r="199" spans="2:14" ht="40.5" customHeight="1" x14ac:dyDescent="0.75">
      <c r="C199" s="68" t="s">
        <v>711</v>
      </c>
      <c r="D199" s="68" t="s">
        <v>712</v>
      </c>
      <c r="E199" s="68" t="s">
        <v>113</v>
      </c>
      <c r="F199" s="68" t="s">
        <v>114</v>
      </c>
      <c r="G199" s="68" t="s">
        <v>113</v>
      </c>
      <c r="H199" s="68"/>
      <c r="I199" s="68" t="s">
        <v>114</v>
      </c>
      <c r="J199" s="68" t="s">
        <v>713</v>
      </c>
      <c r="K199" s="78" t="s">
        <v>114</v>
      </c>
    </row>
    <row r="200" spans="2:14" ht="40.5" customHeight="1" x14ac:dyDescent="0.75">
      <c r="C200" s="93" t="s">
        <v>714</v>
      </c>
      <c r="D200" s="93" t="s">
        <v>24</v>
      </c>
      <c r="E200" s="93" t="s">
        <v>130</v>
      </c>
      <c r="F200" s="93"/>
      <c r="G200" s="68" t="s">
        <v>113</v>
      </c>
      <c r="H200" s="68" t="s">
        <v>715</v>
      </c>
      <c r="I200" s="71" t="s">
        <v>114</v>
      </c>
      <c r="J200" s="68" t="s">
        <v>716</v>
      </c>
      <c r="K200" s="69" t="s">
        <v>114</v>
      </c>
    </row>
    <row r="201" spans="2:14" ht="40.5" customHeight="1" x14ac:dyDescent="0.75">
      <c r="C201" s="71" t="s">
        <v>717</v>
      </c>
      <c r="D201" s="71" t="s">
        <v>718</v>
      </c>
      <c r="E201" s="71" t="s">
        <v>4</v>
      </c>
      <c r="F201" s="71"/>
      <c r="G201" s="68" t="s">
        <v>4</v>
      </c>
      <c r="H201" s="68" t="s">
        <v>138</v>
      </c>
      <c r="I201" s="71" t="s">
        <v>114</v>
      </c>
      <c r="J201" s="68" t="s">
        <v>719</v>
      </c>
      <c r="K201" s="69" t="s">
        <v>114</v>
      </c>
    </row>
    <row r="202" spans="2:14" ht="40.5" customHeight="1" x14ac:dyDescent="0.75">
      <c r="C202" s="93" t="s">
        <v>720</v>
      </c>
      <c r="D202" s="93" t="s">
        <v>721</v>
      </c>
      <c r="E202" s="93" t="s">
        <v>130</v>
      </c>
      <c r="F202" s="93"/>
      <c r="G202" s="68" t="s">
        <v>113</v>
      </c>
      <c r="H202" s="68" t="s">
        <v>722</v>
      </c>
      <c r="I202" s="71" t="s">
        <v>723</v>
      </c>
      <c r="J202" s="68" t="s">
        <v>724</v>
      </c>
      <c r="K202" s="69" t="s">
        <v>114</v>
      </c>
    </row>
    <row r="203" spans="2:14" ht="40.5" customHeight="1" x14ac:dyDescent="0.75">
      <c r="C203" s="71" t="s">
        <v>725</v>
      </c>
      <c r="D203" s="71" t="s">
        <v>726</v>
      </c>
      <c r="E203" s="71" t="s">
        <v>112</v>
      </c>
      <c r="F203" s="71"/>
      <c r="G203" s="68" t="s">
        <v>117</v>
      </c>
      <c r="H203" s="68"/>
      <c r="I203" s="71" t="s">
        <v>727</v>
      </c>
      <c r="J203" s="68" t="s">
        <v>728</v>
      </c>
      <c r="K203" s="69" t="s">
        <v>114</v>
      </c>
    </row>
    <row r="204" spans="2:14" ht="40.5" customHeight="1" x14ac:dyDescent="0.75">
      <c r="C204" s="84" t="s">
        <v>98</v>
      </c>
      <c r="D204" s="85"/>
      <c r="E204" s="85"/>
      <c r="F204" s="85"/>
      <c r="G204" s="86"/>
      <c r="H204" s="86"/>
      <c r="I204" s="87"/>
      <c r="J204" s="65"/>
      <c r="K204" s="85"/>
    </row>
    <row r="205" spans="2:14" ht="40.5" customHeight="1" x14ac:dyDescent="0.75">
      <c r="C205" s="68" t="s">
        <v>158</v>
      </c>
      <c r="D205" s="68" t="s">
        <v>159</v>
      </c>
      <c r="E205" s="68" t="s">
        <v>113</v>
      </c>
      <c r="F205" s="68" t="s">
        <v>114</v>
      </c>
      <c r="G205" s="68" t="s">
        <v>113</v>
      </c>
      <c r="H205" s="68"/>
      <c r="I205" s="68" t="s">
        <v>114</v>
      </c>
      <c r="J205" s="68" t="s">
        <v>729</v>
      </c>
      <c r="K205" s="78" t="s">
        <v>120</v>
      </c>
    </row>
    <row r="206" spans="2:14" s="103" customFormat="1" ht="40.5" customHeight="1" x14ac:dyDescent="0.75">
      <c r="B206" s="102"/>
      <c r="C206" s="68" t="s">
        <v>300</v>
      </c>
      <c r="D206" s="68" t="s">
        <v>301</v>
      </c>
      <c r="E206" s="68" t="s">
        <v>113</v>
      </c>
      <c r="F206" s="68" t="s">
        <v>114</v>
      </c>
      <c r="G206" s="68" t="s">
        <v>113</v>
      </c>
      <c r="H206" s="68"/>
      <c r="I206" s="68" t="s">
        <v>114</v>
      </c>
      <c r="J206" s="68"/>
      <c r="K206" s="78" t="s">
        <v>120</v>
      </c>
      <c r="L206" s="59"/>
      <c r="M206" s="59"/>
      <c r="N206" s="59"/>
    </row>
    <row r="207" spans="2:14" ht="40.5" customHeight="1" x14ac:dyDescent="0.75">
      <c r="C207" s="68" t="s">
        <v>730</v>
      </c>
      <c r="D207" s="68" t="s">
        <v>731</v>
      </c>
      <c r="E207" s="68" t="s">
        <v>113</v>
      </c>
      <c r="F207" s="68" t="s">
        <v>114</v>
      </c>
      <c r="G207" s="68" t="s">
        <v>113</v>
      </c>
      <c r="H207" s="68"/>
      <c r="I207" s="68" t="s">
        <v>114</v>
      </c>
      <c r="J207" s="68" t="s">
        <v>732</v>
      </c>
      <c r="K207" s="78" t="s">
        <v>114</v>
      </c>
    </row>
    <row r="208" spans="2:14" ht="40.5" customHeight="1" x14ac:dyDescent="0.75">
      <c r="B208" s="104"/>
      <c r="C208" s="93" t="s">
        <v>733</v>
      </c>
      <c r="D208" s="93" t="s">
        <v>734</v>
      </c>
      <c r="E208" s="93" t="s">
        <v>130</v>
      </c>
      <c r="F208" s="93"/>
      <c r="G208" s="68" t="s">
        <v>113</v>
      </c>
      <c r="H208" s="68" t="s">
        <v>229</v>
      </c>
      <c r="I208" s="71" t="s">
        <v>118</v>
      </c>
      <c r="J208" s="68" t="s">
        <v>1254</v>
      </c>
      <c r="K208" s="69" t="s">
        <v>114</v>
      </c>
    </row>
    <row r="209" spans="2:11" ht="40.5" customHeight="1" x14ac:dyDescent="0.75">
      <c r="B209" s="104"/>
      <c r="C209" s="93" t="s">
        <v>735</v>
      </c>
      <c r="D209" s="93" t="s">
        <v>736</v>
      </c>
      <c r="E209" s="93" t="s">
        <v>130</v>
      </c>
      <c r="F209" s="93"/>
      <c r="G209" s="68" t="s">
        <v>113</v>
      </c>
      <c r="H209" s="68" t="s">
        <v>737</v>
      </c>
      <c r="I209" s="68" t="s">
        <v>738</v>
      </c>
      <c r="J209" s="68"/>
      <c r="K209" s="69" t="s">
        <v>120</v>
      </c>
    </row>
    <row r="210" spans="2:11" ht="40.5" customHeight="1" x14ac:dyDescent="0.75">
      <c r="B210" s="104"/>
      <c r="C210" s="71" t="s">
        <v>739</v>
      </c>
      <c r="D210" s="71" t="s">
        <v>740</v>
      </c>
      <c r="E210" s="71" t="s">
        <v>4</v>
      </c>
      <c r="F210" s="71"/>
      <c r="G210" s="68" t="s">
        <v>4</v>
      </c>
      <c r="H210" s="68" t="s">
        <v>138</v>
      </c>
      <c r="I210" s="68" t="s">
        <v>741</v>
      </c>
      <c r="J210" s="68" t="s">
        <v>742</v>
      </c>
      <c r="K210" s="69" t="s">
        <v>114</v>
      </c>
    </row>
    <row r="211" spans="2:11" ht="40.5" customHeight="1" x14ac:dyDescent="0.75">
      <c r="B211" s="104"/>
      <c r="C211" s="71" t="s">
        <v>743</v>
      </c>
      <c r="D211" s="71" t="s">
        <v>744</v>
      </c>
      <c r="E211" s="71" t="s">
        <v>244</v>
      </c>
      <c r="F211" s="71"/>
      <c r="G211" s="68" t="s">
        <v>117</v>
      </c>
      <c r="H211" s="68"/>
      <c r="I211" s="68" t="s">
        <v>741</v>
      </c>
      <c r="J211" s="68" t="s">
        <v>745</v>
      </c>
      <c r="K211" s="69" t="s">
        <v>114</v>
      </c>
    </row>
    <row r="212" spans="2:11" ht="40.5" customHeight="1" x14ac:dyDescent="0.75">
      <c r="B212" s="104"/>
      <c r="C212" s="93" t="s">
        <v>746</v>
      </c>
      <c r="D212" s="93" t="s">
        <v>747</v>
      </c>
      <c r="E212" s="93" t="s">
        <v>130</v>
      </c>
      <c r="F212" s="93"/>
      <c r="G212" s="68" t="s">
        <v>113</v>
      </c>
      <c r="H212" s="68" t="s">
        <v>748</v>
      </c>
      <c r="I212" s="68" t="s">
        <v>741</v>
      </c>
      <c r="J212" s="68" t="s">
        <v>749</v>
      </c>
      <c r="K212" s="69" t="s">
        <v>114</v>
      </c>
    </row>
    <row r="213" spans="2:11" ht="40.5" customHeight="1" x14ac:dyDescent="0.75">
      <c r="B213" s="104"/>
      <c r="C213" s="68" t="s">
        <v>750</v>
      </c>
      <c r="D213" s="93" t="s">
        <v>751</v>
      </c>
      <c r="E213" s="68" t="s">
        <v>130</v>
      </c>
      <c r="F213" s="68"/>
      <c r="G213" s="68" t="s">
        <v>113</v>
      </c>
      <c r="H213" s="68" t="s">
        <v>280</v>
      </c>
      <c r="I213" s="68" t="s">
        <v>114</v>
      </c>
      <c r="J213" s="68" t="s">
        <v>752</v>
      </c>
      <c r="K213" s="78" t="s">
        <v>120</v>
      </c>
    </row>
    <row r="214" spans="2:11" ht="40.5" customHeight="1" x14ac:dyDescent="0.75">
      <c r="B214" s="104"/>
      <c r="C214" s="68" t="s">
        <v>753</v>
      </c>
      <c r="D214" s="93" t="s">
        <v>754</v>
      </c>
      <c r="E214" s="68" t="s">
        <v>130</v>
      </c>
      <c r="F214" s="68"/>
      <c r="G214" s="68" t="s">
        <v>113</v>
      </c>
      <c r="H214" s="68" t="s">
        <v>280</v>
      </c>
      <c r="I214" s="68" t="s">
        <v>114</v>
      </c>
      <c r="J214" s="68" t="s">
        <v>755</v>
      </c>
      <c r="K214" s="78" t="s">
        <v>120</v>
      </c>
    </row>
    <row r="215" spans="2:11" ht="40.5" customHeight="1" x14ac:dyDescent="0.75">
      <c r="B215" s="104"/>
      <c r="C215" s="68" t="s">
        <v>756</v>
      </c>
      <c r="D215" s="68" t="s">
        <v>757</v>
      </c>
      <c r="E215" s="68" t="s">
        <v>130</v>
      </c>
      <c r="F215" s="68"/>
      <c r="G215" s="68" t="s">
        <v>113</v>
      </c>
      <c r="H215" s="68" t="s">
        <v>280</v>
      </c>
      <c r="I215" s="68" t="s">
        <v>114</v>
      </c>
      <c r="J215" s="68" t="s">
        <v>758</v>
      </c>
      <c r="K215" s="78" t="s">
        <v>120</v>
      </c>
    </row>
    <row r="216" spans="2:11" ht="40.5" customHeight="1" x14ac:dyDescent="0.75">
      <c r="B216" s="104"/>
      <c r="C216" s="68" t="s">
        <v>759</v>
      </c>
      <c r="D216" s="68" t="s">
        <v>760</v>
      </c>
      <c r="E216" s="68" t="s">
        <v>130</v>
      </c>
      <c r="F216" s="68"/>
      <c r="G216" s="68" t="s">
        <v>113</v>
      </c>
      <c r="H216" s="68" t="s">
        <v>280</v>
      </c>
      <c r="I216" s="68" t="s">
        <v>114</v>
      </c>
      <c r="J216" s="68" t="s">
        <v>761</v>
      </c>
      <c r="K216" s="78" t="s">
        <v>120</v>
      </c>
    </row>
    <row r="217" spans="2:11" ht="40.5" customHeight="1" x14ac:dyDescent="0.75">
      <c r="B217" s="104"/>
      <c r="C217" s="68" t="s">
        <v>762</v>
      </c>
      <c r="D217" s="68" t="s">
        <v>763</v>
      </c>
      <c r="E217" s="68" t="s">
        <v>130</v>
      </c>
      <c r="F217" s="68"/>
      <c r="G217" s="68" t="s">
        <v>113</v>
      </c>
      <c r="H217" s="68" t="s">
        <v>280</v>
      </c>
      <c r="I217" s="68" t="s">
        <v>114</v>
      </c>
      <c r="J217" s="68" t="s">
        <v>764</v>
      </c>
      <c r="K217" s="78" t="s">
        <v>120</v>
      </c>
    </row>
    <row r="218" spans="2:11" ht="40.5" customHeight="1" x14ac:dyDescent="0.75">
      <c r="B218" s="104"/>
      <c r="C218" s="93" t="s">
        <v>765</v>
      </c>
      <c r="D218" s="93" t="s">
        <v>766</v>
      </c>
      <c r="E218" s="93" t="s">
        <v>130</v>
      </c>
      <c r="F218" s="93"/>
      <c r="G218" s="68" t="s">
        <v>113</v>
      </c>
      <c r="H218" s="68" t="s">
        <v>767</v>
      </c>
      <c r="I218" s="68" t="s">
        <v>114</v>
      </c>
      <c r="J218" s="68" t="s">
        <v>768</v>
      </c>
      <c r="K218" s="69" t="s">
        <v>114</v>
      </c>
    </row>
    <row r="219" spans="2:11" ht="40.5" customHeight="1" x14ac:dyDescent="0.75">
      <c r="B219" s="104"/>
      <c r="C219" s="93" t="s">
        <v>769</v>
      </c>
      <c r="D219" s="93" t="s">
        <v>770</v>
      </c>
      <c r="E219" s="93" t="s">
        <v>130</v>
      </c>
      <c r="F219" s="93"/>
      <c r="G219" s="68" t="s">
        <v>113</v>
      </c>
      <c r="H219" s="68" t="s">
        <v>771</v>
      </c>
      <c r="I219" s="71" t="s">
        <v>772</v>
      </c>
      <c r="J219" s="68" t="s">
        <v>773</v>
      </c>
      <c r="K219" s="69" t="s">
        <v>120</v>
      </c>
    </row>
    <row r="220" spans="2:11" ht="40.5" customHeight="1" x14ac:dyDescent="0.75">
      <c r="B220" s="104"/>
      <c r="C220" s="71" t="s">
        <v>774</v>
      </c>
      <c r="D220" s="71" t="s">
        <v>775</v>
      </c>
      <c r="E220" s="71" t="s">
        <v>112</v>
      </c>
      <c r="F220" s="71"/>
      <c r="G220" s="68" t="s">
        <v>117</v>
      </c>
      <c r="H220" s="68"/>
      <c r="I220" s="71" t="s">
        <v>772</v>
      </c>
      <c r="J220" s="68" t="s">
        <v>776</v>
      </c>
      <c r="K220" s="69" t="s">
        <v>114</v>
      </c>
    </row>
    <row r="221" spans="2:11" ht="40.5" customHeight="1" x14ac:dyDescent="0.75">
      <c r="B221" s="104"/>
      <c r="C221" s="96" t="s">
        <v>777</v>
      </c>
      <c r="D221" s="96" t="s">
        <v>778</v>
      </c>
      <c r="E221" s="96" t="s">
        <v>571</v>
      </c>
      <c r="F221" s="96"/>
      <c r="G221" s="68" t="s">
        <v>113</v>
      </c>
      <c r="H221" s="68" t="s">
        <v>289</v>
      </c>
      <c r="I221" s="71" t="s">
        <v>772</v>
      </c>
      <c r="J221" s="68" t="s">
        <v>779</v>
      </c>
      <c r="K221" s="69" t="s">
        <v>114</v>
      </c>
    </row>
    <row r="222" spans="2:11" ht="40.5" customHeight="1" x14ac:dyDescent="0.75">
      <c r="B222" s="104"/>
      <c r="C222" s="68" t="s">
        <v>780</v>
      </c>
      <c r="D222" s="68" t="s">
        <v>781</v>
      </c>
      <c r="E222" s="71" t="s">
        <v>112</v>
      </c>
      <c r="F222" s="71"/>
      <c r="G222" s="68" t="s">
        <v>117</v>
      </c>
      <c r="H222" s="68"/>
      <c r="I222" s="68" t="s">
        <v>782</v>
      </c>
      <c r="J222" s="68" t="s">
        <v>783</v>
      </c>
      <c r="K222" s="69" t="s">
        <v>114</v>
      </c>
    </row>
    <row r="223" spans="2:11" ht="40.5" customHeight="1" x14ac:dyDescent="0.75">
      <c r="B223" s="104"/>
      <c r="C223" s="93" t="s">
        <v>784</v>
      </c>
      <c r="D223" s="93" t="s">
        <v>785</v>
      </c>
      <c r="E223" s="93" t="s">
        <v>130</v>
      </c>
      <c r="F223" s="93"/>
      <c r="G223" s="68" t="s">
        <v>113</v>
      </c>
      <c r="H223" s="68" t="s">
        <v>786</v>
      </c>
      <c r="I223" s="68" t="s">
        <v>114</v>
      </c>
      <c r="J223" s="68" t="s">
        <v>787</v>
      </c>
      <c r="K223" s="69" t="s">
        <v>120</v>
      </c>
    </row>
    <row r="224" spans="2:11" ht="40.5" customHeight="1" x14ac:dyDescent="0.75">
      <c r="B224" s="104"/>
      <c r="C224" s="71" t="s">
        <v>788</v>
      </c>
      <c r="D224" s="71" t="s">
        <v>789</v>
      </c>
      <c r="E224" s="71" t="s">
        <v>4</v>
      </c>
      <c r="F224" s="71"/>
      <c r="G224" s="68" t="s">
        <v>4</v>
      </c>
      <c r="H224" s="68" t="s">
        <v>138</v>
      </c>
      <c r="I224" s="71" t="s">
        <v>790</v>
      </c>
      <c r="J224" s="68" t="s">
        <v>791</v>
      </c>
      <c r="K224" s="69" t="s">
        <v>120</v>
      </c>
    </row>
    <row r="225" spans="2:11" ht="40.5" customHeight="1" x14ac:dyDescent="0.75">
      <c r="B225" s="104"/>
      <c r="C225" s="96" t="s">
        <v>792</v>
      </c>
      <c r="D225" s="96" t="s">
        <v>793</v>
      </c>
      <c r="E225" s="96" t="s">
        <v>130</v>
      </c>
      <c r="F225" s="96"/>
      <c r="G225" s="68" t="s">
        <v>113</v>
      </c>
      <c r="H225" s="68" t="s">
        <v>289</v>
      </c>
      <c r="I225" s="68" t="s">
        <v>790</v>
      </c>
      <c r="J225" s="68" t="s">
        <v>794</v>
      </c>
      <c r="K225" s="78" t="s">
        <v>120</v>
      </c>
    </row>
    <row r="226" spans="2:11" ht="40.5" customHeight="1" x14ac:dyDescent="0.75">
      <c r="B226" s="104"/>
      <c r="C226" s="93" t="s">
        <v>795</v>
      </c>
      <c r="D226" s="93" t="s">
        <v>796</v>
      </c>
      <c r="E226" s="93" t="s">
        <v>130</v>
      </c>
      <c r="F226" s="93"/>
      <c r="G226" s="68" t="s">
        <v>113</v>
      </c>
      <c r="H226" s="68" t="s">
        <v>289</v>
      </c>
      <c r="I226" s="71" t="s">
        <v>118</v>
      </c>
      <c r="J226" s="68" t="s">
        <v>797</v>
      </c>
      <c r="K226" s="69" t="s">
        <v>114</v>
      </c>
    </row>
    <row r="227" spans="2:11" ht="40.5" customHeight="1" x14ac:dyDescent="0.75">
      <c r="B227" s="104"/>
      <c r="C227" s="71" t="s">
        <v>798</v>
      </c>
      <c r="D227" s="71" t="s">
        <v>799</v>
      </c>
      <c r="E227" s="71" t="s">
        <v>244</v>
      </c>
      <c r="F227" s="71"/>
      <c r="G227" s="68" t="s">
        <v>117</v>
      </c>
      <c r="H227" s="68"/>
      <c r="I227" s="68" t="s">
        <v>800</v>
      </c>
      <c r="J227" s="68" t="s">
        <v>801</v>
      </c>
      <c r="K227" s="69" t="s">
        <v>114</v>
      </c>
    </row>
    <row r="228" spans="2:11" ht="40.5" customHeight="1" x14ac:dyDescent="0.75">
      <c r="B228" s="104"/>
      <c r="C228" s="71" t="s">
        <v>802</v>
      </c>
      <c r="D228" s="71" t="s">
        <v>803</v>
      </c>
      <c r="E228" s="71" t="s">
        <v>244</v>
      </c>
      <c r="F228" s="71"/>
      <c r="G228" s="68" t="s">
        <v>117</v>
      </c>
      <c r="H228" s="68"/>
      <c r="I228" s="71" t="s">
        <v>122</v>
      </c>
      <c r="J228" s="68" t="s">
        <v>804</v>
      </c>
      <c r="K228" s="69" t="s">
        <v>120</v>
      </c>
    </row>
    <row r="229" spans="2:11" ht="40.5" customHeight="1" x14ac:dyDescent="0.75">
      <c r="B229" s="104"/>
      <c r="C229" s="71" t="s">
        <v>805</v>
      </c>
      <c r="D229" s="71" t="s">
        <v>806</v>
      </c>
      <c r="E229" s="71" t="s">
        <v>244</v>
      </c>
      <c r="F229" s="71"/>
      <c r="G229" s="68" t="s">
        <v>117</v>
      </c>
      <c r="H229" s="68"/>
      <c r="I229" s="71" t="s">
        <v>122</v>
      </c>
      <c r="J229" s="68" t="s">
        <v>807</v>
      </c>
      <c r="K229" s="69" t="s">
        <v>114</v>
      </c>
    </row>
    <row r="230" spans="2:11" ht="40.5" customHeight="1" x14ac:dyDescent="0.75">
      <c r="B230" s="104"/>
      <c r="C230" s="71" t="s">
        <v>808</v>
      </c>
      <c r="D230" s="71" t="s">
        <v>809</v>
      </c>
      <c r="E230" s="71" t="s">
        <v>601</v>
      </c>
      <c r="F230" s="71"/>
      <c r="G230" s="68" t="s">
        <v>810</v>
      </c>
      <c r="H230" s="68"/>
      <c r="I230" s="71" t="s">
        <v>120</v>
      </c>
      <c r="J230" s="68"/>
      <c r="K230" s="69" t="s">
        <v>120</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158</v>
      </c>
      <c r="D232" s="68" t="s">
        <v>159</v>
      </c>
      <c r="E232" s="68" t="s">
        <v>113</v>
      </c>
      <c r="F232" s="68" t="s">
        <v>114</v>
      </c>
      <c r="G232" s="68" t="s">
        <v>113</v>
      </c>
      <c r="H232" s="68"/>
      <c r="I232" s="68" t="s">
        <v>114</v>
      </c>
      <c r="J232" s="68" t="s">
        <v>729</v>
      </c>
      <c r="K232" s="78" t="s">
        <v>120</v>
      </c>
    </row>
    <row r="233" spans="2:11" ht="40.5" customHeight="1" x14ac:dyDescent="0.75">
      <c r="C233" s="68" t="s">
        <v>300</v>
      </c>
      <c r="D233" s="68" t="s">
        <v>301</v>
      </c>
      <c r="E233" s="68" t="s">
        <v>113</v>
      </c>
      <c r="F233" s="68" t="s">
        <v>114</v>
      </c>
      <c r="G233" s="68" t="s">
        <v>113</v>
      </c>
      <c r="H233" s="68"/>
      <c r="I233" s="68" t="s">
        <v>114</v>
      </c>
      <c r="J233" s="68"/>
      <c r="K233" s="78" t="s">
        <v>120</v>
      </c>
    </row>
    <row r="234" spans="2:11" ht="40.5" customHeight="1" x14ac:dyDescent="0.75">
      <c r="C234" s="68" t="s">
        <v>811</v>
      </c>
      <c r="D234" s="68" t="s">
        <v>812</v>
      </c>
      <c r="E234" s="68" t="s">
        <v>113</v>
      </c>
      <c r="F234" s="68" t="s">
        <v>114</v>
      </c>
      <c r="G234" s="68" t="s">
        <v>113</v>
      </c>
      <c r="H234" s="68"/>
      <c r="I234" s="68" t="s">
        <v>114</v>
      </c>
      <c r="J234" s="68" t="s">
        <v>813</v>
      </c>
      <c r="K234" s="78" t="s">
        <v>120</v>
      </c>
    </row>
    <row r="235" spans="2:11" ht="40.5" customHeight="1" x14ac:dyDescent="0.75">
      <c r="C235" s="71" t="s">
        <v>814</v>
      </c>
      <c r="D235" s="71" t="s">
        <v>815</v>
      </c>
      <c r="E235" s="71" t="s">
        <v>244</v>
      </c>
      <c r="F235" s="71"/>
      <c r="G235" s="68" t="s">
        <v>117</v>
      </c>
      <c r="H235" s="68"/>
      <c r="I235" s="71" t="s">
        <v>122</v>
      </c>
      <c r="J235" s="68" t="s">
        <v>816</v>
      </c>
      <c r="K235" s="69" t="s">
        <v>120</v>
      </c>
    </row>
    <row r="236" spans="2:11" ht="40.5" customHeight="1" x14ac:dyDescent="0.75">
      <c r="C236" s="71" t="s">
        <v>817</v>
      </c>
      <c r="D236" s="71" t="s">
        <v>818</v>
      </c>
      <c r="E236" s="71" t="s">
        <v>4</v>
      </c>
      <c r="F236" s="71"/>
      <c r="G236" s="68" t="s">
        <v>4</v>
      </c>
      <c r="H236" s="68" t="s">
        <v>138</v>
      </c>
      <c r="I236" s="71" t="s">
        <v>122</v>
      </c>
      <c r="J236" s="68" t="s">
        <v>819</v>
      </c>
      <c r="K236" s="69" t="s">
        <v>120</v>
      </c>
    </row>
    <row r="237" spans="2:11" ht="40.5" customHeight="1" x14ac:dyDescent="0.75">
      <c r="C237" s="71" t="s">
        <v>820</v>
      </c>
      <c r="D237" s="71" t="s">
        <v>821</v>
      </c>
      <c r="E237" s="71" t="s">
        <v>244</v>
      </c>
      <c r="F237" s="71"/>
      <c r="G237" s="68" t="s">
        <v>117</v>
      </c>
      <c r="H237" s="68"/>
      <c r="I237" s="71" t="s">
        <v>122</v>
      </c>
      <c r="J237" s="68" t="s">
        <v>822</v>
      </c>
      <c r="K237" s="69" t="s">
        <v>120</v>
      </c>
    </row>
    <row r="238" spans="2:11" ht="40.5" customHeight="1" x14ac:dyDescent="0.75">
      <c r="C238" s="84" t="s">
        <v>100</v>
      </c>
      <c r="D238" s="85"/>
      <c r="E238" s="85"/>
      <c r="F238" s="85"/>
      <c r="G238" s="86"/>
      <c r="H238" s="86"/>
      <c r="I238" s="87"/>
      <c r="J238" s="65"/>
      <c r="K238" s="85"/>
    </row>
    <row r="239" spans="2:11" ht="40.5" customHeight="1" x14ac:dyDescent="0.75">
      <c r="C239" s="68" t="s">
        <v>158</v>
      </c>
      <c r="D239" s="68" t="s">
        <v>159</v>
      </c>
      <c r="E239" s="68" t="s">
        <v>113</v>
      </c>
      <c r="F239" s="68" t="s">
        <v>114</v>
      </c>
      <c r="G239" s="68" t="s">
        <v>113</v>
      </c>
      <c r="H239" s="68"/>
      <c r="I239" s="68" t="s">
        <v>114</v>
      </c>
      <c r="J239" s="68" t="s">
        <v>710</v>
      </c>
      <c r="K239" s="78" t="s">
        <v>120</v>
      </c>
    </row>
    <row r="240" spans="2:11" ht="40.5" customHeight="1" x14ac:dyDescent="0.75">
      <c r="C240" s="68" t="s">
        <v>823</v>
      </c>
      <c r="D240" s="68" t="s">
        <v>824</v>
      </c>
      <c r="E240" s="68" t="s">
        <v>113</v>
      </c>
      <c r="F240" s="68" t="s">
        <v>114</v>
      </c>
      <c r="G240" s="68" t="s">
        <v>113</v>
      </c>
      <c r="H240" s="68"/>
      <c r="I240" s="68" t="s">
        <v>114</v>
      </c>
      <c r="J240" s="68" t="s">
        <v>825</v>
      </c>
      <c r="K240" s="78" t="s">
        <v>114</v>
      </c>
    </row>
    <row r="241" spans="3:11" ht="40.5" customHeight="1" x14ac:dyDescent="0.75">
      <c r="C241" s="71" t="s">
        <v>714</v>
      </c>
      <c r="D241" s="71" t="s">
        <v>24</v>
      </c>
      <c r="E241" s="93" t="s">
        <v>130</v>
      </c>
      <c r="F241" s="93"/>
      <c r="G241" s="68" t="s">
        <v>113</v>
      </c>
      <c r="H241" s="68" t="s">
        <v>826</v>
      </c>
      <c r="I241" s="71" t="s">
        <v>118</v>
      </c>
      <c r="J241" s="68" t="s">
        <v>1255</v>
      </c>
      <c r="K241" s="69" t="s">
        <v>114</v>
      </c>
    </row>
    <row r="242" spans="3:11" ht="40.5" customHeight="1" x14ac:dyDescent="0.75">
      <c r="C242" s="71" t="s">
        <v>717</v>
      </c>
      <c r="D242" s="71" t="s">
        <v>718</v>
      </c>
      <c r="E242" s="71" t="s">
        <v>4</v>
      </c>
      <c r="F242" s="71"/>
      <c r="G242" s="68" t="s">
        <v>4</v>
      </c>
      <c r="H242" s="68" t="s">
        <v>138</v>
      </c>
      <c r="I242" s="71" t="s">
        <v>118</v>
      </c>
      <c r="J242" s="68" t="s">
        <v>827</v>
      </c>
      <c r="K242" s="69" t="s">
        <v>114</v>
      </c>
    </row>
    <row r="243" spans="3:11" ht="40.5" customHeight="1" x14ac:dyDescent="0.75">
      <c r="C243" s="93" t="s">
        <v>720</v>
      </c>
      <c r="D243" s="93" t="s">
        <v>721</v>
      </c>
      <c r="E243" s="93" t="s">
        <v>130</v>
      </c>
      <c r="F243" s="93"/>
      <c r="G243" s="68" t="s">
        <v>113</v>
      </c>
      <c r="H243" s="68" t="s">
        <v>828</v>
      </c>
      <c r="I243" s="71" t="s">
        <v>118</v>
      </c>
      <c r="J243" s="68" t="s">
        <v>829</v>
      </c>
      <c r="K243" s="69" t="s">
        <v>114</v>
      </c>
    </row>
    <row r="244" spans="3:11" ht="40.5" customHeight="1" x14ac:dyDescent="0.75">
      <c r="C244" s="71" t="s">
        <v>725</v>
      </c>
      <c r="D244" s="71" t="s">
        <v>726</v>
      </c>
      <c r="E244" s="71" t="s">
        <v>112</v>
      </c>
      <c r="F244" s="71"/>
      <c r="G244" s="68" t="s">
        <v>117</v>
      </c>
      <c r="H244" s="68"/>
      <c r="I244" s="68" t="s">
        <v>727</v>
      </c>
      <c r="J244" s="68" t="s">
        <v>830</v>
      </c>
      <c r="K244" s="69" t="s">
        <v>114</v>
      </c>
    </row>
    <row r="245" spans="3:11" ht="40.5" customHeight="1" x14ac:dyDescent="0.75">
      <c r="C245" s="93" t="s">
        <v>831</v>
      </c>
      <c r="D245" s="93" t="s">
        <v>832</v>
      </c>
      <c r="E245" s="93" t="s">
        <v>130</v>
      </c>
      <c r="F245" s="93"/>
      <c r="G245" s="68" t="s">
        <v>113</v>
      </c>
      <c r="H245" s="68" t="s">
        <v>833</v>
      </c>
      <c r="I245" s="71" t="s">
        <v>118</v>
      </c>
      <c r="J245" s="68" t="s">
        <v>834</v>
      </c>
      <c r="K245" s="69" t="s">
        <v>114</v>
      </c>
    </row>
    <row r="246" spans="3:11" ht="40.5" customHeight="1" x14ac:dyDescent="0.75">
      <c r="C246" s="71" t="s">
        <v>835</v>
      </c>
      <c r="D246" s="71" t="s">
        <v>836</v>
      </c>
      <c r="E246" s="71" t="s">
        <v>112</v>
      </c>
      <c r="F246" s="71"/>
      <c r="G246" s="68" t="s">
        <v>117</v>
      </c>
      <c r="H246" s="68"/>
      <c r="I246" s="71" t="s">
        <v>343</v>
      </c>
      <c r="J246" s="68" t="s">
        <v>837</v>
      </c>
      <c r="K246" s="69" t="s">
        <v>343</v>
      </c>
    </row>
    <row r="247" spans="3:11" ht="40.5" customHeight="1" x14ac:dyDescent="0.75">
      <c r="C247" s="71" t="s">
        <v>259</v>
      </c>
      <c r="D247" s="71" t="s">
        <v>260</v>
      </c>
      <c r="E247" s="71" t="s">
        <v>112</v>
      </c>
      <c r="F247" s="71"/>
      <c r="G247" s="68" t="s">
        <v>117</v>
      </c>
      <c r="H247" s="68"/>
      <c r="I247" s="68" t="s">
        <v>838</v>
      </c>
      <c r="J247" s="68" t="s">
        <v>839</v>
      </c>
      <c r="K247" s="69" t="s">
        <v>114</v>
      </c>
    </row>
    <row r="248" spans="3:11" ht="40.5" customHeight="1" x14ac:dyDescent="0.75">
      <c r="C248" s="71" t="s">
        <v>267</v>
      </c>
      <c r="D248" s="71" t="s">
        <v>268</v>
      </c>
      <c r="E248" s="71" t="s">
        <v>112</v>
      </c>
      <c r="F248" s="71"/>
      <c r="G248" s="68" t="s">
        <v>117</v>
      </c>
      <c r="H248" s="68"/>
      <c r="I248" s="68" t="s">
        <v>838</v>
      </c>
      <c r="J248" s="68" t="s">
        <v>270</v>
      </c>
      <c r="K248" s="69" t="s">
        <v>114</v>
      </c>
    </row>
    <row r="249" spans="3:11" ht="40.5" customHeight="1" x14ac:dyDescent="0.75">
      <c r="C249" s="68" t="s">
        <v>840</v>
      </c>
      <c r="D249" s="68" t="s">
        <v>264</v>
      </c>
      <c r="E249" s="71" t="s">
        <v>112</v>
      </c>
      <c r="F249" s="71"/>
      <c r="G249" s="68" t="s">
        <v>117</v>
      </c>
      <c r="H249" s="68"/>
      <c r="I249" s="68" t="s">
        <v>841</v>
      </c>
      <c r="J249" s="68" t="s">
        <v>842</v>
      </c>
      <c r="K249" s="69" t="s">
        <v>114</v>
      </c>
    </row>
    <row r="250" spans="3:11" ht="40.5" customHeight="1" x14ac:dyDescent="0.75">
      <c r="C250" s="93" t="s">
        <v>271</v>
      </c>
      <c r="D250" s="93" t="s">
        <v>272</v>
      </c>
      <c r="E250" s="93" t="s">
        <v>130</v>
      </c>
      <c r="F250" s="93"/>
      <c r="G250" s="68" t="s">
        <v>113</v>
      </c>
      <c r="H250" s="68" t="s">
        <v>280</v>
      </c>
      <c r="I250" s="71" t="s">
        <v>118</v>
      </c>
      <c r="J250" s="68" t="s">
        <v>1256</v>
      </c>
      <c r="K250" s="69" t="s">
        <v>114</v>
      </c>
    </row>
    <row r="251" spans="3:11" ht="40.5" customHeight="1" x14ac:dyDescent="0.75">
      <c r="C251" s="71" t="s">
        <v>273</v>
      </c>
      <c r="D251" s="71" t="s">
        <v>94</v>
      </c>
      <c r="E251" s="71" t="s">
        <v>130</v>
      </c>
      <c r="F251" s="71"/>
      <c r="G251" s="68" t="s">
        <v>113</v>
      </c>
      <c r="H251" s="68" t="s">
        <v>229</v>
      </c>
      <c r="I251" s="71" t="s">
        <v>118</v>
      </c>
      <c r="J251" s="68" t="s">
        <v>843</v>
      </c>
      <c r="K251" s="69" t="s">
        <v>114</v>
      </c>
    </row>
    <row r="252" spans="3:11" ht="40.5" customHeight="1" x14ac:dyDescent="0.75">
      <c r="C252" s="71" t="s">
        <v>844</v>
      </c>
      <c r="D252" s="71" t="s">
        <v>276</v>
      </c>
      <c r="E252" s="71" t="s">
        <v>130</v>
      </c>
      <c r="F252" s="71"/>
      <c r="G252" s="68" t="s">
        <v>113</v>
      </c>
      <c r="H252" s="68" t="s">
        <v>229</v>
      </c>
      <c r="I252" s="71" t="s">
        <v>118</v>
      </c>
      <c r="J252" s="68" t="s">
        <v>845</v>
      </c>
      <c r="K252" s="69" t="s">
        <v>114</v>
      </c>
    </row>
    <row r="253" spans="3:11" ht="40.5" customHeight="1" x14ac:dyDescent="0.75">
      <c r="C253" s="71" t="s">
        <v>278</v>
      </c>
      <c r="D253" s="71" t="s">
        <v>279</v>
      </c>
      <c r="E253" s="71" t="s">
        <v>130</v>
      </c>
      <c r="F253" s="71"/>
      <c r="G253" s="68" t="s">
        <v>113</v>
      </c>
      <c r="H253" s="68" t="s">
        <v>229</v>
      </c>
      <c r="I253" s="71" t="s">
        <v>118</v>
      </c>
      <c r="J253" s="68" t="s">
        <v>1241</v>
      </c>
      <c r="K253" s="69" t="s">
        <v>114</v>
      </c>
    </row>
    <row r="254" spans="3:11" ht="40.5" customHeight="1" x14ac:dyDescent="0.75">
      <c r="C254" s="71" t="s">
        <v>846</v>
      </c>
      <c r="D254" s="71" t="s">
        <v>285</v>
      </c>
      <c r="E254" s="71" t="s">
        <v>4</v>
      </c>
      <c r="F254" s="71"/>
      <c r="G254" s="68" t="s">
        <v>4</v>
      </c>
      <c r="H254" s="68" t="s">
        <v>138</v>
      </c>
      <c r="I254" s="71" t="s">
        <v>118</v>
      </c>
      <c r="J254" s="68" t="s">
        <v>847</v>
      </c>
      <c r="K254" s="69" t="s">
        <v>114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tabSelected="1" workbookViewId="0">
      <selection activeCell="E1" sqref="E1:E599"/>
    </sheetView>
  </sheetViews>
  <sheetFormatPr defaultRowHeight="14.75" x14ac:dyDescent="0.75"/>
  <cols>
    <col min="5" max="5" width="96.86328125" customWidth="1"/>
  </cols>
  <sheetData>
    <row r="1" spans="5:5" x14ac:dyDescent="0.75">
      <c r="E1" s="111" t="str">
        <f>'Radio-Map-all'!D3</f>
        <v>* differential.element[0].mapping[0].identity = "fhir"</v>
      </c>
    </row>
    <row r="2" spans="5:5" x14ac:dyDescent="0.75">
      <c r="E2" s="111" t="str">
        <f>'Radio-Map-all'!D4</f>
        <v>* differential.element[0].mapping[0].map = "Procedure.conformsTo('http://hl7.eu/fhir/ig/pcsp/StructureDefinition/Procedure-radiotheraphy-eu-pcsp')"</v>
      </c>
    </row>
    <row r="3" spans="5:5" x14ac:dyDescent="0.75">
      <c r="E3" s="111" t="str">
        <f>'Radio-Map-all'!D5</f>
        <v/>
      </c>
    </row>
    <row r="4" spans="5:5" x14ac:dyDescent="0.75">
      <c r="E4" s="111" t="str">
        <f>'Radio-Map-all'!D6</f>
        <v>* differential.element[1].mapping[0].identity = "fhir"</v>
      </c>
    </row>
    <row r="5" spans="5:5" x14ac:dyDescent="0.75">
      <c r="E5" s="111" t="str">
        <f>'Radio-Map-all'!D7</f>
        <v>* differential.element[1].mapping[0].map = ".reasonReference"</v>
      </c>
    </row>
    <row r="6" spans="5:5" x14ac:dyDescent="0.75">
      <c r="E6" s="111" t="str">
        <f>'Radio-Map-all'!D8</f>
        <v>* differential.element[1].mapping[0].comment = "note"</v>
      </c>
    </row>
    <row r="7" spans="5:5" x14ac:dyDescent="0.75">
      <c r="E7" s="111" t="str">
        <f>'Radio-Map-all'!D9</f>
        <v>* differential.element[2].mapping[0].identity = "fhir"</v>
      </c>
    </row>
    <row r="8" spans="5:5" x14ac:dyDescent="0.75">
      <c r="E8" s="111" t="str">
        <f>'Radio-Map-all'!D10</f>
        <v>* differential.element[2].mapping[0].map = ".reasonReference"</v>
      </c>
    </row>
    <row r="9" spans="5:5" x14ac:dyDescent="0.75">
      <c r="E9" s="111" t="str">
        <f>'Radio-Map-all'!D11</f>
        <v/>
      </c>
    </row>
    <row r="10" spans="5:5" x14ac:dyDescent="0.75">
      <c r="E10" s="111" t="str">
        <f>'Radio-Map-all'!D12</f>
        <v>* differential.element[3].mapping[0].identity = "fhir"</v>
      </c>
    </row>
    <row r="11" spans="5:5" x14ac:dyDescent="0.75">
      <c r="E11" s="111" t="str">
        <f>'Radio-Map-all'!D13</f>
        <v>* differential.element[3].mapping[0].map = ".identifier"</v>
      </c>
    </row>
    <row r="12" spans="5:5" x14ac:dyDescent="0.75">
      <c r="E12" s="111" t="str">
        <f>'Radio-Map-all'!D14</f>
        <v/>
      </c>
    </row>
    <row r="13" spans="5:5" x14ac:dyDescent="0.75">
      <c r="E13" s="111" t="str">
        <f>'Radio-Map-all'!D15</f>
        <v>* differential.element[4].mapping[0].identity = "fhir"</v>
      </c>
    </row>
    <row r="14" spans="5:5" x14ac:dyDescent="0.75">
      <c r="E14" s="111" t="str">
        <f>'Radio-Map-all'!D16</f>
        <v>* differential.element[4].mapping[0].map = ".location.resolve().conformsTo(http://hl7.eu/fhir/ig/pcsp/StructureDefinition/Location-eu-pcsp)"</v>
      </c>
    </row>
    <row r="15" spans="5:5" x14ac:dyDescent="0.75">
      <c r="E15" s="111" t="str">
        <f>'Radio-Map-all'!D17</f>
        <v/>
      </c>
    </row>
    <row r="16" spans="5:5" x14ac:dyDescent="0.75">
      <c r="E16" s="111" t="str">
        <f>'Radio-Map-all'!D18</f>
        <v>* differential.element[5].mapping[0].identity = "fhir"</v>
      </c>
    </row>
    <row r="17" spans="5:5" x14ac:dyDescent="0.75">
      <c r="E17" s="111" t="str">
        <f>'Radio-Map-all'!D19</f>
        <v>* differential.element[5].mapping[0].map = "Location.description"</v>
      </c>
    </row>
    <row r="18" spans="5:5" x14ac:dyDescent="0.75">
      <c r="E18" s="111" t="str">
        <f>'Radio-Map-all'!D20</f>
        <v/>
      </c>
    </row>
    <row r="19" spans="5:5" x14ac:dyDescent="0.75">
      <c r="E19" s="111" t="str">
        <f>'Radio-Map-all'!D21</f>
        <v>* differential.element[6].mapping[0].identity = "fhir"</v>
      </c>
    </row>
    <row r="20" spans="5:5" x14ac:dyDescent="0.75">
      <c r="E20" s="111" t="str">
        <f>'Radio-Map-all'!D22</f>
        <v>* differential.element[6].mapping[0].map = "Location.name"</v>
      </c>
    </row>
    <row r="21" spans="5:5" x14ac:dyDescent="0.75">
      <c r="E21" s="111" t="str">
        <f>'Radio-Map-all'!D23</f>
        <v/>
      </c>
    </row>
    <row r="22" spans="5:5" x14ac:dyDescent="0.75">
      <c r="E22" s="111" t="str">
        <f>'Radio-Map-all'!D24</f>
        <v>* differential.element[7].mapping[0].identity = "fhir"</v>
      </c>
    </row>
    <row r="23" spans="5:5" x14ac:dyDescent="0.75">
      <c r="E23" s="111" t="str">
        <f>'Radio-Map-all'!D25</f>
        <v>* differential.element[7].mapping[0].map = "Location.address.city"</v>
      </c>
    </row>
    <row r="24" spans="5:5" x14ac:dyDescent="0.75">
      <c r="E24" s="111" t="str">
        <f>'Radio-Map-all'!D26</f>
        <v/>
      </c>
    </row>
    <row r="25" spans="5:5" x14ac:dyDescent="0.75">
      <c r="E25" s="111" t="str">
        <f>'Radio-Map-all'!D27</f>
        <v/>
      </c>
    </row>
    <row r="26" spans="5:5" x14ac:dyDescent="0.75">
      <c r="E26" s="111" t="str">
        <f>'Radio-Map-all'!D28</f>
        <v/>
      </c>
    </row>
    <row r="27" spans="5:5" x14ac:dyDescent="0.75">
      <c r="E27" s="111" t="str">
        <f>'Radio-Map-all'!D29</f>
        <v/>
      </c>
    </row>
    <row r="28" spans="5:5" x14ac:dyDescent="0.75">
      <c r="E28" s="111" t="str">
        <f>'Radio-Map-all'!D30</f>
        <v>* differential.element[9].mapping[0].identity = "fhir"</v>
      </c>
    </row>
    <row r="29" spans="5:5" x14ac:dyDescent="0.75">
      <c r="E29" s="111" t="str">
        <f>'Radio-Map-all'!D31</f>
        <v>* differential.element[9].mapping[0].map = "Location.address.country"</v>
      </c>
    </row>
    <row r="30" spans="5:5" x14ac:dyDescent="0.75">
      <c r="E30" s="111" t="str">
        <f>'Radio-Map-all'!D32</f>
        <v/>
      </c>
    </row>
    <row r="31" spans="5:5" x14ac:dyDescent="0.75">
      <c r="E31" s="111" t="str">
        <f>'Radio-Map-all'!D33</f>
        <v>* differential.element[10].mapping[0].identity = "fhir"</v>
      </c>
    </row>
    <row r="32" spans="5:5" x14ac:dyDescent="0.75">
      <c r="E32" s="111" t="str">
        <f>'Radio-Map-all'!D34</f>
        <v>* differential.element[10].mapping[0].map = ".performedPeriod.start"</v>
      </c>
    </row>
    <row r="33" spans="5:5" x14ac:dyDescent="0.75">
      <c r="E33" s="111" t="str">
        <f>'Radio-Map-all'!D35</f>
        <v/>
      </c>
    </row>
    <row r="34" spans="5:5" x14ac:dyDescent="0.75">
      <c r="E34" s="111" t="str">
        <f>'Radio-Map-all'!D36</f>
        <v>* differential.element[11].mapping[0].identity = "fhir"</v>
      </c>
    </row>
    <row r="35" spans="5:5" x14ac:dyDescent="0.75">
      <c r="E35" s="111" t="str">
        <f>'Radio-Map-all'!D37</f>
        <v>* differential.element[11].mapping[0].map = ".performedPeriod.end"</v>
      </c>
    </row>
    <row r="36" spans="5:5" x14ac:dyDescent="0.75">
      <c r="E36" s="111" t="str">
        <f>'Radio-Map-all'!D38</f>
        <v/>
      </c>
    </row>
    <row r="37" spans="5:5" x14ac:dyDescent="0.75">
      <c r="E37" s="111" t="str">
        <f>'Radio-Map-all'!D39</f>
        <v>* differential.element[12].mapping[0].identity = "fhir"</v>
      </c>
    </row>
    <row r="38" spans="5:5" x14ac:dyDescent="0.75">
      <c r="E38" s="111" t="str">
        <f>'Radio-Map-all'!D40</f>
        <v>* differential.element[12].mapping[0].map = ".code"</v>
      </c>
    </row>
    <row r="39" spans="5:5" x14ac:dyDescent="0.75">
      <c r="E39" s="111" t="str">
        <f>'Radio-Map-all'!D41</f>
        <v/>
      </c>
    </row>
    <row r="40" spans="5:5" x14ac:dyDescent="0.75">
      <c r="E40" s="111" t="str">
        <f>'Radio-Map-all'!D42</f>
        <v>* differential.element[13].mapping[0].identity = "fhir"</v>
      </c>
    </row>
    <row r="41" spans="5:5" x14ac:dyDescent="0.75">
      <c r="E41" s="111" t="str">
        <f>'Radio-Map-all'!D43</f>
        <v>* differential.element[13].mapping[0].map = ".usedCode"</v>
      </c>
    </row>
    <row r="42" spans="5:5" x14ac:dyDescent="0.75">
      <c r="E42" s="111" t="str">
        <f>'Radio-Map-all'!D44</f>
        <v/>
      </c>
    </row>
    <row r="43" spans="5:5" x14ac:dyDescent="0.75">
      <c r="E43" s="111" t="str">
        <f>'Radio-Map-all'!D45</f>
        <v>* differential.element[14].mapping[0].identity = "fhir"</v>
      </c>
    </row>
    <row r="44" spans="5:5" x14ac:dyDescent="0.75">
      <c r="E44" s="111" t="str">
        <f>'Radio-Map-all'!D46</f>
        <v>* differential.element[14].mapping[0].map = ".extension('http://hl7.org/fhir/StructureDefinition/procedure-method').valueCodeableConcept"</v>
      </c>
    </row>
    <row r="45" spans="5:5" x14ac:dyDescent="0.75">
      <c r="E45" s="111" t="str">
        <f>'Radio-Map-all'!D47</f>
        <v/>
      </c>
    </row>
    <row r="46" spans="5:5" x14ac:dyDescent="0.75">
      <c r="E46" s="111" t="str">
        <f>'Radio-Map-all'!D48</f>
        <v>* differential.element[15].mapping[0].identity = "fhir"</v>
      </c>
    </row>
    <row r="47" spans="5:5" x14ac:dyDescent="0.75">
      <c r="E47" s="111" t="str">
        <f>'Radio-Map-all'!D49</f>
        <v>* differential.element[15].mapping[0].map = ".extension('http://hl7.eu/fhir/ig/pcsp/StructureDefinition/radiotherapy-energy-or-isotope').valueCodeableConcept"</v>
      </c>
    </row>
    <row r="48" spans="5:5" x14ac:dyDescent="0.75">
      <c r="E48" s="111" t="str">
        <f>'Radio-Map-all'!D50</f>
        <v/>
      </c>
    </row>
    <row r="49" spans="5:5" x14ac:dyDescent="0.75">
      <c r="E49" s="111" t="str">
        <f>'Radio-Map-all'!D51</f>
        <v>* differential.element[16].mapping[0].identity = "fhir"</v>
      </c>
    </row>
    <row r="50" spans="5:5" x14ac:dyDescent="0.75">
      <c r="E50" s="111" t="str">
        <f>'Radio-Map-all'!D52</f>
        <v>* differential.element[16].mapping[0].map = ".extension('http://hl7.eu/fhir/ig/pcsp/StructureDefinition/radiotherapy-energy-or-isotope').valueCodeableConcept"</v>
      </c>
    </row>
    <row r="51" spans="5:5" x14ac:dyDescent="0.75">
      <c r="E51" s="111" t="str">
        <f>'Radio-Map-all'!D53</f>
        <v/>
      </c>
    </row>
    <row r="52" spans="5:5" x14ac:dyDescent="0.75">
      <c r="E52" s="111" t="str">
        <f>'Radio-Map-all'!D54</f>
        <v>* differential.element[17].mapping[0].identity = "fhir"</v>
      </c>
    </row>
    <row r="53" spans="5:5" x14ac:dyDescent="0.75">
      <c r="E53" s="111" t="str">
        <f>'Radio-Map-all'!D55</f>
        <v>* differential.element[17].mapping[0].map = ".extension(http://hl7.eu/fhir/ig/pcsp/StructureDefinition/procedure-performedTiming).valueTiming.repeat.count"</v>
      </c>
    </row>
    <row r="54" spans="5:5" x14ac:dyDescent="0.75">
      <c r="E54" s="111" t="str">
        <f>'Radio-Map-all'!D56</f>
        <v/>
      </c>
    </row>
    <row r="55" spans="5:5" x14ac:dyDescent="0.75">
      <c r="E55" s="111" t="str">
        <f>'Radio-Map-all'!D60</f>
        <v>* differential.element[18].mapping[0].identity = "fhir"</v>
      </c>
    </row>
    <row r="56" spans="5:5" x14ac:dyDescent="0.75">
      <c r="E56" s="111" t="str">
        <f>'Radio-Map-all'!D61</f>
        <v>* differential.element[18].mapping[0].map = ".bodySite"</v>
      </c>
    </row>
    <row r="57" spans="5:5" x14ac:dyDescent="0.75">
      <c r="E57" s="111" t="str">
        <f>'Radio-Map-all'!D62</f>
        <v/>
      </c>
    </row>
    <row r="58" spans="5:5" x14ac:dyDescent="0.75">
      <c r="E58" s="111" t="str">
        <f>'Radio-Map-all'!D63</f>
        <v>* differential.element[18].mapping[1].identity = "fhir"</v>
      </c>
    </row>
    <row r="59" spans="5:5" x14ac:dyDescent="0.75">
      <c r="E59" s="111" t="str">
        <f>'Radio-Map-all'!D64</f>
        <v>* differential.element[18].mapping[1].map = ".extension(http://hl7.eu/fhir/ig/pcsp/StructureDefinition/ResourceRelatedInfo-eu-pcsp).resolve().conformsTo(http://hl7.eu/fhir/ig/pcsp/StructureDefinition/Observation-cumulativeDoseRad-eu-pcsp)"</v>
      </c>
    </row>
    <row r="60" spans="5:5" x14ac:dyDescent="0.75">
      <c r="E60" s="111" t="str">
        <f>'Radio-Map-all'!D65</f>
        <v/>
      </c>
    </row>
    <row r="61" spans="5:5" x14ac:dyDescent="0.75">
      <c r="E61" s="111" t="str">
        <f>'Radio-Map-all'!D66</f>
        <v>* differential.element[19].mapping[0].identity = "fhir"</v>
      </c>
    </row>
    <row r="62" spans="5:5" x14ac:dyDescent="0.75">
      <c r="E62" s="111" t="str">
        <f>'Radio-Map-all'!D67</f>
        <v>* differential.element[19].mapping[0].map = ".bodySite"</v>
      </c>
    </row>
    <row r="63" spans="5:5" x14ac:dyDescent="0.75">
      <c r="E63" s="111" t="str">
        <f>'Radio-Map-all'!D68</f>
        <v/>
      </c>
    </row>
    <row r="64" spans="5:5" x14ac:dyDescent="0.75">
      <c r="E64" s="111" t="str">
        <f>'Radio-Map-all'!D69</f>
        <v>* differential.element[20].mapping[0].identity = "fhir"</v>
      </c>
    </row>
    <row r="65" spans="5:5" x14ac:dyDescent="0.75">
      <c r="E65" s="111" t="str">
        <f>'Radio-Map-all'!D70</f>
        <v>* differential.element[20].mapping[0].map = ".extension(http://hl7.eu/fhir/ig/pcsp/StructureDefinition/mcode-laterality-qualifier).valueCodeableConcept"</v>
      </c>
    </row>
    <row r="66" spans="5:5" x14ac:dyDescent="0.75">
      <c r="E66" s="111" t="str">
        <f>'Radio-Map-all'!D71</f>
        <v/>
      </c>
    </row>
    <row r="67" spans="5:5" x14ac:dyDescent="0.75">
      <c r="E67" s="111" t="str">
        <f>'Radio-Map-all'!D72</f>
        <v>* differential.element[21].mapping[0].identity = "fhir"</v>
      </c>
    </row>
    <row r="68" spans="5:5" x14ac:dyDescent="0.75">
      <c r="E68" s="111" t="str">
        <f>'Radio-Map-all'!D73</f>
        <v>* differential.element[21].mapping[0].map = ".text"</v>
      </c>
    </row>
    <row r="69" spans="5:5" x14ac:dyDescent="0.75">
      <c r="E69" s="111" t="str">
        <f>'Radio-Map-all'!D74</f>
        <v/>
      </c>
    </row>
    <row r="70" spans="5:5" x14ac:dyDescent="0.75">
      <c r="E70" s="111" t="str">
        <f>'Radio-Map-all'!D75</f>
        <v>* differential.element[22].mapping[0].identity = "fhir"</v>
      </c>
    </row>
    <row r="71" spans="5:5" x14ac:dyDescent="0.75">
      <c r="E71" s="111" t="str">
        <f>'Radio-Map-all'!D76</f>
        <v>* differential.element[22].mapping[0].map = ".bodySite.where(extension('mcode-body-location-qualifier').valueCodeableConcept = http://snomed.info/sct#272488003 'From-structure')"</v>
      </c>
    </row>
    <row r="72" spans="5:5" x14ac:dyDescent="0.75">
      <c r="E72" s="111" t="str">
        <f>'Radio-Map-all'!D77</f>
        <v/>
      </c>
    </row>
    <row r="73" spans="5:5" x14ac:dyDescent="0.75">
      <c r="E73" s="111" t="str">
        <f>'Radio-Map-all'!D78</f>
        <v>* differential.element[23].mapping[0].identity = "fhir"</v>
      </c>
    </row>
    <row r="74" spans="5:5" x14ac:dyDescent="0.75">
      <c r="E74" s="111" t="str">
        <f>'Radio-Map-all'!D79</f>
        <v>* differential.element[23].mapping[0].map = ".bodySite.where(extension('mcode-body-location-qualifier').valueCodeableConcept = http://hl7.eu/fhir/ig/pcsp/CodeSystem/cs-generic-eu-pcsp#to-structure 'To-structure')"</v>
      </c>
    </row>
    <row r="75" spans="5:5" x14ac:dyDescent="0.75">
      <c r="E75" s="111" t="str">
        <f>'Radio-Map-all'!D80</f>
        <v/>
      </c>
    </row>
    <row r="76" spans="5:5" x14ac:dyDescent="0.75">
      <c r="E76" s="111" t="str">
        <f>'Radio-Map-all'!D81</f>
        <v>* differential.element[24].mapping[0].identity = "fhir"</v>
      </c>
    </row>
    <row r="77" spans="5:5" x14ac:dyDescent="0.75">
      <c r="E77" s="111" t="str">
        <f>'Radio-Map-all'!D82</f>
        <v>* differential.element[24].mapping[0].map = ".extension('http://hl7.org/fhir/us/mcode/StructureDefinition/mcode-body-location-qualifier').valueCodeableConcept"</v>
      </c>
    </row>
    <row r="78" spans="5:5" x14ac:dyDescent="0.75">
      <c r="E78" s="111" t="str">
        <f>'Radio-Map-all'!D83</f>
        <v/>
      </c>
    </row>
    <row r="79" spans="5:5" x14ac:dyDescent="0.75">
      <c r="E79" s="111" t="str">
        <f>'Radio-Map-all'!D84</f>
        <v>* differential.element[25].mapping[0].identity = "fhir"</v>
      </c>
    </row>
    <row r="80" spans="5:5" x14ac:dyDescent="0.75">
      <c r="E80" s="111" t="str">
        <f>'Radio-Map-all'!D85</f>
        <v>* differential.element[25].mapping[0].map = ".extension(http://hl7.eu/fhir/ig/pcsp/StructureDefinition/ResourceRelatedInfo-eu-pcsp).resolve().conformsTo(http://hl7.eu/fhir/ig/pcsp/StructureDefinition/Observation-cumulativeDoseRad-eu-pcsp)"</v>
      </c>
    </row>
    <row r="81" spans="5:5" x14ac:dyDescent="0.75">
      <c r="E81" s="111" t="str">
        <f>'Radio-Map-all'!D86</f>
        <v/>
      </c>
    </row>
    <row r="82" spans="5:5" x14ac:dyDescent="0.75">
      <c r="E82" s="111" t="str">
        <f>'Radio-Map-all'!D87</f>
        <v>* differential.element[26].mapping[0].identity = "fhir"</v>
      </c>
    </row>
    <row r="83" spans="5:5" x14ac:dyDescent="0.75">
      <c r="E83" s="111" t="str">
        <f>'Radio-Map-all'!D88</f>
        <v>* differential.element[26].mapping[0].map = ".status = #preliminary"</v>
      </c>
    </row>
    <row r="84" spans="5:5" x14ac:dyDescent="0.75">
      <c r="E84" s="111" t="str">
        <f>'Radio-Map-all'!D89</f>
        <v/>
      </c>
    </row>
    <row r="85" spans="5:5" x14ac:dyDescent="0.75">
      <c r="E85" s="111" t="str">
        <f>'Radio-Map-all'!D90</f>
        <v>* differential.element[27].mapping[0].identity = "fhir"</v>
      </c>
    </row>
    <row r="86" spans="5:5" x14ac:dyDescent="0.75">
      <c r="E86" s="111" t="str">
        <f>'Radio-Map-all'!D91</f>
        <v>* differential.element[27].mapping[0].map = ".extension('http://hl7.org/fhir/StructureDefinition/event-statusReason')"</v>
      </c>
    </row>
    <row r="87" spans="5:5" x14ac:dyDescent="0.75">
      <c r="E87" s="111" t="str">
        <f>'Radio-Map-all'!D92</f>
        <v/>
      </c>
    </row>
    <row r="88" spans="5:5" x14ac:dyDescent="0.75">
      <c r="E88" s="111" t="str">
        <f>'Radio-Map-all'!D93</f>
        <v>* differential.element[28].mapping[0].identity = "fhir"</v>
      </c>
    </row>
    <row r="89" spans="5:5" x14ac:dyDescent="0.75">
      <c r="E89" s="111" t="str">
        <f>'Radio-Map-all'!D94</f>
        <v>* differential.element[28].mapping[0].map = ".valueCodeableConcept = http://terminology.hl7.org/CodeSystem/data-absent-reason#unknown"</v>
      </c>
    </row>
    <row r="90" spans="5:5" x14ac:dyDescent="0.75">
      <c r="E90" s="111" t="str">
        <f>'Radio-Map-all'!D95</f>
        <v/>
      </c>
    </row>
    <row r="91" spans="5:5" x14ac:dyDescent="0.75">
      <c r="E91" s="111" t="str">
        <f>'Radio-Map-all'!D96</f>
        <v>* differential.element[29].mapping[0].identity = "fhir"</v>
      </c>
    </row>
    <row r="92" spans="5:5" x14ac:dyDescent="0.75">
      <c r="E92" s="111" t="str">
        <f>'Radio-Map-all'!D97</f>
        <v>* differential.element[29].mapping[0].map = ".valueQuantity.value"</v>
      </c>
    </row>
    <row r="93" spans="5:5" x14ac:dyDescent="0.75">
      <c r="E93" s="111" t="str">
        <f>'Radio-Map-all'!D98</f>
        <v/>
      </c>
    </row>
    <row r="94" spans="5:5" x14ac:dyDescent="0.75">
      <c r="E94" s="111" t="str">
        <f>'Radio-Map-all'!D99</f>
        <v>* differential.element[30].mapping[0].identity = "fhir"</v>
      </c>
    </row>
    <row r="95" spans="5:5" x14ac:dyDescent="0.75">
      <c r="E95" s="111" t="str">
        <f>'Radio-Map-all'!D100</f>
        <v>* differential.element[30].mapping[0].map = ".valueQuantity.code"</v>
      </c>
    </row>
    <row r="96" spans="5:5" x14ac:dyDescent="0.75">
      <c r="E96" s="111" t="str">
        <f>'Radio-Map-all'!D101</f>
        <v/>
      </c>
    </row>
    <row r="97" spans="5:5" x14ac:dyDescent="0.75">
      <c r="E97" s="111" t="str">
        <f>'Radio-Map-all'!D102</f>
        <v>* differential.element[31].mapping[0].identity = "fhir"</v>
      </c>
    </row>
    <row r="98" spans="5:5" x14ac:dyDescent="0.75">
      <c r="E98" s="111" t="str">
        <f>'Radio-Map-all'!D103</f>
        <v>* differential.element[31].mapping[0].map = ".extension(http://hl7.eu/fhir/ig/pcsp/StructureDefinition/procedure-performedTiming).valueTiming.repeat.count"</v>
      </c>
    </row>
    <row r="99" spans="5:5" x14ac:dyDescent="0.75">
      <c r="E99" s="111" t="str">
        <f>'Radio-Map-all'!D104</f>
        <v/>
      </c>
    </row>
    <row r="100" spans="5:5" x14ac:dyDescent="0.75">
      <c r="E100" s="111" t="str">
        <f>'Radio-Map-all'!D105</f>
        <v>* differential.element[32].mapping[0].identity = "fhir"</v>
      </c>
    </row>
    <row r="101" spans="5:5" x14ac:dyDescent="0.75">
      <c r="E101" s="111" t="str">
        <f>'Radio-Map-all'!D106</f>
        <v>* differential.element[32].mapping[0].map = "Procedure.conformsTo('http://hl7.eu/fhir/ig/pcsp/StructureDefinition/Procedure-radiotheraphyBoost-eu-pcsp')"</v>
      </c>
    </row>
    <row r="102" spans="5:5" x14ac:dyDescent="0.75">
      <c r="E102" s="111" t="str">
        <f>'Radio-Map-all'!D107</f>
        <v/>
      </c>
    </row>
    <row r="103" spans="5:5" x14ac:dyDescent="0.75">
      <c r="E103" s="111" t="str">
        <f>'Radio-Map-all'!D108</f>
        <v>* differential.element[33].mapping[0].identity = "fhir"</v>
      </c>
    </row>
    <row r="104" spans="5:5" x14ac:dyDescent="0.75">
      <c r="E104" s="111" t="str">
        <f>'Radio-Map-all'!D109</f>
        <v>* differential.element[33].mapping[0].map = ".partOf.resolve().code"</v>
      </c>
    </row>
    <row r="105" spans="5:5" x14ac:dyDescent="0.75">
      <c r="E105" s="111" t="str">
        <f>'Radio-Map-all'!D110</f>
        <v/>
      </c>
    </row>
    <row r="106" spans="5:5" x14ac:dyDescent="0.75">
      <c r="E106" s="111" t="str">
        <f>'Radio-Map-all'!D111</f>
        <v>* differential.element[34].mapping[0].identity = "fhir"</v>
      </c>
    </row>
    <row r="107" spans="5:5" x14ac:dyDescent="0.75">
      <c r="E107" s="111" t="str">
        <f>'Radio-Map-all'!D112</f>
        <v>* differential.element[34].mapping[0].map = ".status"</v>
      </c>
    </row>
    <row r="108" spans="5:5" x14ac:dyDescent="0.75">
      <c r="E108" s="111" t="str">
        <f>'Radio-Map-all'!D113</f>
        <v/>
      </c>
    </row>
    <row r="109" spans="5:5" x14ac:dyDescent="0.75">
      <c r="E109" s="111" t="str">
        <f>'Radio-Map-all'!D114</f>
        <v>* differential.element[35].mapping[0].identity = "fhir"</v>
      </c>
    </row>
    <row r="110" spans="5:5" x14ac:dyDescent="0.75">
      <c r="E110" s="111" t="str">
        <f>'Radio-Map-all'!D115</f>
        <v>* differential.element[35].mapping[0].map = ".bodySite"</v>
      </c>
    </row>
    <row r="111" spans="5:5" x14ac:dyDescent="0.75">
      <c r="E111" s="111" t="str">
        <f>'Radio-Map-all'!D116</f>
        <v/>
      </c>
    </row>
    <row r="112" spans="5:5" x14ac:dyDescent="0.75">
      <c r="E112" s="111" t="str">
        <f>'Radio-Map-all'!D117</f>
        <v>* differential.element[35].mapping[1].identity = "fhir"</v>
      </c>
    </row>
    <row r="113" spans="5:5" x14ac:dyDescent="0.75">
      <c r="E113" s="111" t="str">
        <f>'Radio-Map-all'!D118</f>
        <v>* differential.element[35].mapping[1].map = ".extension(http://hl7.eu/fhir/ig/pcsp/StructureDefinition/ResourceRelatedInfo-eu-pcsp).resolve().conformsTo(http://hl7.eu/fhir/ig/pcsp/StructureDefinition/Observation-cumulativeDoseRad-eu-pcsp).bodySite"</v>
      </c>
    </row>
    <row r="114" spans="5:5" x14ac:dyDescent="0.75">
      <c r="E114" s="111" t="str">
        <f>'Radio-Map-all'!D119</f>
        <v/>
      </c>
    </row>
    <row r="115" spans="5:5" x14ac:dyDescent="0.75">
      <c r="E115" s="111" t="str">
        <f>'Radio-Map-all'!D120</f>
        <v>* differential.element[36].mapping[0].identity = "fhir"</v>
      </c>
    </row>
    <row r="116" spans="5:5" x14ac:dyDescent="0.75">
      <c r="E116" s="111" t="str">
        <f>'Radio-Map-all'!D121</f>
        <v>* differential.element[36].mapping[0].map = ".extension(http://hl7.eu/fhir/ig/pcsp/StructureDefinition/mcode-laterality-qualifier).valueCodeableConcept"</v>
      </c>
    </row>
    <row r="117" spans="5:5" x14ac:dyDescent="0.75">
      <c r="E117" s="111" t="str">
        <f>'Radio-Map-all'!D122</f>
        <v/>
      </c>
    </row>
    <row r="118" spans="5:5" x14ac:dyDescent="0.75">
      <c r="E118" s="111" t="str">
        <f>'Radio-Map-all'!D123</f>
        <v>* differential.element[37].mapping[0].identity = "fhir"</v>
      </c>
    </row>
    <row r="119" spans="5:5" x14ac:dyDescent="0.75">
      <c r="E119" s="111" t="str">
        <f>'Radio-Map-all'!D124</f>
        <v>* differential.element[37].mapping[0].map = ".note"</v>
      </c>
    </row>
    <row r="120" spans="5:5" x14ac:dyDescent="0.75">
      <c r="E120" s="111" t="str">
        <f>'Radio-Map-all'!D125</f>
        <v/>
      </c>
    </row>
    <row r="121" spans="5:5" x14ac:dyDescent="0.75">
      <c r="E121" s="111" t="str">
        <f>'Radio-Map-all'!D126</f>
        <v>* differential.element[38].mapping[0].identity = "fhir"</v>
      </c>
    </row>
    <row r="122" spans="5:5" x14ac:dyDescent="0.75">
      <c r="E122" s="111" t="str">
        <f>'Radio-Map-all'!D127</f>
        <v>* differential.element[38].mapping[0].map = ".bodySite.where(extension(http://hl7.org/fhir/us/mcode/StructureDefinition/mcode-body-location-qualifier).valueCodeableConcept = http://snomed.info/sct#272488003 'From-structure')"</v>
      </c>
    </row>
    <row r="123" spans="5:5" x14ac:dyDescent="0.75">
      <c r="E123" s="111" t="str">
        <f>'Radio-Map-all'!D128</f>
        <v/>
      </c>
    </row>
    <row r="124" spans="5:5" x14ac:dyDescent="0.75">
      <c r="E124" s="111" t="str">
        <f>'Radio-Map-all'!D129</f>
        <v>* differential.element[39].mapping[0].identity = "fhir"</v>
      </c>
    </row>
    <row r="125" spans="5:5" x14ac:dyDescent="0.75">
      <c r="E125" s="111" t="str">
        <f>'Radio-Map-all'!D130</f>
        <v>* differential.element[39].mapping[0].map = ".bodySite.where(extension(http://hl7.org/fhir/us/mcode/StructureDefinition/mcode-body-location-qualifier).valueCodeableConcept = http://hl7.eu/fhir/ig/pcsp/CodeSystem/cs-generic-eu-pcsp#to-structure 'To-structure')"</v>
      </c>
    </row>
    <row r="126" spans="5:5" x14ac:dyDescent="0.75">
      <c r="E126" s="111" t="str">
        <f>'Radio-Map-all'!D131</f>
        <v/>
      </c>
    </row>
    <row r="127" spans="5:5" x14ac:dyDescent="0.75">
      <c r="E127" s="111" t="str">
        <f>'Radio-Map-all'!D132</f>
        <v>* differential.element[40].mapping[0].identity = "fhir"</v>
      </c>
    </row>
    <row r="128" spans="5:5" x14ac:dyDescent="0.75">
      <c r="E128" s="111" t="str">
        <f>'Radio-Map-all'!D133</f>
        <v>* differential.element[40].mapping[0].map = ".extension(http://hl7.org/fhir/us/mcode/StructureDefinition/mcode-body-location-qualifier).valueCodeableConcept"</v>
      </c>
    </row>
    <row r="129" spans="5:5" x14ac:dyDescent="0.75">
      <c r="E129" s="111" t="str">
        <f>'Radio-Map-all'!D134</f>
        <v/>
      </c>
    </row>
    <row r="130" spans="5:5" x14ac:dyDescent="0.75">
      <c r="E130" s="111" t="str">
        <f>'Radio-Map-all'!D135</f>
        <v>* differential.element[41].mapping[0].identity = "fhir"</v>
      </c>
    </row>
    <row r="131" spans="5:5" x14ac:dyDescent="0.75">
      <c r="E131" s="111" t="str">
        <f>'Radio-Map-all'!D136</f>
        <v>* differential.element[41].mapping[0].map = ".extension(http://hl7.eu/fhir/ig/pcsp/StructureDefinition/ResourceRelatedInfo-eu-pcsp).resolve().conformsTo(http://hl7.eu/fhir/ig/pcsp/StructureDefinition/Observation-cumulativeDoseRad-eu-pcsp)"</v>
      </c>
    </row>
    <row r="132" spans="5:5" x14ac:dyDescent="0.75">
      <c r="E132" s="111" t="str">
        <f>'Radio-Map-all'!D137</f>
        <v/>
      </c>
    </row>
    <row r="133" spans="5:5" x14ac:dyDescent="0.75">
      <c r="E133" s="111" t="str">
        <f>'Radio-Map-all'!D138</f>
        <v>* differential.element[42].mapping[0].identity = "fhir"</v>
      </c>
    </row>
    <row r="134" spans="5:5" x14ac:dyDescent="0.75">
      <c r="E134" s="111" t="str">
        <f>'Radio-Map-all'!D139</f>
        <v>* differential.element[42].mapping[0].map = ".status = #preliminary"</v>
      </c>
    </row>
    <row r="135" spans="5:5" x14ac:dyDescent="0.75">
      <c r="E135" s="111" t="str">
        <f>'Radio-Map-all'!D140</f>
        <v/>
      </c>
    </row>
    <row r="136" spans="5:5" x14ac:dyDescent="0.75">
      <c r="E136" s="111" t="str">
        <f>'Radio-Map-all'!D141</f>
        <v>* differential.element[43].mapping[0].identity = "fhir"</v>
      </c>
    </row>
    <row r="137" spans="5:5" x14ac:dyDescent="0.75">
      <c r="E137" s="111" t="str">
        <f>'Radio-Map-all'!D142</f>
        <v>* differential.element[43].mapping[0].map = ".extension('http://hl7.org/fhir/StructureDefinition/event-statusReason')"</v>
      </c>
    </row>
    <row r="138" spans="5:5" x14ac:dyDescent="0.75">
      <c r="E138" s="111" t="str">
        <f>'Radio-Map-all'!D143</f>
        <v/>
      </c>
    </row>
    <row r="139" spans="5:5" x14ac:dyDescent="0.75">
      <c r="E139" s="111" t="str">
        <f>'Radio-Map-all'!D144</f>
        <v>* differential.element[44].mapping[0].identity = "fhir"</v>
      </c>
    </row>
    <row r="140" spans="5:5" x14ac:dyDescent="0.75">
      <c r="E140" s="111" t="str">
        <f>'Radio-Map-all'!D145</f>
        <v>* differential.element[44].mapping[0].map = ".valueCodeableConcept = http://terminology.hl7.org/CodeSystem/data-absent-reason#unknown"</v>
      </c>
    </row>
    <row r="141" spans="5:5" x14ac:dyDescent="0.75">
      <c r="E141" s="111" t="str">
        <f>'Radio-Map-all'!D146</f>
        <v/>
      </c>
    </row>
    <row r="142" spans="5:5" x14ac:dyDescent="0.75">
      <c r="E142" s="111" t="str">
        <f>'Radio-Map-all'!D147</f>
        <v>* differential.element[45].mapping[0].identity = "fhir"</v>
      </c>
    </row>
    <row r="143" spans="5:5" x14ac:dyDescent="0.75">
      <c r="E143" s="111" t="str">
        <f>'Radio-Map-all'!D148</f>
        <v>* differential.element[45].mapping[0].map = ".valueQuantity.value"</v>
      </c>
    </row>
    <row r="144" spans="5:5" x14ac:dyDescent="0.75">
      <c r="E144" s="111" t="str">
        <f>'Radio-Map-all'!D149</f>
        <v/>
      </c>
    </row>
    <row r="145" spans="5:5" x14ac:dyDescent="0.75">
      <c r="E145" s="111" t="str">
        <f>'Radio-Map-all'!D150</f>
        <v>* differential.element[46].mapping[0].identity = "fhir"</v>
      </c>
    </row>
    <row r="146" spans="5:5" x14ac:dyDescent="0.75">
      <c r="E146" s="111" t="str">
        <f>'Radio-Map-all'!D151</f>
        <v>* differential.element[46].mapping[0].map = ".valueQuantity.code"</v>
      </c>
    </row>
    <row r="147" spans="5:5" x14ac:dyDescent="0.75">
      <c r="E147" s="111" t="str">
        <f>'Radio-Map-all'!D152</f>
        <v/>
      </c>
    </row>
    <row r="148" spans="5:5" x14ac:dyDescent="0.75">
      <c r="E148" s="111" t="str">
        <f>'Radio-Map-all'!D153</f>
        <v>* differential.element[47].mapping[0].identity = "fhir"</v>
      </c>
    </row>
    <row r="149" spans="5:5" x14ac:dyDescent="0.75">
      <c r="E149" s="111" t="str">
        <f>'Radio-Map-all'!D154</f>
        <v>* differential.element[47].mapping[0].map = ".extension(http://hl7.eu/fhir/ig/pcsp/StructureDefinition/procedure-performedTiming).valueTiming.repeat.count"</v>
      </c>
    </row>
    <row r="150" spans="5:5" x14ac:dyDescent="0.75">
      <c r="E150" s="111" t="str">
        <f>'Radio-Map-all'!D155</f>
        <v/>
      </c>
    </row>
    <row r="151" spans="5:5" x14ac:dyDescent="0.75">
      <c r="E151" s="111" t="str">
        <f>'Radio-Map-all'!D156</f>
        <v>* differential.element[48].mapping[0].identity = "fhir"</v>
      </c>
    </row>
    <row r="152" spans="5:5" x14ac:dyDescent="0.75">
      <c r="E152" s="111" t="str">
        <f>'Radio-Map-all'!D157</f>
        <v>* differential.element[48].mapping[0].map = "Procedure.conformsTo('http://hl7.eu/fhir/ig/pcsp/StructureDefinition/Procedure-radiotheraphyShield-eu-pcsp')"</v>
      </c>
    </row>
    <row r="153" spans="5:5" x14ac:dyDescent="0.75">
      <c r="E153" s="111" t="str">
        <f>'Radio-Map-all'!D158</f>
        <v/>
      </c>
    </row>
    <row r="154" spans="5:5" x14ac:dyDescent="0.75">
      <c r="E154" s="111" t="str">
        <f>'Radio-Map-all'!D159</f>
        <v>* differential.element[49].mapping[0].identity = "fhir"</v>
      </c>
    </row>
    <row r="155" spans="5:5" x14ac:dyDescent="0.75">
      <c r="E155" s="111" t="str">
        <f>'Radio-Map-all'!D160</f>
        <v>* differential.element[49].mapping[0].map = ".status"</v>
      </c>
    </row>
    <row r="156" spans="5:5" x14ac:dyDescent="0.75">
      <c r="E156" s="111" t="str">
        <f>'Radio-Map-all'!D161</f>
        <v/>
      </c>
    </row>
    <row r="157" spans="5:5" x14ac:dyDescent="0.75">
      <c r="E157" s="111" t="str">
        <f>'Radio-Map-all'!D162</f>
        <v>* differential.element[50].mapping[0].identity = "fhir"</v>
      </c>
    </row>
    <row r="158" spans="5:5" x14ac:dyDescent="0.75">
      <c r="E158" s="111" t="str">
        <f>'Radio-Map-all'!D163</f>
        <v>* differential.element[50].mapping[0].map = ".bodySite"</v>
      </c>
    </row>
    <row r="159" spans="5:5" x14ac:dyDescent="0.75">
      <c r="E159" s="111" t="str">
        <f>'Radio-Map-all'!D164</f>
        <v/>
      </c>
    </row>
    <row r="160" spans="5:5" x14ac:dyDescent="0.75">
      <c r="E160" s="111" t="str">
        <f>'Radio-Map-all'!D165</f>
        <v>* differential.element[51].mapping[0].identity = "fhir"</v>
      </c>
    </row>
    <row r="161" spans="5:5" x14ac:dyDescent="0.75">
      <c r="E161" s="111" t="str">
        <f>'Radio-Map-all'!D166</f>
        <v>* differential.element[51].mapping[0].map = ".note"</v>
      </c>
    </row>
    <row r="162" spans="5:5" x14ac:dyDescent="0.75">
      <c r="E162" s="111" t="str">
        <f>'Radio-Map-all'!D167</f>
        <v/>
      </c>
    </row>
    <row r="163" spans="5:5" x14ac:dyDescent="0.75">
      <c r="E163" s="111" t="str">
        <f>'Radio-Map-all'!D168</f>
        <v>* differential.element[52].mapping[0].identity = "fhir"</v>
      </c>
    </row>
    <row r="164" spans="5:5" x14ac:dyDescent="0.75">
      <c r="E164" s="111" t="str">
        <f>'Radio-Map-all'!D169</f>
        <v>* differential.element[52].mapping[0].map = ".extension(http://hl7.org/fhir/StructureDefinition/workflow-supportingInfo).ofType(DocumentReference)"</v>
      </c>
    </row>
    <row r="165" spans="5:5" x14ac:dyDescent="0.75">
      <c r="E165" s="111" t="str">
        <f>'Radio-Map-all'!D170</f>
        <v/>
      </c>
    </row>
    <row r="166" spans="5:5" x14ac:dyDescent="0.75">
      <c r="E166" s="111" t="str">
        <f>'Radio-Map-all'!D171</f>
        <v>* differential.element[53].mapping[0].identity = "fhir"</v>
      </c>
    </row>
    <row r="167" spans="5:5" x14ac:dyDescent="0.75">
      <c r="E167" s="111" t="str">
        <f>'Radio-Map-all'!D172</f>
        <v>* differential.element[53].mapping[0].map = ".exists()"</v>
      </c>
    </row>
    <row r="168" spans="5:5" x14ac:dyDescent="0.75">
      <c r="E168" s="111" t="str">
        <f>'Radio-Map-all'!D174</f>
        <v>* differential.element[54].mapping[0].identity = "fhir"</v>
      </c>
    </row>
    <row r="169" spans="5:5" x14ac:dyDescent="0.75">
      <c r="E169" s="111" t="str">
        <f>'Radio-Map-all'!D175</f>
        <v>* differential.element[54].mapping[0].map = "."</v>
      </c>
    </row>
    <row r="170" spans="5:5" x14ac:dyDescent="0.75">
      <c r="E170" s="111" t="str">
        <f>'Radio-Map-all'!D177</f>
        <v>* differential.element[55].mapping[0].identity = "fhir"</v>
      </c>
    </row>
    <row r="171" spans="5:5" x14ac:dyDescent="0.75">
      <c r="E171" s="111" t="str">
        <f>'Radio-Map-all'!D178</f>
        <v>* differential.element[55].mapping[0].map = ".extension(http://hl7.org/fhir/StructureDefinition/workflow-supportingInfo).ofType(DocumentReference)"</v>
      </c>
    </row>
    <row r="172" spans="5:5" x14ac:dyDescent="0.75">
      <c r="E172" s="111" t="str">
        <f>'Radio-Map-all'!D180</f>
        <v>* differential.element[56].mapping[0].identity = "fhir"</v>
      </c>
    </row>
    <row r="173" spans="5:5" x14ac:dyDescent="0.75">
      <c r="E173" s="111" t="str">
        <f>'Radio-Map-all'!D181</f>
        <v>* differential.element[56].mapping[0].map = ".note"</v>
      </c>
    </row>
    <row r="174" spans="5:5" x14ac:dyDescent="0.75">
      <c r="E174" s="111" t="str">
        <f>'Radio-Map-all'!D183</f>
        <v/>
      </c>
    </row>
    <row r="175" spans="5:5" x14ac:dyDescent="0.75">
      <c r="E175" s="111" t="str">
        <f>'Radio-Map-all'!D184</f>
        <v/>
      </c>
    </row>
    <row r="176" spans="5:5" x14ac:dyDescent="0.75">
      <c r="E176" s="111" t="str">
        <f>'Radio-Map-all'!D186</f>
        <v/>
      </c>
    </row>
    <row r="177" spans="5:5" x14ac:dyDescent="0.75">
      <c r="E177" s="111" t="str">
        <f>'Radio-Map-all'!D187</f>
        <v/>
      </c>
    </row>
    <row r="178" spans="5:5" x14ac:dyDescent="0.75">
      <c r="E178" s="111" t="str">
        <f>'Radio-Map-all'!D189</f>
        <v/>
      </c>
    </row>
    <row r="179" spans="5:5" x14ac:dyDescent="0.75">
      <c r="E179" s="111" t="str">
        <f>'Radio-Map-all'!D190</f>
        <v/>
      </c>
    </row>
    <row r="180" spans="5:5" x14ac:dyDescent="0.75">
      <c r="E180" s="111" t="str">
        <f>'Radio-Map-all'!D192</f>
        <v/>
      </c>
    </row>
    <row r="181" spans="5:5" x14ac:dyDescent="0.75">
      <c r="E181" s="111" t="str">
        <f>'Radio-Map-all'!D193</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869</v>
      </c>
      <c r="D2" s="123" t="s">
        <v>1228</v>
      </c>
      <c r="E2" s="25"/>
      <c r="F2" s="25"/>
      <c r="G2" s="25"/>
    </row>
    <row r="3" spans="1:9" x14ac:dyDescent="0.75">
      <c r="B3" s="119" t="s">
        <v>35</v>
      </c>
      <c r="C3" s="109" t="s">
        <v>46</v>
      </c>
      <c r="D3" s="57"/>
      <c r="E3" s="25"/>
      <c r="F3" s="25"/>
      <c r="G3" s="25"/>
    </row>
    <row r="4" spans="1:9" ht="15.5" thickBot="1" x14ac:dyDescent="0.9">
      <c r="B4" s="120" t="s">
        <v>70</v>
      </c>
      <c r="C4" s="17" t="s">
        <v>868</v>
      </c>
      <c r="D4" s="58"/>
      <c r="E4" s="25"/>
      <c r="F4" s="25"/>
      <c r="G4" s="25"/>
    </row>
    <row r="5" spans="1:9" x14ac:dyDescent="0.75">
      <c r="C5" s="3" t="s">
        <v>7</v>
      </c>
      <c r="D5" s="4" t="s">
        <v>8</v>
      </c>
      <c r="E5" s="12" t="s">
        <v>17</v>
      </c>
      <c r="F5" s="12" t="s">
        <v>18</v>
      </c>
      <c r="G5" s="12" t="s">
        <v>19</v>
      </c>
    </row>
    <row r="6" spans="1:9" x14ac:dyDescent="0.75">
      <c r="A6">
        <v>0</v>
      </c>
      <c r="B6" s="17" t="s">
        <v>868</v>
      </c>
      <c r="C6" s="24" t="s">
        <v>869</v>
      </c>
      <c r="D6" s="24" t="s">
        <v>870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1013</v>
      </c>
      <c r="C9" s="113" t="s">
        <v>1014</v>
      </c>
      <c r="D9" s="113" t="s">
        <v>1014</v>
      </c>
      <c r="E9" s="113">
        <v>0</v>
      </c>
      <c r="F9" s="113">
        <v>1</v>
      </c>
      <c r="G9" s="45" t="s">
        <v>1015</v>
      </c>
    </row>
    <row r="10" spans="1:9" x14ac:dyDescent="0.75">
      <c r="A10" s="111">
        <v>4</v>
      </c>
      <c r="B10" s="114" t="s">
        <v>860</v>
      </c>
      <c r="C10" s="113" t="s">
        <v>92</v>
      </c>
      <c r="D10" s="113" t="s">
        <v>92</v>
      </c>
      <c r="E10" s="113">
        <v>0</v>
      </c>
      <c r="F10" s="113">
        <v>1</v>
      </c>
      <c r="G10" s="45" t="s">
        <v>1170</v>
      </c>
      <c r="H10" s="111"/>
      <c r="I10" s="25"/>
    </row>
    <row r="11" spans="1:9" x14ac:dyDescent="0.75">
      <c r="A11" s="111">
        <v>5</v>
      </c>
      <c r="B11" s="114" t="s">
        <v>861</v>
      </c>
      <c r="C11" s="113" t="s">
        <v>93</v>
      </c>
      <c r="D11" s="113" t="s">
        <v>93</v>
      </c>
      <c r="E11" s="113">
        <v>0</v>
      </c>
      <c r="F11" s="113">
        <v>1</v>
      </c>
      <c r="G11" s="113" t="s">
        <v>901</v>
      </c>
      <c r="H11" s="111"/>
    </row>
    <row r="12" spans="1:9" s="25" customFormat="1" x14ac:dyDescent="0.75">
      <c r="A12" s="111">
        <v>6</v>
      </c>
      <c r="B12" s="114" t="s">
        <v>863</v>
      </c>
      <c r="C12" s="114" t="s">
        <v>864</v>
      </c>
      <c r="D12" s="113" t="s">
        <v>864</v>
      </c>
      <c r="E12" s="113">
        <v>0</v>
      </c>
      <c r="F12" s="113" t="s">
        <v>20</v>
      </c>
      <c r="G12" s="45" t="s">
        <v>1165</v>
      </c>
      <c r="H12" s="111"/>
    </row>
    <row r="13" spans="1:9" x14ac:dyDescent="0.75">
      <c r="A13" s="111">
        <v>7</v>
      </c>
      <c r="B13" s="114" t="s">
        <v>862</v>
      </c>
      <c r="C13" s="113" t="s">
        <v>95</v>
      </c>
      <c r="D13" s="113" t="s">
        <v>95</v>
      </c>
      <c r="E13" s="113">
        <v>0</v>
      </c>
      <c r="F13" s="113" t="s">
        <v>20</v>
      </c>
      <c r="G13" s="45" t="s">
        <v>1103</v>
      </c>
      <c r="H13" s="111"/>
    </row>
    <row r="14" spans="1:9" x14ac:dyDescent="0.75">
      <c r="A14" s="111">
        <v>8</v>
      </c>
      <c r="B14" s="114" t="s">
        <v>865</v>
      </c>
      <c r="C14" s="113" t="s">
        <v>96</v>
      </c>
      <c r="D14" s="113" t="s">
        <v>96</v>
      </c>
      <c r="E14" s="113">
        <v>0</v>
      </c>
      <c r="F14" s="113" t="s">
        <v>20</v>
      </c>
      <c r="G14" s="45" t="s">
        <v>1138</v>
      </c>
      <c r="H14" s="111"/>
    </row>
    <row r="15" spans="1:9" x14ac:dyDescent="0.75">
      <c r="A15" s="111">
        <v>9</v>
      </c>
      <c r="B15" s="114" t="s">
        <v>1181</v>
      </c>
      <c r="C15" s="113" t="s">
        <v>98</v>
      </c>
      <c r="D15" s="113" t="s">
        <v>98</v>
      </c>
      <c r="E15" s="113">
        <v>0</v>
      </c>
      <c r="F15" s="113" t="s">
        <v>20</v>
      </c>
      <c r="G15" s="45" t="s">
        <v>1182</v>
      </c>
    </row>
    <row r="16" spans="1:9" s="25" customFormat="1" x14ac:dyDescent="0.75">
      <c r="A16" s="111">
        <v>10</v>
      </c>
      <c r="B16" s="114" t="s">
        <v>866</v>
      </c>
      <c r="C16" s="113" t="s">
        <v>99</v>
      </c>
      <c r="D16" s="113" t="s">
        <v>99</v>
      </c>
      <c r="E16" s="113">
        <v>0</v>
      </c>
      <c r="F16" s="113">
        <v>1</v>
      </c>
      <c r="G16" s="45" t="s">
        <v>3</v>
      </c>
    </row>
    <row r="17" spans="1:9" x14ac:dyDescent="0.75">
      <c r="A17" s="111">
        <v>11</v>
      </c>
      <c r="B17" s="114" t="s">
        <v>1185</v>
      </c>
      <c r="C17" s="113" t="s">
        <v>97</v>
      </c>
      <c r="D17" s="113" t="s">
        <v>867</v>
      </c>
      <c r="E17" s="113">
        <v>0</v>
      </c>
      <c r="F17" s="113" t="s">
        <v>20</v>
      </c>
      <c r="G17" s="45" t="s">
        <v>1180</v>
      </c>
    </row>
    <row r="18" spans="1:9" s="25" customFormat="1" x14ac:dyDescent="0.75">
      <c r="A18" s="111">
        <v>12</v>
      </c>
      <c r="B18" s="114" t="s">
        <v>1184</v>
      </c>
      <c r="C18" s="113" t="s">
        <v>100</v>
      </c>
      <c r="D18" s="113" t="s">
        <v>100</v>
      </c>
      <c r="E18" s="113">
        <v>0</v>
      </c>
      <c r="F18" s="113" t="s">
        <v>20</v>
      </c>
      <c r="G18" s="113" t="s">
        <v>5</v>
      </c>
    </row>
    <row r="19" spans="1:9" s="111" customFormat="1" x14ac:dyDescent="0.75">
      <c r="A19" s="111">
        <v>13</v>
      </c>
      <c r="B19" s="114" t="s">
        <v>1193</v>
      </c>
      <c r="C19" s="113" t="s">
        <v>1194</v>
      </c>
      <c r="D19" s="113" t="s">
        <v>1194</v>
      </c>
      <c r="E19" s="113">
        <v>0</v>
      </c>
      <c r="F19" s="113">
        <v>1</v>
      </c>
      <c r="G19" s="45" t="s">
        <v>1183</v>
      </c>
    </row>
    <row r="20" spans="1:9" s="111" customFormat="1" x14ac:dyDescent="0.75">
      <c r="A20" s="111">
        <v>14</v>
      </c>
      <c r="B20" s="114" t="s">
        <v>1186</v>
      </c>
      <c r="C20" s="114" t="s">
        <v>1195</v>
      </c>
      <c r="D20" s="114" t="s">
        <v>1196</v>
      </c>
      <c r="E20" s="113">
        <v>0</v>
      </c>
      <c r="F20" s="113">
        <v>1</v>
      </c>
      <c r="G20" s="45" t="s">
        <v>1170</v>
      </c>
    </row>
    <row r="21" spans="1:9" s="111" customFormat="1" ht="29.5" x14ac:dyDescent="0.75">
      <c r="A21" s="111">
        <v>15</v>
      </c>
      <c r="B21" s="149" t="s">
        <v>1197</v>
      </c>
      <c r="C21" s="149" t="s">
        <v>1198</v>
      </c>
      <c r="D21" s="149" t="s">
        <v>1198</v>
      </c>
      <c r="E21" s="113">
        <v>0</v>
      </c>
      <c r="F21" s="113">
        <v>0</v>
      </c>
      <c r="G21" s="113" t="s">
        <v>5</v>
      </c>
    </row>
    <row r="22" spans="1:9" s="111" customFormat="1" x14ac:dyDescent="0.75">
      <c r="A22" s="111">
        <v>16</v>
      </c>
      <c r="B22" s="114" t="s">
        <v>1187</v>
      </c>
      <c r="C22" s="113" t="s">
        <v>93</v>
      </c>
      <c r="D22" s="113" t="s">
        <v>93</v>
      </c>
      <c r="E22" s="113">
        <v>0</v>
      </c>
      <c r="F22" s="113">
        <v>1</v>
      </c>
      <c r="G22" s="113" t="s">
        <v>901</v>
      </c>
    </row>
    <row r="23" spans="1:9" s="111" customFormat="1" x14ac:dyDescent="0.75">
      <c r="A23" s="111">
        <v>17</v>
      </c>
      <c r="B23" s="114" t="s">
        <v>1188</v>
      </c>
      <c r="C23" s="114" t="s">
        <v>864</v>
      </c>
      <c r="D23" s="113" t="s">
        <v>864</v>
      </c>
      <c r="E23" s="113">
        <v>0</v>
      </c>
      <c r="F23" s="113" t="s">
        <v>20</v>
      </c>
      <c r="G23" s="45" t="s">
        <v>1165</v>
      </c>
    </row>
    <row r="24" spans="1:9" s="111" customFormat="1" x14ac:dyDescent="0.75">
      <c r="A24" s="111">
        <v>18</v>
      </c>
      <c r="B24" s="114" t="s">
        <v>1189</v>
      </c>
      <c r="C24" s="113" t="s">
        <v>95</v>
      </c>
      <c r="D24" s="113" t="s">
        <v>95</v>
      </c>
      <c r="E24" s="113">
        <v>0</v>
      </c>
      <c r="F24" s="113" t="s">
        <v>20</v>
      </c>
      <c r="G24" s="45" t="s">
        <v>1103</v>
      </c>
    </row>
    <row r="25" spans="1:9" s="111" customFormat="1" x14ac:dyDescent="0.75">
      <c r="A25" s="111">
        <v>19</v>
      </c>
      <c r="B25" s="114" t="s">
        <v>1190</v>
      </c>
      <c r="C25" s="113" t="s">
        <v>96</v>
      </c>
      <c r="D25" s="113" t="s">
        <v>96</v>
      </c>
      <c r="E25" s="113">
        <v>0</v>
      </c>
      <c r="F25" s="113" t="s">
        <v>20</v>
      </c>
      <c r="G25" s="45" t="s">
        <v>1138</v>
      </c>
    </row>
    <row r="26" spans="1:9" s="111" customFormat="1" x14ac:dyDescent="0.75">
      <c r="A26" s="111">
        <v>20</v>
      </c>
      <c r="B26" s="114" t="s">
        <v>1191</v>
      </c>
      <c r="C26" s="113" t="s">
        <v>98</v>
      </c>
      <c r="D26" s="113" t="s">
        <v>98</v>
      </c>
      <c r="E26" s="113">
        <v>0</v>
      </c>
      <c r="F26" s="113" t="s">
        <v>20</v>
      </c>
      <c r="G26" s="45" t="s">
        <v>1182</v>
      </c>
    </row>
    <row r="27" spans="1:9" s="111" customFormat="1" x14ac:dyDescent="0.75">
      <c r="A27" s="111">
        <v>21</v>
      </c>
      <c r="B27" s="114" t="s">
        <v>1192</v>
      </c>
      <c r="C27" s="113" t="s">
        <v>99</v>
      </c>
      <c r="D27" s="113" t="s">
        <v>99</v>
      </c>
      <c r="E27" s="113">
        <v>0</v>
      </c>
      <c r="F27" s="113">
        <v>1</v>
      </c>
      <c r="G27" s="45" t="s">
        <v>3</v>
      </c>
    </row>
    <row r="28" spans="1:9" s="25" customFormat="1" ht="27" x14ac:dyDescent="0.75">
      <c r="A28" s="111">
        <v>22</v>
      </c>
      <c r="B28" s="147" t="s">
        <v>1016</v>
      </c>
      <c r="C28" s="24" t="s">
        <v>1037</v>
      </c>
      <c r="D28" s="148" t="s">
        <v>240</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2 - Ready for Review"</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2 - Ready for Review"</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ht="29.5"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858</v>
      </c>
      <c r="L1" s="25"/>
      <c r="M1" s="25" t="s">
        <v>49</v>
      </c>
      <c r="N1" s="25"/>
    </row>
    <row r="2" spans="1:14" ht="15.5" thickBot="1" x14ac:dyDescent="0.9">
      <c r="C2" s="106" t="str">
        <f>'Base-1'!B2</f>
        <v>http://hl7.eu/fhir/ig/pcsp</v>
      </c>
      <c r="D2" s="17" t="s">
        <v>57</v>
      </c>
      <c r="E2" s="36"/>
      <c r="F2" t="s">
        <v>48</v>
      </c>
      <c r="G2" s="53" t="s">
        <v>1042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1167</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969</v>
      </c>
      <c r="E7" s="113">
        <v>1</v>
      </c>
      <c r="F7" s="113" t="s">
        <v>20</v>
      </c>
      <c r="G7" s="113" t="s">
        <v>0</v>
      </c>
      <c r="H7" s="113"/>
      <c r="I7" s="113" t="str">
        <f>TRIM(C7)</f>
        <v>ID</v>
      </c>
    </row>
    <row r="8" spans="1:9" ht="103.25" x14ac:dyDescent="0.75">
      <c r="A8" s="111">
        <v>2</v>
      </c>
      <c r="B8" s="113" t="s">
        <v>1005</v>
      </c>
      <c r="C8" s="113" t="s">
        <v>1017</v>
      </c>
      <c r="D8" s="114" t="s">
        <v>1009</v>
      </c>
      <c r="E8" s="113">
        <v>0</v>
      </c>
      <c r="F8" s="113" t="s">
        <v>20</v>
      </c>
      <c r="G8" s="113" t="s">
        <v>5</v>
      </c>
      <c r="H8" s="113"/>
      <c r="I8" s="113" t="str">
        <f t="shared" ref="I8:I36" si="0">TRIM(C8)</f>
        <v>Date of diagnosis</v>
      </c>
    </row>
    <row r="9" spans="1:9" x14ac:dyDescent="0.75">
      <c r="A9" s="111">
        <v>3</v>
      </c>
      <c r="B9" s="113" t="s">
        <v>974</v>
      </c>
      <c r="C9" s="114" t="s">
        <v>1106</v>
      </c>
      <c r="D9" s="114" t="s">
        <v>988</v>
      </c>
      <c r="E9" s="113">
        <v>0</v>
      </c>
      <c r="F9" s="113" t="s">
        <v>20</v>
      </c>
      <c r="G9" s="113" t="s">
        <v>5</v>
      </c>
      <c r="H9" s="113"/>
      <c r="I9" s="113" t="str">
        <f t="shared" si="0"/>
        <v>Center of diagnosis</v>
      </c>
    </row>
    <row r="10" spans="1:9" ht="29.5" x14ac:dyDescent="0.75">
      <c r="A10" s="113">
        <v>4</v>
      </c>
      <c r="B10" s="113" t="s">
        <v>1028</v>
      </c>
      <c r="C10" s="113" t="s">
        <v>987</v>
      </c>
      <c r="D10" s="114" t="s">
        <v>166</v>
      </c>
      <c r="E10" s="113">
        <v>0</v>
      </c>
      <c r="F10" s="113">
        <v>1</v>
      </c>
      <c r="G10" s="113" t="s">
        <v>0</v>
      </c>
      <c r="H10" s="113"/>
      <c r="I10" s="113" t="str">
        <f t="shared" si="0"/>
        <v>Center code</v>
      </c>
    </row>
    <row r="11" spans="1:9" x14ac:dyDescent="0.75">
      <c r="A11" s="111">
        <v>5</v>
      </c>
      <c r="B11" s="113" t="s">
        <v>975</v>
      </c>
      <c r="C11" s="113" t="s">
        <v>976</v>
      </c>
      <c r="D11" s="114" t="s">
        <v>976</v>
      </c>
      <c r="E11" s="113">
        <v>0</v>
      </c>
      <c r="F11" s="113">
        <v>1</v>
      </c>
      <c r="G11" s="35" t="s">
        <v>3</v>
      </c>
      <c r="H11" s="113"/>
      <c r="I11" s="113" t="str">
        <f t="shared" si="0"/>
        <v>Center name</v>
      </c>
    </row>
    <row r="12" spans="1:9" x14ac:dyDescent="0.75">
      <c r="A12" s="111">
        <v>6</v>
      </c>
      <c r="B12" s="113" t="s">
        <v>977</v>
      </c>
      <c r="C12" s="113" t="s">
        <v>979</v>
      </c>
      <c r="D12" s="114" t="s">
        <v>979</v>
      </c>
      <c r="E12" s="113">
        <v>0</v>
      </c>
      <c r="F12" s="113">
        <v>1</v>
      </c>
      <c r="G12" s="113" t="s">
        <v>3</v>
      </c>
      <c r="H12" s="113"/>
      <c r="I12" s="113" t="str">
        <f t="shared" si="0"/>
        <v>Center city</v>
      </c>
    </row>
    <row r="13" spans="1:9" x14ac:dyDescent="0.75">
      <c r="A13" s="113">
        <v>7</v>
      </c>
      <c r="B13" s="113" t="s">
        <v>978</v>
      </c>
      <c r="C13" s="113" t="s">
        <v>1018</v>
      </c>
      <c r="D13" s="114" t="s">
        <v>1018</v>
      </c>
      <c r="E13" s="113">
        <v>1</v>
      </c>
      <c r="F13" s="113">
        <v>1</v>
      </c>
      <c r="G13" s="113" t="s">
        <v>3</v>
      </c>
      <c r="H13" s="113"/>
      <c r="I13" s="113" t="str">
        <f t="shared" si="0"/>
        <v>Center country</v>
      </c>
    </row>
    <row r="14" spans="1:9" x14ac:dyDescent="0.75">
      <c r="A14" s="111">
        <v>8</v>
      </c>
      <c r="B14" s="113" t="s">
        <v>1006</v>
      </c>
      <c r="C14" s="113" t="s">
        <v>1019</v>
      </c>
      <c r="D14" s="114" t="s">
        <v>174</v>
      </c>
      <c r="E14" s="113">
        <v>0</v>
      </c>
      <c r="F14" s="113">
        <v>1</v>
      </c>
      <c r="G14" s="113" t="s">
        <v>5</v>
      </c>
      <c r="H14" s="113"/>
      <c r="I14" s="113" t="str">
        <f t="shared" si="0"/>
        <v>Primary treatment center</v>
      </c>
    </row>
    <row r="15" spans="1:9" x14ac:dyDescent="0.75">
      <c r="A15" s="111">
        <v>9</v>
      </c>
      <c r="B15" s="113" t="s">
        <v>980</v>
      </c>
      <c r="C15" s="113" t="s">
        <v>984</v>
      </c>
      <c r="D15" s="114" t="s">
        <v>984</v>
      </c>
      <c r="E15" s="35">
        <v>0</v>
      </c>
      <c r="F15" s="113">
        <v>1</v>
      </c>
      <c r="G15" s="113" t="s">
        <v>3</v>
      </c>
      <c r="H15" s="113"/>
      <c r="I15" s="113" t="str">
        <f t="shared" si="0"/>
        <v>Primary treatment center name</v>
      </c>
    </row>
    <row r="16" spans="1:9" x14ac:dyDescent="0.75">
      <c r="A16" s="113">
        <v>10</v>
      </c>
      <c r="B16" s="113" t="s">
        <v>981</v>
      </c>
      <c r="C16" s="113" t="s">
        <v>983</v>
      </c>
      <c r="D16" s="114" t="s">
        <v>983</v>
      </c>
      <c r="E16" s="113">
        <v>0</v>
      </c>
      <c r="F16" s="113">
        <v>1</v>
      </c>
      <c r="G16" s="113" t="s">
        <v>3</v>
      </c>
      <c r="H16" s="113"/>
      <c r="I16" s="113" t="str">
        <f t="shared" si="0"/>
        <v>Primary treatment center city</v>
      </c>
    </row>
    <row r="17" spans="1:9" x14ac:dyDescent="0.75">
      <c r="A17" s="111">
        <v>11</v>
      </c>
      <c r="B17" s="113" t="s">
        <v>982</v>
      </c>
      <c r="C17" s="113" t="s">
        <v>1020</v>
      </c>
      <c r="D17" s="114" t="s">
        <v>1020</v>
      </c>
      <c r="E17" s="113">
        <v>0</v>
      </c>
      <c r="F17" s="113">
        <v>1</v>
      </c>
      <c r="G17" s="113" t="s">
        <v>3</v>
      </c>
      <c r="H17" s="113"/>
      <c r="I17" s="113" t="str">
        <f t="shared" si="0"/>
        <v>Primary treatment center country</v>
      </c>
    </row>
    <row r="18" spans="1:9" x14ac:dyDescent="0.75">
      <c r="A18" s="111">
        <v>12</v>
      </c>
      <c r="B18" s="113" t="s">
        <v>985</v>
      </c>
      <c r="C18" s="113" t="s">
        <v>179</v>
      </c>
      <c r="D18" s="114" t="s">
        <v>179</v>
      </c>
      <c r="E18" s="113">
        <v>1</v>
      </c>
      <c r="F18" s="113" t="s">
        <v>20</v>
      </c>
      <c r="G18" s="113" t="s">
        <v>2</v>
      </c>
      <c r="H18" s="113"/>
      <c r="I18" s="113" t="str">
        <f t="shared" si="0"/>
        <v>Date of arrival to our institution</v>
      </c>
    </row>
    <row r="19" spans="1:9" x14ac:dyDescent="0.75">
      <c r="A19" s="113">
        <v>13</v>
      </c>
      <c r="B19" s="113" t="s">
        <v>986</v>
      </c>
      <c r="C19" s="113" t="s">
        <v>183</v>
      </c>
      <c r="D19" s="114" t="s">
        <v>989</v>
      </c>
      <c r="E19" s="113">
        <v>0</v>
      </c>
      <c r="F19" s="113" t="s">
        <v>20</v>
      </c>
      <c r="G19" s="113" t="s">
        <v>1</v>
      </c>
      <c r="H19" s="113"/>
      <c r="I19" s="113" t="str">
        <f t="shared" si="0"/>
        <v>Diagnostic Group</v>
      </c>
    </row>
    <row r="20" spans="1:9" ht="88.5" x14ac:dyDescent="0.75">
      <c r="A20" s="111">
        <v>14</v>
      </c>
      <c r="B20" s="113" t="s">
        <v>990</v>
      </c>
      <c r="C20" s="113" t="s">
        <v>91</v>
      </c>
      <c r="D20" s="114" t="s">
        <v>1010</v>
      </c>
      <c r="E20" s="113">
        <v>0</v>
      </c>
      <c r="F20" s="113" t="s">
        <v>20</v>
      </c>
      <c r="G20" s="113" t="s">
        <v>1</v>
      </c>
      <c r="H20" s="113"/>
      <c r="I20" s="113" t="str">
        <f t="shared" si="0"/>
        <v>Diagnosis</v>
      </c>
    </row>
    <row r="21" spans="1:9" x14ac:dyDescent="0.75">
      <c r="A21" s="111">
        <v>15</v>
      </c>
      <c r="B21" s="113" t="s">
        <v>991</v>
      </c>
      <c r="C21" s="113" t="s">
        <v>995</v>
      </c>
      <c r="D21" s="114" t="s">
        <v>992</v>
      </c>
      <c r="E21" s="113">
        <v>0</v>
      </c>
      <c r="F21" s="113" t="s">
        <v>20</v>
      </c>
      <c r="G21" s="113" t="s">
        <v>1</v>
      </c>
      <c r="H21" s="113"/>
      <c r="I21" s="113" t="str">
        <f t="shared" si="0"/>
        <v>Tumour behaviour (ICD-O-3 type)</v>
      </c>
    </row>
    <row r="22" spans="1:9" x14ac:dyDescent="0.75">
      <c r="A22" s="113">
        <v>16</v>
      </c>
      <c r="B22" s="113" t="s">
        <v>993</v>
      </c>
      <c r="C22" s="113" t="s">
        <v>1021</v>
      </c>
      <c r="D22" s="114" t="s">
        <v>1021</v>
      </c>
      <c r="E22" s="113">
        <v>0</v>
      </c>
      <c r="F22" s="113">
        <v>1</v>
      </c>
      <c r="G22" s="113" t="s">
        <v>3</v>
      </c>
      <c r="H22" s="113"/>
      <c r="I22" s="113" t="str">
        <f t="shared" si="0"/>
        <v>Diagnosis description</v>
      </c>
    </row>
    <row r="23" spans="1:9" x14ac:dyDescent="0.75">
      <c r="A23" s="111">
        <v>17</v>
      </c>
      <c r="B23" s="113" t="s">
        <v>994</v>
      </c>
      <c r="C23" s="113" t="s">
        <v>970</v>
      </c>
      <c r="D23" s="114" t="s">
        <v>997</v>
      </c>
      <c r="E23" s="113">
        <v>0</v>
      </c>
      <c r="F23" s="113" t="s">
        <v>20</v>
      </c>
      <c r="G23" s="113" t="s">
        <v>5</v>
      </c>
      <c r="H23" s="113"/>
      <c r="I23" s="113" t="str">
        <f t="shared" si="0"/>
        <v>Site</v>
      </c>
    </row>
    <row r="24" spans="1:9" ht="59" x14ac:dyDescent="0.75">
      <c r="A24" s="111">
        <v>18</v>
      </c>
      <c r="B24" s="113" t="s">
        <v>998</v>
      </c>
      <c r="C24" s="113" t="s">
        <v>1022</v>
      </c>
      <c r="D24" s="114" t="s">
        <v>1007</v>
      </c>
      <c r="E24" s="113">
        <v>0</v>
      </c>
      <c r="F24" s="113" t="s">
        <v>20</v>
      </c>
      <c r="G24" s="113" t="s">
        <v>1</v>
      </c>
      <c r="H24" s="113"/>
      <c r="I24" s="113" t="str">
        <f t="shared" si="0"/>
        <v>Site(ICD-O-3 topography)</v>
      </c>
    </row>
    <row r="25" spans="1:9" x14ac:dyDescent="0.75">
      <c r="A25" s="113">
        <v>19</v>
      </c>
      <c r="B25" s="113" t="s">
        <v>999</v>
      </c>
      <c r="C25" s="113" t="s">
        <v>1023</v>
      </c>
      <c r="D25" s="114" t="s">
        <v>1008</v>
      </c>
      <c r="E25" s="113">
        <v>0</v>
      </c>
      <c r="F25" s="113" t="s">
        <v>20</v>
      </c>
      <c r="G25" s="113" t="s">
        <v>3</v>
      </c>
      <c r="H25" s="113"/>
      <c r="I25" s="113" t="str">
        <f t="shared" si="0"/>
        <v>Site description</v>
      </c>
    </row>
    <row r="26" spans="1:9" x14ac:dyDescent="0.75">
      <c r="A26" s="111">
        <v>20</v>
      </c>
      <c r="B26" s="113" t="s">
        <v>996</v>
      </c>
      <c r="C26" s="113" t="s">
        <v>1024</v>
      </c>
      <c r="D26" s="114" t="s">
        <v>1024</v>
      </c>
      <c r="E26" s="113">
        <v>0</v>
      </c>
      <c r="F26" s="113" t="s">
        <v>20</v>
      </c>
      <c r="G26" s="113" t="s">
        <v>1</v>
      </c>
      <c r="H26" s="113"/>
      <c r="I26" s="113" t="str">
        <f t="shared" si="0"/>
        <v>Laterality</v>
      </c>
    </row>
    <row r="27" spans="1:9" ht="29.5" x14ac:dyDescent="0.75">
      <c r="A27" s="111">
        <v>21</v>
      </c>
      <c r="B27" s="113" t="s">
        <v>1029</v>
      </c>
      <c r="C27" s="113" t="s">
        <v>205</v>
      </c>
      <c r="D27" s="114" t="s">
        <v>208</v>
      </c>
      <c r="E27" s="113">
        <v>0</v>
      </c>
      <c r="F27" s="113" t="s">
        <v>20</v>
      </c>
      <c r="G27" s="113" t="s">
        <v>5</v>
      </c>
      <c r="H27" s="116"/>
      <c r="I27" s="113" t="str">
        <f t="shared" si="0"/>
        <v>Metastatic</v>
      </c>
    </row>
    <row r="28" spans="1:9" x14ac:dyDescent="0.75">
      <c r="A28" s="113">
        <v>22</v>
      </c>
      <c r="B28" s="113" t="s">
        <v>1030</v>
      </c>
      <c r="C28" s="113" t="s">
        <v>1036</v>
      </c>
      <c r="D28" s="114" t="s">
        <v>209</v>
      </c>
      <c r="E28" s="113">
        <v>0</v>
      </c>
      <c r="F28" s="113" t="s">
        <v>20</v>
      </c>
      <c r="G28" s="113" t="s">
        <v>920</v>
      </c>
      <c r="I28" s="113" t="str">
        <f t="shared" si="0"/>
        <v>Metastasis id</v>
      </c>
    </row>
    <row r="29" spans="1:9" x14ac:dyDescent="0.75">
      <c r="A29" s="111">
        <v>23</v>
      </c>
      <c r="B29" s="113" t="s">
        <v>1031</v>
      </c>
      <c r="C29" s="113" t="s">
        <v>1034</v>
      </c>
      <c r="D29" s="114" t="s">
        <v>1000</v>
      </c>
      <c r="E29" s="113">
        <v>0</v>
      </c>
      <c r="F29" s="113" t="s">
        <v>20</v>
      </c>
      <c r="G29" s="113" t="s">
        <v>5</v>
      </c>
      <c r="I29" s="113" t="str">
        <f t="shared" si="0"/>
        <v>Metastasis site</v>
      </c>
    </row>
    <row r="30" spans="1:9" ht="29.5" x14ac:dyDescent="0.75">
      <c r="A30" s="111">
        <v>24</v>
      </c>
      <c r="B30" s="113" t="s">
        <v>1032</v>
      </c>
      <c r="C30" s="113" t="s">
        <v>1035</v>
      </c>
      <c r="D30" s="114" t="s">
        <v>1001</v>
      </c>
      <c r="E30" s="113">
        <v>0</v>
      </c>
      <c r="F30" s="113" t="s">
        <v>20</v>
      </c>
      <c r="G30" s="113" t="s">
        <v>1</v>
      </c>
      <c r="I30" s="113" t="str">
        <f t="shared" si="0"/>
        <v>Metastasis site code</v>
      </c>
    </row>
    <row r="31" spans="1:9" x14ac:dyDescent="0.75">
      <c r="A31" s="113">
        <v>25</v>
      </c>
      <c r="B31" s="113" t="s">
        <v>1033</v>
      </c>
      <c r="C31" s="113" t="s">
        <v>216</v>
      </c>
      <c r="D31" s="114" t="s">
        <v>216</v>
      </c>
      <c r="E31" s="113">
        <v>0</v>
      </c>
      <c r="F31" s="113" t="s">
        <v>20</v>
      </c>
      <c r="G31" s="113" t="s">
        <v>3</v>
      </c>
      <c r="I31" s="113" t="str">
        <f t="shared" si="0"/>
        <v>Additional description of sites of metastatis</v>
      </c>
    </row>
    <row r="32" spans="1:9" ht="44.25" x14ac:dyDescent="0.75">
      <c r="A32" s="111">
        <v>26</v>
      </c>
      <c r="B32" s="113" t="s">
        <v>1002</v>
      </c>
      <c r="C32" s="113" t="s">
        <v>1025</v>
      </c>
      <c r="D32" s="114" t="s">
        <v>222</v>
      </c>
      <c r="E32" s="113">
        <v>0</v>
      </c>
      <c r="F32" s="113">
        <v>1</v>
      </c>
      <c r="G32" s="113" t="s">
        <v>3</v>
      </c>
      <c r="I32" s="113" t="str">
        <f t="shared" si="0"/>
        <v>Genetic markers(text)</v>
      </c>
    </row>
    <row r="33" spans="1:9" ht="73.75" x14ac:dyDescent="0.75">
      <c r="A33" s="111">
        <v>27</v>
      </c>
      <c r="B33" s="113" t="s">
        <v>971</v>
      </c>
      <c r="C33" s="113" t="s">
        <v>223</v>
      </c>
      <c r="D33" s="114" t="s">
        <v>1011</v>
      </c>
      <c r="E33" s="113">
        <v>0</v>
      </c>
      <c r="F33" s="113">
        <v>1</v>
      </c>
      <c r="G33" s="113" t="s">
        <v>3</v>
      </c>
      <c r="I33" s="113" t="str">
        <f t="shared" si="0"/>
        <v>Stage/Risk</v>
      </c>
    </row>
    <row r="34" spans="1:9" ht="44.25" x14ac:dyDescent="0.75">
      <c r="A34" s="113">
        <v>28</v>
      </c>
      <c r="B34" s="113" t="s">
        <v>972</v>
      </c>
      <c r="C34" s="113" t="s">
        <v>1026</v>
      </c>
      <c r="D34" s="114" t="s">
        <v>1012</v>
      </c>
      <c r="E34" s="113">
        <v>0</v>
      </c>
      <c r="F34" s="113" t="s">
        <v>20</v>
      </c>
      <c r="G34" s="113" t="s">
        <v>1</v>
      </c>
      <c r="I34" s="113" t="str">
        <f t="shared" si="0"/>
        <v>Immunology</v>
      </c>
    </row>
    <row r="35" spans="1:9" ht="103.25" x14ac:dyDescent="0.75">
      <c r="A35" s="111">
        <v>29</v>
      </c>
      <c r="B35" s="113" t="s">
        <v>1004</v>
      </c>
      <c r="C35" s="113" t="s">
        <v>1003</v>
      </c>
      <c r="D35" s="114" t="s">
        <v>1027</v>
      </c>
      <c r="E35" s="113">
        <v>0</v>
      </c>
      <c r="F35" s="113" t="s">
        <v>20</v>
      </c>
      <c r="G35" s="113" t="s">
        <v>1</v>
      </c>
      <c r="I35" s="113" t="str">
        <f t="shared" si="0"/>
        <v>Hereditary Cancer Predisposition</v>
      </c>
    </row>
    <row r="36" spans="1:9" x14ac:dyDescent="0.75">
      <c r="A36" s="111">
        <v>30</v>
      </c>
      <c r="B36" s="113" t="s">
        <v>973</v>
      </c>
      <c r="C36" s="28" t="s">
        <v>250</v>
      </c>
      <c r="D36" s="28" t="s">
        <v>250</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1171</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1125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1172</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1173</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1050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1051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1048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1049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1052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1053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1054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1055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1056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1059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1057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1057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1058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1060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1061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1062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1063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1174</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1125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1129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1175</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1176</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1177</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1064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1178</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1179</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1065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858</v>
      </c>
      <c r="N1" s="111" t="s">
        <v>49</v>
      </c>
    </row>
    <row r="2" spans="1:14" ht="15.5" thickBot="1" x14ac:dyDescent="0.9">
      <c r="C2" s="107" t="str">
        <f>'Diag-1'!B2</f>
        <v>http://hl7.eu/fhir/ig/pcsp</v>
      </c>
      <c r="D2" s="17" t="s">
        <v>849</v>
      </c>
      <c r="E2" s="36"/>
      <c r="G2" s="53" t="s">
        <v>859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1166</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872</v>
      </c>
      <c r="D10" s="26" t="s">
        <v>872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873</v>
      </c>
      <c r="D12" s="26" t="s">
        <v>873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874</v>
      </c>
      <c r="D14" s="26" t="s">
        <v>874</v>
      </c>
      <c r="E14" s="26">
        <v>0</v>
      </c>
      <c r="F14" s="26" t="s">
        <v>20</v>
      </c>
      <c r="G14" s="26" t="s">
        <v>2</v>
      </c>
      <c r="H14" s="2"/>
      <c r="I14" s="2"/>
    </row>
    <row r="15" spans="1:9" x14ac:dyDescent="0.75">
      <c r="A15" s="26">
        <v>9</v>
      </c>
      <c r="B15" s="26" t="s">
        <v>80</v>
      </c>
      <c r="C15" s="26" t="s">
        <v>871</v>
      </c>
      <c r="D15" s="26" t="s">
        <v>871</v>
      </c>
      <c r="E15" s="26">
        <v>0</v>
      </c>
      <c r="F15" s="26" t="s">
        <v>20</v>
      </c>
      <c r="G15" s="26" t="s">
        <v>82</v>
      </c>
      <c r="H15" s="2"/>
      <c r="I15" s="2"/>
    </row>
    <row r="16" spans="1:9" x14ac:dyDescent="0.75">
      <c r="A16" s="25">
        <v>10</v>
      </c>
      <c r="B16" s="26" t="s">
        <v>83</v>
      </c>
      <c r="C16" s="26" t="s">
        <v>1038</v>
      </c>
      <c r="D16" s="113" t="s">
        <v>1038</v>
      </c>
      <c r="E16" s="26">
        <v>0</v>
      </c>
      <c r="F16" s="26" t="s">
        <v>20</v>
      </c>
      <c r="G16" s="26" t="s">
        <v>5</v>
      </c>
      <c r="H16" s="2"/>
      <c r="I16" s="2"/>
    </row>
    <row r="17" spans="1:9" x14ac:dyDescent="0.75">
      <c r="A17" s="26">
        <v>11</v>
      </c>
      <c r="B17" s="26" t="s">
        <v>84</v>
      </c>
      <c r="C17" s="26" t="s">
        <v>875</v>
      </c>
      <c r="D17" s="26" t="s">
        <v>875</v>
      </c>
      <c r="E17" s="26">
        <v>0</v>
      </c>
      <c r="F17" s="26" t="s">
        <v>20</v>
      </c>
      <c r="G17" s="26" t="s">
        <v>86</v>
      </c>
      <c r="H17" s="2"/>
      <c r="I17" s="2"/>
    </row>
    <row r="18" spans="1:9" x14ac:dyDescent="0.75">
      <c r="A18" s="25">
        <v>12</v>
      </c>
      <c r="B18" s="26" t="s">
        <v>87</v>
      </c>
      <c r="C18" s="26" t="s">
        <v>876</v>
      </c>
      <c r="D18" s="26" t="s">
        <v>876</v>
      </c>
      <c r="E18" s="26">
        <v>0</v>
      </c>
      <c r="F18" s="26" t="s">
        <v>20</v>
      </c>
      <c r="G18" s="26" t="s">
        <v>86</v>
      </c>
      <c r="H18" s="2"/>
      <c r="I18" s="2"/>
    </row>
    <row r="19" spans="1:9" x14ac:dyDescent="0.75">
      <c r="A19" s="113">
        <v>13</v>
      </c>
      <c r="B19" s="113" t="s">
        <v>1039</v>
      </c>
      <c r="C19" s="26" t="s">
        <v>1040</v>
      </c>
      <c r="D19" s="113" t="s">
        <v>1040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848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1045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1046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1046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1047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858</v>
      </c>
      <c r="N1" s="25" t="s">
        <v>49</v>
      </c>
    </row>
    <row r="2" spans="1:14" ht="30.25" thickBot="1" x14ac:dyDescent="0.9">
      <c r="C2" s="107" t="str">
        <f>'Subj-1'!B2</f>
        <v>http://hl7.eu/fhir/ig/pcsp</v>
      </c>
      <c r="D2" s="17" t="s">
        <v>849</v>
      </c>
      <c r="E2" s="36"/>
      <c r="G2" s="141" t="s">
        <v>1042</v>
      </c>
      <c r="M2" s="45"/>
      <c r="N2" s="25" t="str">
        <f>CONCATENATE("Mapping: ",E2)</f>
        <v xml:space="preserve">Mapping: </v>
      </c>
    </row>
    <row r="3" spans="1:14" x14ac:dyDescent="0.75">
      <c r="C3" s="105" t="str">
        <f>'Subj-1'!B3</f>
        <v>Publisher</v>
      </c>
      <c r="D3" s="41"/>
      <c r="E3" s="37"/>
      <c r="G3" s="25" t="s">
        <v>1043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850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851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853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854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854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855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854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852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856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857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1041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1044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1044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1168</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1068</v>
      </c>
      <c r="C7" s="114" t="s">
        <v>1070</v>
      </c>
      <c r="D7" s="114" t="s">
        <v>1069</v>
      </c>
      <c r="E7" s="113">
        <v>1</v>
      </c>
      <c r="F7" s="113">
        <v>1</v>
      </c>
      <c r="G7" s="113" t="s">
        <v>0</v>
      </c>
      <c r="H7" s="113"/>
      <c r="I7" s="113"/>
    </row>
    <row r="8" spans="1:9" ht="29.5" x14ac:dyDescent="0.75">
      <c r="A8" s="111">
        <v>2</v>
      </c>
      <c r="B8" s="113" t="s">
        <v>913</v>
      </c>
      <c r="C8" s="114" t="s">
        <v>924</v>
      </c>
      <c r="D8" s="114" t="s">
        <v>309</v>
      </c>
      <c r="E8" s="113">
        <v>1</v>
      </c>
      <c r="F8" s="113">
        <v>1</v>
      </c>
      <c r="G8" s="113" t="s">
        <v>2</v>
      </c>
      <c r="H8" s="113"/>
      <c r="I8" s="113"/>
    </row>
    <row r="9" spans="1:9" ht="29.5" x14ac:dyDescent="0.75">
      <c r="A9" s="111">
        <v>3</v>
      </c>
      <c r="B9" s="113" t="s">
        <v>914</v>
      </c>
      <c r="C9" s="114" t="s">
        <v>925</v>
      </c>
      <c r="D9" s="114" t="s">
        <v>312</v>
      </c>
      <c r="E9" s="113">
        <v>1</v>
      </c>
      <c r="F9" s="113">
        <v>1</v>
      </c>
      <c r="G9" s="113" t="s">
        <v>2</v>
      </c>
      <c r="H9" s="113"/>
      <c r="I9" s="113"/>
    </row>
    <row r="10" spans="1:9" ht="29.5" x14ac:dyDescent="0.75">
      <c r="A10" s="111">
        <v>4</v>
      </c>
      <c r="B10" s="114" t="s">
        <v>902</v>
      </c>
      <c r="C10" s="114" t="s">
        <v>926</v>
      </c>
      <c r="D10" s="114" t="s">
        <v>304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x14ac:dyDescent="0.75">
      <c r="A16" s="111">
        <v>10</v>
      </c>
      <c r="B16" s="114" t="s">
        <v>877</v>
      </c>
      <c r="C16" s="114" t="s">
        <v>878</v>
      </c>
      <c r="D16" s="114" t="s">
        <v>879</v>
      </c>
      <c r="E16" s="113">
        <v>1</v>
      </c>
      <c r="F16" s="113">
        <v>20</v>
      </c>
      <c r="G16" s="113" t="s">
        <v>5</v>
      </c>
      <c r="H16" s="113"/>
      <c r="I16" s="113"/>
    </row>
    <row r="17" spans="1:9" ht="103.25" x14ac:dyDescent="0.75">
      <c r="A17" s="111">
        <v>11</v>
      </c>
      <c r="B17" s="114" t="s">
        <v>880</v>
      </c>
      <c r="C17" s="114" t="s">
        <v>881</v>
      </c>
      <c r="D17" s="114" t="s">
        <v>882</v>
      </c>
      <c r="E17" s="113">
        <v>1</v>
      </c>
      <c r="F17" s="113">
        <v>1</v>
      </c>
      <c r="G17" s="113" t="s">
        <v>1</v>
      </c>
      <c r="H17" s="113"/>
      <c r="I17" s="113"/>
    </row>
    <row r="18" spans="1:9" x14ac:dyDescent="0.75">
      <c r="A18" s="111">
        <v>12</v>
      </c>
      <c r="B18" s="114" t="s">
        <v>1141</v>
      </c>
      <c r="C18" s="114" t="s">
        <v>1142</v>
      </c>
      <c r="D18" s="114" t="s">
        <v>1143</v>
      </c>
      <c r="E18" s="113">
        <v>0</v>
      </c>
      <c r="F18" s="113">
        <v>1</v>
      </c>
      <c r="G18" s="113" t="s">
        <v>1144</v>
      </c>
      <c r="H18" s="113"/>
      <c r="I18" s="113"/>
    </row>
    <row r="19" spans="1:9" x14ac:dyDescent="0.75">
      <c r="A19" s="111">
        <v>13</v>
      </c>
      <c r="B19" s="114" t="s">
        <v>883</v>
      </c>
      <c r="C19" s="114" t="s">
        <v>884</v>
      </c>
      <c r="D19" s="114" t="s">
        <v>885</v>
      </c>
      <c r="E19" s="113">
        <v>0</v>
      </c>
      <c r="F19" s="113">
        <v>1</v>
      </c>
      <c r="G19" s="113" t="s">
        <v>5</v>
      </c>
      <c r="H19" s="113"/>
      <c r="I19" s="113"/>
    </row>
    <row r="20" spans="1:9" x14ac:dyDescent="0.75">
      <c r="A20" s="111">
        <v>14</v>
      </c>
      <c r="B20" s="114" t="s">
        <v>886</v>
      </c>
      <c r="C20" s="114" t="s">
        <v>887</v>
      </c>
      <c r="D20" s="113" t="s">
        <v>888</v>
      </c>
      <c r="E20" s="113">
        <v>0</v>
      </c>
      <c r="F20" s="113">
        <v>1</v>
      </c>
      <c r="G20" s="113" t="s">
        <v>1</v>
      </c>
      <c r="H20" s="113"/>
      <c r="I20" s="113"/>
    </row>
    <row r="21" spans="1:9" ht="44.25" x14ac:dyDescent="0.75">
      <c r="A21" s="111">
        <v>15</v>
      </c>
      <c r="B21" s="114" t="s">
        <v>915</v>
      </c>
      <c r="C21" s="114" t="s">
        <v>916</v>
      </c>
      <c r="D21" s="114" t="s">
        <v>929</v>
      </c>
      <c r="E21" s="113">
        <v>0</v>
      </c>
      <c r="F21" s="113">
        <v>1</v>
      </c>
      <c r="G21" s="113" t="s">
        <v>1</v>
      </c>
      <c r="H21" s="113"/>
      <c r="I21" s="113"/>
    </row>
    <row r="22" spans="1:9" ht="29.5" x14ac:dyDescent="0.75">
      <c r="A22" s="111">
        <v>16</v>
      </c>
      <c r="B22" s="114" t="s">
        <v>1095</v>
      </c>
      <c r="C22" s="114" t="s">
        <v>327</v>
      </c>
      <c r="D22" s="114" t="s">
        <v>331</v>
      </c>
      <c r="E22" s="113">
        <v>0</v>
      </c>
      <c r="F22" s="113">
        <v>1</v>
      </c>
      <c r="G22" s="113" t="s">
        <v>1</v>
      </c>
    </row>
    <row r="23" spans="1:9" x14ac:dyDescent="0.75">
      <c r="A23" s="111">
        <v>17</v>
      </c>
      <c r="B23" s="114" t="s">
        <v>917</v>
      </c>
      <c r="C23" s="114" t="s">
        <v>332</v>
      </c>
      <c r="D23" s="114" t="s">
        <v>335</v>
      </c>
      <c r="E23" s="113">
        <v>0</v>
      </c>
      <c r="F23" s="113">
        <v>1</v>
      </c>
      <c r="G23" s="113" t="s">
        <v>3</v>
      </c>
    </row>
    <row r="24" spans="1:9" x14ac:dyDescent="0.75">
      <c r="A24" s="111">
        <v>18</v>
      </c>
      <c r="B24" s="114" t="s">
        <v>889</v>
      </c>
      <c r="C24" s="114" t="s">
        <v>890</v>
      </c>
      <c r="D24" s="114" t="s">
        <v>891</v>
      </c>
      <c r="E24" s="113">
        <v>0</v>
      </c>
      <c r="F24" s="113">
        <v>1</v>
      </c>
      <c r="G24" s="113" t="s">
        <v>892</v>
      </c>
      <c r="H24" s="113"/>
      <c r="I24" s="113"/>
    </row>
    <row r="25" spans="1:9" ht="88.5" x14ac:dyDescent="0.75">
      <c r="A25" s="111">
        <v>19</v>
      </c>
      <c r="B25" s="114" t="s">
        <v>893</v>
      </c>
      <c r="C25" s="114" t="s">
        <v>527</v>
      </c>
      <c r="D25" s="114" t="s">
        <v>894</v>
      </c>
      <c r="E25" s="113">
        <v>0</v>
      </c>
      <c r="F25" s="113">
        <v>1</v>
      </c>
      <c r="G25" s="113" t="s">
        <v>1</v>
      </c>
      <c r="H25" s="113"/>
      <c r="I25" s="113"/>
    </row>
    <row r="26" spans="1:9" ht="73.75" x14ac:dyDescent="0.75">
      <c r="A26" s="111">
        <v>20</v>
      </c>
      <c r="B26" s="114" t="s">
        <v>895</v>
      </c>
      <c r="C26" s="114" t="s">
        <v>325</v>
      </c>
      <c r="D26" s="114" t="s">
        <v>896</v>
      </c>
      <c r="E26" s="113">
        <v>0</v>
      </c>
      <c r="F26" s="113">
        <v>1</v>
      </c>
      <c r="G26" s="113" t="s">
        <v>1</v>
      </c>
      <c r="H26" s="113"/>
      <c r="I26" s="113"/>
    </row>
    <row r="27" spans="1:9" x14ac:dyDescent="0.75">
      <c r="A27" s="111">
        <v>21</v>
      </c>
      <c r="B27" s="14" t="s">
        <v>897</v>
      </c>
      <c r="C27" s="126" t="s">
        <v>898</v>
      </c>
      <c r="D27" s="126" t="s">
        <v>898</v>
      </c>
      <c r="E27" s="113">
        <v>0</v>
      </c>
      <c r="F27" s="113">
        <v>1</v>
      </c>
      <c r="G27" s="113" t="s">
        <v>5</v>
      </c>
      <c r="H27" s="113"/>
      <c r="I27" s="113"/>
    </row>
    <row r="28" spans="1:9" ht="59" x14ac:dyDescent="0.75">
      <c r="A28" s="111">
        <v>22</v>
      </c>
      <c r="B28" s="113" t="s">
        <v>921</v>
      </c>
      <c r="C28" s="114" t="s">
        <v>1066</v>
      </c>
      <c r="D28" s="114" t="s">
        <v>899</v>
      </c>
      <c r="E28" s="115">
        <v>0</v>
      </c>
      <c r="F28" s="115">
        <v>1</v>
      </c>
      <c r="G28" s="113" t="s">
        <v>1</v>
      </c>
    </row>
    <row r="29" spans="1:9" x14ac:dyDescent="0.75">
      <c r="A29" s="111">
        <v>23</v>
      </c>
      <c r="B29" s="113" t="s">
        <v>918</v>
      </c>
      <c r="C29" s="114" t="s">
        <v>928</v>
      </c>
      <c r="D29" s="114" t="s">
        <v>342</v>
      </c>
      <c r="E29" s="115">
        <v>0</v>
      </c>
      <c r="F29" s="115">
        <v>1</v>
      </c>
      <c r="G29" s="113" t="s">
        <v>920</v>
      </c>
    </row>
    <row r="30" spans="1:9" x14ac:dyDescent="0.75">
      <c r="A30" s="111">
        <v>24</v>
      </c>
      <c r="B30" s="113" t="s">
        <v>919</v>
      </c>
      <c r="C30" s="114" t="s">
        <v>1067</v>
      </c>
      <c r="D30" s="114" t="s">
        <v>346</v>
      </c>
      <c r="E30" s="115">
        <v>0</v>
      </c>
      <c r="F30" s="115" t="s">
        <v>20</v>
      </c>
      <c r="G30" s="113" t="s">
        <v>3</v>
      </c>
    </row>
    <row r="31" spans="1:9" x14ac:dyDescent="0.75">
      <c r="A31" s="111">
        <v>25</v>
      </c>
      <c r="B31" s="113" t="s">
        <v>922</v>
      </c>
      <c r="C31" s="114" t="s">
        <v>923</v>
      </c>
      <c r="D31" s="114" t="s">
        <v>350</v>
      </c>
      <c r="E31" s="113">
        <v>0</v>
      </c>
      <c r="F31" s="113">
        <v>1</v>
      </c>
      <c r="G31" s="113" t="s">
        <v>5</v>
      </c>
    </row>
    <row r="32" spans="1:9" x14ac:dyDescent="0.75">
      <c r="A32" s="111">
        <v>26</v>
      </c>
      <c r="B32" s="113" t="s">
        <v>930</v>
      </c>
      <c r="C32" s="114" t="s">
        <v>351</v>
      </c>
      <c r="D32" s="114" t="s">
        <v>354</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900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1111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1124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1109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1110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1117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1118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1119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1120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1121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1112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1113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1145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1122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1153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1146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1147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1148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1149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1150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1151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1152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1137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1123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1116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1140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1139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1115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1114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1115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1169</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7" t="s">
        <v>931</v>
      </c>
      <c r="I5" s="167"/>
    </row>
    <row r="6" spans="1:9" ht="15.5" thickBot="1" x14ac:dyDescent="0.9">
      <c r="A6" s="111">
        <v>0</v>
      </c>
      <c r="B6" s="125" t="s">
        <v>95</v>
      </c>
      <c r="C6" s="33" t="s">
        <v>95</v>
      </c>
      <c r="D6" s="17" t="s">
        <v>95</v>
      </c>
      <c r="E6" s="34">
        <v>1</v>
      </c>
      <c r="F6" s="34">
        <v>1</v>
      </c>
      <c r="G6" s="34"/>
    </row>
    <row r="7" spans="1:9" x14ac:dyDescent="0.75">
      <c r="A7" s="111">
        <v>1</v>
      </c>
      <c r="B7" s="113" t="s">
        <v>1068</v>
      </c>
      <c r="C7" s="114" t="s">
        <v>1070</v>
      </c>
      <c r="D7" s="114" t="s">
        <v>1073</v>
      </c>
      <c r="E7" s="113">
        <v>0</v>
      </c>
      <c r="F7" s="113">
        <v>1</v>
      </c>
      <c r="G7" s="113" t="s">
        <v>0</v>
      </c>
      <c r="H7" s="113"/>
      <c r="I7" s="113"/>
    </row>
    <row r="8" spans="1:9" ht="29.5" x14ac:dyDescent="0.75">
      <c r="A8" s="111">
        <v>2</v>
      </c>
      <c r="B8" s="113" t="s">
        <v>1071</v>
      </c>
      <c r="C8" s="114" t="s">
        <v>1072</v>
      </c>
      <c r="D8" s="114" t="s">
        <v>1074</v>
      </c>
      <c r="E8" s="113">
        <v>0</v>
      </c>
      <c r="F8" s="113">
        <v>1</v>
      </c>
      <c r="G8" s="113" t="s">
        <v>0</v>
      </c>
      <c r="H8" s="113"/>
      <c r="I8" s="113"/>
    </row>
    <row r="9" spans="1:9" ht="88.5" x14ac:dyDescent="0.75">
      <c r="A9" s="111">
        <v>3</v>
      </c>
      <c r="B9" s="113" t="s">
        <v>37</v>
      </c>
      <c r="C9" s="114" t="s">
        <v>1108</v>
      </c>
      <c r="D9" s="114" t="s">
        <v>443</v>
      </c>
      <c r="E9" s="113">
        <v>0</v>
      </c>
      <c r="F9" s="113" t="s">
        <v>20</v>
      </c>
      <c r="G9" s="113" t="s">
        <v>0</v>
      </c>
      <c r="H9" s="113"/>
      <c r="I9" s="113"/>
    </row>
    <row r="10" spans="1:9" x14ac:dyDescent="0.75">
      <c r="A10" s="111">
        <v>4</v>
      </c>
      <c r="B10" s="114" t="s">
        <v>902</v>
      </c>
      <c r="C10" s="114" t="s">
        <v>926</v>
      </c>
      <c r="D10" s="114" t="s">
        <v>444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ht="51.5" customHeight="1" x14ac:dyDescent="0.75">
      <c r="A16" s="111">
        <v>10</v>
      </c>
      <c r="B16" s="114" t="s">
        <v>913</v>
      </c>
      <c r="C16" s="128" t="s">
        <v>924</v>
      </c>
      <c r="D16" s="114" t="s">
        <v>483</v>
      </c>
      <c r="E16" s="113">
        <v>1</v>
      </c>
      <c r="F16" s="113">
        <v>1</v>
      </c>
      <c r="G16" s="113" t="s">
        <v>2</v>
      </c>
      <c r="H16" s="113"/>
      <c r="I16" s="113"/>
    </row>
    <row r="17" spans="1:9" ht="73.75" x14ac:dyDescent="0.75">
      <c r="A17" s="111">
        <v>11</v>
      </c>
      <c r="B17" s="114" t="s">
        <v>949</v>
      </c>
      <c r="C17" s="114" t="s">
        <v>925</v>
      </c>
      <c r="D17" s="114" t="s">
        <v>485</v>
      </c>
      <c r="E17" s="113">
        <v>0</v>
      </c>
      <c r="F17" s="113">
        <v>1</v>
      </c>
      <c r="G17" s="113" t="s">
        <v>2</v>
      </c>
      <c r="H17" s="113"/>
      <c r="I17" s="113"/>
    </row>
    <row r="18" spans="1:9" ht="162.25" x14ac:dyDescent="0.75">
      <c r="A18" s="111">
        <v>12</v>
      </c>
      <c r="B18" s="114" t="s">
        <v>65</v>
      </c>
      <c r="C18" s="128" t="s">
        <v>562</v>
      </c>
      <c r="D18" s="114" t="s">
        <v>932</v>
      </c>
      <c r="E18" s="113">
        <v>1</v>
      </c>
      <c r="F18" s="113">
        <v>1</v>
      </c>
      <c r="G18" s="113" t="s">
        <v>1</v>
      </c>
      <c r="H18" s="113"/>
      <c r="I18" s="113"/>
    </row>
    <row r="19" spans="1:9" ht="177" x14ac:dyDescent="0.75">
      <c r="A19" s="111">
        <v>13</v>
      </c>
      <c r="B19" s="114" t="s">
        <v>951</v>
      </c>
      <c r="C19" s="114" t="s">
        <v>950</v>
      </c>
      <c r="D19" s="114" t="s">
        <v>1104</v>
      </c>
      <c r="E19" s="113">
        <v>0</v>
      </c>
      <c r="F19" s="113">
        <v>1</v>
      </c>
      <c r="G19" s="113" t="s">
        <v>1</v>
      </c>
      <c r="H19" s="113"/>
      <c r="I19" s="113"/>
    </row>
    <row r="20" spans="1:9" ht="147.5" x14ac:dyDescent="0.75">
      <c r="A20" s="111">
        <v>14</v>
      </c>
      <c r="B20" s="114" t="s">
        <v>953</v>
      </c>
      <c r="C20" s="114" t="s">
        <v>954</v>
      </c>
      <c r="D20" s="114" t="s">
        <v>952</v>
      </c>
      <c r="E20" s="113">
        <v>0</v>
      </c>
      <c r="F20" s="113">
        <v>1</v>
      </c>
      <c r="G20" s="113" t="s">
        <v>1</v>
      </c>
      <c r="H20" s="113"/>
      <c r="I20" s="113"/>
    </row>
    <row r="21" spans="1:9" ht="118" x14ac:dyDescent="0.75">
      <c r="A21" s="111">
        <v>15</v>
      </c>
      <c r="B21" s="114" t="s">
        <v>956</v>
      </c>
      <c r="C21" s="114" t="s">
        <v>957</v>
      </c>
      <c r="D21" s="114" t="s">
        <v>955</v>
      </c>
      <c r="E21" s="113">
        <v>0</v>
      </c>
      <c r="F21" s="113">
        <v>1</v>
      </c>
      <c r="G21" s="113" t="s">
        <v>1</v>
      </c>
      <c r="H21" s="113"/>
      <c r="I21" s="113"/>
    </row>
    <row r="22" spans="1:9" ht="147.5" x14ac:dyDescent="0.75">
      <c r="A22" s="111">
        <v>16</v>
      </c>
      <c r="B22" s="114" t="s">
        <v>947</v>
      </c>
      <c r="C22" s="114" t="s">
        <v>962</v>
      </c>
      <c r="D22" s="114" t="s">
        <v>1157</v>
      </c>
      <c r="E22" s="113">
        <v>0</v>
      </c>
      <c r="F22" s="113">
        <v>1</v>
      </c>
      <c r="G22" s="113" t="s">
        <v>1</v>
      </c>
      <c r="H22" s="113"/>
      <c r="I22" s="113"/>
    </row>
    <row r="23" spans="1:9" x14ac:dyDescent="0.75">
      <c r="A23" s="111">
        <v>17</v>
      </c>
      <c r="B23" s="114" t="s">
        <v>958</v>
      </c>
      <c r="C23" s="114" t="s">
        <v>959</v>
      </c>
      <c r="D23" s="114" t="s">
        <v>481</v>
      </c>
      <c r="E23" s="113">
        <v>0</v>
      </c>
      <c r="F23" s="113">
        <v>1</v>
      </c>
      <c r="G23" s="113" t="s">
        <v>920</v>
      </c>
      <c r="H23" s="113"/>
      <c r="I23" s="113"/>
    </row>
    <row r="24" spans="1:9" ht="73.75" x14ac:dyDescent="0.75">
      <c r="A24" s="111">
        <v>18</v>
      </c>
      <c r="B24" s="114" t="s">
        <v>933</v>
      </c>
      <c r="C24" s="128" t="s">
        <v>1077</v>
      </c>
      <c r="D24" s="129" t="s">
        <v>934</v>
      </c>
      <c r="E24" s="113">
        <v>0</v>
      </c>
      <c r="F24" s="113">
        <v>5</v>
      </c>
      <c r="G24" s="113" t="s">
        <v>5</v>
      </c>
      <c r="H24" s="113"/>
      <c r="I24" s="113"/>
    </row>
    <row r="25" spans="1:9" ht="191.75" x14ac:dyDescent="0.75">
      <c r="A25" s="111">
        <v>19</v>
      </c>
      <c r="B25" s="114" t="s">
        <v>935</v>
      </c>
      <c r="C25" s="128" t="s">
        <v>1078</v>
      </c>
      <c r="D25" s="114" t="s">
        <v>936</v>
      </c>
      <c r="E25" s="113">
        <v>1</v>
      </c>
      <c r="F25" s="113">
        <v>1</v>
      </c>
      <c r="G25" s="113" t="s">
        <v>1</v>
      </c>
      <c r="H25" s="127" t="s">
        <v>937</v>
      </c>
      <c r="I25" s="113" t="s">
        <v>938</v>
      </c>
    </row>
    <row r="26" spans="1:9" ht="59" x14ac:dyDescent="0.75">
      <c r="A26" s="111">
        <v>20</v>
      </c>
      <c r="B26" s="114" t="s">
        <v>1076</v>
      </c>
      <c r="C26" s="114" t="s">
        <v>1024</v>
      </c>
      <c r="D26" s="114" t="s">
        <v>1075</v>
      </c>
      <c r="E26" s="113">
        <v>0</v>
      </c>
      <c r="F26" s="113">
        <v>1</v>
      </c>
      <c r="G26" s="113" t="s">
        <v>1</v>
      </c>
      <c r="H26" s="127"/>
      <c r="I26" s="113"/>
    </row>
    <row r="27" spans="1:9" x14ac:dyDescent="0.75">
      <c r="A27" s="111">
        <v>21</v>
      </c>
      <c r="B27" s="114" t="s">
        <v>1083</v>
      </c>
      <c r="C27" s="114" t="s">
        <v>507</v>
      </c>
      <c r="D27" s="114" t="s">
        <v>509</v>
      </c>
      <c r="E27" s="113">
        <v>0</v>
      </c>
      <c r="F27" s="113">
        <v>1</v>
      </c>
      <c r="G27" s="113" t="s">
        <v>3</v>
      </c>
      <c r="H27" s="127"/>
      <c r="I27" s="113"/>
    </row>
    <row r="28" spans="1:9" ht="59" x14ac:dyDescent="0.75">
      <c r="A28" s="111">
        <v>22</v>
      </c>
      <c r="B28" s="114" t="s">
        <v>1079</v>
      </c>
      <c r="C28" s="114" t="s">
        <v>1084</v>
      </c>
      <c r="D28" s="114" t="s">
        <v>512</v>
      </c>
      <c r="E28" s="113">
        <v>0</v>
      </c>
      <c r="F28" s="113">
        <v>1</v>
      </c>
      <c r="G28" s="113" t="s">
        <v>3</v>
      </c>
      <c r="H28" s="127"/>
      <c r="I28" s="113"/>
    </row>
    <row r="29" spans="1:9" ht="59" x14ac:dyDescent="0.75">
      <c r="A29" s="111">
        <v>23</v>
      </c>
      <c r="B29" s="114" t="s">
        <v>1080</v>
      </c>
      <c r="C29" s="114" t="s">
        <v>1085</v>
      </c>
      <c r="D29" s="114" t="s">
        <v>517</v>
      </c>
      <c r="E29" s="113">
        <v>0</v>
      </c>
      <c r="F29" s="113">
        <v>1</v>
      </c>
      <c r="G29" s="113" t="s">
        <v>3</v>
      </c>
      <c r="H29" s="127"/>
      <c r="I29" s="113"/>
    </row>
    <row r="30" spans="1:9" ht="59" x14ac:dyDescent="0.75">
      <c r="A30" s="111">
        <v>24</v>
      </c>
      <c r="B30" s="114" t="s">
        <v>1081</v>
      </c>
      <c r="C30" s="114" t="s">
        <v>519</v>
      </c>
      <c r="D30" s="114" t="s">
        <v>1082</v>
      </c>
      <c r="E30" s="113">
        <v>0</v>
      </c>
      <c r="F30" s="113">
        <v>1</v>
      </c>
      <c r="G30" s="113" t="s">
        <v>1</v>
      </c>
      <c r="H30" s="127"/>
      <c r="I30" s="113"/>
    </row>
    <row r="31" spans="1:9" ht="29.5" x14ac:dyDescent="0.75">
      <c r="A31" s="111">
        <v>25</v>
      </c>
      <c r="B31" s="114" t="s">
        <v>1202</v>
      </c>
      <c r="C31" s="114" t="s">
        <v>1201</v>
      </c>
      <c r="D31" s="114" t="s">
        <v>1216</v>
      </c>
      <c r="E31" s="113">
        <v>0</v>
      </c>
      <c r="F31" s="113">
        <v>1</v>
      </c>
      <c r="G31" s="113" t="s">
        <v>5</v>
      </c>
      <c r="H31" s="113"/>
      <c r="I31" s="113"/>
    </row>
    <row r="32" spans="1:9" ht="29.5" x14ac:dyDescent="0.75">
      <c r="A32" s="111">
        <v>26</v>
      </c>
      <c r="B32" s="114" t="s">
        <v>1203</v>
      </c>
      <c r="C32" s="114" t="s">
        <v>327</v>
      </c>
      <c r="D32" s="114" t="s">
        <v>331</v>
      </c>
      <c r="E32" s="113">
        <v>0</v>
      </c>
      <c r="F32" s="113">
        <v>1</v>
      </c>
      <c r="G32" s="113" t="s">
        <v>1</v>
      </c>
    </row>
    <row r="33" spans="1:9" x14ac:dyDescent="0.75">
      <c r="A33" s="111">
        <v>27</v>
      </c>
      <c r="B33" s="114" t="s">
        <v>1204</v>
      </c>
      <c r="C33" s="114" t="s">
        <v>332</v>
      </c>
      <c r="D33" s="114" t="s">
        <v>335</v>
      </c>
      <c r="E33" s="113">
        <v>0</v>
      </c>
      <c r="F33" s="113">
        <v>1</v>
      </c>
      <c r="G33" s="113" t="s">
        <v>1</v>
      </c>
    </row>
    <row r="34" spans="1:9" x14ac:dyDescent="0.75">
      <c r="A34" s="111">
        <v>28</v>
      </c>
      <c r="B34" s="114" t="s">
        <v>1205</v>
      </c>
      <c r="C34" s="114" t="s">
        <v>939</v>
      </c>
      <c r="D34" s="114" t="s">
        <v>939</v>
      </c>
      <c r="E34" s="113">
        <v>0</v>
      </c>
      <c r="F34" s="113">
        <v>1</v>
      </c>
      <c r="G34" s="113" t="s">
        <v>3</v>
      </c>
      <c r="H34" s="113"/>
      <c r="I34" s="113"/>
    </row>
    <row r="35" spans="1:9" x14ac:dyDescent="0.75">
      <c r="A35" s="111">
        <v>29</v>
      </c>
      <c r="B35" s="114" t="s">
        <v>1206</v>
      </c>
      <c r="C35" s="114" t="s">
        <v>940</v>
      </c>
      <c r="D35" s="114" t="s">
        <v>1217</v>
      </c>
      <c r="E35" s="113">
        <v>0</v>
      </c>
      <c r="F35" s="113">
        <v>1</v>
      </c>
      <c r="G35" s="113" t="s">
        <v>892</v>
      </c>
      <c r="H35" s="113"/>
      <c r="I35" s="113"/>
    </row>
    <row r="36" spans="1:9" ht="44.25" x14ac:dyDescent="0.75">
      <c r="A36" s="111">
        <v>30</v>
      </c>
      <c r="B36" s="114" t="s">
        <v>1207</v>
      </c>
      <c r="C36" s="114" t="s">
        <v>527</v>
      </c>
      <c r="D36" s="114" t="s">
        <v>960</v>
      </c>
      <c r="E36" s="113">
        <v>0</v>
      </c>
      <c r="F36" s="113">
        <v>1</v>
      </c>
      <c r="G36" s="113" t="s">
        <v>1</v>
      </c>
      <c r="H36" s="113"/>
      <c r="I36" s="113"/>
    </row>
    <row r="37" spans="1:9" ht="29.5" x14ac:dyDescent="0.75">
      <c r="A37" s="111">
        <v>31</v>
      </c>
      <c r="B37" s="14" t="s">
        <v>1208</v>
      </c>
      <c r="C37" s="114" t="s">
        <v>964</v>
      </c>
      <c r="D37" s="114" t="s">
        <v>1105</v>
      </c>
      <c r="E37" s="113">
        <v>0</v>
      </c>
      <c r="F37" s="113">
        <v>1</v>
      </c>
      <c r="G37" s="24" t="s">
        <v>920</v>
      </c>
    </row>
    <row r="38" spans="1:9" ht="29.5" x14ac:dyDescent="0.75">
      <c r="A38" s="111">
        <v>32</v>
      </c>
      <c r="B38" s="114" t="s">
        <v>941</v>
      </c>
      <c r="C38" s="114" t="s">
        <v>539</v>
      </c>
      <c r="D38" s="114" t="s">
        <v>1107</v>
      </c>
      <c r="E38" s="113">
        <v>0</v>
      </c>
      <c r="F38" s="113">
        <v>5</v>
      </c>
      <c r="G38" s="113" t="s">
        <v>5</v>
      </c>
      <c r="H38" s="113"/>
      <c r="I38" s="113"/>
    </row>
    <row r="39" spans="1:9" ht="59" x14ac:dyDescent="0.75">
      <c r="A39" s="111">
        <v>33</v>
      </c>
      <c r="B39" s="114" t="s">
        <v>965</v>
      </c>
      <c r="C39" s="114" t="s">
        <v>966</v>
      </c>
      <c r="D39" s="14" t="s">
        <v>967</v>
      </c>
      <c r="E39" s="113">
        <v>1</v>
      </c>
      <c r="F39" s="113">
        <v>1</v>
      </c>
      <c r="G39" s="113" t="s">
        <v>1</v>
      </c>
      <c r="H39" s="113"/>
      <c r="I39" s="113"/>
    </row>
    <row r="40" spans="1:9" x14ac:dyDescent="0.75">
      <c r="A40" s="111">
        <v>34</v>
      </c>
      <c r="B40" s="114" t="s">
        <v>942</v>
      </c>
      <c r="C40" s="114" t="s">
        <v>943</v>
      </c>
      <c r="D40" s="114" t="s">
        <v>1156</v>
      </c>
      <c r="E40" s="113">
        <v>0</v>
      </c>
      <c r="F40" s="113">
        <v>1</v>
      </c>
      <c r="G40" s="113" t="s">
        <v>1</v>
      </c>
      <c r="H40" s="113"/>
      <c r="I40" s="113"/>
    </row>
    <row r="41" spans="1:9" ht="88.5" x14ac:dyDescent="0.75">
      <c r="A41" s="111">
        <v>35</v>
      </c>
      <c r="B41" s="114" t="s">
        <v>944</v>
      </c>
      <c r="C41" s="114" t="s">
        <v>945</v>
      </c>
      <c r="D41" s="129" t="s">
        <v>946</v>
      </c>
      <c r="E41" s="113">
        <v>0</v>
      </c>
      <c r="F41" s="113">
        <v>1</v>
      </c>
      <c r="G41" s="113" t="s">
        <v>1</v>
      </c>
      <c r="H41" s="127" t="s">
        <v>937</v>
      </c>
      <c r="I41" s="113" t="s">
        <v>938</v>
      </c>
    </row>
    <row r="42" spans="1:9" ht="59" x14ac:dyDescent="0.75">
      <c r="A42" s="111">
        <v>36</v>
      </c>
      <c r="B42" s="114" t="s">
        <v>1086</v>
      </c>
      <c r="C42" s="114" t="s">
        <v>1024</v>
      </c>
      <c r="D42" s="114" t="s">
        <v>1075</v>
      </c>
      <c r="E42" s="113">
        <v>0</v>
      </c>
      <c r="F42" s="113">
        <v>1</v>
      </c>
      <c r="G42" s="113" t="s">
        <v>1</v>
      </c>
      <c r="H42" s="127"/>
      <c r="I42" s="113"/>
    </row>
    <row r="43" spans="1:9" x14ac:dyDescent="0.75">
      <c r="A43" s="111">
        <v>37</v>
      </c>
      <c r="B43" s="114" t="s">
        <v>1087</v>
      </c>
      <c r="C43" s="114" t="s">
        <v>507</v>
      </c>
      <c r="D43" s="114" t="s">
        <v>509</v>
      </c>
      <c r="E43" s="113">
        <v>0</v>
      </c>
      <c r="F43" s="113">
        <v>1</v>
      </c>
      <c r="G43" s="113" t="s">
        <v>3</v>
      </c>
      <c r="H43" s="127"/>
      <c r="I43" s="113"/>
    </row>
    <row r="44" spans="1:9" ht="59" x14ac:dyDescent="0.75">
      <c r="A44" s="111">
        <v>38</v>
      </c>
      <c r="B44" s="114" t="s">
        <v>1088</v>
      </c>
      <c r="C44" s="114" t="s">
        <v>1084</v>
      </c>
      <c r="D44" s="114" t="s">
        <v>512</v>
      </c>
      <c r="E44" s="113">
        <v>0</v>
      </c>
      <c r="F44" s="113">
        <v>1</v>
      </c>
      <c r="G44" s="113" t="s">
        <v>3</v>
      </c>
      <c r="H44" s="127"/>
      <c r="I44" s="113"/>
    </row>
    <row r="45" spans="1:9" ht="59" x14ac:dyDescent="0.75">
      <c r="A45" s="111">
        <v>39</v>
      </c>
      <c r="B45" s="114" t="s">
        <v>1089</v>
      </c>
      <c r="C45" s="114" t="s">
        <v>1085</v>
      </c>
      <c r="D45" s="114" t="s">
        <v>517</v>
      </c>
      <c r="E45" s="113">
        <v>0</v>
      </c>
      <c r="F45" s="113">
        <v>1</v>
      </c>
      <c r="G45" s="113" t="s">
        <v>3</v>
      </c>
      <c r="H45" s="127"/>
      <c r="I45" s="113"/>
    </row>
    <row r="46" spans="1:9" ht="59" x14ac:dyDescent="0.75">
      <c r="A46" s="111">
        <v>40</v>
      </c>
      <c r="B46" s="114" t="s">
        <v>1090</v>
      </c>
      <c r="C46" s="114" t="s">
        <v>519</v>
      </c>
      <c r="D46" s="114" t="s">
        <v>1082</v>
      </c>
      <c r="E46" s="113">
        <v>0</v>
      </c>
      <c r="F46" s="113">
        <v>1</v>
      </c>
      <c r="G46" s="113" t="s">
        <v>1</v>
      </c>
      <c r="H46" s="127"/>
      <c r="I46" s="113"/>
    </row>
    <row r="47" spans="1:9" x14ac:dyDescent="0.75">
      <c r="A47" s="111">
        <v>41</v>
      </c>
      <c r="B47" s="114" t="s">
        <v>1209</v>
      </c>
      <c r="C47" s="114" t="s">
        <v>1201</v>
      </c>
      <c r="D47" s="114" t="s">
        <v>1218</v>
      </c>
      <c r="E47" s="113">
        <v>1</v>
      </c>
      <c r="F47" s="113">
        <v>1</v>
      </c>
      <c r="G47" s="113" t="s">
        <v>5</v>
      </c>
      <c r="H47" s="113"/>
      <c r="I47" s="113"/>
    </row>
    <row r="48" spans="1:9" ht="29.5" x14ac:dyDescent="0.75">
      <c r="A48" s="111">
        <v>42</v>
      </c>
      <c r="B48" s="114" t="s">
        <v>1210</v>
      </c>
      <c r="C48" s="114" t="s">
        <v>327</v>
      </c>
      <c r="D48" s="114" t="s">
        <v>331</v>
      </c>
      <c r="E48" s="113">
        <v>0</v>
      </c>
      <c r="F48" s="113">
        <v>1</v>
      </c>
      <c r="G48" s="113" t="s">
        <v>1</v>
      </c>
    </row>
    <row r="49" spans="1:9" x14ac:dyDescent="0.75">
      <c r="A49" s="111">
        <v>43</v>
      </c>
      <c r="B49" s="114" t="s">
        <v>1211</v>
      </c>
      <c r="C49" s="114" t="s">
        <v>332</v>
      </c>
      <c r="D49" s="114" t="s">
        <v>335</v>
      </c>
      <c r="E49" s="113">
        <v>0</v>
      </c>
      <c r="F49" s="113">
        <v>1</v>
      </c>
      <c r="G49" s="113" t="s">
        <v>1</v>
      </c>
    </row>
    <row r="50" spans="1:9" x14ac:dyDescent="0.75">
      <c r="A50" s="111">
        <v>44</v>
      </c>
      <c r="B50" s="114" t="s">
        <v>1212</v>
      </c>
      <c r="C50" s="114" t="s">
        <v>939</v>
      </c>
      <c r="D50" s="114" t="s">
        <v>939</v>
      </c>
      <c r="E50" s="113">
        <v>0</v>
      </c>
      <c r="F50" s="113">
        <v>1</v>
      </c>
      <c r="G50" s="113" t="s">
        <v>1</v>
      </c>
      <c r="H50" s="113"/>
      <c r="I50" s="35"/>
    </row>
    <row r="51" spans="1:9" x14ac:dyDescent="0.75">
      <c r="A51" s="111">
        <v>45</v>
      </c>
      <c r="B51" s="114" t="s">
        <v>1213</v>
      </c>
      <c r="C51" s="114" t="s">
        <v>940</v>
      </c>
      <c r="D51" s="114" t="s">
        <v>1218</v>
      </c>
      <c r="E51" s="113">
        <v>0</v>
      </c>
      <c r="F51" s="113">
        <v>1</v>
      </c>
      <c r="G51" s="113" t="s">
        <v>892</v>
      </c>
      <c r="H51" s="113"/>
      <c r="I51" s="113"/>
    </row>
    <row r="52" spans="1:9" ht="29.5" x14ac:dyDescent="0.75">
      <c r="A52" s="111">
        <v>46</v>
      </c>
      <c r="B52" s="114" t="s">
        <v>1214</v>
      </c>
      <c r="C52" s="114" t="s">
        <v>963</v>
      </c>
      <c r="D52" s="114" t="s">
        <v>961</v>
      </c>
      <c r="E52" s="113">
        <v>0</v>
      </c>
      <c r="F52" s="113">
        <v>1</v>
      </c>
      <c r="G52" s="113" t="s">
        <v>1</v>
      </c>
      <c r="H52" s="113"/>
      <c r="I52" s="113"/>
    </row>
    <row r="53" spans="1:9" ht="29.5" x14ac:dyDescent="0.75">
      <c r="A53" s="111">
        <v>47</v>
      </c>
      <c r="B53" s="14" t="s">
        <v>1215</v>
      </c>
      <c r="C53" s="114" t="s">
        <v>964</v>
      </c>
      <c r="D53" s="114" t="s">
        <v>580</v>
      </c>
      <c r="E53" s="113">
        <v>0</v>
      </c>
      <c r="F53" s="113">
        <v>1</v>
      </c>
      <c r="G53" s="24" t="s">
        <v>920</v>
      </c>
    </row>
    <row r="54" spans="1:9" x14ac:dyDescent="0.75">
      <c r="A54" s="111">
        <v>48</v>
      </c>
      <c r="B54" s="114" t="s">
        <v>1219</v>
      </c>
      <c r="C54" s="114" t="s">
        <v>581</v>
      </c>
      <c r="D54" s="113" t="s">
        <v>1092</v>
      </c>
      <c r="E54" s="113">
        <v>0</v>
      </c>
      <c r="F54" s="113">
        <v>1</v>
      </c>
      <c r="G54" s="113" t="s">
        <v>5</v>
      </c>
      <c r="H54" s="113"/>
      <c r="I54" s="113"/>
    </row>
    <row r="55" spans="1:9" ht="29.5" x14ac:dyDescent="0.75">
      <c r="A55" s="111">
        <v>49</v>
      </c>
      <c r="B55" s="114" t="s">
        <v>1220</v>
      </c>
      <c r="C55" s="114" t="s">
        <v>1091</v>
      </c>
      <c r="D55" s="114" t="s">
        <v>1093</v>
      </c>
      <c r="E55" s="113">
        <v>0</v>
      </c>
      <c r="F55" s="113">
        <v>1</v>
      </c>
      <c r="G55" s="113" t="s">
        <v>1</v>
      </c>
      <c r="H55" s="113"/>
      <c r="I55" s="113"/>
    </row>
    <row r="56" spans="1:9" x14ac:dyDescent="0.75">
      <c r="A56" s="111">
        <v>50</v>
      </c>
      <c r="B56" s="114" t="s">
        <v>1221</v>
      </c>
      <c r="C56" s="114" t="s">
        <v>585</v>
      </c>
      <c r="D56" s="114" t="s">
        <v>588</v>
      </c>
      <c r="E56" s="113">
        <v>0</v>
      </c>
      <c r="F56" s="113">
        <v>1</v>
      </c>
      <c r="G56" s="113" t="s">
        <v>3</v>
      </c>
      <c r="H56" s="113"/>
      <c r="I56" s="113"/>
    </row>
    <row r="57" spans="1:9" x14ac:dyDescent="0.75">
      <c r="A57" s="111">
        <v>51</v>
      </c>
      <c r="B57" s="114" t="s">
        <v>1094</v>
      </c>
      <c r="C57" s="114" t="s">
        <v>589</v>
      </c>
      <c r="D57" s="114" t="s">
        <v>591</v>
      </c>
      <c r="E57" s="113">
        <v>0</v>
      </c>
      <c r="F57" s="113">
        <v>1</v>
      </c>
      <c r="G57" s="113" t="s">
        <v>3</v>
      </c>
      <c r="H57" s="113"/>
      <c r="I57" s="113"/>
    </row>
    <row r="58" spans="1:9" x14ac:dyDescent="0.75">
      <c r="A58" s="111">
        <v>52</v>
      </c>
      <c r="B58" s="114" t="s">
        <v>1097</v>
      </c>
      <c r="C58" s="114" t="s">
        <v>1100</v>
      </c>
      <c r="D58" s="114" t="s">
        <v>1101</v>
      </c>
      <c r="E58" s="113">
        <v>0</v>
      </c>
      <c r="F58" s="113">
        <v>1</v>
      </c>
      <c r="G58" s="113" t="s">
        <v>5</v>
      </c>
      <c r="H58" s="113"/>
      <c r="I58" s="113"/>
    </row>
    <row r="59" spans="1:9" x14ac:dyDescent="0.75">
      <c r="A59" s="111">
        <v>53</v>
      </c>
      <c r="B59" s="114" t="s">
        <v>1154</v>
      </c>
      <c r="C59" s="114" t="s">
        <v>595</v>
      </c>
      <c r="D59" s="114" t="s">
        <v>1099</v>
      </c>
      <c r="E59" s="113">
        <v>0</v>
      </c>
      <c r="F59" s="113">
        <v>1</v>
      </c>
      <c r="G59" s="113" t="s">
        <v>1</v>
      </c>
      <c r="H59" s="113"/>
      <c r="I59" s="113"/>
    </row>
    <row r="60" spans="1:9" ht="29.5" x14ac:dyDescent="0.75">
      <c r="A60" s="111">
        <v>54</v>
      </c>
      <c r="B60" s="114" t="s">
        <v>1155</v>
      </c>
      <c r="C60" s="114" t="s">
        <v>1098</v>
      </c>
      <c r="D60" s="114" t="s">
        <v>602</v>
      </c>
      <c r="E60" s="113">
        <v>0</v>
      </c>
      <c r="F60" s="113">
        <v>2</v>
      </c>
      <c r="G60" s="113" t="s">
        <v>1102</v>
      </c>
      <c r="H60" s="113"/>
      <c r="I60" s="113"/>
    </row>
    <row r="61" spans="1:9" x14ac:dyDescent="0.75">
      <c r="A61" s="111">
        <v>55</v>
      </c>
      <c r="B61" s="114" t="s">
        <v>1096</v>
      </c>
      <c r="C61" s="114" t="s">
        <v>1136</v>
      </c>
      <c r="D61" s="114" t="s">
        <v>607</v>
      </c>
      <c r="E61" s="113">
        <v>0</v>
      </c>
      <c r="F61" s="113">
        <v>2</v>
      </c>
      <c r="G61" s="113" t="s">
        <v>1102</v>
      </c>
      <c r="H61" s="113"/>
      <c r="I61" s="113"/>
    </row>
    <row r="62" spans="1:9" x14ac:dyDescent="0.75">
      <c r="A62" s="111">
        <v>56</v>
      </c>
      <c r="B62" s="114" t="s">
        <v>973</v>
      </c>
      <c r="C62" s="114" t="s">
        <v>250</v>
      </c>
      <c r="D62" s="114" t="s">
        <v>250</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948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32" workbookViewId="0">
      <selection activeCell="D43" sqref="D43"/>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1133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1124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1124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1125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1130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1118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1119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1120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1121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1126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1127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1128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1131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1200</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1199</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1199</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1223</v>
      </c>
      <c r="G24" s="111" t="b">
        <f t="shared" si="1"/>
        <v>1</v>
      </c>
      <c r="H24" s="112" t="str">
        <f t="shared" si="2"/>
        <v>* differential.element[17].mapping[0].identity = "fhir"</v>
      </c>
      <c r="I24" s="112" t="str">
        <f t="shared" si="3"/>
        <v>* differential.element[17].mapping[0].map = ".extension(http://hl7.eu/fhir/ig/pcsp/StructureDefinition/procedure-performedTiming).valueTiming.repeat.count"</v>
      </c>
      <c r="J24" s="112" t="str">
        <f t="shared" si="4"/>
        <v/>
      </c>
      <c r="M24" s="111" t="str">
        <f t="shared" si="0"/>
        <v>* numberOfCourses -&gt; ".extension(http://hl7.eu/fhir/ig/pcsp/StructureDefinition/procedure-performedTiming).valueTiming.repeat.count"</v>
      </c>
    </row>
    <row r="25" spans="1:13" x14ac:dyDescent="0.75">
      <c r="A25" s="113"/>
      <c r="B25" s="113"/>
      <c r="C25" s="115"/>
      <c r="D25" s="113"/>
      <c r="H25" s="112"/>
    </row>
    <row r="26" spans="1:13" ht="29.5" x14ac:dyDescent="0.75">
      <c r="A26" s="113">
        <v>0</v>
      </c>
      <c r="B26" s="113">
        <f>'Rad-1'!A24</f>
        <v>18</v>
      </c>
      <c r="C26" s="115" t="str">
        <f>'Rad-1'!B24</f>
        <v>target</v>
      </c>
      <c r="D26" s="113" t="s">
        <v>1129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1164</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112" t="str">
        <f t="shared" si="4"/>
        <v/>
      </c>
      <c r="M27" s="111"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113">
        <v>0</v>
      </c>
      <c r="B28" s="113">
        <f>'Rad-1'!A25</f>
        <v>19</v>
      </c>
      <c r="C28" s="115" t="str">
        <f>'Rad-1'!B25</f>
        <v>target.site</v>
      </c>
      <c r="D28" s="145" t="s">
        <v>1129</v>
      </c>
      <c r="G28" s="111" t="b">
        <f t="shared" si="1"/>
        <v>1</v>
      </c>
      <c r="H28" s="112" t="str">
        <f t="shared" si="2"/>
        <v>* differential.element[19].mapping[0].identity = "fhir"</v>
      </c>
      <c r="I28" s="112" t="str">
        <f t="shared" si="3"/>
        <v>* differential.element[19].mapping[0].map = ".bodySite"</v>
      </c>
      <c r="J28" s="112" t="str">
        <f t="shared" si="4"/>
        <v/>
      </c>
      <c r="M28" s="111" t="str">
        <f t="shared" si="0"/>
        <v>* target.site -&gt; ".bodySite"</v>
      </c>
    </row>
    <row r="29" spans="1:13" ht="59" x14ac:dyDescent="0.75">
      <c r="A29" s="113">
        <v>0</v>
      </c>
      <c r="B29" s="113">
        <f>'Rad-1'!A26</f>
        <v>20</v>
      </c>
      <c r="C29" s="115" t="str">
        <f>'Rad-1'!B26</f>
        <v>target.laterality</v>
      </c>
      <c r="D29" s="113" t="s">
        <v>1159</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13" t="s">
        <v>1160</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73.75" x14ac:dyDescent="0.75">
      <c r="A31" s="113">
        <v>0</v>
      </c>
      <c r="B31" s="113">
        <f>'Rad-1'!A28</f>
        <v>22</v>
      </c>
      <c r="C31" s="115" t="str">
        <f>'Rad-1'!B28</f>
        <v>target.from</v>
      </c>
      <c r="D31" s="153" t="s">
        <v>1257</v>
      </c>
      <c r="G31" s="111" t="b">
        <f t="shared" si="1"/>
        <v>1</v>
      </c>
      <c r="H31" s="112" t="str">
        <f t="shared" si="2"/>
        <v>* differential.element[22].mapping[0].identity = "fhir"</v>
      </c>
      <c r="I31" s="112" t="str">
        <f t="shared" si="3"/>
        <v>* differential.element[22].mapping[0].map = ".bodySite.where(extension('mcode-body-location-qualifier').valueCodeableConcept = http://snomed.info/sct#272488003 'From-structure')"</v>
      </c>
      <c r="J31" s="112" t="str">
        <f t="shared" si="4"/>
        <v/>
      </c>
      <c r="M31" s="111" t="str">
        <f t="shared" si="9"/>
        <v>* target.from -&gt; ".bodySite.where(extension('mcode-body-location-qualifier').valueCodeableConcept = http://snomed.info/sct#272488003 'From-structure')"</v>
      </c>
    </row>
    <row r="32" spans="1:13" ht="73.75" x14ac:dyDescent="0.75">
      <c r="A32" s="113">
        <v>0</v>
      </c>
      <c r="B32" s="113">
        <f>'Rad-1'!A29</f>
        <v>23</v>
      </c>
      <c r="C32" s="115" t="str">
        <f>'Rad-1'!B29</f>
        <v>target.to</v>
      </c>
      <c r="D32" s="153" t="s">
        <v>1258</v>
      </c>
      <c r="G32" s="111" t="b">
        <f t="shared" si="1"/>
        <v>1</v>
      </c>
      <c r="H32" s="112" t="str">
        <f t="shared" si="2"/>
        <v>* differential.element[23].mapping[0].identity = "fhir"</v>
      </c>
      <c r="I32" s="112" t="str">
        <f t="shared" si="3"/>
        <v>* differential.element[23].mapping[0].map = ".bodySite.where(extension('mcode-body-location-qualifier').valueCodeableConcept = http://hl7.eu/fhir/ig/pcsp/CodeSystem/cs-generic-eu-pcsp#to-structure 'To-structure')"</v>
      </c>
      <c r="J32" s="112" t="str">
        <f t="shared" si="4"/>
        <v/>
      </c>
      <c r="M32" s="111" t="str">
        <f t="shared" si="9"/>
        <v>* target.to -&gt; ".bodySite.where(extension('mcode-body-location-qualifier').valueCodeableConcept = http://hl7.eu/fhir/ig/pcsp/CodeSystem/cs-generic-eu-pcsp#to-structure 'To-structure')"</v>
      </c>
    </row>
    <row r="33" spans="1:13" ht="59" x14ac:dyDescent="0.75">
      <c r="A33" s="113">
        <v>0</v>
      </c>
      <c r="B33" s="113">
        <f>'Rad-1'!A30</f>
        <v>24</v>
      </c>
      <c r="C33" s="115" t="str">
        <f>'Rad-1'!B30</f>
        <v>target.position</v>
      </c>
      <c r="D33" s="113" t="s">
        <v>1225</v>
      </c>
      <c r="G33" s="111" t="b">
        <f t="shared" si="1"/>
        <v>1</v>
      </c>
      <c r="H33" s="112" t="str">
        <f t="shared" si="2"/>
        <v>* differential.element[24].mapping[0].identity = "fhir"</v>
      </c>
      <c r="I33" s="112" t="str">
        <f t="shared" si="3"/>
        <v>* differential.element[24].mapping[0].map = ".extension('http://hl7.org/fhir/us/mcode/StructureDefinition/mcode-body-location-qualifier').valueCodeableConcept"</v>
      </c>
      <c r="J33" s="112" t="str">
        <f t="shared" si="4"/>
        <v/>
      </c>
      <c r="M33" s="111" t="str">
        <f t="shared" si="9"/>
        <v>* target.position -&gt; ".extension('http://hl7.org/fhir/us/mcode/StructureDefinition/mcode-body-location-qualifier').valueCodeableConcept"</v>
      </c>
    </row>
    <row r="34" spans="1:13" ht="88.5" x14ac:dyDescent="0.75">
      <c r="A34" s="113">
        <v>0</v>
      </c>
      <c r="B34" s="113">
        <f>'Rad-1'!A31</f>
        <v>25</v>
      </c>
      <c r="C34" s="115" t="str">
        <f>'Rad-1'!B31</f>
        <v>target.totalDose</v>
      </c>
      <c r="D34" s="114" t="s">
        <v>1164</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1148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1149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1153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1150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1161</v>
      </c>
      <c r="G39" s="111" t="b">
        <f t="shared" si="1"/>
        <v>1</v>
      </c>
      <c r="H39" s="112" t="str">
        <f t="shared" si="2"/>
        <v>* differential.element[30].mapping[0].identity = "fhir"</v>
      </c>
      <c r="I39" s="112" t="str">
        <f t="shared" si="3"/>
        <v>* differential.element[30].mapping[0].map = ".valueQuantity.code"</v>
      </c>
      <c r="J39" s="112" t="str">
        <f t="shared" si="4"/>
        <v/>
      </c>
    </row>
    <row r="40" spans="1:13" ht="59" x14ac:dyDescent="0.75">
      <c r="A40" s="113">
        <v>0</v>
      </c>
      <c r="B40" s="113">
        <f>'Rad-1'!A37</f>
        <v>31</v>
      </c>
      <c r="C40" s="115" t="str">
        <f>'Rad-1'!B37</f>
        <v>target.totalDose.fractions</v>
      </c>
      <c r="D40" s="113" t="s">
        <v>1223</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1134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1259</v>
      </c>
      <c r="G42" s="111" t="b">
        <f t="shared" si="1"/>
        <v>1</v>
      </c>
      <c r="H42" s="112" t="str">
        <f t="shared" si="2"/>
        <v>* differential.element[33].mapping[0].identity = "fhir"</v>
      </c>
      <c r="I42" s="112" t="str">
        <f t="shared" si="3"/>
        <v>* differential.element[33].mapping[0].map = ".partOf.resolve().code"</v>
      </c>
      <c r="J42" s="112" t="str">
        <f t="shared" si="4"/>
        <v/>
      </c>
    </row>
    <row r="43" spans="1:13" ht="29.5" x14ac:dyDescent="0.75">
      <c r="A43" s="113">
        <v>0</v>
      </c>
      <c r="B43" s="113">
        <f>'Rad-1'!A40</f>
        <v>34</v>
      </c>
      <c r="C43" s="115" t="str">
        <f>'Rad-1'!B40</f>
        <v>target.boost.given</v>
      </c>
      <c r="D43" s="111" t="s">
        <v>1135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1129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1132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1159</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13" t="s">
        <v>1162</v>
      </c>
      <c r="G47" s="111" t="b">
        <f t="shared" si="1"/>
        <v>1</v>
      </c>
      <c r="H47" s="112" t="str">
        <f t="shared" si="2"/>
        <v>* differential.element[37].mapping[0].identity = "fhir"</v>
      </c>
      <c r="I47" s="112" t="str">
        <f t="shared" si="3"/>
        <v>* differential.element[37].mapping[0].map = ".note"</v>
      </c>
      <c r="J47" s="112" t="str">
        <f t="shared" si="4"/>
        <v/>
      </c>
    </row>
    <row r="48" spans="1:13" ht="88.5" x14ac:dyDescent="0.75">
      <c r="A48" s="113">
        <v>0</v>
      </c>
      <c r="B48" s="113">
        <f>'Rad-1'!A44</f>
        <v>38</v>
      </c>
      <c r="C48" s="150" t="str">
        <f>'Rad-1'!B44</f>
        <v>target.boost.from</v>
      </c>
      <c r="D48" s="114" t="s">
        <v>1226</v>
      </c>
      <c r="G48" s="111" t="b">
        <f t="shared" si="1"/>
        <v>1</v>
      </c>
      <c r="H48" s="112" t="str">
        <f t="shared" si="2"/>
        <v>* differential.element[38].mapping[0].identity = "fhir"</v>
      </c>
      <c r="I48" s="112" t="str">
        <f t="shared" si="3"/>
        <v>* differential.element[38].mapping[0].map = ".bodySite.where(extension(http://hl7.org/fhir/us/mcode/StructureDefinition/mcode-body-location-qualifier).valueCodeableConcept = http://snomed.info/sct#272488003 'From-structure')"</v>
      </c>
      <c r="J48" s="112" t="str">
        <f t="shared" si="4"/>
        <v/>
      </c>
    </row>
    <row r="49" spans="1:10" ht="88.5" x14ac:dyDescent="0.75">
      <c r="A49" s="113">
        <v>0</v>
      </c>
      <c r="B49" s="113">
        <f>'Rad-1'!A45</f>
        <v>39</v>
      </c>
      <c r="C49" s="115" t="str">
        <f>'Rad-1'!B45</f>
        <v>target.boost.to</v>
      </c>
      <c r="D49" s="114" t="s">
        <v>1227</v>
      </c>
      <c r="E49" s="113"/>
      <c r="G49" s="111" t="b">
        <f t="shared" si="1"/>
        <v>1</v>
      </c>
      <c r="H49" s="112" t="str">
        <f t="shared" si="2"/>
        <v>* differential.element[39].mapping[0].identity = "fhir"</v>
      </c>
      <c r="I49" s="112" t="str">
        <f t="shared" si="3"/>
        <v>* differential.element[39].mapping[0].map = ".bodySite.where(extension(http://hl7.org/fhir/us/mcode/StructureDefinition/mcode-body-location-qualifier).valueCodeableConcept = http://hl7.eu/fhir/ig/pcsp/CodeSystem/cs-generic-eu-pcsp#to-structure 'To-structure')"</v>
      </c>
      <c r="J49" s="112" t="str">
        <f t="shared" si="4"/>
        <v/>
      </c>
    </row>
    <row r="50" spans="1:10" ht="59" x14ac:dyDescent="0.75">
      <c r="A50" s="113">
        <v>0</v>
      </c>
      <c r="B50" s="113">
        <f>'Rad-1'!A46</f>
        <v>40</v>
      </c>
      <c r="C50" s="115" t="str">
        <f>'Rad-1'!B46</f>
        <v>target.boost.position</v>
      </c>
      <c r="D50" s="113" t="s">
        <v>1224</v>
      </c>
      <c r="E50" s="113"/>
      <c r="G50" s="111" t="b">
        <f t="shared" si="1"/>
        <v>1</v>
      </c>
      <c r="H50" s="112" t="str">
        <f t="shared" si="2"/>
        <v>* differential.element[40].mapping[0].identity = "fhir"</v>
      </c>
      <c r="I50" s="112" t="str">
        <f t="shared" si="3"/>
        <v>* differential.element[40].mapping[0].map = ".extension(http://hl7.org/fhir/us/mcode/StructureDefinition/mcode-body-location-qualifier).valueCodeableConcept"</v>
      </c>
      <c r="J50" s="112" t="str">
        <f t="shared" si="4"/>
        <v/>
      </c>
    </row>
    <row r="51" spans="1:10" ht="88.5" x14ac:dyDescent="0.75">
      <c r="A51" s="113">
        <v>0</v>
      </c>
      <c r="B51" s="113">
        <f>'Rad-1'!A47</f>
        <v>41</v>
      </c>
      <c r="C51" s="115" t="str">
        <f>'Rad-1'!B47</f>
        <v>target.boost.totalDose</v>
      </c>
      <c r="D51" s="114" t="s">
        <v>1164</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1148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1149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1153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1150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1161</v>
      </c>
      <c r="E56" s="113"/>
      <c r="G56" s="111" t="b">
        <f t="shared" si="1"/>
        <v>1</v>
      </c>
      <c r="H56" s="112" t="str">
        <f t="shared" si="2"/>
        <v>* differential.element[46].mapping[0].identity = "fhir"</v>
      </c>
      <c r="I56" s="112" t="str">
        <f t="shared" si="3"/>
        <v>* differential.element[46].mapping[0].map = ".valueQuantity.code"</v>
      </c>
      <c r="J56" s="112" t="str">
        <f t="shared" si="4"/>
        <v/>
      </c>
    </row>
    <row r="57" spans="1:10" ht="59" x14ac:dyDescent="0.75">
      <c r="A57" s="113">
        <v>0</v>
      </c>
      <c r="B57" s="113">
        <f>'Rad-1'!A53</f>
        <v>47</v>
      </c>
      <c r="C57" s="115" t="str">
        <f>'Rad-1'!B53</f>
        <v>target.boost.totalDose.fractions</v>
      </c>
      <c r="D57" s="113" t="s">
        <v>1223</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59" x14ac:dyDescent="0.75">
      <c r="A58" s="113">
        <v>0</v>
      </c>
      <c r="B58" s="113">
        <f>'Rad-1'!A54</f>
        <v>48</v>
      </c>
      <c r="C58" s="115" t="str">
        <f>'Rad-1'!B54</f>
        <v>target.shielding</v>
      </c>
      <c r="D58" s="113" t="s">
        <v>1222</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1135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1129</v>
      </c>
      <c r="E60" s="113"/>
      <c r="G60" s="111" t="b">
        <f t="shared" si="1"/>
        <v>1</v>
      </c>
      <c r="H60" s="112" t="str">
        <f t="shared" si="2"/>
        <v>* differential.element[50].mapping[0].identity = "fhir"</v>
      </c>
      <c r="I60" s="112" t="str">
        <f t="shared" si="3"/>
        <v>* differential.element[50].mapping[0].map = ".bodySite"</v>
      </c>
      <c r="J60" s="112" t="str">
        <f t="shared" si="4"/>
        <v/>
      </c>
    </row>
    <row r="61" spans="1:10" ht="29.5" x14ac:dyDescent="0.75">
      <c r="A61" s="113">
        <v>0</v>
      </c>
      <c r="B61" s="113">
        <f>'Rad-1'!A57</f>
        <v>51</v>
      </c>
      <c r="C61" s="115" t="str">
        <f>'Rad-1'!B57</f>
        <v>target.site.notes</v>
      </c>
      <c r="D61" s="115" t="s">
        <v>1162</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1163</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52" t="s">
        <v>1116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52" t="s">
        <v>1158</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1163</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1162</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51"/>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".extension(http://hl7.eu/fhir/ig/pcsp/StructureDefinition/procedure-performedTiming).valueTiming.repeat.count"</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".bodySite"</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".bodySite.where(extension('mcode-body-location-qualifier').valueCodeableConcept = http://snomed.info/sct#272488003 'From-structure')"</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".bodySite.where(extension('mcode-body-location-qualifier').valueCodeableConcept = http://hl7.eu/fhir/ig/pcsp/CodeSystem/cs-generic-eu-pcsp#to-structure 'To-structure')"</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".extension('http://hl7.org/fhir/us/mcode/StructureDefinition/mcode-body-location-qualifier').valueCodeableConcept"</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".partOf.resolve().code"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".note"</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".extension(http://hl7.org/fhir/us/mcode/StructureDefinition/mcode-body-location-qualifier).valueCodeableConcept"</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".extension(http://hl7.eu/fhir/ig/pcsp/StructureDefinition/procedure-performedTiming).valueTiming.repeat.count"</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".bodySite"</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".bodySite.where(extension('mcode-body-location-qualifier').valueCodeableConcept = http://snomed.info/sct#272488003 'From-structure')"</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".bodySite.where(extension('mcode-body-location-qualifier').valueCodeableConcept = http://hl7.eu/fhir/ig/pcsp/CodeSystem/cs-generic-eu-pcsp#to-structure 'To-structure')"</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".extension('http://hl7.org/fhir/us/mcode/StructureDefinition/mcode-body-location-qualifier').valueCodeableConcept"</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".partOf.resolve().code"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".note"</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".bodySite.where(extension(http://hl7.org/fhir/us/mcode/StructureDefinition/mcode-body-location-qualifier).valueCodeableConcept = http://snomed.info/sct#272488003 'From-structure')"</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".extension(http://hl7.org/fhir/us/mcode/StructureDefinition/mcode-body-location-qualifier).valueCodeableConcept"</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2022-10-21T14:40:30Z</dcterms:modified>
</cp:coreProperties>
</file>